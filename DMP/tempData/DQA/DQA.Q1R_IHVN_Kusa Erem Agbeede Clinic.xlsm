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E\Desktop\DQA DOCUMENTS\REPORT\IHVN\"/>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36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Q17" i="11"/>
  <c r="S23" i="11" s="1"/>
  <c r="R17" i="11"/>
  <c r="S17" i="11"/>
  <c r="P24" i="11" s="1"/>
  <c r="T17" i="11"/>
  <c r="U17" i="11"/>
  <c r="R24" i="11" s="1"/>
  <c r="V17" i="11"/>
  <c r="S24" i="11" s="1"/>
  <c r="W17" i="11"/>
  <c r="T24" i="11" s="1"/>
  <c r="X17" i="11"/>
  <c r="Y17" i="11"/>
  <c r="Q25" i="11" s="1"/>
  <c r="Z17" i="11"/>
  <c r="AA17" i="11"/>
  <c r="S25" i="11" s="1"/>
  <c r="AB17" i="11"/>
  <c r="T25" i="11"/>
  <c r="R25" i="11"/>
  <c r="P25" i="11"/>
  <c r="Q24" i="11"/>
  <c r="T23" i="11"/>
  <c r="R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<sst xmlns="http://schemas.openxmlformats.org/spreadsheetml/2006/main" count="27099" uniqueCount="4024">
  <si>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</si>
  <si>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</si>
  <si>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</si>
  <si>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</si>
  <si>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</si>
  <si>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</si>
  <si>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</si>
  <si>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</si>
  <si>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</si>
  <si>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</si>
  <si>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</si>
  <si>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</si>
  <si>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</si>
  <si>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</si>
  <si>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</si>
  <si>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</si>
  <si>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</si>
  <si>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</si>
  <si>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</si>
  <si>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</si>
  <si>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</si>
  <si>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</si>
  <si>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</si>
  <si>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</si>
  <si>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</si>
  <si>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</si>
  <si>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</si>
  <si>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</si>
  <si>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</si>
  <si>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</si>
  <si>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</si>
  <si>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</si>
  <si>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</si>
  <si>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</si>
  <si>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</si>
  <si>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</si>
  <si>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</si>
  <si>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</si>
  <si>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</si>
  <si>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</si>
  <si>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</si>
  <si>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</si>
  <si>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</si>
  <si>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</si>
  <si>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</si>
  <si>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</si>
  <si>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</si>
  <si>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</si>
  <si>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</si>
  <si>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</si>
  <si>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</si>
  <si>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</si>
  <si>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</si>
  <si>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</si>
  <si>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</si>
  <si>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</si>
  <si>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</si>
  <si>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</si>
  <si>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</si>
  <si>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</si>
  <si>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</si>
  <si>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</si>
  <si>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</si>
  <si>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</si>
  <si>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</si>
  <si>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</si>
  <si>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</si>
  <si>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</si>
  <si>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</si>
  <si>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</si>
  <si>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</si>
  <si>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</si>
  <si>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</si>
  <si>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</si>
  <si>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</si>
  <si>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</si>
  <si>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</si>
  <si>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</si>
  <si>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</si>
  <si>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</si>
  <si>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</si>
  <si>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</si>
  <si>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</si>
  <si>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</si>
  <si>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</si>
  <si>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</si>
  <si>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</si>
  <si>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</si>
  <si>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</si>
  <si>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</si>
  <si>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</si>
  <si>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</si>
  <si>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</si>
  <si>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</si>
  <si>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</si>
  <si>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</si>
  <si>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</si>
  <si>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</si>
  <si>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</si>
  <si>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</si>
  <si>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</si>
  <si>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</si>
  <si>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</si>
  <si>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</si>
  <si>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</si>
  <si>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</si>
  <si>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</si>
  <si>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</si>
  <si>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</si>
  <si>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</si>
  <si>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</si>
  <si>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</si>
  <si>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</si>
  <si>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</si>
  <si>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</si>
  <si>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</si>
  <si>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</si>
  <si>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</si>
  <si>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</si>
  <si>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</si>
  <si>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</si>
  <si>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</si>
  <si>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</si>
  <si>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</si>
  <si>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</si>
  <si>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</si>
  <si>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</si>
  <si>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</si>
  <si>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</si>
  <si>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</si>
  <si>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</si>
  <si>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</si>
  <si>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</si>
  <si>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</si>
  <si>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</si>
  <si>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</si>
  <si>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</si>
  <si>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</si>
  <si>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</si>
  <si>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</si>
  <si>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</si>
  <si>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</si>
  <si>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</si>
  <si>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</si>
  <si>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</si>
  <si>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</si>
  <si>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</si>
  <si>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</si>
  <si>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</si>
  <si>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</si>
  <si>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</si>
  <si>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</si>
  <si>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</si>
  <si>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</si>
  <si>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</si>
  <si>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</si>
  <si>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</si>
  <si>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</si>
  <si>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</si>
  <si>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</si>
  <si>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</si>
  <si>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</si>
  <si>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</si>
  <si>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</si>
  <si>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</si>
  <si>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</si>
  <si>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</si>
  <si>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</si>
  <si>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</si>
  <si>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</si>
  <si>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</si>
  <si>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</si>
  <si>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</si>
  <si>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</si>
  <si>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</si>
  <si>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</si>
  <si>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</si>
  <si>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</si>
  <si>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</si>
  <si>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</si>
  <si>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</si>
  <si>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</si>
  <si>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</si>
  <si>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</si>
  <si>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</si>
  <si>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</si>
  <si>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</si>
  <si>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</si>
  <si>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</si>
  <si>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</si>
  <si>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</si>
  <si>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</si>
  <si>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</si>
  <si>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</si>
  <si>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</si>
  <si>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</si>
  <si>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</si>
  <si>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</si>
  <si>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</si>
  <si>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</si>
  <si>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</si>
  <si>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</si>
  <si>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</si>
  <si>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</si>
  <si>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</si>
  <si>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</si>
  <si>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</si>
  <si>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</si>
  <si>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</si>
  <si>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</si>
  <si>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</si>
  <si>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</si>
  <si>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</si>
  <si>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</si>
  <si>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</si>
  <si>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</si>
  <si>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</si>
  <si>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</si>
  <si>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</si>
  <si>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</si>
  <si>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</si>
  <si>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</si>
  <si>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</si>
  <si>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</si>
  <si>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</si>
  <si>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</si>
  <si>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</si>
  <si>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</si>
  <si>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</si>
  <si>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</si>
  <si>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</si>
  <si>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</si>
  <si>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</si>
  <si>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</si>
  <si>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</si>
  <si>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</si>
  <si>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</si>
  <si>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</si>
  <si>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</si>
  <si>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</si>
  <si>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</si>
  <si>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</si>
  <si>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</si>
  <si>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</si>
  <si>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</si>
  <si>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</si>
  <si>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</si>
  <si>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</si>
  <si>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</si>
  <si>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</si>
  <si>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</si>
  <si>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</si>
  <si>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</si>
  <si>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</si>
  <si>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</si>
  <si>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</si>
  <si>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</si>
  <si>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</si>
  <si>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</si>
  <si>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</si>
  <si>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</si>
  <si>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</si>
  <si>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</si>
  <si>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</si>
  <si>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</si>
  <si>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</si>
  <si>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</si>
  <si>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</si>
  <si>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</si>
  <si>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</si>
  <si>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</si>
  <si>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</si>
  <si>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</si>
  <si>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</si>
  <si>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</si>
  <si>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</si>
  <si>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</si>
  <si>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</si>
  <si>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</si>
  <si>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</si>
  <si>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</si>
  <si>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</si>
  <si>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</si>
  <si>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</si>
  <si>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</si>
  <si>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</si>
  <si>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</si>
  <si>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</si>
  <si>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</si>
  <si>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</si>
  <si>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</si>
  <si>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</si>
  <si>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</si>
  <si>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</si>
  <si>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</si>
  <si>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</si>
  <si>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</si>
  <si>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</si>
  <si>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</si>
  <si>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</si>
  <si>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</si>
  <si>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</si>
  <si>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</si>
  <si>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</si>
  <si>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</si>
  <si>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</si>
  <si>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</si>
  <si>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</si>
  <si>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</si>
  <si>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</si>
  <si>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</si>
  <si>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</si>
  <si>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</si>
  <si>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</si>
  <si>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</si>
  <si>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</si>
  <si>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</si>
  <si>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</si>
  <si>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</si>
  <si>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</si>
  <si>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</si>
  <si>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</si>
  <si>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</si>
  <si>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</si>
  <si>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</si>
  <si>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</si>
  <si>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</si>
  <si>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</si>
  <si>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</si>
  <si>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</si>
  <si>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</si>
  <si>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</si>
  <si>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</si>
  <si>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</si>
  <si>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</si>
  <si>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</si>
  <si>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</si>
  <si>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</si>
  <si>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</si>
  <si>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</si>
  <si>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</si>
  <si>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</si>
  <si>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</si>
  <si>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</si>
  <si>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</si>
  <si>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</si>
  <si>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</si>
  <si>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</si>
  <si>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</si>
  <si>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</si>
  <si>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</si>
  <si>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</si>
  <si>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</si>
  <si>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</si>
  <si>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</si>
  <si>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</si>
  <si>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</si>
  <si>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</si>
  <si>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</si>
  <si>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</si>
  <si>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</si>
  <si>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</si>
  <si>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</si>
  <si>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</si>
  <si>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</si>
  <si>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</si>
  <si>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</si>
  <si>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</si>
  <si>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</si>
  <si>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</si>
  <si>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</si>
  <si>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</si>
  <si>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</si>
  <si>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</si>
  <si>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</si>
  <si>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</si>
  <si>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</si>
  <si>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</si>
  <si>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</si>
  <si>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</si>
  <si>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</si>
  <si>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</si>
  <si>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</si>
  <si>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</si>
  <si>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</si>
  <si>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</si>
  <si>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</si>
  <si>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</si>
  <si>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</si>
  <si>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</si>
  <si>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</si>
  <si>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</si>
  <si>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</si>
  <si>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</si>
  <si>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</si>
  <si>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</si>
  <si>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</si>
  <si>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</si>
  <si>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</si>
  <si>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</si>
  <si>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</si>
  <si>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</si>
  <si>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</si>
  <si>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</si>
  <si>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</si>
  <si>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</si>
  <si>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</si>
  <si>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</si>
  <si>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</si>
  <si>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</si>
  <si>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</si>
  <si>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</si>
  <si>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</si>
  <si>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</si>
  <si>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</si>
  <si>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</si>
  <si>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</si>
  <si>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</si>
  <si>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</si>
  <si>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</si>
  <si>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</si>
  <si>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</si>
  <si>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</si>
  <si>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</si>
  <si>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</si>
  <si>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</si>
  <si>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</si>
  <si>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</si>
  <si>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</si>
  <si>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</si>
  <si>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</si>
  <si>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</si>
  <si>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</si>
  <si>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</si>
  <si>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</si>
  <si>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</si>
  <si>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</si>
  <si>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</si>
  <si>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</si>
  <si>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</si>
  <si>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</si>
  <si>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</si>
  <si>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</si>
  <si>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</si>
  <si>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</si>
  <si>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</si>
  <si>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</si>
  <si>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</si>
  <si>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</si>
  <si>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</si>
  <si>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</si>
  <si>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</si>
  <si>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</si>
  <si>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</si>
  <si>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</si>
  <si>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</si>
  <si>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</si>
  <si>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</si>
  <si>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</si>
  <si>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</si>
  <si>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</si>
  <si>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</si>
  <si>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</si>
  <si>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</si>
  <si>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</si>
  <si>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</si>
  <si>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</si>
  <si>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</si>
  <si>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</si>
  <si>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</si>
  <si>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</si>
  <si>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</si>
  <si>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</si>
  <si>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</si>
  <si>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</si>
  <si>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</si>
  <si>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</si>
  <si>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</si>
  <si>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</si>
  <si>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</si>
  <si>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</si>
  <si>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</si>
  <si>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</si>
  <si>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</si>
  <si>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</si>
  <si>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</si>
  <si>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</si>
  <si>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</si>
  <si>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</si>
  <si>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</si>
  <si>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</si>
  <si>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</si>
  <si>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</si>
  <si>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</si>
  <si>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</si>
  <si>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</si>
  <si>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</si>
  <si>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</si>
  <si>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</si>
  <si>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</si>
  <si>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</si>
  <si>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</si>
  <si>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</si>
  <si>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</si>
  <si>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</si>
  <si>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</si>
  <si>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</si>
  <si>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</si>
  <si>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</si>
  <si>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</si>
  <si>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</si>
  <si>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</si>
  <si>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</si>
  <si>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</si>
  <si>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</si>
  <si>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</si>
  <si>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</si>
  <si>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</si>
  <si>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</si>
  <si>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</si>
  <si>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</si>
  <si>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</si>
  <si>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</si>
  <si>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</si>
  <si>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</si>
  <si>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</si>
  <si>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</si>
  <si>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</si>
  <si>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</si>
  <si>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</si>
  <si>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</si>
  <si>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</si>
  <si>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</si>
  <si>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</si>
  <si>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</si>
  <si>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</si>
  <si>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</si>
  <si>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</si>
  <si>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</si>
  <si>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</si>
  <si>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</si>
  <si>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</si>
  <si>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</si>
  <si>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</si>
  <si>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</si>
  <si>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</si>
  <si>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</si>
  <si>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</si>
  <si>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</si>
  <si>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</si>
  <si>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</si>
  <si>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</si>
  <si>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</si>
  <si>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</si>
  <si>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</si>
  <si>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</si>
  <si>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</si>
  <si>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</si>
  <si>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</si>
  <si>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</si>
  <si>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</si>
  <si>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</si>
  <si>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</si>
  <si>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</si>
  <si>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</si>
  <si>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</si>
  <si>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</si>
  <si>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</si>
  <si>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</si>
  <si>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</si>
  <si>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</si>
  <si>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</si>
  <si>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</si>
  <si>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</si>
  <si>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</si>
  <si>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</si>
  <si>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</si>
  <si>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</si>
  <si>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</si>
  <si>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</si>
  <si>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</si>
  <si>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</si>
  <si>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</si>
  <si>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</si>
  <si>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</si>
  <si>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</si>
  <si>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</si>
  <si>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</si>
  <si>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</si>
  <si>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</si>
  <si>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</si>
  <si>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</si>
  <si>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</si>
  <si>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</si>
  <si>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</si>
  <si>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</si>
  <si>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</si>
  <si>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</si>
  <si>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</si>
  <si>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</si>
  <si>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</si>
  <si>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</si>
  <si>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</si>
  <si>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</si>
  <si>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</si>
  <si>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</si>
  <si>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</si>
  <si>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</si>
  <si>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</si>
  <si>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</si>
  <si>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</si>
  <si>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</si>
  <si>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</si>
  <si>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</si>
  <si>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</si>
  <si>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</si>
  <si>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</si>
  <si>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</si>
  <si>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</si>
  <si>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</si>
  <si>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</si>
  <si>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</si>
  <si>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</si>
  <si>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</si>
  <si>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</si>
  <si>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</si>
  <si>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</si>
  <si>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</si>
  <si>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</si>
  <si>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</si>
  <si>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</si>
  <si>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</si>
  <si>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</si>
  <si>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</si>
  <si>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</si>
  <si>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</si>
  <si>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</si>
  <si>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</si>
  <si>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</si>
  <si>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</si>
  <si>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</si>
  <si>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</si>
  <si>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</si>
  <si>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</si>
  <si>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</si>
  <si>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</si>
  <si>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</si>
  <si>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</si>
  <si>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</si>
  <si>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</si>
  <si>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</si>
  <si>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</si>
  <si>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</si>
  <si>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</si>
  <si>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</si>
  <si>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</si>
  <si>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</si>
  <si>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</si>
  <si>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</si>
  <si>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</si>
  <si>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</si>
  <si>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</si>
  <si>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</si>
  <si>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</si>
  <si>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</si>
  <si>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</si>
  <si>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</si>
  <si>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</si>
  <si>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</si>
  <si>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</si>
  <si>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</si>
  <si>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</si>
  <si>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</si>
  <si>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</si>
  <si>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</si>
  <si>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</si>
  <si>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</si>
  <si>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</si>
  <si>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</si>
  <si>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</si>
  <si>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</si>
  <si>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</si>
  <si>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</si>
  <si>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</si>
  <si>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</si>
  <si>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</si>
  <si>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</si>
  <si>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</si>
  <si>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</si>
  <si>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</si>
  <si>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</si>
  <si>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</si>
  <si>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</si>
  <si>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</si>
  <si>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</si>
  <si>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</si>
  <si>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</si>
  <si>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</si>
  <si>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</si>
  <si>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</si>
  <si>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</si>
  <si>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</si>
  <si>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</si>
  <si>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</si>
  <si>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</si>
  <si>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</si>
  <si>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</si>
  <si>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</si>
  <si>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</si>
  <si>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</si>
  <si>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</si>
  <si>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</si>
  <si>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</si>
  <si>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</si>
  <si>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</si>
  <si>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</si>
  <si>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</si>
  <si>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</si>
  <si>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</si>
  <si>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</si>
  <si>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</si>
  <si>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</si>
  <si>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</si>
  <si>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</si>
  <si>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</si>
  <si>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</si>
  <si>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</si>
  <si>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</si>
  <si>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</si>
  <si>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</si>
  <si>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</si>
  <si>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</si>
  <si>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</si>
  <si>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</si>
  <si>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</si>
  <si>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</si>
  <si>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</si>
  <si>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</si>
  <si>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</si>
  <si>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</si>
  <si>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</si>
  <si>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</si>
  <si>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</si>
  <si>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</si>
  <si>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</si>
  <si>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</si>
  <si>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</si>
  <si>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</si>
  <si>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</si>
  <si>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</si>
  <si>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</si>
  <si>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</si>
  <si>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</si>
  <si>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</si>
  <si>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</si>
  <si>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</si>
  <si>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</si>
  <si>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</si>
  <si>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</si>
  <si>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</si>
  <si>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</si>
  <si>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</si>
  <si>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</si>
  <si>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</si>
  <si>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</si>
  <si>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</si>
  <si>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</si>
  <si>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</si>
  <si>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</si>
  <si>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</si>
  <si>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</si>
  <si>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</si>
  <si>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</si>
  <si>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</si>
  <si>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</si>
  <si>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</si>
  <si>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</si>
  <si>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</si>
  <si>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</si>
  <si>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</si>
  <si>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</si>
  <si>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</si>
  <si>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</si>
  <si>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</si>
  <si>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</si>
  <si>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</si>
  <si>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</si>
  <si>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</si>
  <si>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</si>
  <si>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</si>
  <si>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</si>
  <si>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</si>
  <si>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</si>
  <si>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</si>
  <si>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</si>
  <si>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</si>
  <si>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</si>
  <si>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</si>
  <si>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</si>
  <si>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</si>
  <si>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</si>
  <si>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</si>
  <si>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</si>
  <si>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</si>
  <si>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</si>
  <si>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</si>
  <si>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</si>
  <si>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</si>
  <si>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</si>
  <si>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</si>
  <si>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</si>
  <si>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</si>
  <si>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</si>
  <si>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</si>
  <si>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</si>
  <si>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</si>
  <si>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</si>
  <si>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</si>
  <si>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</si>
  <si>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</si>
  <si>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</si>
  <si>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</si>
  <si>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</si>
  <si>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</si>
  <si>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</si>
  <si>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</si>
  <si>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</si>
  <si>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</si>
  <si>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</si>
  <si>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</si>
  <si>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</si>
  <si>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</si>
  <si>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</si>
  <si>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</si>
  <si>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</si>
  <si>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</si>
  <si>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</si>
  <si>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</si>
  <si>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</si>
  <si>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</si>
  <si>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</si>
  <si>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</si>
  <si>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</si>
  <si>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</si>
  <si>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</si>
  <si>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</si>
  <si>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</si>
  <si>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</si>
  <si>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</si>
  <si>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</si>
  <si>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</si>
  <si>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</si>
  <si>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</si>
  <si>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</si>
  <si>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</si>
  <si>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</si>
  <si>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</si>
  <si>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</si>
  <si>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</si>
  <si>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</si>
  <si>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</si>
  <si>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</si>
  <si>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</si>
  <si>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</si>
  <si>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</si>
  <si>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</si>
  <si>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</si>
  <si>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</si>
  <si>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</si>
  <si>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</si>
  <si>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</si>
  <si>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</si>
  <si>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</si>
  <si>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</si>
  <si>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</si>
  <si>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</si>
  <si>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</si>
  <si>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</si>
  <si>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</si>
  <si>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</si>
  <si>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</si>
  <si>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</si>
  <si>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</si>
  <si>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</si>
  <si>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</si>
  <si>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</si>
  <si>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</si>
  <si>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</si>
  <si>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</si>
  <si>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</si>
  <si>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</si>
  <si>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</si>
  <si>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</si>
  <si>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</si>
  <si>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</si>
  <si>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</si>
  <si>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</si>
  <si>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</si>
  <si>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</si>
  <si>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</si>
  <si>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</si>
  <si>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</si>
  <si>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</si>
  <si>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</si>
  <si>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</si>
  <si>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</si>
  <si>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</si>
  <si>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</si>
  <si>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</si>
  <si>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</si>
  <si>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</si>
  <si>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</si>
  <si>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</si>
  <si>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</si>
  <si>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</si>
  <si>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</si>
  <si>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</si>
  <si>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</si>
  <si>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</si>
  <si>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</si>
  <si>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</si>
  <si>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</si>
  <si>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</si>
  <si>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</si>
  <si>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</si>
  <si>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</si>
  <si>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</si>
  <si>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</si>
  <si>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</si>
  <si>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</si>
  <si>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</si>
  <si>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</si>
  <si>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</si>
  <si>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</si>
  <si>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</si>
  <si>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</si>
  <si>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</si>
  <si>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</si>
  <si>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</si>
  <si>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</si>
  <si>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</si>
  <si>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</si>
  <si>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</si>
  <si>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</si>
  <si>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</si>
  <si>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</si>
  <si>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</si>
  <si>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</si>
  <si>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</si>
  <si>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</si>
  <si>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</si>
  <si>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</si>
  <si>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</si>
  <si>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</si>
  <si>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</si>
  <si>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</si>
  <si>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</si>
  <si>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</si>
  <si>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</si>
  <si>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</si>
  <si>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</si>
  <si>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</si>
  <si>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</si>
  <si>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</si>
  <si>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</si>
  <si>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</si>
  <si>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</si>
  <si>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</si>
  <si>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</si>
  <si>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</si>
  <si>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</si>
  <si>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</si>
  <si>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</si>
  <si>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</si>
  <si>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</si>
  <si>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</si>
  <si>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</si>
  <si>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</si>
  <si>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</si>
  <si>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</si>
  <si>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</si>
  <si>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</si>
  <si>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</si>
  <si>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</si>
  <si>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</si>
  <si>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</si>
  <si>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</si>
  <si>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</si>
  <si>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</si>
  <si>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</si>
  <si>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</si>
  <si>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</si>
  <si>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</si>
  <si>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</si>
  <si>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</si>
  <si>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</si>
  <si>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</si>
  <si>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</si>
  <si>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</si>
  <si>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</si>
  <si>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</si>
  <si>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</si>
  <si>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</si>
  <si>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</si>
  <si>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</si>
  <si>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</si>
  <si>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</si>
  <si>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</si>
  <si>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</si>
  <si>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</si>
  <si>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</si>
  <si>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</si>
  <si>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</si>
  <si>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</si>
  <si>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</si>
  <si>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</si>
  <si>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</si>
  <si>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</si>
  <si>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</si>
  <si>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</si>
  <si>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</si>
  <si>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</si>
  <si>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</si>
  <si>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</si>
  <si>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</si>
  <si>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</si>
  <si>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</si>
  <si>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</si>
  <si>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</si>
  <si>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</si>
  <si>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</si>
  <si>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</si>
  <si>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</si>
  <si>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</si>
  <si>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</si>
  <si>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</si>
  <si>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</si>
  <si>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</si>
  <si>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</si>
  <si>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</si>
  <si>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</si>
  <si>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</si>
  <si>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</si>
  <si>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</si>
  <si>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</si>
  <si>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</si>
  <si>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</si>
  <si>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</si>
  <si>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</si>
  <si>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</si>
  <si>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</si>
  <si>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</si>
  <si>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</si>
  <si>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</si>
  <si>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</si>
  <si>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</si>
  <si>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</si>
  <si>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</si>
  <si>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</si>
  <si>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</si>
  <si>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</si>
  <si>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</si>
  <si>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</si>
  <si>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</si>
  <si>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</si>
  <si>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</si>
  <si>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</si>
  <si>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</si>
  <si>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</si>
  <si>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</si>
  <si>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</si>
  <si>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</si>
  <si>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</si>
  <si>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</si>
  <si>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</si>
  <si>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</si>
  <si>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</si>
  <si>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</si>
  <si>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</si>
  <si>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</si>
  <si>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</si>
  <si>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</si>
  <si>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</si>
  <si>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</si>
  <si>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</si>
  <si>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</si>
  <si>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</si>
  <si>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</si>
  <si>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</si>
  <si>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</si>
  <si>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</si>
  <si>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</si>
  <si>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</si>
  <si>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</si>
  <si>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</si>
  <si>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</si>
  <si>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</si>
  <si>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</si>
  <si>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</si>
  <si>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</si>
  <si>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</si>
  <si>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</si>
  <si>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</si>
  <si>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</si>
  <si>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</si>
  <si>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</si>
  <si>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</si>
  <si>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</si>
  <si>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</si>
  <si>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</si>
  <si>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</si>
  <si>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</si>
  <si>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</si>
  <si>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</si>
  <si>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</si>
  <si>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</si>
  <si>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</si>
  <si>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</si>
  <si>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</si>
  <si>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</si>
  <si>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</si>
  <si>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</si>
  <si>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</si>
  <si>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</si>
  <si>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</si>
  <si>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</si>
  <si>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</si>
  <si>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</si>
  <si>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</si>
  <si>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</si>
  <si>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</si>
  <si>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</si>
  <si>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</si>
  <si>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</si>
  <si>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</si>
  <si>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</si>
  <si>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</si>
  <si>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</si>
  <si>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</si>
  <si>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</si>
  <si>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</si>
  <si>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</si>
  <si>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</si>
  <si>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</si>
  <si>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</si>
  <si>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</si>
  <si>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</si>
  <si>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</si>
  <si>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</si>
  <si>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</si>
  <si>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</si>
  <si>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</si>
  <si>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</si>
  <si>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</si>
  <si>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</si>
  <si>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</si>
  <si>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</si>
  <si>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</si>
  <si>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</si>
  <si>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</si>
  <si>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</si>
  <si>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</si>
  <si>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</si>
  <si>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</si>
  <si>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</si>
  <si>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</si>
  <si>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</si>
  <si>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</si>
  <si>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</si>
  <si>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</si>
  <si>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</si>
  <si>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</si>
  <si>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</si>
  <si>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</si>
  <si>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</si>
  <si>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</si>
  <si>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</si>
  <si>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</si>
  <si>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</si>
  <si>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</si>
  <si>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</si>
  <si>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</si>
  <si>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</si>
  <si>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</si>
  <si>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</si>
  <si>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</si>
  <si>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</si>
  <si>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</si>
  <si>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</si>
  <si>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</si>
  <si>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</si>
  <si>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</si>
  <si>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</si>
  <si>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</si>
  <si>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</si>
  <si>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</si>
  <si>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</si>
  <si>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</si>
  <si>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</si>
  <si>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</si>
  <si>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</si>
  <si>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</si>
  <si>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</si>
  <si>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</si>
  <si>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</si>
  <si>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</si>
  <si>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</si>
  <si>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</si>
  <si>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</si>
  <si>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</si>
  <si>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</si>
  <si>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</si>
  <si>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</si>
  <si>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</si>
  <si>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</si>
  <si>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</si>
  <si>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</si>
  <si>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</si>
  <si>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</si>
  <si>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</si>
  <si>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</si>
  <si>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</si>
  <si>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</si>
  <si>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</si>
  <si>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</si>
  <si>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</si>
  <si>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</si>
  <si>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</si>
  <si>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</si>
  <si>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</si>
  <si>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</si>
  <si>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</si>
  <si>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</si>
  <si>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</si>
  <si>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</si>
  <si>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</si>
  <si>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</si>
  <si>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</si>
  <si>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</si>
  <si>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</si>
  <si>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</si>
  <si>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</si>
  <si>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</si>
  <si>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</si>
  <si>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</si>
  <si>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</si>
  <si>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</si>
  <si>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</si>
  <si>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</si>
  <si>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</si>
  <si>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</si>
  <si>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</si>
  <si>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</si>
  <si>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</si>
  <si>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</si>
  <si>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</si>
  <si>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</si>
  <si>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</si>
  <si>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</si>
  <si>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</si>
  <si>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</si>
  <si>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</si>
  <si>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</si>
  <si>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</si>
  <si>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</si>
  <si>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</si>
  <si>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</si>
  <si>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</si>
  <si>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</si>
  <si>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</si>
  <si>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</si>
  <si>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</si>
  <si>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</si>
  <si>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</si>
  <si>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</si>
  <si>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</si>
  <si>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</si>
  <si>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</si>
  <si>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</si>
  <si>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</si>
  <si>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</si>
  <si>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</si>
  <si>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</si>
  <si>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</si>
  <si>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</si>
  <si>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</si>
  <si>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</si>
  <si>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</si>
  <si>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</si>
  <si>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</si>
  <si>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</si>
  <si>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</si>
  <si>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</si>
  <si>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</si>
  <si>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</si>
  <si>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</si>
  <si>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</si>
  <si>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</si>
  <si>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</si>
  <si>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</si>
  <si>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</si>
  <si>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</si>
  <si>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</si>
  <si>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</si>
  <si>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</si>
  <si>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</si>
  <si>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</si>
  <si>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</si>
  <si>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</si>
  <si>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</si>
  <si>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</si>
  <si>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</si>
  <si>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</si>
  <si>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</si>
  <si>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</si>
  <si>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</si>
  <si>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</si>
  <si>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</si>
  <si>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</si>
  <si>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</si>
  <si>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</si>
  <si>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</si>
  <si>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</si>
  <si>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</si>
  <si>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</si>
  <si>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</si>
  <si>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</si>
  <si>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</si>
  <si>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</si>
  <si>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</si>
  <si>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</si>
  <si>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</si>
  <si>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</si>
  <si>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</si>
  <si>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</si>
  <si>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</si>
  <si>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</si>
  <si>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</si>
  <si>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</si>
  <si>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</si>
  <si>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</si>
  <si>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</si>
  <si>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</si>
  <si>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</si>
  <si>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</si>
  <si>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</si>
  <si>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</si>
  <si>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</si>
  <si>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</si>
  <si>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</si>
  <si>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</si>
  <si>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</si>
  <si>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</si>
  <si>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</si>
  <si>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</si>
  <si>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</si>
  <si>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</si>
  <si>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</si>
  <si>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</si>
  <si>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</si>
  <si>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</si>
  <si>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</si>
  <si>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</si>
  <si>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</si>
  <si>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</si>
  <si>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</si>
  <si>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</si>
  <si>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</si>
  <si>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</si>
  <si>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</si>
  <si>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</si>
  <si>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</si>
  <si>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</si>
  <si>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</si>
  <si>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</si>
  <si>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</si>
  <si>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</si>
  <si>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</si>
  <si>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</si>
  <si>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</si>
  <si>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</si>
  <si>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</si>
  <si>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</si>
  <si>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</si>
  <si>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</si>
  <si>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</si>
  <si>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</si>
  <si>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</si>
  <si>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</si>
  <si>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</si>
  <si>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</si>
  <si>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</si>
  <si>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</si>
  <si>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</si>
  <si>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</si>
  <si>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</si>
  <si>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</si>
  <si>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</si>
  <si>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</si>
  <si>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</si>
  <si>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</si>
  <si>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</si>
  <si>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</si>
  <si>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</si>
  <si>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</si>
  <si>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</si>
  <si>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</si>
  <si>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</si>
  <si>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</si>
  <si>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</si>
  <si>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</si>
  <si>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</si>
  <si>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</si>
  <si>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</si>
  <si>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</si>
  <si>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</si>
  <si>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</si>
  <si>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</si>
  <si>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</si>
  <si>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</si>
  <si>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</si>
  <si>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</si>
  <si>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</si>
  <si>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</si>
  <si>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</si>
  <si>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</si>
  <si>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</si>
  <si>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</si>
  <si>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</si>
  <si>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</si>
  <si>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</si>
  <si>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</si>
  <si>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</si>
  <si>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</si>
  <si>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</si>
  <si>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</si>
  <si>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</si>
  <si>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</si>
  <si>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</si>
  <si>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</si>
  <si>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</si>
  <si>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</si>
  <si>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</si>
  <si>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</si>
  <si>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</si>
  <si>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</si>
  <si>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</si>
  <si>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</si>
  <si>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</si>
  <si>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</si>
  <si>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</si>
  <si>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</si>
  <si>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</si>
  <si>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</si>
  <si>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</si>
  <si>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</si>
  <si>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</si>
  <si>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</si>
  <si>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</si>
  <si>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</si>
  <si>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</si>
  <si>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</si>
  <si>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</si>
  <si>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</si>
  <si>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</si>
  <si>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</si>
  <si>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</si>
  <si>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</si>
  <si>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</si>
  <si>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</si>
  <si>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</si>
  <si>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</si>
  <si>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</si>
  <si>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</si>
  <si>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</si>
  <si>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</si>
  <si>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</si>
  <si>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</si>
  <si>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</si>
  <si>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</si>
  <si>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</si>
  <si>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</si>
  <si>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</si>
  <si>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</si>
  <si>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</si>
  <si>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</si>
  <si>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</si>
  <si>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</si>
  <si>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</si>
  <si>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</si>
  <si>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</si>
  <si>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</si>
  <si>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</si>
  <si>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</si>
  <si>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</si>
  <si>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</si>
  <si>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</si>
  <si>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</si>
  <si>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</si>
  <si>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</si>
  <si>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</si>
  <si>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</si>
  <si>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</si>
  <si>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</si>
  <si>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</si>
  <si>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</si>
  <si>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</si>
  <si>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</si>
  <si>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</si>
  <si>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</si>
  <si>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</si>
  <si>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</si>
  <si>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</si>
  <si>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</si>
  <si>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</si>
  <si>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</si>
  <si>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</si>
  <si>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</si>
  <si>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</si>
  <si>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</si>
  <si>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</si>
  <si>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</si>
  <si>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</si>
  <si>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</si>
  <si>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</si>
  <si>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</si>
  <si>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</si>
  <si>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</si>
  <si>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</si>
  <si>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</si>
  <si>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</si>
  <si>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</si>
  <si>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</si>
  <si>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</si>
  <si>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</si>
  <si>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</si>
  <si>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</si>
  <si>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</si>
  <si>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</si>
  <si>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</si>
  <si>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</si>
  <si>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</si>
  <si>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</si>
  <si>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</si>
  <si>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</si>
  <si>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</si>
  <si>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</si>
  <si>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</si>
  <si>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</si>
  <si>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</si>
  <si>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</si>
  <si>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</si>
  <si>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</si>
  <si>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</si>
  <si>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</si>
  <si>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</si>
  <si>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</si>
  <si>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</si>
  <si>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</si>
  <si>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</si>
  <si>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</si>
  <si>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</si>
  <si>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</si>
  <si>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</si>
  <si>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</si>
  <si>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</si>
  <si>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</si>
  <si>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</si>
  <si>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</si>
  <si>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</si>
  <si>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</si>
  <si>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</si>
  <si>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</si>
  <si>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</si>
  <si>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</si>
  <si>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</si>
  <si>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</si>
  <si>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</si>
  <si>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</si>
  <si>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</si>
  <si>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</si>
  <si>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</si>
  <si>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</si>
  <si>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</si>
  <si>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</si>
  <si>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</si>
  <si>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</si>
  <si>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</si>
  <si>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</si>
  <si>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</si>
  <si>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</si>
  <si>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</si>
  <si>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</si>
  <si>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</si>
  <si>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</si>
  <si>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</si>
  <si>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</si>
  <si>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</si>
  <si>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</si>
  <si>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</si>
  <si>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</si>
  <si>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</si>
  <si>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</si>
  <si>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</si>
  <si>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</si>
  <si>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</si>
  <si>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</si>
  <si>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</si>
  <si>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</si>
  <si>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</si>
  <si>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</si>
  <si>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</si>
  <si>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</si>
  <si>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</si>
  <si>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</si>
  <si>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</si>
  <si>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</si>
  <si>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</si>
  <si>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</si>
  <si>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</si>
  <si>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</si>
  <si>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</si>
  <si>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</si>
  <si>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</si>
  <si>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</si>
  <si>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</si>
  <si>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</si>
  <si>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</si>
  <si>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</si>
  <si>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</si>
  <si>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</si>
  <si>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</si>
  <si>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</si>
  <si>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</si>
  <si>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</si>
  <si>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</si>
  <si>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</si>
  <si>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</si>
  <si>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</si>
  <si>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</si>
  <si>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</si>
  <si>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</si>
  <si>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</si>
  <si>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</si>
  <si>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</si>
  <si>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</si>
  <si>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</si>
  <si>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</si>
  <si>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</si>
  <si>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</si>
  <si>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</si>
  <si>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</si>
  <si>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</si>
  <si>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</si>
  <si>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</si>
  <si>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</si>
  <si>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</si>
  <si>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</si>
  <si>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</si>
  <si>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</si>
  <si>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</si>
  <si>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</si>
  <si>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</si>
  <si>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</si>
  <si>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</si>
  <si>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</si>
  <si>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</si>
  <si>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</si>
  <si>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</si>
  <si>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</si>
  <si>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</si>
  <si>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</si>
  <si>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</si>
  <si>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</si>
  <si>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</si>
  <si>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</si>
  <si>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</si>
  <si>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</si>
  <si>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</si>
  <si>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</si>
  <si>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</si>
  <si>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</si>
  <si>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</si>
  <si>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</si>
  <si>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</si>
  <si>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</si>
  <si>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</si>
  <si>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</si>
  <si>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</si>
  <si>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</si>
  <si>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</si>
  <si>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</si>
  <si>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</si>
  <si>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</si>
  <si>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</si>
  <si>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</si>
  <si>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</si>
  <si>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</si>
  <si>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</si>
  <si>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</si>
  <si>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</si>
  <si>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</si>
  <si>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</si>
  <si>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</si>
  <si>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</si>
  <si>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</si>
  <si>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</si>
  <si>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</si>
  <si>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</si>
  <si>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</si>
  <si>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</si>
  <si>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</si>
  <si>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</si>
  <si>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</si>
  <si>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</si>
  <si>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</si>
  <si>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</si>
  <si>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</si>
  <si>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</si>
  <si>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</si>
  <si>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</si>
  <si>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</si>
  <si>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</si>
  <si>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</si>
  <si>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</si>
  <si>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</si>
  <si>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</si>
  <si>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</si>
  <si>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</si>
  <si>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</si>
  <si>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</si>
  <si>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</si>
  <si>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</si>
  <si>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</si>
  <si>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</si>
  <si>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</si>
  <si>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</si>
  <si>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</si>
  <si>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</si>
  <si>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</si>
  <si>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</si>
  <si>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</si>
  <si>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</si>
  <si>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</si>
  <si>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</si>
  <si>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</si>
  <si>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</si>
  <si>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</si>
  <si>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</si>
  <si>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</si>
  <si>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</si>
  <si>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</si>
  <si>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</si>
  <si>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</si>
  <si>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</si>
  <si>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</si>
  <si>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</si>
  <si>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</si>
  <si>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</si>
  <si>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</si>
  <si>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</si>
  <si>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</si>
  <si>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</si>
  <si>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</si>
  <si>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</si>
  <si>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</si>
  <si>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</si>
  <si>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</si>
  <si>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</si>
  <si>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</si>
  <si>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</si>
  <si>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</si>
  <si>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</si>
  <si>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</si>
  <si>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</si>
  <si>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</si>
  <si>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</si>
  <si>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</si>
  <si>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</si>
  <si>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</si>
  <si>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</si>
  <si>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</si>
  <si>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</si>
  <si>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</si>
  <si>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</si>
  <si>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</si>
  <si>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</si>
  <si>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</si>
  <si>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</si>
  <si>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</si>
  <si>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</si>
  <si>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</si>
  <si>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</si>
  <si>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</si>
  <si>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</si>
  <si>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</si>
  <si>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</si>
  <si>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</si>
  <si>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</si>
  <si>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</si>
  <si>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</si>
  <si>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</si>
  <si>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</si>
  <si>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</si>
  <si>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</si>
  <si>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</si>
  <si>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</si>
  <si>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</si>
  <si>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</si>
  <si>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</si>
  <si>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</si>
  <si>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</si>
  <si>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</si>
  <si>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</si>
  <si>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</si>
  <si>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</si>
  <si>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</si>
  <si>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</si>
  <si>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</si>
  <si>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</si>
  <si>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</si>
  <si>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</si>
  <si>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</si>
  <si>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</si>
  <si>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</si>
  <si>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</si>
  <si>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</si>
  <si>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</si>
  <si>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</si>
  <si>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</si>
  <si>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</si>
  <si>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</si>
  <si>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</si>
  <si>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</si>
  <si>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</si>
  <si>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</si>
  <si>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</si>
  <si>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</si>
  <si>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</si>
  <si>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</si>
  <si>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</si>
  <si>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</si>
  <si>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</si>
  <si>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</si>
  <si>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</si>
  <si>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</si>
  <si>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</si>
  <si>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</si>
  <si>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</si>
  <si>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</si>
  <si>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</si>
  <si>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</si>
  <si>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</si>
  <si>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</si>
  <si>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</si>
  <si>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</si>
  <si>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</si>
  <si>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</si>
  <si>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</si>
  <si>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</si>
  <si>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</si>
  <si>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</si>
  <si>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</si>
  <si>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</si>
  <si>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</si>
  <si>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</si>
  <si>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</si>
  <si>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</si>
  <si>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</si>
  <si>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</si>
  <si>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</si>
  <si>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</si>
  <si>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</si>
  <si>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</si>
  <si>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</si>
  <si>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</si>
  <si>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</si>
  <si>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</si>
  <si>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</si>
  <si>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</si>
  <si>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</si>
  <si>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</si>
  <si>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</si>
  <si>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</si>
  <si>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</si>
  <si>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</si>
  <si>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</si>
  <si>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</si>
  <si>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</si>
  <si>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</si>
  <si>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</si>
  <si>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</si>
  <si>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</si>
  <si>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</si>
  <si>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</si>
  <si>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</si>
  <si>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</si>
  <si>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</si>
  <si>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</si>
  <si>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</si>
  <si>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</si>
  <si>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</si>
  <si>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</si>
  <si>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</si>
  <si>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</si>
  <si>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</si>
  <si>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</si>
  <si>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</si>
  <si>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</si>
  <si>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</si>
  <si>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</si>
  <si>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</si>
  <si>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</si>
  <si>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</si>
  <si>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</si>
  <si>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</si>
  <si>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</si>
  <si>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</si>
  <si>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</si>
  <si>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</si>
  <si>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</si>
  <si>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</si>
  <si>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</si>
  <si>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</si>
  <si>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</si>
  <si>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</si>
  <si>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</si>
  <si>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</si>
  <si>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</si>
  <si>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</si>
  <si>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</si>
  <si>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</si>
  <si>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</si>
  <si>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</si>
  <si>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</si>
  <si>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</si>
  <si>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</si>
  <si>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</si>
  <si>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</si>
  <si>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</si>
  <si>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</si>
  <si>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</si>
  <si>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</si>
  <si>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</si>
  <si>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</si>
  <si>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</si>
  <si>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</si>
  <si>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</si>
  <si>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</si>
  <si>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</si>
  <si>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</si>
  <si>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</si>
  <si>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</si>
  <si>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</si>
  <si>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</si>
  <si>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</si>
  <si>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</si>
  <si>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</si>
  <si>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</si>
  <si>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</si>
  <si>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</si>
  <si>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</si>
  <si>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</si>
  <si>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</si>
  <si>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</si>
  <si>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</si>
  <si>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</si>
  <si>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</si>
  <si>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</si>
  <si>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</si>
  <si>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</si>
  <si>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</si>
  <si>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</si>
  <si>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</si>
  <si>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</si>
  <si>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</si>
  <si>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</si>
  <si>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</si>
  <si>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</si>
  <si>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</si>
  <si>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</si>
  <si>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</si>
  <si>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</si>
  <si>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</si>
  <si>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</si>
  <si>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</si>
  <si>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</si>
  <si>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</si>
  <si>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</si>
  <si>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</si>
  <si>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</si>
  <si>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</si>
  <si>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</si>
  <si>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</si>
  <si>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</si>
  <si>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</si>
  <si>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</si>
  <si>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</si>
  <si>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</si>
  <si>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</si>
  <si>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</si>
  <si>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</si>
  <si>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</si>
  <si>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</si>
  <si>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</si>
  <si>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</si>
  <si>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</si>
  <si>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</si>
  <si>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</si>
  <si>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</si>
  <si>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</si>
  <si>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</si>
  <si>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</si>
  <si>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</si>
  <si>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</si>
  <si>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</si>
  <si>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</si>
  <si>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</si>
  <si>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</si>
  <si>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</si>
  <si>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</si>
  <si>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</si>
  <si>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</si>
  <si>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</si>
  <si>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</si>
  <si>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</si>
  <si>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</si>
  <si>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</si>
  <si>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</si>
  <si>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</si>
  <si>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</si>
  <si>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</si>
  <si>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</si>
  <si>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</si>
  <si>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</si>
  <si>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</si>
  <si>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</si>
  <si>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</si>
  <si>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</si>
  <si>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</si>
  <si>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</si>
  <si>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</si>
  <si>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</si>
  <si>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</si>
  <si>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</si>
  <si>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</si>
  <si>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</si>
  <si>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</si>
  <si>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</si>
  <si>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</si>
  <si>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</si>
  <si>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</si>
  <si>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</si>
  <si>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</si>
  <si>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</si>
  <si>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</si>
  <si>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</si>
  <si>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</si>
  <si>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</si>
  <si>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</si>
  <si>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</si>
  <si>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</si>
  <si>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</si>
  <si>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</si>
  <si>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</si>
  <si>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</si>
  <si>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</si>
  <si>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</si>
  <si>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</si>
  <si>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</si>
  <si>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</si>
  <si>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</si>
  <si>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</si>
  <si>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</si>
  <si>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</si>
  <si>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</si>
  <si>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</si>
  <si>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</si>
  <si>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</si>
  <si>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</si>
  <si>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</si>
  <si>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</si>
  <si>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</si>
  <si>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</si>
  <si>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</si>
  <si>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</si>
  <si>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</si>
  <si>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</si>
  <si>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</si>
  <si>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</si>
  <si>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</si>
  <si>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</si>
  <si>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</si>
  <si>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</si>
  <si>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</si>
  <si>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</si>
  <si>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</si>
  <si>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</si>
  <si>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</si>
  <si>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</si>
  <si>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</si>
  <si>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</si>
  <si>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</si>
  <si>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</si>
  <si>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</si>
  <si>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</si>
  <si>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</si>
  <si>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</si>
  <si>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</si>
  <si>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</si>
  <si>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</si>
  <si>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</si>
  <si>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</si>
  <si>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</si>
  <si>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</si>
  <si>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</si>
  <si>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</si>
  <si>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</si>
  <si>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</si>
  <si>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</si>
  <si>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</si>
  <si>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</si>
  <si>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</si>
  <si>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</si>
  <si>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</si>
  <si>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</si>
  <si>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</si>
  <si>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</si>
  <si>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</si>
  <si>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</si>
  <si>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</si>
  <si>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</si>
  <si>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</si>
  <si>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</si>
  <si>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</si>
  <si>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</si>
  <si>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</si>
  <si>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</si>
  <si>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</si>
  <si>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</si>
  <si>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</si>
  <si>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</si>
  <si>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</si>
  <si>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</si>
  <si>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</si>
  <si>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</si>
  <si>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</si>
  <si>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</si>
  <si>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</si>
  <si>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</si>
  <si>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</si>
  <si>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</si>
  <si>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</si>
  <si>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</si>
  <si>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</si>
  <si>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</si>
  <si>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</si>
  <si>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</si>
  <si>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</si>
  <si>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</si>
  <si>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</si>
  <si>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</si>
  <si>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</si>
  <si>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</si>
  <si>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</si>
  <si>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</si>
  <si>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</si>
  <si>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</si>
  <si>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</si>
  <si>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</si>
  <si>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</si>
  <si>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</si>
  <si>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</si>
  <si>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</si>
  <si>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</si>
  <si>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</si>
  <si>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</si>
  <si>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</si>
  <si>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</si>
  <si>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</si>
  <si>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</si>
  <si>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</si>
  <si>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</si>
  <si>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</si>
  <si>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</si>
  <si>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</si>
  <si>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</si>
  <si>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</si>
  <si>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</si>
  <si>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</si>
  <si>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</si>
  <si>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</si>
  <si>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</si>
  <si>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</si>
  <si>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</si>
  <si>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</si>
  <si>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</si>
  <si>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</si>
  <si>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</si>
  <si>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</si>
  <si>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</si>
  <si>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</si>
  <si>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</si>
  <si>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</si>
  <si>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</si>
  <si>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</si>
  <si>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</si>
  <si>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</si>
  <si>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</si>
  <si>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</si>
  <si>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</si>
  <si>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</si>
  <si>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</si>
  <si>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</si>
  <si>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</si>
  <si>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</si>
  <si>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</si>
  <si>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</si>
  <si>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</si>
  <si>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</si>
  <si>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</si>
  <si>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</si>
  <si>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</si>
  <si>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</si>
  <si>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</si>
  <si>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</si>
  <si>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</si>
  <si>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</si>
  <si>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</si>
  <si>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</si>
  <si>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</si>
  <si>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</si>
  <si>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</si>
  <si>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</si>
  <si>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</si>
  <si>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</si>
  <si>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</si>
  <si>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</si>
  <si>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</si>
  <si>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</si>
  <si>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</si>
  <si>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</si>
  <si>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</si>
  <si>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</si>
  <si>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</si>
  <si>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</si>
  <si>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</si>
  <si>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</si>
  <si>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</si>
  <si>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</si>
  <si>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</si>
  <si>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</si>
  <si>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</si>
  <si>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</si>
  <si>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</si>
  <si>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</si>
  <si>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</si>
  <si>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</si>
  <si>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</si>
  <si>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</si>
  <si>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</si>
  <si>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</si>
  <si>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</si>
  <si>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</si>
  <si>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</si>
  <si>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</si>
  <si>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</si>
  <si>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</si>
  <si>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</si>
  <si>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</si>
  <si>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</si>
  <si>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</si>
  <si>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</si>
  <si>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</si>
  <si>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</si>
  <si>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</si>
  <si>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</si>
  <si>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</si>
  <si>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</si>
  <si>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</si>
  <si>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</si>
  <si>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</si>
  <si>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</si>
  <si>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</si>
  <si>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</si>
  <si>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</si>
  <si>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</si>
  <si>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</si>
  <si>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</si>
  <si>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</si>
  <si>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</si>
  <si>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</si>
  <si>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</si>
  <si>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</si>
  <si>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</si>
  <si>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</si>
  <si>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</si>
  <si>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</si>
  <si>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</si>
  <si>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</si>
  <si>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</si>
  <si>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</si>
  <si>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</si>
  <si>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</si>
  <si>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</si>
  <si>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</si>
  <si>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</si>
  <si>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</si>
  <si>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</si>
  <si>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</si>
  <si>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</si>
  <si>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</si>
  <si>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</si>
  <si>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</si>
  <si>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</si>
  <si>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</si>
  <si>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</si>
  <si>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</si>
  <si>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</si>
  <si>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</si>
  <si>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</si>
  <si>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</si>
  <si>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</si>
  <si>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</si>
  <si>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</si>
  <si>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</si>
  <si>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</si>
  <si>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</si>
  <si>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</si>
  <si>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</si>
  <si>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</si>
  <si>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</si>
  <si>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</si>
  <si>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</si>
  <si>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</si>
  <si>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</si>
  <si>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</si>
  <si>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</si>
  <si>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</si>
  <si>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</si>
  <si>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</si>
  <si>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</si>
  <si>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</si>
  <si>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</si>
  <si>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</si>
  <si>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</si>
  <si>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</si>
  <si>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</si>
  <si>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</si>
  <si>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</si>
  <si>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</si>
  <si>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</si>
  <si>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</si>
  <si>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</si>
  <si>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</si>
  <si>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</si>
  <si>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</si>
  <si>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</si>
  <si>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</si>
  <si>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</si>
  <si>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</si>
  <si>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</si>
  <si>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</si>
  <si>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</si>
  <si>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</si>
  <si>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</si>
  <si>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</si>
  <si>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</si>
  <si>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</si>
  <si>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</si>
  <si>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</si>
  <si>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</si>
  <si>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</si>
  <si>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</si>
  <si>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</si>
  <si>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</si>
  <si>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</si>
  <si>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</si>
  <si>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</si>
  <si>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</si>
  <si>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</si>
  <si>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</si>
  <si>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</si>
  <si>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</si>
  <si>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</si>
  <si>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</si>
  <si>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</si>
  <si>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</si>
  <si>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</si>
  <si>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</si>
  <si>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</si>
  <si>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</si>
  <si>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</si>
  <si>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</si>
  <si>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</si>
  <si>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</si>
  <si>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</si>
  <si>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</si>
  <si>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</si>
  <si>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</si>
  <si>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</si>
  <si>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</si>
  <si>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</si>
  <si>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</si>
  <si>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</si>
  <si>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</si>
  <si>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</si>
  <si>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</si>
  <si>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</si>
  <si>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</si>
  <si>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</si>
  <si>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</si>
  <si>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</si>
  <si>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</si>
  <si>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</si>
  <si>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</si>
  <si>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</si>
  <si>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</si>
  <si>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</si>
  <si>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</si>
  <si>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</si>
  <si>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</si>
  <si>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</si>
  <si>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</si>
  <si>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</si>
  <si>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</si>
  <si>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</si>
  <si>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</si>
  <si>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</si>
  <si>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</si>
  <si>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</si>
  <si>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</si>
  <si>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</si>
  <si>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</si>
  <si>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</si>
  <si>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</si>
  <si>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</si>
  <si>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</si>
  <si>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</si>
  <si>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</si>
  <si>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</si>
  <si>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</si>
  <si>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</si>
  <si>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</si>
  <si>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</si>
  <si>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</si>
  <si>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</si>
  <si>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</si>
  <si>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</si>
  <si>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</si>
  <si>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</si>
  <si>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</si>
  <si>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</si>
  <si>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</si>
  <si>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</si>
  <si>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</si>
  <si>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</si>
  <si>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</si>
  <si>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</si>
  <si>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</si>
  <si>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</si>
  <si>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</si>
  <si>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</si>
  <si>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</si>
  <si>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</si>
  <si>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</si>
  <si>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</si>
  <si>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</si>
  <si>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</si>
  <si>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</si>
  <si>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</si>
  <si>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</si>
  <si>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</si>
  <si>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</si>
  <si>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</si>
  <si>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</si>
  <si>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</si>
  <si>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</si>
  <si>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</si>
  <si>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</si>
  <si>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</si>
  <si>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</si>
  <si>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</si>
  <si>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</si>
  <si>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</si>
  <si>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</si>
  <si>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</si>
  <si>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</si>
  <si>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</si>
  <si>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</si>
  <si>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</si>
  <si>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</si>
  <si>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</si>
  <si>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</si>
  <si>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</si>
  <si>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</si>
  <si>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</si>
  <si>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</si>
  <si>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</si>
  <si>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</si>
  <si>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</si>
  <si>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</si>
  <si>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</si>
  <si>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</si>
  <si>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</si>
  <si>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</si>
  <si>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</si>
  <si>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</si>
  <si>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</si>
  <si>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</si>
  <si>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</si>
  <si>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</si>
  <si>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</si>
  <si>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</si>
  <si>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</si>
  <si>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</si>
  <si>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</si>
  <si>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</si>
  <si>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</si>
  <si>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</si>
  <si>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</si>
  <si>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</si>
  <si>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</si>
  <si>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</si>
  <si>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</si>
  <si>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</si>
  <si>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</si>
  <si>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</si>
  <si>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</si>
  <si>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</si>
  <si>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</si>
  <si>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</si>
  <si>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</si>
  <si>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</si>
  <si>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</si>
  <si>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</si>
  <si>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</si>
  <si>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</si>
  <si>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</si>
  <si>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</si>
  <si>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</si>
  <si>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</si>
  <si>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</si>
  <si>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</si>
  <si>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</si>
  <si>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</si>
  <si>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</si>
  <si>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</si>
  <si>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</si>
  <si>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</si>
  <si>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</si>
  <si>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</si>
  <si>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</si>
  <si>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</si>
  <si>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</si>
  <si>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</si>
  <si>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</si>
  <si>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</si>
  <si>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</si>
  <si>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</si>
  <si>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</si>
  <si>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</si>
  <si>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</si>
  <si>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</si>
  <si>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</si>
  <si>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</si>
  <si>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</si>
  <si>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</si>
  <si>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</si>
  <si>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</si>
  <si>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</si>
  <si>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</si>
  <si>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</si>
  <si>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</si>
  <si>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</si>
  <si>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</si>
  <si>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</si>
  <si>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</si>
  <si>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</si>
  <si>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</si>
  <si>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</si>
  <si>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</si>
  <si>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</si>
  <si>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</si>
  <si>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</si>
  <si>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</si>
  <si>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</si>
  <si>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</si>
  <si>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</si>
  <si>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</si>
  <si>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</si>
  <si>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</si>
  <si>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</si>
  <si>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</si>
  <si>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</si>
  <si>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</si>
  <si>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</si>
  <si>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</si>
  <si>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</si>
  <si>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</si>
  <si>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</si>
  <si>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</si>
  <si>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</si>
  <si>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</si>
  <si>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</si>
  <si>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</si>
  <si>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</si>
  <si>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</si>
  <si>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</si>
  <si>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</si>
  <si>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</si>
  <si>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</si>
  <si>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</si>
  <si>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</si>
  <si>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</si>
  <si>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</si>
  <si>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</si>
  <si>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</si>
  <si>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</si>
  <si>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</si>
  <si>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</si>
  <si>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</si>
  <si>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</si>
  <si>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</si>
  <si>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</si>
  <si>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</si>
  <si>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</si>
  <si>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</si>
  <si>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</si>
  <si>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</si>
  <si>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</si>
  <si>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</si>
  <si>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</si>
  <si>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</si>
  <si>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</si>
  <si>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</si>
  <si>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</si>
  <si>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</si>
  <si>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</si>
  <si>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</si>
  <si>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</si>
  <si>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</si>
  <si>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</si>
  <si>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</si>
  <si>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</si>
  <si>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</si>
  <si>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</si>
  <si>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</si>
  <si>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</si>
  <si>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</si>
  <si>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</si>
  <si>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</si>
  <si>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</si>
  <si>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</si>
  <si>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</si>
  <si>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</si>
  <si>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</si>
  <si>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</si>
  <si>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</si>
  <si>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</si>
  <si>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</si>
  <si>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</si>
  <si>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</si>
  <si>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</si>
  <si>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</si>
  <si>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</si>
  <si>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</si>
  <si>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</si>
  <si>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</si>
  <si>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</si>
  <si>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</si>
  <si>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</si>
  <si>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</si>
  <si>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</si>
  <si>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</si>
  <si>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</si>
  <si>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</si>
  <si>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</si>
  <si>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</si>
  <si>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</si>
  <si>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</si>
  <si>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</si>
  <si>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</si>
  <si>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</si>
  <si>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</si>
  <si>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</si>
  <si>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</si>
  <si>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</si>
  <si>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</si>
  <si>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</si>
  <si>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</si>
  <si>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</si>
  <si>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</si>
  <si>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</si>
  <si>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</si>
  <si>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</si>
  <si>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</si>
  <si>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</si>
  <si>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</si>
  <si>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</si>
  <si>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</si>
  <si>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</si>
  <si>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</si>
  <si>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</si>
  <si>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</si>
  <si>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</si>
  <si>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</si>
  <si>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</si>
  <si>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</si>
  <si>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</si>
  <si>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</si>
  <si>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</si>
  <si>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</si>
  <si>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</si>
  <si>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</si>
  <si>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</si>
  <si>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</si>
  <si>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</si>
  <si>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</si>
  <si>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</si>
  <si>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</si>
  <si>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</si>
  <si>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</si>
  <si>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</si>
  <si>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</si>
  <si>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</si>
  <si>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</si>
  <si>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</si>
  <si>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</si>
  <si>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</si>
  <si>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</si>
  <si>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</si>
  <si>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</si>
  <si>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</si>
  <si>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</si>
  <si>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</si>
  <si>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</si>
  <si>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</si>
  <si>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</si>
  <si>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</si>
  <si>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</si>
  <si>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</si>
  <si>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</si>
  <si>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</si>
  <si>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</si>
  <si>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</si>
  <si>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</si>
  <si>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</si>
  <si>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</si>
  <si>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</si>
  <si>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</si>
  <si>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</si>
  <si>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</si>
  <si>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</si>
  <si>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</si>
  <si>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</si>
  <si>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</si>
  <si>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</si>
  <si>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</si>
  <si>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</si>
  <si>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</si>
  <si>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</si>
  <si>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</si>
  <si>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</si>
  <si>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</si>
  <si>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</si>
  <si>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</si>
  <si>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</si>
  <si>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</si>
  <si>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</si>
  <si>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</si>
  <si>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</si>
  <si>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</si>
  <si>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</si>
  <si>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</si>
  <si>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</si>
  <si>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</si>
  <si>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</si>
  <si>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</si>
  <si>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</si>
  <si>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</si>
  <si>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</si>
  <si>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</si>
  <si>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</si>
  <si>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</si>
  <si>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</si>
  <si>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</si>
  <si>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</si>
  <si>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</si>
  <si>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</si>
  <si>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</si>
  <si>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</si>
  <si>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</si>
  <si>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</si>
  <si>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</si>
  <si>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</si>
  <si>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</si>
  <si>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</si>
  <si>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</si>
  <si>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</si>
  <si>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</si>
  <si>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</si>
  <si>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</si>
  <si>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</si>
  <si>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</si>
  <si>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</si>
  <si>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</si>
  <si>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</si>
  <si>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</si>
  <si>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</si>
  <si>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</si>
  <si>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</si>
  <si>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</si>
  <si>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</si>
  <si>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</si>
  <si>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</si>
  <si>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</si>
  <si>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</si>
  <si>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</si>
  <si>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</si>
  <si>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</si>
  <si>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</si>
  <si>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</si>
  <si>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</si>
  <si>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</si>
  <si>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</si>
  <si>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</si>
  <si>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</si>
  <si>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</si>
  <si>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</si>
  <si>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</si>
  <si>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</si>
  <si>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</si>
  <si>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</si>
  <si>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</si>
  <si>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</si>
  <si>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</si>
  <si>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</si>
  <si>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</si>
  <si>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</si>
  <si>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</si>
  <si>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</si>
  <si>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</si>
  <si>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</si>
  <si>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</si>
  <si>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</si>
  <si>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</si>
  <si>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</si>
  <si>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</si>
  <si>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</si>
  <si>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</si>
  <si>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</si>
  <si>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</si>
  <si>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</si>
  <si>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</si>
  <si>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</si>
  <si>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</si>
  <si>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</si>
  <si>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</si>
  <si>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</si>
  <si>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</si>
  <si>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</si>
  <si>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</si>
  <si>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</si>
  <si>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</si>
  <si>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</si>
  <si>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</si>
  <si>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</si>
  <si>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</si>
  <si>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</si>
  <si>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</si>
  <si>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</si>
  <si>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</si>
  <si>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</si>
  <si>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</si>
  <si>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</si>
  <si>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</si>
  <si>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</si>
  <si>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</si>
  <si>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</si>
  <si>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</si>
  <si>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</si>
  <si>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</si>
  <si>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</si>
  <si>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</si>
  <si>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</si>
  <si>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</si>
  <si>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</si>
  <si>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</si>
  <si>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</si>
  <si>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</si>
  <si>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</si>
  <si>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</si>
  <si>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</si>
  <si>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</si>
  <si>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</si>
  <si>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</si>
  <si>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</si>
  <si>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</si>
  <si>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</si>
  <si>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</si>
  <si>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</si>
  <si>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</si>
  <si>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</si>
  <si>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</si>
  <si>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</si>
  <si>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</si>
  <si>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</si>
  <si>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</si>
  <si>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</si>
  <si>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</si>
  <si>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</si>
  <si>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</si>
  <si>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</si>
  <si>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</si>
  <si>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</si>
  <si>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</si>
  <si>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</si>
  <si>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</si>
  <si>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</si>
  <si>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</si>
  <si>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</si>
  <si>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</si>
  <si>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</si>
  <si>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</si>
  <si>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</si>
  <si>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</si>
  <si>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</si>
  <si>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</si>
  <si>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</si>
  <si>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</si>
  <si>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</si>
  <si>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</si>
  <si>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</si>
  <si>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</si>
  <si>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</si>
  <si>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</si>
  <si>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</si>
  <si>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</si>
  <si>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</si>
  <si>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</si>
  <si>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</si>
  <si>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</si>
  <si>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</si>
  <si>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</si>
  <si>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</si>
  <si>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</si>
  <si>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</si>
  <si>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</si>
  <si>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</si>
  <si>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</si>
  <si>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</si>
  <si>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</si>
  <si>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</si>
  <si>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</si>
  <si>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</si>
  <si>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</si>
  <si>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</si>
  <si>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</si>
  <si>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</si>
  <si>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</si>
  <si>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</si>
  <si>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</si>
  <si>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</si>
  <si>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</si>
  <si>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</si>
  <si>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</si>
  <si>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</si>
  <si>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</si>
  <si>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</si>
  <si>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</si>
  <si>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</si>
  <si>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</si>
  <si>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</si>
  <si>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</si>
  <si>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</si>
  <si>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</si>
  <si>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</si>
  <si>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</si>
  <si>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</si>
  <si>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</si>
  <si>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</si>
  <si>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</si>
  <si>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</si>
  <si>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</si>
  <si>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</si>
  <si>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</si>
  <si>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</si>
  <si>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</si>
  <si>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</si>
  <si>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</si>
  <si>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</si>
  <si>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</si>
  <si>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</si>
  <si>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</si>
  <si>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</si>
  <si>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</si>
  <si>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</si>
  <si>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</si>
  <si>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</si>
  <si>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</si>
  <si>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</si>
  <si>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</si>
  <si>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</si>
  <si>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</si>
  <si>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</si>
  <si>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</si>
  <si>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</si>
  <si>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</si>
  <si>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</si>
  <si>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</si>
  <si>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</si>
  <si>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</si>
  <si>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</si>
  <si>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</si>
  <si>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</si>
  <si>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</si>
  <si>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</si>
  <si>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</si>
  <si>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</si>
  <si>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</si>
  <si>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</si>
  <si>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</si>
  <si>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</si>
  <si>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</si>
  <si>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</si>
  <si>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</si>
  <si>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</si>
  <si>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</si>
  <si>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</si>
  <si>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</si>
  <si>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</si>
  <si>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</si>
  <si>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</si>
  <si>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</si>
  <si>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</si>
  <si>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</si>
  <si>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</si>
  <si>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</si>
  <si>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</si>
  <si>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</si>
  <si>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</si>
  <si>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</si>
  <si>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</si>
  <si>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</si>
  <si>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</si>
  <si>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</si>
  <si>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</si>
  <si>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</si>
  <si>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</si>
  <si>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</si>
  <si>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</si>
  <si>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</si>
  <si>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</si>
  <si>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</si>
  <si>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</si>
  <si>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</si>
  <si>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</si>
  <si>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</si>
  <si>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</si>
  <si>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</si>
  <si>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</si>
  <si>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</si>
  <si>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</si>
  <si>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</si>
  <si>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</si>
  <si>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</si>
  <si>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</si>
  <si>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</si>
  <si>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</si>
  <si>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</si>
  <si>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</si>
  <si>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</si>
  <si>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</si>
  <si>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</si>
  <si>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</si>
  <si>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</si>
  <si>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</si>
  <si>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</si>
  <si>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</si>
  <si>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</si>
  <si>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</si>
  <si>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</si>
  <si>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</si>
  <si>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</si>
  <si>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</si>
  <si>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</si>
  <si>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</si>
  <si>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</si>
  <si>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</si>
  <si>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</si>
  <si>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</si>
  <si>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</si>
  <si>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</si>
  <si>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</si>
  <si>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</si>
  <si>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</si>
  <si>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</si>
  <si>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</si>
  <si>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</si>
  <si>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</si>
  <si>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</si>
  <si>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</si>
  <si>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</si>
  <si>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</si>
  <si>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</si>
  <si>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</si>
  <si>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</si>
  <si>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</si>
  <si>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</si>
  <si>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</si>
  <si>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</si>
  <si>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</si>
  <si>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</si>
  <si>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</si>
  <si>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</si>
  <si>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</si>
  <si>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</si>
  <si>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</si>
  <si>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</si>
  <si>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</si>
  <si>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</si>
  <si>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</si>
  <si>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</si>
  <si>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</si>
  <si>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</si>
  <si>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</si>
  <si>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</si>
  <si>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</si>
  <si>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</si>
  <si>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</si>
  <si>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</si>
  <si>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</si>
  <si>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</si>
  <si>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</si>
  <si>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</si>
  <si>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</si>
  <si>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</si>
  <si>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</si>
  <si>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</si>
  <si>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</si>
  <si>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</si>
  <si>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</si>
  <si>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</si>
  <si>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</si>
  <si>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</si>
  <si>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</si>
  <si>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</si>
  <si>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</si>
  <si>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</si>
  <si>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</si>
  <si>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</si>
  <si>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</si>
  <si>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</si>
  <si>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</si>
  <si>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</si>
  <si>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</si>
  <si>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</si>
  <si>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</si>
  <si>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</si>
  <si>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</si>
  <si>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</si>
  <si>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</si>
  <si>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</si>
  <si>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</si>
  <si>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</si>
  <si>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</si>
  <si>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</si>
  <si>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</si>
  <si>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</si>
  <si>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</si>
  <si>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</si>
  <si>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</si>
  <si>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</si>
  <si>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</si>
  <si>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</si>
  <si>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</si>
  <si>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</si>
  <si>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</si>
  <si>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</si>
  <si>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</si>
  <si>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</si>
  <si>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</si>
  <si>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</si>
  <si>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</si>
  <si>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</si>
  <si>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</si>
  <si>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</si>
  <si>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</si>
  <si>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</si>
  <si>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</si>
  <si>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</si>
  <si>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</si>
  <si>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</si>
  <si>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</si>
  <si>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</si>
  <si>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</si>
  <si>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</si>
  <si>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</si>
  <si>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</si>
  <si>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</si>
  <si>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</si>
  <si>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</si>
  <si>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</si>
  <si>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</si>
  <si>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</si>
  <si>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</si>
  <si>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</si>
  <si>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</si>
  <si>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</si>
  <si>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</si>
  <si>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</si>
  <si>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</si>
  <si>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</si>
  <si>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</si>
  <si>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</si>
  <si>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</si>
  <si>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</si>
  <si>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</si>
  <si>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</si>
  <si>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</si>
  <si>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</si>
  <si>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</si>
  <si>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</si>
  <si>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</si>
  <si>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</si>
  <si>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</si>
  <si>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</si>
  <si>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</si>
  <si>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</si>
  <si>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</si>
  <si>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</si>
  <si>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</si>
  <si>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</si>
  <si>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</si>
  <si>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</si>
  <si>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</si>
  <si>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</si>
  <si>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</si>
  <si>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</si>
  <si>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</si>
  <si>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</si>
  <si>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</si>
  <si>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</si>
  <si>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</si>
  <si>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</si>
  <si>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</si>
  <si>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</si>
  <si>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</si>
  <si>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</si>
  <si>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</si>
  <si>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</si>
  <si>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</si>
  <si>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</si>
  <si>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</si>
  <si>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</si>
  <si>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</si>
  <si>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</si>
  <si>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</si>
  <si>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</si>
  <si>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</si>
  <si>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</si>
  <si>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</si>
  <si>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</si>
  <si>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</si>
  <si>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</si>
  <si>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</si>
  <si>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</si>
  <si>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</si>
  <si>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</si>
  <si>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</si>
  <si>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</si>
  <si>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</si>
  <si>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</si>
  <si>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</si>
  <si>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</si>
  <si>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</si>
  <si>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</si>
  <si>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</si>
  <si>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</si>
  <si>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</si>
  <si>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</si>
  <si>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</si>
  <si>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</si>
  <si>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</si>
  <si>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</si>
  <si>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</si>
  <si>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</si>
  <si>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</si>
  <si>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</si>
  <si>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</si>
  <si>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</si>
  <si>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</si>
  <si>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</si>
  <si>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</si>
  <si>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</si>
  <si>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</si>
  <si>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</si>
  <si>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</si>
  <si>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</si>
  <si>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</si>
  <si>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</si>
  <si>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</si>
  <si>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</si>
  <si>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</si>
  <si>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</si>
  <si>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</si>
  <si>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</si>
  <si>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</si>
  <si>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</si>
  <si>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</si>
  <si>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</si>
  <si>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</si>
  <si>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</si>
  <si>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</si>
  <si>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</si>
  <si>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</si>
  <si>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</si>
  <si>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</si>
  <si>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</si>
  <si>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</si>
  <si>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</si>
  <si>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</si>
  <si>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</si>
  <si>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</si>
  <si>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</si>
  <si>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</si>
  <si>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</si>
  <si>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</si>
  <si>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</si>
  <si>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</si>
  <si>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</si>
  <si>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</si>
  <si>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</si>
  <si>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</si>
  <si>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</si>
  <si>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</si>
  <si>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</si>
  <si>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</si>
  <si>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</si>
  <si>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</si>
  <si>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</si>
  <si>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</si>
  <si>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</si>
  <si>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</si>
  <si>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</si>
  <si>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</si>
  <si>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</si>
  <si>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</si>
  <si>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</si>
  <si>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</si>
  <si>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</si>
  <si>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</si>
  <si>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</si>
  <si>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</si>
  <si>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</si>
  <si>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</si>
  <si>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</si>
  <si>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</si>
  <si>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</si>
  <si>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</si>
  <si>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</si>
  <si>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</si>
  <si>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</si>
  <si>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</si>
  <si>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</si>
  <si>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</si>
  <si>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</si>
  <si>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</si>
  <si>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</si>
  <si>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</si>
  <si>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</si>
  <si>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</si>
  <si>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</si>
  <si>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</si>
  <si>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</si>
  <si>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</si>
  <si>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</si>
  <si>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</si>
  <si>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</si>
  <si>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</si>
  <si>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</si>
  <si>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</si>
  <si>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</si>
  <si>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</si>
  <si>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</si>
  <si>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</si>
  <si>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</si>
  <si>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</si>
  <si>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</si>
  <si>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</si>
  <si>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</si>
  <si>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</si>
  <si>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</si>
  <si>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</si>
  <si>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</si>
  <si>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</si>
  <si>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</si>
  <si>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</si>
  <si>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</si>
  <si>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</si>
  <si>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</si>
  <si>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</si>
  <si>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</si>
  <si>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</si>
  <si>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</si>
  <si>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</si>
  <si>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</si>
  <si>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</si>
  <si>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</si>
  <si>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</si>
  <si>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</si>
  <si>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</si>
  <si>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</si>
  <si>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</si>
  <si>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</si>
  <si>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</si>
  <si>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</si>
  <si>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</si>
  <si>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</si>
  <si>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</si>
  <si>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</si>
  <si>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</si>
  <si>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</si>
  <si>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</si>
  <si>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</si>
  <si>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</si>
  <si>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</si>
  <si>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</si>
  <si>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</si>
  <si>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</si>
  <si>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</si>
  <si>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</si>
  <si>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</si>
  <si>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</si>
  <si>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</si>
  <si>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</si>
  <si>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</si>
  <si>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</si>
  <si>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</si>
  <si>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</si>
  <si>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</si>
  <si>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</si>
  <si>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</si>
  <si>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</si>
  <si>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</si>
  <si>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</si>
  <si>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</si>
  <si>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</si>
  <si>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</si>
  <si>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</si>
  <si>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</si>
  <si>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</si>
  <si>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</si>
  <si>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</si>
  <si>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</si>
  <si>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</si>
  <si>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</si>
  <si>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</si>
  <si>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</si>
  <si>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</si>
  <si>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</si>
  <si>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</si>
  <si>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</si>
  <si>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</si>
  <si>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</si>
  <si>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</si>
  <si>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</si>
  <si>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</si>
  <si>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</si>
  <si>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</si>
  <si>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</si>
  <si>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</si>
  <si>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</si>
  <si>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</si>
  <si>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</si>
  <si>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</si>
  <si>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</si>
  <si>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</si>
  <si>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</si>
  <si>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</si>
  <si>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</si>
  <si>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</si>
  <si>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</si>
  <si>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</si>
  <si>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</si>
  <si>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</si>
  <si>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</si>
  <si>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</si>
  <si>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</si>
  <si>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</si>
  <si>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</si>
  <si>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</si>
  <si>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</si>
  <si>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</si>
  <si>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</si>
  <si>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</si>
  <si>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</si>
  <si>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</si>
  <si>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</si>
  <si>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</si>
  <si>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</si>
  <si>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</si>
  <si>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</si>
  <si>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</si>
  <si>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</si>
  <si>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</si>
  <si>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</si>
  <si>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</si>
  <si>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</si>
  <si>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</si>
  <si>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</si>
  <si>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</si>
  <si>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</si>
  <si>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</si>
  <si>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</si>
  <si>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</si>
  <si>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</si>
  <si>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</si>
  <si>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</si>
  <si>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</si>
  <si>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</si>
  <si>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</si>
  <si>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</si>
  <si>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</si>
  <si>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</si>
  <si>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</si>
  <si>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</si>
  <si>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</si>
  <si>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</si>
  <si>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</si>
  <si>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</si>
  <si>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</si>
  <si>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</si>
  <si>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</si>
  <si>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</si>
  <si>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</si>
  <si>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</si>
  <si>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</si>
  <si>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</si>
  <si>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</si>
  <si>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</si>
  <si>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</si>
  <si>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</si>
  <si>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</si>
  <si>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</si>
  <si>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</si>
  <si>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</si>
  <si>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</si>
  <si>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</si>
  <si>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</si>
  <si>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</si>
  <si>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</si>
  <si>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</si>
  <si>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</si>
  <si>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</si>
  <si>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</si>
  <si>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</si>
  <si>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</si>
  <si>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</si>
  <si>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</si>
  <si>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</si>
  <si>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</si>
  <si>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</si>
  <si>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</si>
  <si>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</si>
  <si>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</si>
  <si>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</si>
  <si>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</si>
  <si>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</si>
  <si>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</si>
  <si>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</si>
  <si>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</si>
  <si>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</si>
  <si>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</si>
  <si>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</si>
  <si>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</si>
  <si>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</si>
  <si>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</si>
  <si>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</si>
  <si>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</si>
  <si>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</si>
  <si>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</si>
  <si>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</si>
  <si>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</si>
  <si>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</si>
  <si>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</si>
  <si>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</si>
  <si>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</si>
  <si>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</si>
  <si>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</si>
  <si>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</si>
  <si>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</si>
  <si>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</si>
  <si>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</si>
  <si>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</si>
  <si>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</si>
  <si>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</si>
  <si>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</si>
  <si>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</si>
  <si>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</si>
  <si>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</si>
  <si>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</si>
  <si>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</si>
  <si>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</si>
  <si>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</si>
  <si>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</si>
  <si>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</si>
  <si>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</si>
  <si>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</si>
  <si>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</si>
  <si>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</si>
  <si>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</si>
  <si>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</si>
  <si>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</si>
  <si>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</si>
  <si>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</si>
  <si>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</si>
  <si>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</si>
  <si>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</si>
  <si>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</si>
  <si>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</si>
  <si>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</si>
  <si>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</si>
  <si>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</si>
  <si>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</si>
  <si>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</si>
  <si>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</si>
  <si>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</si>
  <si>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</si>
  <si>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</si>
  <si>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</si>
  <si>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</si>
  <si>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</si>
  <si>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</si>
  <si>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</si>
  <si>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</si>
  <si>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</si>
  <si>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</si>
  <si>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</si>
  <si>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</si>
  <si>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</si>
  <si>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</si>
  <si>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</si>
  <si>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</si>
  <si>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</si>
  <si>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</si>
  <si>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</si>
  <si>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</si>
  <si>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</si>
  <si>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</si>
  <si>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</si>
  <si>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</si>
  <si>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</si>
  <si>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</si>
  <si>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</si>
  <si>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</si>
  <si>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</si>
  <si>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</si>
  <si>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</si>
  <si>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</si>
  <si>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</si>
  <si>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</si>
  <si>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</si>
  <si>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</si>
  <si>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</si>
  <si>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</si>
  <si>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</si>
  <si>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</si>
  <si>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</si>
  <si>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</si>
  <si>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</si>
  <si>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</si>
  <si>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</si>
  <si>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</si>
  <si>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</si>
  <si>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</si>
  <si>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</si>
  <si>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</si>
  <si>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</si>
  <si>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</si>
  <si>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</si>
  <si>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</si>
  <si>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</si>
  <si>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</si>
  <si>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</si>
  <si>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</si>
  <si>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</si>
  <si>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</si>
  <si>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</si>
  <si>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</si>
  <si>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</si>
  <si>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</si>
  <si>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</si>
  <si>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</si>
  <si>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</si>
  <si>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</si>
  <si>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</si>
  <si>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</si>
  <si>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</si>
  <si>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</si>
  <si>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</si>
  <si>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</si>
  <si>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</si>
  <si>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</si>
  <si>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</si>
  <si>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</si>
  <si>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</si>
  <si>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</si>
  <si>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</si>
  <si>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</si>
  <si>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</si>
  <si>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</si>
  <si>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</si>
  <si>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</si>
  <si>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</si>
  <si>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</si>
  <si>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</si>
  <si>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</si>
  <si>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</si>
  <si>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</si>
  <si>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</si>
  <si>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</si>
  <si>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</si>
  <si>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</si>
  <si>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</si>
  <si>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</si>
  <si>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</si>
  <si>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</si>
  <si>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</si>
  <si>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</si>
  <si>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</si>
  <si>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</si>
  <si>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</si>
  <si>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</si>
  <si>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</si>
  <si>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</si>
  <si>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</si>
  <si>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</si>
  <si>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</si>
  <si>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</si>
  <si>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</si>
  <si>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</si>
  <si>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</si>
  <si>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</si>
  <si>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</si>
  <si>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</si>
  <si>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</si>
  <si>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</si>
  <si>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</si>
  <si>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</si>
  <si>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</si>
  <si>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</si>
  <si>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</si>
  <si>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</si>
  <si>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</si>
  <si>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</si>
  <si>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</si>
  <si>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</si>
  <si>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</si>
  <si>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</si>
  <si>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</si>
  <si>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</si>
  <si>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</si>
  <si>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</si>
  <si>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</si>
  <si>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</si>
  <si>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</si>
  <si>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</si>
  <si>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</si>
  <si>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</si>
  <si>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</si>
  <si>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</si>
  <si>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</si>
  <si>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</si>
  <si>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</si>
  <si>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</si>
  <si>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</si>
  <si>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</si>
  <si>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</si>
  <si>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</si>
  <si>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</si>
  <si>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</si>
  <si>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</si>
  <si>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</si>
  <si>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</si>
  <si>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</si>
  <si>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</si>
  <si>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</si>
  <si>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</si>
  <si>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</si>
  <si>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</si>
  <si>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</si>
  <si>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</si>
  <si>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</si>
  <si>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</si>
  <si>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</si>
  <si>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</si>
  <si>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</si>
  <si>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</si>
  <si>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</si>
  <si>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</si>
  <si>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</si>
  <si>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</si>
  <si>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</si>
  <si>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</si>
  <si>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</si>
  <si>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</si>
  <si>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</si>
  <si>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</si>
  <si>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</si>
  <si>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</si>
  <si>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</si>
  <si>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</si>
  <si>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</si>
  <si>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</si>
  <si>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</si>
  <si>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</si>
  <si>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</si>
  <si>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</si>
  <si>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</si>
  <si>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</si>
  <si>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</si>
  <si>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</si>
  <si>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</si>
  <si>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</si>
  <si>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</si>
  <si>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</si>
  <si>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</si>
  <si>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</si>
  <si>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</si>
  <si>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</si>
  <si>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</si>
  <si>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</si>
  <si>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</si>
  <si>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</si>
  <si>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</si>
  <si>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</si>
  <si>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</si>
  <si>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</si>
  <si>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</si>
  <si>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</si>
  <si>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</si>
  <si>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</si>
  <si>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</si>
  <si>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</si>
  <si>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</si>
  <si>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</si>
  <si>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</si>
  <si>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</si>
  <si>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</si>
  <si>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</si>
  <si>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</si>
  <si>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</si>
  <si>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</si>
  <si>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</si>
  <si>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</si>
  <si>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</si>
  <si>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</si>
  <si>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</si>
  <si>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</si>
  <si>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</si>
  <si>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</si>
  <si>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</si>
  <si>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</si>
  <si>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</si>
  <si>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</si>
  <si>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</si>
  <si>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</si>
  <si>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</si>
  <si>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</si>
  <si>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</si>
  <si>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</si>
  <si>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</si>
  <si>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</si>
  <si>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</si>
  <si>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</si>
  <si>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</si>
  <si>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</si>
  <si>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</si>
  <si>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</si>
  <si>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</si>
  <si>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</si>
  <si>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</si>
  <si>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</si>
  <si>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</si>
  <si>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</si>
  <si>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</si>
  <si>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</si>
  <si>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</si>
  <si>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</si>
  <si>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</si>
  <si>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</si>
  <si>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</si>
  <si>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</si>
  <si>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</si>
  <si>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</si>
  <si>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</si>
  <si>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</si>
  <si>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</si>
  <si>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</si>
  <si>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</si>
  <si>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</si>
  <si>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</si>
  <si>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</si>
  <si>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</si>
  <si>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</si>
  <si>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</si>
  <si>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</si>
  <si>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</si>
  <si>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</si>
  <si>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</si>
  <si>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</si>
  <si>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</si>
  <si>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</si>
  <si>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</si>
  <si>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</si>
  <si>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</si>
  <si>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</si>
  <si>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</si>
  <si>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</si>
  <si>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</si>
  <si>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</si>
  <si>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</si>
  <si>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</si>
  <si>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</si>
  <si>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</si>
  <si>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</si>
  <si>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</si>
  <si>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</si>
  <si>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</si>
  <si>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</si>
  <si>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</si>
  <si>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</si>
  <si>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</si>
  <si>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</si>
  <si>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</si>
  <si>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</si>
  <si>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</si>
  <si>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</si>
  <si>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</si>
  <si>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</si>
  <si>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</si>
  <si>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</si>
  <si>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</si>
  <si>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</si>
  <si>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</si>
  <si>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</si>
  <si>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</si>
  <si>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</si>
  <si>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</si>
  <si>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</si>
  <si>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</si>
  <si>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</si>
  <si>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</si>
  <si>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</si>
  <si>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</si>
  <si>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</si>
  <si>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</si>
  <si>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</si>
  <si>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</si>
  <si>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</si>
  <si>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</si>
  <si>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</si>
  <si>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</si>
  <si>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</si>
  <si>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</si>
  <si>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</si>
  <si>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</si>
  <si>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</si>
  <si>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</si>
  <si>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</si>
  <si>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</si>
  <si>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</si>
  <si>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</si>
  <si>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</si>
  <si>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</si>
  <si>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</si>
  <si>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</si>
  <si>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</si>
  <si>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</si>
  <si>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</si>
  <si>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</si>
  <si>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</si>
  <si>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</si>
  <si>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</si>
  <si>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</si>
  <si>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</si>
  <si>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</si>
  <si>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</si>
  <si>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</si>
  <si>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</si>
  <si>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</si>
  <si>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</si>
  <si>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</si>
  <si>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</si>
  <si>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</si>
  <si>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</si>
  <si>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</si>
  <si>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</si>
  <si>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</si>
  <si>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</si>
  <si>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</si>
  <si>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</si>
  <si>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</si>
  <si>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</si>
  <si>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</si>
  <si>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</si>
  <si>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</si>
  <si>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</si>
  <si>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</si>
  <si>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</si>
  <si>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</si>
  <si>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</si>
  <si>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</si>
  <si>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</si>
  <si>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</si>
  <si>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</si>
  <si>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</si>
  <si>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</si>
  <si>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</si>
  <si>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Nnenna Oliver</t>
  </si>
  <si>
    <t>20th Feb. 2017</t>
  </si>
  <si>
    <t>Ahar Ahangba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</si>
</sst>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11.125</c:v>
                </c:pt>
                <c:pt idx="1">
                  <c:v>9.1428571428571423</c:v>
                </c:pt>
                <c:pt idx="2">
                  <c:v>6.1818181818181817</c:v>
                </c:pt>
                <c:pt idx="3">
                  <c:v>12.25</c:v>
                </c:pt>
                <c:pt idx="4">
                  <c:v>11.555555555555555</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8.875</c:v>
                </c:pt>
                <c:pt idx="1">
                  <c:v>7.1785714285714288</c:v>
                </c:pt>
                <c:pt idx="2">
                  <c:v>4.8030303030303036</c:v>
                </c:pt>
                <c:pt idx="3">
                  <c:v>9.4499999999999993</c:v>
                </c:pt>
                <c:pt idx="4">
                  <c:v>8.8888888888888893</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16.8125</c:v>
                </c:pt>
                <c:pt idx="1">
                  <c:v>13.514880952380954</c:v>
                </c:pt>
                <c:pt idx="2">
                  <c:v>10.272727272727273</c:v>
                </c:pt>
                <c:pt idx="3">
                  <c:v>17.59375</c:v>
                </c:pt>
                <c:pt idx="4">
                  <c:v>16.611111111111111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60489568"/>
        <c:axId val="306997792"/>
      </c:radarChart>
      <c:catAx>
        <c:axId val="260489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06997792"/>
        <c:crosses val="autoZero"/>
        <c:auto val="1"/>
        <c:lblAlgn val="ctr"/>
        <c:lblOffset val="100"/>
        <c:noMultiLvlLbl val="0"/>
      </c:catAx>
      <c:valAx>
        <c:axId val="306997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4895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IHVN</v>
      </c>
      <c r="E2" s="319"/>
      <c r="F2" s="319"/>
      <c r="G2" s="319"/>
      <c r="H2" s="319"/>
      <c r="I2" s="319"/>
      <c r="J2" s="320"/>
      <c r="K2" s="321" t="s">
        <v>4018</v>
      </c>
      <c r="L2" s="322"/>
      <c r="M2" s="322"/>
      <c r="N2" s="322"/>
      <c r="O2" s="323" t="str">
        <f>Worksheet!M18</f>
        <v>Nnenna Oliver</v>
      </c>
      <c r="P2" s="324"/>
      <c r="Q2" s="324"/>
      <c r="R2" s="324"/>
      <c r="S2" s="324"/>
      <c r="T2" s="325"/>
    </row>
    <row r="3" spans="1:20" ht="24" thickBot="1" x14ac:dyDescent="0.4">
      <c r="A3" s="315" t="s">
        <v>94</v>
      </c>
      <c r="B3" s="316" t="s">
        <v>1</v>
      </c>
      <c r="C3" s="317"/>
      <c r="D3" s="318" t="str">
        <f>Worksheet!R2</f>
        <v>Benue</v>
      </c>
      <c r="E3" s="319"/>
      <c r="F3" s="319"/>
      <c r="G3" s="319"/>
      <c r="H3" s="319"/>
      <c r="I3" s="319"/>
      <c r="J3" s="320"/>
      <c r="K3" s="321" t="s">
        <v>3965</v>
      </c>
      <c r="L3" s="322"/>
      <c r="M3" s="322"/>
      <c r="N3" s="322"/>
      <c r="O3" s="323" t="str">
        <f>Worksheet!W18</f>
        <v>20th Feb. 2017</v>
      </c>
      <c r="P3" s="324"/>
      <c r="Q3" s="324"/>
      <c r="R3" s="324"/>
      <c r="S3" s="324"/>
      <c r="T3" s="325"/>
    </row>
    <row r="4" spans="1:20" ht="24" thickBot="1" x14ac:dyDescent="0.4">
      <c r="A4" s="315" t="s">
        <v>93</v>
      </c>
      <c r="B4" s="316"/>
      <c r="C4" s="317" t="s">
        <v>3</v>
      </c>
      <c r="D4" s="318" t="str">
        <f>Worksheet!T2</f>
        <v>be Konshisha</v>
      </c>
      <c r="E4" s="319"/>
      <c r="F4" s="319"/>
      <c r="G4" s="319"/>
      <c r="H4" s="319"/>
      <c r="I4" s="319"/>
      <c r="J4" s="320"/>
      <c r="K4" s="321" t="s">
        <v>4019</v>
      </c>
      <c r="L4" s="322"/>
      <c r="M4" s="322"/>
      <c r="N4" s="322"/>
      <c r="O4" s="323" t="str">
        <f>Worksheet!M19</f>
        <v>Ahar Ahangba</v>
      </c>
      <c r="P4" s="324"/>
      <c r="Q4" s="324"/>
      <c r="R4" s="324"/>
      <c r="S4" s="324"/>
      <c r="T4" s="325"/>
    </row>
    <row r="5" spans="1:20" ht="24" thickBot="1" x14ac:dyDescent="0.4">
      <c r="A5" s="315" t="s">
        <v>92</v>
      </c>
      <c r="B5" s="316"/>
      <c r="C5" s="317" t="s">
        <v>6</v>
      </c>
      <c r="D5" s="318" t="str">
        <f>Worksheet!V2</f>
        <v>Kusa Erem Agbeede Health Clinic</v>
      </c>
      <c r="E5" s="319"/>
      <c r="F5" s="319"/>
      <c r="G5" s="319"/>
      <c r="H5" s="319"/>
      <c r="I5" s="319"/>
      <c r="J5" s="320"/>
      <c r="K5" s="321" t="s">
        <v>3965</v>
      </c>
      <c r="L5" s="322"/>
      <c r="M5" s="322"/>
      <c r="N5" s="322"/>
      <c r="O5" s="323" t="str">
        <f>Worksheet!W19</f>
        <v>20th Feb. 2017</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44.5</v>
      </c>
      <c r="E8" s="152">
        <f ca="1">SUM('All Questions'!D15:D21)/7+E12</f>
        <v>36.571428571428569</v>
      </c>
      <c r="F8" s="152">
        <f ca="1">SUM('All Questions'!D23:D30)/4+F12</f>
        <v>34</v>
      </c>
      <c r="G8" s="152">
        <f ca="1">SUM('All Questions'!D31:D35)/5+G12</f>
        <v>49</v>
      </c>
      <c r="H8" s="153">
        <f ca="1">SUM('All Questions'!D37,'All Questions'!D40)/2+'All Questions'!D26+H12</f>
        <v>52</v>
      </c>
      <c r="I8" s="154">
        <f ca="1">(SUM('All Questions'!E10:E14)/5)+I12</f>
        <v>35.5</v>
      </c>
      <c r="J8" s="152">
        <f ca="1">SUM('All Questions'!E15:E21)/7+J12</f>
        <v>28.714285714285715</v>
      </c>
      <c r="K8" s="152">
        <f ca="1">SUM('All Questions'!E23:E30)/4+K12</f>
        <v>26.416666666666668</v>
      </c>
      <c r="L8" s="152">
        <f ca="1">SUM('All Questions'!E31:E35)/5+L12</f>
        <v>37.799999999999997</v>
      </c>
      <c r="M8" s="153">
        <f ca="1">('All Questions'!E37+'All Questions'!E40)/2+'All Questions'!E26+M12</f>
        <v>40</v>
      </c>
      <c r="N8" s="154">
        <f ca="1">(SUM('All Questions'!F10:F14)/5)+N12</f>
        <v>66</v>
      </c>
      <c r="O8" s="152">
        <f ca="1">SUM('All Questions'!F15:F21)/7+O12</f>
        <v>53.30952380952381</v>
      </c>
      <c r="P8" s="152">
        <f ca="1">SUM('All Questions'!F23:F30)/4+P12</f>
        <v>49.25</v>
      </c>
      <c r="Q8" s="152">
        <f ca="1">SUM('All Questions'!F31:F35)/5+Q12</f>
        <v>69.5</v>
      </c>
      <c r="R8" s="153">
        <f ca="1">('All Questions'!F37+'All Questions'!F40)/2+'All Questions'!F26+R12</f>
        <v>73</v>
      </c>
      <c r="S8" s="138">
        <f ca="1">'All Questions'!F2</f>
        <v>112</v>
      </c>
      <c r="T8" s="139">
        <f t="shared" ref="T8:T17" ca="1" si="0">(((SUM(D8:H8)/5)+(SUM(I8:M8)/5)+(SUM(N8:R8)/5)))/S8</f>
        <v>1.2420748299319726</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1</v>
      </c>
      <c r="T9" s="140">
        <f t="shared" ca="1" si="0"/>
        <v>0</v>
      </c>
    </row>
    <row r="10" spans="1:20" ht="72.599999999999994" customHeight="1" thickBot="1" x14ac:dyDescent="0.3">
      <c r="A10" s="105" t="s">
        <v>141</v>
      </c>
      <c r="B10" s="106" t="s">
        <v>79</v>
      </c>
      <c r="C10" s="107" t="s">
        <v>3968</v>
      </c>
      <c r="D10" s="156">
        <f ca="1">(SUM('All Questions'!D10:D14)/5)</f>
        <v>40</v>
      </c>
      <c r="E10" s="156">
        <f ca="1">SUM('All Questions'!D15:D21)/7</f>
        <v>28.571428571428573</v>
      </c>
      <c r="F10" s="156">
        <f ca="1">(SUM('All Questions'!D23:D24)+SUM('All Questions'!D25:D26)+SUM('All Questions'!D27:D28)+SUM('All Questions'!D29:D30))/4</f>
        <v>30</v>
      </c>
      <c r="G10" s="156">
        <f ca="1">SUM('All Questions'!D31:D35)/5</f>
        <v>40</v>
      </c>
      <c r="H10" s="159">
        <f ca="1">('All Questions'!D37+'All Questions'!D40)/2+'All Questions'!D26</f>
        <v>40</v>
      </c>
      <c r="I10" s="160">
        <f ca="1">(SUM('All Questions'!E10:E14)/5)</f>
        <v>32</v>
      </c>
      <c r="J10" s="161">
        <f ca="1">SUM('All Questions'!E15:E21)/7</f>
        <v>22.714285714285715</v>
      </c>
      <c r="K10" s="161">
        <f ca="1">(SUM('All Questions'!E23:E24)+SUM('All Questions'!E25:E26)+SUM('All Questions'!E27:E28)+SUM('All Questions'!E29:E30))/4</f>
        <v>23.75</v>
      </c>
      <c r="L10" s="161">
        <f ca="1">SUM('All Questions'!E31:E35)/5</f>
        <v>31.8</v>
      </c>
      <c r="M10" s="162">
        <f ca="1">('All Questions'!E37+'All Questions'!E40)/2+'All Questions'!E26</f>
        <v>32</v>
      </c>
      <c r="N10" s="163">
        <f ca="1">(SUM('All Questions'!F10:F14)/5)</f>
        <v>59</v>
      </c>
      <c r="O10" s="161">
        <f ca="1">SUM('All Questions'!F15:F21)/7</f>
        <v>42.142857142857146</v>
      </c>
      <c r="P10" s="161">
        <f ca="1">(SUM('All Questions'!F23:F24)+SUM('All Questions'!F25:F26)+SUM('All Questions'!F27:F28)+SUM('All Questions'!F29:F30))/4</f>
        <v>44.25</v>
      </c>
      <c r="Q10" s="161">
        <f ca="1">SUM('All Questions'!F31:F35)/5</f>
        <v>59</v>
      </c>
      <c r="R10" s="162">
        <f ca="1">('All Questions'!F37+'All Questions'!F40)/2+'All Questions'!F26</f>
        <v>59</v>
      </c>
      <c r="S10" s="138">
        <f ca="1">'All Questions'!F4</f>
        <v>90</v>
      </c>
      <c r="T10" s="140">
        <f t="shared" ca="1" si="0"/>
        <v>1.2982857142857143</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4.5</v>
      </c>
      <c r="E12" s="170">
        <f ca="1">SUM('All Questions'!D60:D75)/6</f>
        <v>8</v>
      </c>
      <c r="F12" s="170">
        <f ca="1">SUM('All Questions'!D67:D72)/3</f>
        <v>4</v>
      </c>
      <c r="G12" s="170">
        <f ca="1">SUM('All Questions'!D73:D80)/4</f>
        <v>9</v>
      </c>
      <c r="H12" s="171">
        <f ca="1">SUM('All Questions'!D82:D83)/2</f>
        <v>12</v>
      </c>
      <c r="I12" s="172">
        <f ca="1">SUM('All Questions'!E55:E58)/4</f>
        <v>3.5</v>
      </c>
      <c r="J12" s="173">
        <f ca="1">SUM('All Questions'!E60:E75)/6</f>
        <v>6</v>
      </c>
      <c r="K12" s="173">
        <f ca="1">SUM('All Questions'!E67:E72)/3</f>
        <v>2.6666666666666665</v>
      </c>
      <c r="L12" s="173">
        <f ca="1">SUM('All Questions'!E73:E80)/4</f>
        <v>6</v>
      </c>
      <c r="M12" s="174">
        <f ca="1">SUM('All Questions'!E82:E83)/2</f>
        <v>8</v>
      </c>
      <c r="N12" s="175">
        <f ca="1">SUM('All Questions'!F55:F58)/4</f>
        <v>7</v>
      </c>
      <c r="O12" s="173">
        <f ca="1">SUM('All Questions'!F60:F75)/6</f>
        <v>11.166666666666666</v>
      </c>
      <c r="P12" s="173">
        <f ca="1">SUM('All Questions'!F67:F72)/3</f>
        <v>5</v>
      </c>
      <c r="Q12" s="173">
        <f ca="1">SUM('All Questions'!F73:F80)/4</f>
        <v>10.5</v>
      </c>
      <c r="R12" s="174">
        <f ca="1">SUM('All Questions'!F82:F83)/2</f>
        <v>14</v>
      </c>
      <c r="S12" s="142">
        <f ca="1">'All Questions'!F46</f>
        <v>22</v>
      </c>
      <c r="T12" s="143">
        <f t="shared" ca="1" si="0"/>
        <v>1.012121212121212</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2.5</v>
      </c>
      <c r="S13" s="142">
        <f ca="1">'All Questions'!F47</f>
        <v>1</v>
      </c>
      <c r="T13" s="144">
        <f t="shared" ca="1" si="0"/>
        <v>0.5</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1</v>
      </c>
      <c r="O14" s="180">
        <f ca="1">'All Questions'!E64</f>
        <v>0</v>
      </c>
      <c r="P14" s="180">
        <f ca="1">SUM('All Questions'!F75:F76)</f>
        <v>14</v>
      </c>
      <c r="Q14" s="180">
        <f ca="1">SUM('All Questions'!F74,'All Questions'!F76,'All Questions'!F78,'All Questions'!F80)/4</f>
        <v>0.75</v>
      </c>
      <c r="R14" s="181">
        <f ca="1">SUM('All Questions'!F88:F89)/2</f>
        <v>1</v>
      </c>
      <c r="S14" s="142">
        <f ca="1">'All Questions'!F48</f>
        <v>1</v>
      </c>
      <c r="T14" s="144">
        <f t="shared" ca="1" si="0"/>
        <v>3.35</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1.5</v>
      </c>
      <c r="O16" s="191">
        <f ca="1">SUM('All Questions'!F97:F100)/4</f>
        <v>1.5</v>
      </c>
      <c r="P16" s="191">
        <f ca="1">SUM('All Questions'!F101:F105)/2</f>
        <v>0.5</v>
      </c>
      <c r="Q16" s="191">
        <f ca="1">SUM('All Questions'!F106:F108)/3</f>
        <v>1</v>
      </c>
      <c r="R16" s="192">
        <f ca="1">SUM('All Questions'!F111+'All Questions'!F112+'All Questions'!F114+'All Questions'!F115)/4</f>
        <v>0</v>
      </c>
      <c r="S16" s="146">
        <f ca="1">'All Questions'!F91</f>
        <v>1</v>
      </c>
      <c r="T16" s="147">
        <f t="shared" ca="1" si="0"/>
        <v>0.9</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1</v>
      </c>
      <c r="T17" s="139">
        <f t="shared" ca="1" si="0"/>
        <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1</v>
      </c>
      <c r="T18" s="141">
        <f ca="1">(((SUM(F18:H18)/3)+(SUM(K18:M18)/3)+(SUM(P18:R18)/3)))/S18</f>
        <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91" zoomScaleNormal="60" zoomScaleSheetLayoutView="91"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150</v>
      </c>
      <c r="N2" s="355" t="s">
        <v>158</v>
      </c>
      <c r="O2" s="355"/>
      <c r="P2" s="66" t="s">
        <v>156</v>
      </c>
      <c r="Q2" s="301" t="s">
        <v>1</v>
      </c>
      <c r="R2" s="66" t="s">
        <v>167</v>
      </c>
      <c r="S2" s="301" t="s">
        <v>3</v>
      </c>
      <c r="T2" s="66" t="s">
        <v>576</v>
      </c>
      <c r="U2" s="67" t="s">
        <v>159</v>
      </c>
      <c r="V2" s="66" t="s">
        <v>2887</v>
      </c>
      <c r="W2" s="66"/>
      <c r="X2" s="67" t="s">
        <v>160</v>
      </c>
      <c r="Y2" s="66" t="s">
        <v>149</v>
      </c>
      <c r="Z2" s="96" t="s">
        <v>3799</v>
      </c>
      <c r="AA2" s="68" t="str">
        <f>VLOOKUP(V2,[2]Data_donotedit!AY2:AZ1504,2,FALSE)</f>
        <v>n3leeELsmMM</v>
      </c>
      <c r="AB2" s="68"/>
      <c r="AC2" s="68"/>
      <c r="AD2" s="68"/>
    </row>
    <row r="3" spans="1:30" ht="40.15" customHeight="1" x14ac:dyDescent="0.25">
      <c r="A3" s="63"/>
      <c r="B3" s="224"/>
      <c r="C3" s="225" t="s">
        <v>150</v>
      </c>
      <c r="D3" s="226" t="s">
        <v>3975</v>
      </c>
      <c r="E3" s="226"/>
      <c r="F3" s="227"/>
      <c r="G3" s="478">
        <f ca="1">_xlfn.IFNA(VLOOKUP(C3,Worksheet!$C$3:$G$46,5,FALSE),G3)</f>
        <v>112</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1</v>
      </c>
      <c r="H4" s="205" t="s">
        <v>150</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28" t="s">
        <v>4007</v>
      </c>
      <c r="D5" s="226" t="s">
        <v>3977</v>
      </c>
      <c r="E5" s="230"/>
      <c r="F5" s="229"/>
      <c r="G5" s="478">
        <f ca="1">_xlfn.IFNA(VLOOKUP(C5,Worksheet!$C$3:$G$46,5,FALSE),G5)</f>
        <v>90</v>
      </c>
      <c r="H5" s="205" t="s">
        <v>150</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28" t="s">
        <v>4008</v>
      </c>
      <c r="D6" s="226" t="s">
        <v>3978</v>
      </c>
      <c r="E6" s="226"/>
      <c r="F6" s="229"/>
      <c r="G6" s="478">
        <f ca="1">_xlfn.IFNA(VLOOKUP(C6,Worksheet!$C$3:$G$46,5,FALSE),G6)</f>
        <v>0</v>
      </c>
      <c r="H6" s="205" t="s">
        <v>150</v>
      </c>
      <c r="I6" s="63"/>
      <c r="J6" s="63"/>
      <c r="K6" s="132" t="s">
        <v>89</v>
      </c>
      <c r="L6" s="346" t="s">
        <v>3966</v>
      </c>
      <c r="M6" s="347"/>
      <c r="N6" s="71">
        <v>44.5</v>
      </c>
      <c r="O6" s="71">
        <v>36.571428571428569</v>
      </c>
      <c r="P6" s="71">
        <v>34</v>
      </c>
      <c r="Q6" s="71">
        <v>49</v>
      </c>
      <c r="R6" s="72">
        <v>52</v>
      </c>
      <c r="S6" s="71">
        <v>35.5</v>
      </c>
      <c r="T6" s="71">
        <v>28.714285714285715</v>
      </c>
      <c r="U6" s="71">
        <v>26.416666666666668</v>
      </c>
      <c r="V6" s="71">
        <v>37.799999999999997</v>
      </c>
      <c r="W6" s="72">
        <v>40</v>
      </c>
      <c r="X6" s="71">
        <v>66</v>
      </c>
      <c r="Y6" s="71">
        <v>53.30952380952381</v>
      </c>
      <c r="Z6" s="71">
        <v>49.25</v>
      </c>
      <c r="AA6" s="71">
        <v>69.5</v>
      </c>
      <c r="AB6" s="71">
        <v>73</v>
      </c>
      <c r="AC6" s="73">
        <v>112</v>
      </c>
      <c r="AD6" s="74">
        <v>1.2420748299319726</v>
      </c>
    </row>
    <row r="7" spans="1:30" ht="40.15" customHeight="1" x14ac:dyDescent="0.25">
      <c r="A7" s="63"/>
      <c r="B7" s="224"/>
      <c r="C7" s="231" t="s">
        <v>4009</v>
      </c>
      <c r="D7" s="232" t="s">
        <v>3979</v>
      </c>
      <c r="E7" s="233"/>
      <c r="F7" s="234"/>
      <c r="G7" s="235">
        <f ca="1">_xlfn.IFNA(VLOOKUP(G3,Data_donotedit!$BE$2:$BG$25,3,TRUE),0)</f>
        <v>57</v>
      </c>
      <c r="H7" s="205" t="s">
        <v>150</v>
      </c>
      <c r="I7" s="63"/>
      <c r="J7" s="65"/>
      <c r="K7" s="59" t="s">
        <v>89</v>
      </c>
      <c r="L7" s="333" t="s">
        <v>3967</v>
      </c>
      <c r="M7" s="334"/>
      <c r="N7" s="133"/>
      <c r="O7" s="133"/>
      <c r="P7" s="78">
        <v>0</v>
      </c>
      <c r="Q7" s="133"/>
      <c r="R7" s="134"/>
      <c r="S7" s="133"/>
      <c r="T7" s="133"/>
      <c r="U7" s="78">
        <v>0</v>
      </c>
      <c r="V7" s="133"/>
      <c r="W7" s="134"/>
      <c r="X7" s="133"/>
      <c r="Y7" s="133"/>
      <c r="Z7" s="78">
        <v>0</v>
      </c>
      <c r="AA7" s="133"/>
      <c r="AB7" s="133"/>
      <c r="AC7" s="80">
        <v>1</v>
      </c>
      <c r="AD7" s="81">
        <v>0</v>
      </c>
    </row>
    <row r="8" spans="1:30" ht="40.15" customHeight="1" x14ac:dyDescent="0.25">
      <c r="A8" s="63"/>
      <c r="B8" s="224"/>
      <c r="C8" s="236"/>
      <c r="D8" s="237" t="s">
        <v>3980</v>
      </c>
      <c r="E8" s="238" t="s">
        <v>3981</v>
      </c>
      <c r="F8" s="238" t="s">
        <v>77</v>
      </c>
      <c r="G8" s="239" t="s">
        <v>78</v>
      </c>
      <c r="H8" s="205" t="s">
        <v>150</v>
      </c>
      <c r="I8" s="63"/>
      <c r="J8" s="70"/>
      <c r="K8" s="58" t="s">
        <v>79</v>
      </c>
      <c r="L8" s="331" t="s">
        <v>3968</v>
      </c>
      <c r="M8" s="332"/>
      <c r="N8" s="71">
        <v>40</v>
      </c>
      <c r="O8" s="71">
        <v>28.571428571428573</v>
      </c>
      <c r="P8" s="71">
        <v>30</v>
      </c>
      <c r="Q8" s="71">
        <v>40</v>
      </c>
      <c r="R8" s="72">
        <v>40</v>
      </c>
      <c r="S8" s="71">
        <v>32</v>
      </c>
      <c r="T8" s="71">
        <v>22.714285714285715</v>
      </c>
      <c r="U8" s="71">
        <v>23.75</v>
      </c>
      <c r="V8" s="71">
        <v>31.8</v>
      </c>
      <c r="W8" s="72">
        <v>32</v>
      </c>
      <c r="X8" s="71">
        <v>59</v>
      </c>
      <c r="Y8" s="71">
        <v>42.142857142857146</v>
      </c>
      <c r="Z8" s="71">
        <v>44.25</v>
      </c>
      <c r="AA8" s="71">
        <v>59</v>
      </c>
      <c r="AB8" s="71">
        <v>59</v>
      </c>
      <c r="AC8" s="75">
        <v>90</v>
      </c>
      <c r="AD8" s="76">
        <v>1.2982857142857143</v>
      </c>
    </row>
    <row r="9" spans="1:30" ht="40.15" customHeight="1" x14ac:dyDescent="0.25">
      <c r="A9" s="63"/>
      <c r="B9" s="224"/>
      <c r="C9" s="236">
        <v>1111</v>
      </c>
      <c r="D9" s="240" t="s">
        <v>3801</v>
      </c>
      <c r="E9" s="479">
        <f ca="1">_xlfn.IFNA(VLOOKUP(C9,Worksheet!$C$3:$G$46,3,FALSE),E9)</f>
        <v>1</v>
      </c>
      <c r="F9" s="479">
        <f ca="1">_xlfn.IFNA(VLOOKUP(C9,Worksheet!$C$3:$G$46,4,FALSE),F9)</f>
        <v>1</v>
      </c>
      <c r="G9" s="479">
        <f ca="1">_xlfn.IFNA(VLOOKUP(C9,Worksheet!$C$3:$G$46,5,FALSE),G9)</f>
        <v>1</v>
      </c>
      <c r="H9" s="205" t="s">
        <v>150</v>
      </c>
      <c r="I9" s="63"/>
      <c r="J9" s="70"/>
      <c r="K9" s="59" t="s">
        <v>79</v>
      </c>
      <c r="L9" s="333" t="s">
        <v>88</v>
      </c>
      <c r="M9" s="334"/>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1112</v>
      </c>
      <c r="D10" s="240" t="s">
        <v>3802</v>
      </c>
      <c r="E10" s="479">
        <f ca="1">_xlfn.IFNA(VLOOKUP(C10,Worksheet!$C$3:$G$46,3,FALSE),E10)</f>
        <v>0</v>
      </c>
      <c r="F10" s="479">
        <f ca="1">_xlfn.IFNA(VLOOKUP(C10,Worksheet!$C$3:$G$46,4,FALSE),F10)</f>
        <v>0</v>
      </c>
      <c r="G10" s="479">
        <f ca="1">_xlfn.IFNA(VLOOKUP(C10,Worksheet!$C$3:$G$46,5,FALSE),G10)</f>
        <v>0</v>
      </c>
      <c r="H10" s="205" t="s">
        <v>150</v>
      </c>
      <c r="I10" s="63"/>
      <c r="J10" s="70"/>
      <c r="K10" s="121" t="s">
        <v>83</v>
      </c>
      <c r="L10" s="335" t="s">
        <v>3970</v>
      </c>
      <c r="M10" s="336"/>
      <c r="N10" s="122">
        <v>4.5</v>
      </c>
      <c r="O10" s="71">
        <v>8</v>
      </c>
      <c r="P10" s="71">
        <v>4</v>
      </c>
      <c r="Q10" s="71">
        <v>9</v>
      </c>
      <c r="R10" s="71">
        <v>12</v>
      </c>
      <c r="S10" s="122">
        <v>3.5</v>
      </c>
      <c r="T10" s="71">
        <v>6</v>
      </c>
      <c r="U10" s="71">
        <v>2.6666666666666665</v>
      </c>
      <c r="V10" s="71">
        <v>6</v>
      </c>
      <c r="W10" s="71">
        <v>8</v>
      </c>
      <c r="X10" s="122">
        <v>7</v>
      </c>
      <c r="Y10" s="71">
        <v>11.166666666666666</v>
      </c>
      <c r="Z10" s="71">
        <v>5</v>
      </c>
      <c r="AA10" s="71">
        <v>10.5</v>
      </c>
      <c r="AB10" s="71">
        <v>14</v>
      </c>
      <c r="AC10" s="124">
        <v>22</v>
      </c>
      <c r="AD10" s="125">
        <v>1.012121212121212</v>
      </c>
    </row>
    <row r="11" spans="1:30" ht="50.45" customHeight="1" x14ac:dyDescent="0.25">
      <c r="A11" s="63"/>
      <c r="B11" s="224"/>
      <c r="C11" s="236">
        <v>1113</v>
      </c>
      <c r="D11" s="240" t="s">
        <v>3803</v>
      </c>
      <c r="E11" s="479">
        <f ca="1">_xlfn.IFNA(VLOOKUP(C11,Worksheet!$C$3:$G$46,3,FALSE),E11)</f>
        <v>40</v>
      </c>
      <c r="F11" s="479">
        <f ca="1">_xlfn.IFNA(VLOOKUP(C11,Worksheet!$C$3:$G$46,4,FALSE),F11)</f>
        <v>32</v>
      </c>
      <c r="G11" s="479">
        <f ca="1">_xlfn.IFNA(VLOOKUP(C11,Worksheet!$C$3:$G$46,5,FALSE),G11)</f>
        <v>59</v>
      </c>
      <c r="H11" s="205" t="s">
        <v>150</v>
      </c>
      <c r="I11" s="63"/>
      <c r="J11" s="65"/>
      <c r="K11" s="120" t="s">
        <v>83</v>
      </c>
      <c r="L11" s="337" t="s">
        <v>3971</v>
      </c>
      <c r="M11" s="338"/>
      <c r="N11" s="135"/>
      <c r="O11" s="136"/>
      <c r="P11" s="71">
        <v>0</v>
      </c>
      <c r="Q11" s="136"/>
      <c r="R11" s="71">
        <v>0</v>
      </c>
      <c r="S11" s="135"/>
      <c r="T11" s="136"/>
      <c r="U11" s="71">
        <v>0</v>
      </c>
      <c r="V11" s="136"/>
      <c r="W11" s="71">
        <v>0</v>
      </c>
      <c r="X11" s="135"/>
      <c r="Y11" s="136"/>
      <c r="Z11" s="71">
        <v>0</v>
      </c>
      <c r="AA11" s="136"/>
      <c r="AB11" s="71">
        <v>2.5</v>
      </c>
      <c r="AC11" s="123">
        <v>1</v>
      </c>
      <c r="AD11" s="126">
        <v>0.5</v>
      </c>
    </row>
    <row r="12" spans="1:30" ht="48.6" customHeight="1" x14ac:dyDescent="0.25">
      <c r="A12" s="63"/>
      <c r="B12" s="224"/>
      <c r="C12" s="236">
        <v>1114</v>
      </c>
      <c r="D12" s="241" t="s">
        <v>3804</v>
      </c>
      <c r="E12" s="479">
        <f ca="1">_xlfn.IFNA(VLOOKUP(C12,Worksheet!$C$3:$G$46,3,FALSE),E12)</f>
        <v>40</v>
      </c>
      <c r="F12" s="479">
        <f ca="1">_xlfn.IFNA(VLOOKUP(C12,Worksheet!$C$3:$G$46,4,FALSE),F12)</f>
        <v>32</v>
      </c>
      <c r="G12" s="479">
        <f ca="1">_xlfn.IFNA(VLOOKUP(C12,Worksheet!$C$3:$G$46,5,FALSE),G12)</f>
        <v>59</v>
      </c>
      <c r="H12" s="205" t="s">
        <v>150</v>
      </c>
      <c r="I12" s="63"/>
      <c r="J12" s="65"/>
      <c r="K12" s="127" t="s">
        <v>83</v>
      </c>
      <c r="L12" s="339" t="s">
        <v>3972</v>
      </c>
      <c r="M12" s="340"/>
      <c r="N12" s="77">
        <v>0</v>
      </c>
      <c r="O12" s="78">
        <v>0</v>
      </c>
      <c r="P12" s="78">
        <v>0</v>
      </c>
      <c r="Q12" s="78">
        <v>0</v>
      </c>
      <c r="R12" s="78">
        <v>0</v>
      </c>
      <c r="S12" s="77">
        <v>0</v>
      </c>
      <c r="T12" s="78">
        <v>0</v>
      </c>
      <c r="U12" s="78">
        <v>0</v>
      </c>
      <c r="V12" s="78">
        <v>0</v>
      </c>
      <c r="W12" s="78">
        <v>0</v>
      </c>
      <c r="X12" s="77">
        <v>1</v>
      </c>
      <c r="Y12" s="78">
        <v>0</v>
      </c>
      <c r="Z12" s="78">
        <v>14</v>
      </c>
      <c r="AA12" s="78">
        <v>0.75</v>
      </c>
      <c r="AB12" s="78">
        <v>1</v>
      </c>
      <c r="AC12" s="128">
        <v>1</v>
      </c>
      <c r="AD12" s="129">
        <v>3.35</v>
      </c>
    </row>
    <row r="13" spans="1:30" ht="48.6" customHeight="1" x14ac:dyDescent="0.25">
      <c r="A13" s="63"/>
      <c r="B13" s="224"/>
      <c r="C13" s="236">
        <v>1115</v>
      </c>
      <c r="D13" s="240" t="s">
        <v>3805</v>
      </c>
      <c r="E13" s="479">
        <f ca="1">_xlfn.IFNA(VLOOKUP(C13,Worksheet!$C$3:$G$46,3,FALSE),E13)</f>
        <v>40</v>
      </c>
      <c r="F13" s="479">
        <f ca="1">_xlfn.IFNA(VLOOKUP(C13,Worksheet!$C$3:$G$46,4,FALSE),F13)</f>
        <v>32</v>
      </c>
      <c r="G13" s="479">
        <f ca="1">_xlfn.IFNA(VLOOKUP(C13,Worksheet!$C$3:$G$46,5,FALSE),G13)</f>
        <v>59</v>
      </c>
      <c r="H13" s="205" t="s">
        <v>150</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479">
        <f ca="1">_xlfn.IFNA(VLOOKUP(C14,Worksheet!$C$3:$G$46,3,FALSE),E14)</f>
        <v>40</v>
      </c>
      <c r="F14" s="479">
        <f ca="1">_xlfn.IFNA(VLOOKUP(C14,Worksheet!$C$3:$G$46,4,FALSE),F14)</f>
        <v>32</v>
      </c>
      <c r="G14" s="479">
        <f ca="1">_xlfn.IFNA(VLOOKUP(C14,Worksheet!$C$3:$G$46,5,FALSE),G14)</f>
        <v>59</v>
      </c>
      <c r="H14" s="205" t="s">
        <v>150</v>
      </c>
      <c r="I14" s="63"/>
      <c r="J14" s="70"/>
      <c r="K14" s="59" t="s">
        <v>84</v>
      </c>
      <c r="L14" s="339" t="s">
        <v>85</v>
      </c>
      <c r="M14" s="344"/>
      <c r="N14" s="77">
        <v>0</v>
      </c>
      <c r="O14" s="78">
        <v>0</v>
      </c>
      <c r="P14" s="78">
        <v>0</v>
      </c>
      <c r="Q14" s="78">
        <v>0</v>
      </c>
      <c r="R14" s="79">
        <v>0</v>
      </c>
      <c r="S14" s="78">
        <v>0</v>
      </c>
      <c r="T14" s="78">
        <v>0</v>
      </c>
      <c r="U14" s="78">
        <v>0</v>
      </c>
      <c r="V14" s="78">
        <v>0</v>
      </c>
      <c r="W14" s="79">
        <v>0</v>
      </c>
      <c r="X14" s="78">
        <v>1.5</v>
      </c>
      <c r="Y14" s="78">
        <v>1.5</v>
      </c>
      <c r="Z14" s="78">
        <v>0.5</v>
      </c>
      <c r="AA14" s="78">
        <v>1</v>
      </c>
      <c r="AB14" s="78">
        <v>0</v>
      </c>
      <c r="AC14" s="80">
        <v>1</v>
      </c>
      <c r="AD14" s="81">
        <v>0.9</v>
      </c>
    </row>
    <row r="15" spans="1:30" ht="47.45" customHeight="1" x14ac:dyDescent="0.25">
      <c r="A15" s="63"/>
      <c r="B15" s="224"/>
      <c r="C15" s="236">
        <v>1117</v>
      </c>
      <c r="D15" s="240" t="s">
        <v>3808</v>
      </c>
      <c r="E15" s="479">
        <f ca="1">_xlfn.IFNA(VLOOKUP(C15,Worksheet!$C$3:$G$46,3,FALSE),E15)</f>
        <v>40</v>
      </c>
      <c r="F15" s="479">
        <f ca="1">_xlfn.IFNA(VLOOKUP(C15,Worksheet!$C$3:$G$46,4,FALSE),F15)</f>
        <v>32</v>
      </c>
      <c r="G15" s="479">
        <f ca="1">_xlfn.IFNA(VLOOKUP(C15,Worksheet!$C$3:$G$46,5,FALSE),G15)</f>
        <v>59</v>
      </c>
      <c r="H15" s="205" t="s">
        <v>150</v>
      </c>
      <c r="I15" s="63"/>
      <c r="J15" s="70"/>
      <c r="K15" s="60" t="s">
        <v>90</v>
      </c>
      <c r="L15" s="329" t="s">
        <v>74</v>
      </c>
      <c r="M15" s="343"/>
      <c r="N15" s="82">
        <v>0</v>
      </c>
      <c r="O15" s="83">
        <v>0</v>
      </c>
      <c r="P15" s="83">
        <v>0</v>
      </c>
      <c r="Q15" s="83">
        <v>0</v>
      </c>
      <c r="R15" s="84">
        <v>0</v>
      </c>
      <c r="S15" s="83">
        <v>0</v>
      </c>
      <c r="T15" s="83">
        <v>0</v>
      </c>
      <c r="U15" s="83">
        <v>0</v>
      </c>
      <c r="V15" s="83">
        <v>0</v>
      </c>
      <c r="W15" s="84">
        <v>0</v>
      </c>
      <c r="X15" s="83">
        <v>0</v>
      </c>
      <c r="Y15" s="83">
        <v>0</v>
      </c>
      <c r="Z15" s="83">
        <v>0</v>
      </c>
      <c r="AA15" s="83">
        <v>0</v>
      </c>
      <c r="AB15" s="83">
        <v>0</v>
      </c>
      <c r="AC15" s="85">
        <v>1</v>
      </c>
      <c r="AD15" s="86">
        <v>0</v>
      </c>
    </row>
    <row r="16" spans="1:30" ht="40.15" customHeight="1" x14ac:dyDescent="0.25">
      <c r="A16" s="63"/>
      <c r="B16" s="224"/>
      <c r="C16" s="236">
        <v>1122</v>
      </c>
      <c r="D16" s="241" t="s">
        <v>3809</v>
      </c>
      <c r="E16" s="479">
        <f ca="1">_xlfn.IFNA(VLOOKUP(C16,Worksheet!$C$3:$G$46,3,FALSE),E16)</f>
        <v>40</v>
      </c>
      <c r="F16" s="479">
        <f ca="1">_xlfn.IFNA(VLOOKUP(C16,Worksheet!$C$3:$G$46,4,FALSE),F16)</f>
        <v>32</v>
      </c>
      <c r="G16" s="479">
        <f ca="1">_xlfn.IFNA(VLOOKUP(C16,Worksheet!$C$3:$G$46,5,FALSE),G16)</f>
        <v>59</v>
      </c>
      <c r="H16" s="205" t="s">
        <v>150</v>
      </c>
      <c r="I16" s="63"/>
      <c r="J16" s="70"/>
      <c r="K16" s="60" t="s">
        <v>91</v>
      </c>
      <c r="L16" s="329" t="s">
        <v>75</v>
      </c>
      <c r="M16" s="343"/>
      <c r="N16" s="82">
        <v>0</v>
      </c>
      <c r="O16" s="83">
        <v>0</v>
      </c>
      <c r="P16" s="83">
        <v>0</v>
      </c>
      <c r="Q16" s="83">
        <v>0</v>
      </c>
      <c r="R16" s="84">
        <v>0</v>
      </c>
      <c r="S16" s="83">
        <v>0</v>
      </c>
      <c r="T16" s="83">
        <v>0</v>
      </c>
      <c r="U16" s="83">
        <v>0</v>
      </c>
      <c r="V16" s="83">
        <v>0</v>
      </c>
      <c r="W16" s="84">
        <v>0</v>
      </c>
      <c r="X16" s="83">
        <v>0</v>
      </c>
      <c r="Y16" s="83">
        <v>0</v>
      </c>
      <c r="Z16" s="83">
        <v>0</v>
      </c>
      <c r="AA16" s="83">
        <v>0</v>
      </c>
      <c r="AB16" s="83">
        <v>0</v>
      </c>
      <c r="AC16" s="85">
        <v>1</v>
      </c>
      <c r="AD16" s="86">
        <v>0</v>
      </c>
    </row>
    <row r="17" spans="1:30" ht="40.15" customHeight="1" x14ac:dyDescent="0.25">
      <c r="A17" s="63"/>
      <c r="B17" s="224"/>
      <c r="C17" s="236">
        <v>1123</v>
      </c>
      <c r="D17" s="240" t="s">
        <v>3810</v>
      </c>
      <c r="E17" s="479">
        <f ca="1">_xlfn.IFNA(VLOOKUP(C17,Worksheet!$C$3:$G$46,3,FALSE),E17)</f>
        <v>40</v>
      </c>
      <c r="F17" s="479">
        <f ca="1">_xlfn.IFNA(VLOOKUP(C17,Worksheet!$C$3:$G$46,4,FALSE),F17)</f>
        <v>32</v>
      </c>
      <c r="G17" s="479">
        <f ca="1">_xlfn.IFNA(VLOOKUP(C17,Worksheet!$C$3:$G$46,5,FALSE),G17)</f>
        <v>59</v>
      </c>
      <c r="H17" s="205" t="s">
        <v>150</v>
      </c>
      <c r="I17" s="63"/>
      <c r="J17" s="65"/>
      <c r="K17" s="63"/>
      <c r="L17" s="63"/>
      <c r="M17" s="63"/>
      <c r="N17" s="87">
        <f>AVERAGE(N6:N16)</f>
        <v>11.125</v>
      </c>
      <c r="O17" s="87">
        <f t="shared" ref="O17:AB17" si="0">AVERAGE(O6:O16)</f>
        <v>9.1428571428571423</v>
      </c>
      <c r="P17" s="87">
        <f t="shared" si="0"/>
        <v>6.1818181818181817</v>
      </c>
      <c r="Q17" s="87">
        <f t="shared" si="0"/>
        <v>12.25</v>
      </c>
      <c r="R17" s="87">
        <f t="shared" si="0"/>
        <v>11.555555555555555</v>
      </c>
      <c r="S17" s="87">
        <f t="shared" si="0"/>
        <v>8.875</v>
      </c>
      <c r="T17" s="87">
        <f t="shared" si="0"/>
        <v>7.1785714285714288</v>
      </c>
      <c r="U17" s="87">
        <f t="shared" si="0"/>
        <v>4.8030303030303036</v>
      </c>
      <c r="V17" s="87">
        <f t="shared" si="0"/>
        <v>9.4499999999999993</v>
      </c>
      <c r="W17" s="87">
        <f t="shared" si="0"/>
        <v>8.8888888888888893</v>
      </c>
      <c r="X17" s="87">
        <f t="shared" si="0"/>
        <v>16.8125</v>
      </c>
      <c r="Y17" s="87">
        <f t="shared" si="0"/>
        <v>13.514880952380954</v>
      </c>
      <c r="Z17" s="87">
        <f t="shared" si="0"/>
        <v>10.272727272727273</v>
      </c>
      <c r="AA17" s="87">
        <f t="shared" si="0"/>
        <v>17.59375</v>
      </c>
      <c r="AB17" s="87">
        <f t="shared" si="0"/>
        <v>16.611111111111111</v>
      </c>
      <c r="AC17" s="63"/>
      <c r="AD17" s="63"/>
    </row>
    <row r="18" spans="1:30" ht="40.15" customHeight="1" x14ac:dyDescent="0.3">
      <c r="A18" s="63"/>
      <c r="B18" s="224"/>
      <c r="C18" s="236">
        <v>1124</v>
      </c>
      <c r="D18" s="240" t="s">
        <v>3811</v>
      </c>
      <c r="E18" s="479">
        <f ca="1">_xlfn.IFNA(VLOOKUP(C18,Worksheet!$C$3:$G$46,3,FALSE),E18)</f>
        <v>40</v>
      </c>
      <c r="F18" s="479">
        <f ca="1">_xlfn.IFNA(VLOOKUP(C18,Worksheet!$C$3:$G$46,4,FALSE),F18)</f>
        <v>32</v>
      </c>
      <c r="G18" s="479">
        <f ca="1">_xlfn.IFNA(VLOOKUP(C18,Worksheet!$C$3:$G$46,5,FALSE),G18)</f>
        <v>59</v>
      </c>
      <c r="H18" s="205" t="s">
        <v>150</v>
      </c>
      <c r="I18" s="63"/>
      <c r="J18" s="65"/>
      <c r="K18" s="345" t="s">
        <v>563</v>
      </c>
      <c r="L18" s="345"/>
      <c r="M18" s="206" t="s">
        <v>4021</v>
      </c>
      <c r="N18" s="207"/>
      <c r="O18" s="208"/>
      <c r="P18" s="208"/>
      <c r="Q18" s="208"/>
      <c r="R18" s="303" t="s">
        <v>561</v>
      </c>
      <c r="S18" s="480" t="s">
        <v>4021</v>
      </c>
      <c r="T18" s="209"/>
      <c r="U18" s="342" t="s">
        <v>562</v>
      </c>
      <c r="V18" s="342"/>
      <c r="W18" s="210" t="s">
        <v>4022</v>
      </c>
      <c r="X18" s="210"/>
      <c r="Y18" s="88"/>
      <c r="Z18" s="88"/>
      <c r="AA18" s="88"/>
      <c r="AB18" s="88"/>
      <c r="AC18" s="63"/>
      <c r="AD18" s="63"/>
    </row>
    <row r="19" spans="1:30" ht="40.15" customHeight="1" x14ac:dyDescent="0.3">
      <c r="A19" s="63"/>
      <c r="B19" s="224"/>
      <c r="C19" s="236">
        <v>1125</v>
      </c>
      <c r="D19" s="240" t="s">
        <v>3812</v>
      </c>
      <c r="E19" s="479">
        <f ca="1">_xlfn.IFNA(VLOOKUP(C19,Worksheet!$C$3:$G$46,3,FALSE),E19)</f>
        <v>40</v>
      </c>
      <c r="F19" s="479">
        <f ca="1">_xlfn.IFNA(VLOOKUP(C19,Worksheet!$C$3:$G$46,4,FALSE),F19)</f>
        <v>31</v>
      </c>
      <c r="G19" s="479">
        <f ca="1">_xlfn.IFNA(VLOOKUP(C19,Worksheet!$C$3:$G$46,5,FALSE),G19)</f>
        <v>59</v>
      </c>
      <c r="H19" s="205" t="s">
        <v>150</v>
      </c>
      <c r="I19" s="63"/>
      <c r="J19" s="65"/>
      <c r="K19" s="341" t="s">
        <v>61</v>
      </c>
      <c r="L19" s="341"/>
      <c r="M19" s="206" t="s">
        <v>4023</v>
      </c>
      <c r="N19" s="206"/>
      <c r="O19" s="206"/>
      <c r="P19" s="206"/>
      <c r="Q19" s="206"/>
      <c r="R19" s="303" t="s">
        <v>561</v>
      </c>
      <c r="S19" s="209" t="s">
        <v>4023</v>
      </c>
      <c r="T19" s="209"/>
      <c r="U19" s="342" t="s">
        <v>562</v>
      </c>
      <c r="V19" s="342"/>
      <c r="W19" s="210" t="s">
        <v>4022</v>
      </c>
      <c r="X19" s="210"/>
      <c r="Y19" s="63"/>
      <c r="Z19" s="63"/>
      <c r="AA19" s="63"/>
      <c r="AB19" s="63"/>
      <c r="AC19" s="63"/>
      <c r="AD19" s="63"/>
    </row>
    <row r="20" spans="1:30" ht="40.15" customHeight="1" x14ac:dyDescent="0.25">
      <c r="A20" s="63"/>
      <c r="B20" s="224"/>
      <c r="C20" s="236">
        <v>1126</v>
      </c>
      <c r="D20" s="240" t="s">
        <v>3813</v>
      </c>
      <c r="E20" s="479">
        <f ca="1">_xlfn.IFNA(VLOOKUP(C20,Worksheet!$C$3:$G$46,3,FALSE),E20)</f>
        <v>0</v>
      </c>
      <c r="F20" s="479">
        <f ca="1">_xlfn.IFNA(VLOOKUP(C20,Worksheet!$C$3:$G$46,4,FALSE),F20)</f>
        <v>0</v>
      </c>
      <c r="G20" s="479">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0</v>
      </c>
      <c r="F21" s="479">
        <f ca="1">_xlfn.IFNA(VLOOKUP(C21,Worksheet!$C$3:$G$46,4,FALSE),F21)</f>
        <v>0</v>
      </c>
      <c r="G21" s="479">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14</v>
      </c>
      <c r="F23" s="479">
        <f ca="1">_xlfn.IFNA(VLOOKUP(C23,Worksheet!$C$3:$G$46,4,FALSE),F23)</f>
        <v>11</v>
      </c>
      <c r="G23" s="479">
        <f ca="1">_xlfn.IFNA(VLOOKUP(C23,Worksheet!$C$3:$G$46,5,FALSE),G23)</f>
        <v>22</v>
      </c>
      <c r="H23" s="205" t="s">
        <v>150</v>
      </c>
      <c r="I23" s="63"/>
      <c r="J23" s="65"/>
      <c r="K23" s="63"/>
      <c r="L23" s="63"/>
      <c r="M23" s="63"/>
      <c r="N23" s="63"/>
      <c r="O23" s="91">
        <v>42644</v>
      </c>
      <c r="P23" s="92">
        <f>N17</f>
        <v>11.125</v>
      </c>
      <c r="Q23" s="93">
        <f>O17</f>
        <v>9.1428571428571423</v>
      </c>
      <c r="R23" s="93">
        <f>P17</f>
        <v>6.1818181818181817</v>
      </c>
      <c r="S23" s="93">
        <f>Q17</f>
        <v>12.25</v>
      </c>
      <c r="T23" s="93">
        <f>R17</f>
        <v>11.555555555555555</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26</v>
      </c>
      <c r="F24" s="479">
        <f ca="1">_xlfn.IFNA(VLOOKUP(C24,Worksheet!$C$3:$G$46,4,FALSE),F24)</f>
        <v>21</v>
      </c>
      <c r="G24" s="479">
        <f ca="1">_xlfn.IFNA(VLOOKUP(C24,Worksheet!$C$3:$G$46,5,FALSE),G24)</f>
        <v>37</v>
      </c>
      <c r="H24" s="205" t="s">
        <v>150</v>
      </c>
      <c r="I24" s="63"/>
      <c r="J24" s="65"/>
      <c r="K24" s="63"/>
      <c r="L24" s="63"/>
      <c r="M24" s="63"/>
      <c r="N24" s="63"/>
      <c r="O24" s="91">
        <v>42675</v>
      </c>
      <c r="P24" s="92">
        <f>S17</f>
        <v>8.875</v>
      </c>
      <c r="Q24" s="93">
        <f>T17</f>
        <v>7.1785714285714288</v>
      </c>
      <c r="R24" s="93">
        <f>U17</f>
        <v>4.8030303030303036</v>
      </c>
      <c r="S24" s="93">
        <f>V17</f>
        <v>9.4499999999999993</v>
      </c>
      <c r="T24" s="93">
        <f>W17</f>
        <v>8.8888888888888893</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36</v>
      </c>
      <c r="F25" s="479">
        <f ca="1">_xlfn.IFNA(VLOOKUP(C25,Worksheet!$C$3:$G$46,4,FALSE),F25)</f>
        <v>26</v>
      </c>
      <c r="G25" s="479">
        <f ca="1">_xlfn.IFNA(VLOOKUP(C25,Worksheet!$C$3:$G$46,5,FALSE),G25)</f>
        <v>54</v>
      </c>
      <c r="H25" s="205" t="s">
        <v>150</v>
      </c>
      <c r="I25" s="63"/>
      <c r="J25" s="63"/>
      <c r="K25" s="63"/>
      <c r="L25" s="63"/>
      <c r="M25" s="63"/>
      <c r="N25" s="63"/>
      <c r="O25" s="91">
        <v>42705</v>
      </c>
      <c r="P25" s="92">
        <f>X17</f>
        <v>16.8125</v>
      </c>
      <c r="Q25" s="93">
        <f>Y17</f>
        <v>13.514880952380954</v>
      </c>
      <c r="R25" s="93">
        <f>Z17</f>
        <v>10.272727272727273</v>
      </c>
      <c r="S25" s="93">
        <f>AA17</f>
        <v>17.59375</v>
      </c>
      <c r="T25" s="93">
        <f>AB17</f>
        <v>16.611111111111111</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4</v>
      </c>
      <c r="F26" s="479">
        <f ca="1">_xlfn.IFNA(VLOOKUP(C26,Worksheet!$C$3:$G$46,4,FALSE),F26)</f>
        <v>6</v>
      </c>
      <c r="G26" s="479">
        <f ca="1">_xlfn.IFNA(VLOOKUP(C26,Worksheet!$C$3:$G$46,5,FALSE),G26)</f>
        <v>5</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0</v>
      </c>
      <c r="F27" s="479">
        <f ca="1">_xlfn.IFNA(VLOOKUP(C27,Worksheet!$C$3:$G$46,4,FALSE),F27)</f>
        <v>0</v>
      </c>
      <c r="G27" s="479">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0</v>
      </c>
      <c r="F29" s="479">
        <f ca="1">_xlfn.IFNA(VLOOKUP(C29,Worksheet!$C$3:$G$46,4,FALSE),F29)</f>
        <v>0</v>
      </c>
      <c r="G29" s="479">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40</v>
      </c>
      <c r="F30" s="479">
        <f ca="1">_xlfn.IFNA(VLOOKUP(C30,Worksheet!$C$3:$G$46,4,FALSE),F30)</f>
        <v>31</v>
      </c>
      <c r="G30" s="479">
        <f ca="1">_xlfn.IFNA(VLOOKUP(C30,Worksheet!$C$3:$G$46,5,FALSE),G30)</f>
        <v>59</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40</v>
      </c>
      <c r="F31" s="479">
        <f ca="1">_xlfn.IFNA(VLOOKUP(C31,Worksheet!$C$3:$G$46,4,FALSE),F31)</f>
        <v>32</v>
      </c>
      <c r="G31" s="479">
        <f ca="1">_xlfn.IFNA(VLOOKUP(C31,Worksheet!$C$3:$G$46,5,FALSE),G31)</f>
        <v>59</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40</v>
      </c>
      <c r="F32" s="479">
        <f ca="1">_xlfn.IFNA(VLOOKUP(C32,Worksheet!$C$3:$G$46,4,FALSE),F32)</f>
        <v>31</v>
      </c>
      <c r="G32" s="479">
        <f ca="1">_xlfn.IFNA(VLOOKUP(C32,Worksheet!$C$3:$G$46,5,FALSE),G32)</f>
        <v>59</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40</v>
      </c>
      <c r="F33" s="479">
        <f ca="1">_xlfn.IFNA(VLOOKUP(C33,Worksheet!$C$3:$G$46,4,FALSE),F33)</f>
        <v>32</v>
      </c>
      <c r="G33" s="479">
        <f ca="1">_xlfn.IFNA(VLOOKUP(C33,Worksheet!$C$3:$G$46,5,FALSE),G33)</f>
        <v>59</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36</v>
      </c>
      <c r="F34" s="479">
        <f ca="1">_xlfn.IFNA(VLOOKUP(C34,Worksheet!$C$3:$G$46,4,FALSE),F34)</f>
        <v>26</v>
      </c>
      <c r="G34" s="479">
        <f ca="1">_xlfn.IFNA(VLOOKUP(C34,Worksheet!$C$3:$G$46,5,FALSE),G34)</f>
        <v>54</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36</v>
      </c>
      <c r="F35" s="479">
        <f ca="1">_xlfn.IFNA(VLOOKUP(C35,Worksheet!$C$3:$G$46,4,FALSE),F35)</f>
        <v>26</v>
      </c>
      <c r="G35" s="479">
        <f ca="1">_xlfn.IFNA(VLOOKUP(C35,Worksheet!$C$3:$G$46,5,FALSE),G35)</f>
        <v>54</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36</v>
      </c>
      <c r="F36" s="479">
        <f ca="1">_xlfn.IFNA(VLOOKUP(C36,Worksheet!$C$3:$G$46,4,FALSE),F36)</f>
        <v>26</v>
      </c>
      <c r="G36" s="479">
        <f ca="1">_xlfn.IFNA(VLOOKUP(C36,Worksheet!$C$3:$G$46,5,FALSE),G36)</f>
        <v>54</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36</v>
      </c>
      <c r="F37" s="479">
        <f ca="1">_xlfn.IFNA(VLOOKUP(C37,Worksheet!$C$3:$G$46,4,FALSE),F37)</f>
        <v>26</v>
      </c>
      <c r="G37" s="479">
        <f ca="1">_xlfn.IFNA(VLOOKUP(C37,Worksheet!$C$3:$G$46,5,FALSE),G37)</f>
        <v>54</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0</v>
      </c>
      <c r="F38" s="479">
        <f ca="1">_xlfn.IFNA(VLOOKUP(C38,Worksheet!$C$3:$G$46,4,FALSE),F38)</f>
        <v>0</v>
      </c>
      <c r="G38" s="479">
        <f ca="1">_xlfn.IFNA(VLOOKUP(C38,Worksheet!$C$3:$G$46,5,FALSE),G38)</f>
        <v>0</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0</v>
      </c>
      <c r="F39" s="479">
        <f ca="1">_xlfn.IFNA(VLOOKUP(C39,Worksheet!$C$3:$G$46,4,FALSE),F39)</f>
        <v>0</v>
      </c>
      <c r="G39" s="479">
        <f ca="1">_xlfn.IFNA(VLOOKUP(C39,Worksheet!$C$3:$G$46,5,FALSE),G39)</f>
        <v>0</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112</v>
      </c>
      <c r="G2" s="205" t="s">
        <v>150</v>
      </c>
    </row>
    <row r="3" spans="1:7" ht="45" customHeight="1" x14ac:dyDescent="0.25">
      <c r="A3" s="224"/>
      <c r="B3" s="228" t="s">
        <v>4006</v>
      </c>
      <c r="C3" s="226" t="s">
        <v>3976</v>
      </c>
      <c r="D3" s="226"/>
      <c r="E3" s="229"/>
      <c r="F3" s="298">
        <f ca="1">_xlfn.IFNA(VLOOKUP(B3,Worksheet!$C$3:$G$46,5,FALSE),F3)</f>
        <v>1</v>
      </c>
      <c r="G3" s="205" t="s">
        <v>150</v>
      </c>
    </row>
    <row r="4" spans="1:7" ht="45" customHeight="1" x14ac:dyDescent="0.25">
      <c r="A4" s="224"/>
      <c r="B4" s="228" t="s">
        <v>4007</v>
      </c>
      <c r="C4" s="226" t="s">
        <v>3977</v>
      </c>
      <c r="D4" s="230"/>
      <c r="E4" s="229"/>
      <c r="F4" s="298">
        <f ca="1">_xlfn.IFNA(VLOOKUP(B4,Worksheet!$C$3:$G$46,5,FALSE),F4)</f>
        <v>90</v>
      </c>
      <c r="G4" s="205" t="s">
        <v>150</v>
      </c>
    </row>
    <row r="5" spans="1:7" ht="45" customHeight="1" x14ac:dyDescent="0.25">
      <c r="A5" s="224"/>
      <c r="B5" s="228" t="s">
        <v>4008</v>
      </c>
      <c r="C5" s="226" t="s">
        <v>3978</v>
      </c>
      <c r="D5" s="226"/>
      <c r="E5" s="229"/>
      <c r="F5" s="298">
        <f ca="1">_xlfn.IFNA(VLOOKUP(B5,Worksheet!$C$3:$G$46,5,FALSE),F5)</f>
        <v>0</v>
      </c>
      <c r="G5" s="205" t="s">
        <v>150</v>
      </c>
    </row>
    <row r="6" spans="1:7" ht="45" customHeight="1" x14ac:dyDescent="0.25">
      <c r="A6" s="224"/>
      <c r="B6" s="231" t="s">
        <v>4009</v>
      </c>
      <c r="C6" s="232" t="s">
        <v>3979</v>
      </c>
      <c r="D6" s="233"/>
      <c r="E6" s="234"/>
      <c r="F6" s="235">
        <f ca="1">_xlfn.IFNA(VLOOKUP(F2,Data_donotedit!$BE$2:$BG$25,3,TRUE),0)</f>
        <v>57</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customHeight="1" x14ac:dyDescent="0.25">
      <c r="A10" s="224"/>
      <c r="B10" s="236">
        <v>1113</v>
      </c>
      <c r="C10" s="240" t="s">
        <v>3803</v>
      </c>
      <c r="D10" s="299">
        <f ca="1">_xlfn.IFNA(VLOOKUP(B10,Worksheet!$C$3:$G$46,3,FALSE),D10)</f>
        <v>40</v>
      </c>
      <c r="E10" s="299">
        <f ca="1">_xlfn.IFNA(VLOOKUP(B10,Worksheet!$C$3:$G$46,4,FALSE),E10)</f>
        <v>32</v>
      </c>
      <c r="F10" s="299">
        <f ca="1">_xlfn.IFNA(VLOOKUP(B10,Worksheet!$C$3:$G$46,5,FALSE),F10)</f>
        <v>59</v>
      </c>
      <c r="G10" s="205" t="s">
        <v>150</v>
      </c>
    </row>
    <row r="11" spans="1:7" ht="45" customHeight="1" x14ac:dyDescent="0.25">
      <c r="A11" s="224"/>
      <c r="B11" s="236">
        <v>1114</v>
      </c>
      <c r="C11" s="241" t="s">
        <v>3804</v>
      </c>
      <c r="D11" s="299">
        <f ca="1">_xlfn.IFNA(VLOOKUP(B11,Worksheet!$C$3:$G$46,3,FALSE),D11)</f>
        <v>40</v>
      </c>
      <c r="E11" s="299">
        <f ca="1">_xlfn.IFNA(VLOOKUP(B11,Worksheet!$C$3:$G$46,4,FALSE),E11)</f>
        <v>32</v>
      </c>
      <c r="F11" s="299">
        <f ca="1">_xlfn.IFNA(VLOOKUP(B11,Worksheet!$C$3:$G$46,5,FALSE),F11)</f>
        <v>59</v>
      </c>
      <c r="G11" s="205" t="s">
        <v>150</v>
      </c>
    </row>
    <row r="12" spans="1:7" ht="45" customHeight="1" x14ac:dyDescent="0.25">
      <c r="A12" s="224"/>
      <c r="B12" s="236">
        <v>1115</v>
      </c>
      <c r="C12" s="240" t="s">
        <v>3805</v>
      </c>
      <c r="D12" s="299">
        <f ca="1">_xlfn.IFNA(VLOOKUP(B12,Worksheet!$C$3:$G$46,3,FALSE),D12)</f>
        <v>40</v>
      </c>
      <c r="E12" s="299">
        <f ca="1">_xlfn.IFNA(VLOOKUP(B12,Worksheet!$C$3:$G$46,4,FALSE),E12)</f>
        <v>32</v>
      </c>
      <c r="F12" s="299">
        <f ca="1">_xlfn.IFNA(VLOOKUP(B12,Worksheet!$C$3:$G$46,5,FALSE),F12)</f>
        <v>59</v>
      </c>
      <c r="G12" s="205" t="s">
        <v>150</v>
      </c>
    </row>
    <row r="13" spans="1:7" ht="45" customHeight="1" x14ac:dyDescent="0.25">
      <c r="A13" s="224" t="s">
        <v>3806</v>
      </c>
      <c r="B13" s="236">
        <v>1116</v>
      </c>
      <c r="C13" s="240" t="s">
        <v>3807</v>
      </c>
      <c r="D13" s="299">
        <f ca="1">_xlfn.IFNA(VLOOKUP(B13,Worksheet!$C$3:$G$46,3,FALSE),D13)</f>
        <v>40</v>
      </c>
      <c r="E13" s="299">
        <f ca="1">_xlfn.IFNA(VLOOKUP(B13,Worksheet!$C$3:$G$46,4,FALSE),E13)</f>
        <v>32</v>
      </c>
      <c r="F13" s="299">
        <f ca="1">_xlfn.IFNA(VLOOKUP(B13,Worksheet!$C$3:$G$46,5,FALSE),F13)</f>
        <v>59</v>
      </c>
      <c r="G13" s="205" t="s">
        <v>150</v>
      </c>
    </row>
    <row r="14" spans="1:7" ht="45" customHeight="1" x14ac:dyDescent="0.25">
      <c r="A14" s="224"/>
      <c r="B14" s="236">
        <v>1117</v>
      </c>
      <c r="C14" s="240" t="s">
        <v>3808</v>
      </c>
      <c r="D14" s="299">
        <f ca="1">_xlfn.IFNA(VLOOKUP(B14,Worksheet!$C$3:$G$46,3,FALSE),D14)</f>
        <v>40</v>
      </c>
      <c r="E14" s="299">
        <f ca="1">_xlfn.IFNA(VLOOKUP(B14,Worksheet!$C$3:$G$46,4,FALSE),E14)</f>
        <v>32</v>
      </c>
      <c r="F14" s="299">
        <f ca="1">_xlfn.IFNA(VLOOKUP(B14,Worksheet!$C$3:$G$46,5,FALSE),F14)</f>
        <v>59</v>
      </c>
      <c r="G14" s="205" t="s">
        <v>150</v>
      </c>
    </row>
    <row r="15" spans="1:7" ht="45" hidden="1" customHeight="1" x14ac:dyDescent="0.25">
      <c r="A15" s="224">
        <v>1116</v>
      </c>
      <c r="B15" s="236">
        <v>1121</v>
      </c>
      <c r="C15" s="241" t="str">
        <f>C13</f>
        <v xml:space="preserve">How many HTC clients have a completed Client intake form </v>
      </c>
      <c r="D15" s="300">
        <f ca="1">D13</f>
        <v>40</v>
      </c>
      <c r="E15" s="300">
        <f t="shared" ref="E15:F15" ca="1" si="0">E13</f>
        <v>32</v>
      </c>
      <c r="F15" s="300">
        <f t="shared" ca="1" si="0"/>
        <v>59</v>
      </c>
      <c r="G15" s="205"/>
    </row>
    <row r="16" spans="1:7" ht="45" customHeight="1" x14ac:dyDescent="0.25">
      <c r="A16" s="224"/>
      <c r="B16" s="236">
        <v>1122</v>
      </c>
      <c r="C16" s="241" t="s">
        <v>3809</v>
      </c>
      <c r="D16" s="299">
        <f ca="1">_xlfn.IFNA(VLOOKUP(B16,Worksheet!$C$3:$G$46,3,FALSE),D16)</f>
        <v>40</v>
      </c>
      <c r="E16" s="299">
        <f ca="1">_xlfn.IFNA(VLOOKUP(B16,Worksheet!$C$3:$G$46,4,FALSE),E16)</f>
        <v>32</v>
      </c>
      <c r="F16" s="299">
        <f ca="1">_xlfn.IFNA(VLOOKUP(B16,Worksheet!$C$3:$G$46,5,FALSE),F16)</f>
        <v>59</v>
      </c>
      <c r="G16" s="205" t="s">
        <v>150</v>
      </c>
    </row>
    <row r="17" spans="1:7" ht="45" customHeight="1" x14ac:dyDescent="0.25">
      <c r="A17" s="224"/>
      <c r="B17" s="236">
        <v>1123</v>
      </c>
      <c r="C17" s="240" t="s">
        <v>3810</v>
      </c>
      <c r="D17" s="299">
        <f ca="1">_xlfn.IFNA(VLOOKUP(B17,Worksheet!$C$3:$G$46,3,FALSE),D17)</f>
        <v>40</v>
      </c>
      <c r="E17" s="299">
        <f ca="1">_xlfn.IFNA(VLOOKUP(B17,Worksheet!$C$3:$G$46,4,FALSE),E17)</f>
        <v>32</v>
      </c>
      <c r="F17" s="299">
        <f ca="1">_xlfn.IFNA(VLOOKUP(B17,Worksheet!$C$3:$G$46,5,FALSE),F17)</f>
        <v>59</v>
      </c>
      <c r="G17" s="205" t="s">
        <v>150</v>
      </c>
    </row>
    <row r="18" spans="1:7" ht="45" customHeight="1" x14ac:dyDescent="0.25">
      <c r="A18" s="224"/>
      <c r="B18" s="236">
        <v>1124</v>
      </c>
      <c r="C18" s="240" t="s">
        <v>3811</v>
      </c>
      <c r="D18" s="299">
        <f ca="1">_xlfn.IFNA(VLOOKUP(B18,Worksheet!$C$3:$G$46,3,FALSE),D18)</f>
        <v>40</v>
      </c>
      <c r="E18" s="299">
        <f ca="1">_xlfn.IFNA(VLOOKUP(B18,Worksheet!$C$3:$G$46,4,FALSE),E18)</f>
        <v>32</v>
      </c>
      <c r="F18" s="299">
        <f ca="1">_xlfn.IFNA(VLOOKUP(B18,Worksheet!$C$3:$G$46,5,FALSE),F18)</f>
        <v>59</v>
      </c>
      <c r="G18" s="205" t="s">
        <v>150</v>
      </c>
    </row>
    <row r="19" spans="1:7" ht="45" customHeight="1" x14ac:dyDescent="0.25">
      <c r="A19" s="224"/>
      <c r="B19" s="236">
        <v>1125</v>
      </c>
      <c r="C19" s="240" t="s">
        <v>3812</v>
      </c>
      <c r="D19" s="299">
        <f ca="1">_xlfn.IFNA(VLOOKUP(B19,Worksheet!$C$3:$G$46,3,FALSE),D19)</f>
        <v>40</v>
      </c>
      <c r="E19" s="299">
        <f ca="1">_xlfn.IFNA(VLOOKUP(B19,Worksheet!$C$3:$G$46,4,FALSE),E19)</f>
        <v>31</v>
      </c>
      <c r="F19" s="299">
        <f ca="1">_xlfn.IFNA(VLOOKUP(B19,Worksheet!$C$3:$G$46,5,FALSE),F19)</f>
        <v>59</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14</v>
      </c>
      <c r="E23" s="299">
        <f ca="1">_xlfn.IFNA(VLOOKUP(B23,Worksheet!$C$3:$G$46,4,FALSE),E23)</f>
        <v>11</v>
      </c>
      <c r="F23" s="299">
        <f ca="1">_xlfn.IFNA(VLOOKUP(B23,Worksheet!$C$3:$G$46,5,FALSE),F23)</f>
        <v>22</v>
      </c>
      <c r="G23" s="205" t="s">
        <v>150</v>
      </c>
    </row>
    <row r="24" spans="1:7" ht="45" customHeight="1" x14ac:dyDescent="0.25">
      <c r="A24" s="224"/>
      <c r="B24" s="236">
        <v>1132</v>
      </c>
      <c r="C24" s="240" t="s">
        <v>3816</v>
      </c>
      <c r="D24" s="299">
        <f ca="1">_xlfn.IFNA(VLOOKUP(B24,Worksheet!$C$3:$G$46,3,FALSE),D24)</f>
        <v>26</v>
      </c>
      <c r="E24" s="299">
        <f ca="1">_xlfn.IFNA(VLOOKUP(B24,Worksheet!$C$3:$G$46,4,FALSE),E24)</f>
        <v>21</v>
      </c>
      <c r="F24" s="299">
        <f ca="1">_xlfn.IFNA(VLOOKUP(B24,Worksheet!$C$3:$G$46,5,FALSE),F24)</f>
        <v>37</v>
      </c>
      <c r="G24" s="205" t="s">
        <v>150</v>
      </c>
    </row>
    <row r="25" spans="1:7" ht="45" customHeight="1" x14ac:dyDescent="0.25">
      <c r="A25" s="224"/>
      <c r="B25" s="236">
        <v>1133</v>
      </c>
      <c r="C25" s="240" t="s">
        <v>3817</v>
      </c>
      <c r="D25" s="299">
        <f ca="1">_xlfn.IFNA(VLOOKUP(B25,Worksheet!$C$3:$G$46,3,FALSE),D25)</f>
        <v>36</v>
      </c>
      <c r="E25" s="299">
        <f ca="1">_xlfn.IFNA(VLOOKUP(B25,Worksheet!$C$3:$G$46,4,FALSE),E25)</f>
        <v>26</v>
      </c>
      <c r="F25" s="299">
        <f ca="1">_xlfn.IFNA(VLOOKUP(B25,Worksheet!$C$3:$G$46,5,FALSE),F25)</f>
        <v>54</v>
      </c>
      <c r="G25" s="205" t="s">
        <v>150</v>
      </c>
    </row>
    <row r="26" spans="1:7" ht="45" customHeight="1" x14ac:dyDescent="0.25">
      <c r="A26" s="224"/>
      <c r="B26" s="236">
        <v>1134</v>
      </c>
      <c r="C26" s="240" t="s">
        <v>3818</v>
      </c>
      <c r="D26" s="299">
        <f ca="1">_xlfn.IFNA(VLOOKUP(B26,Worksheet!$C$3:$G$46,3,FALSE),D26)</f>
        <v>4</v>
      </c>
      <c r="E26" s="299">
        <f ca="1">_xlfn.IFNA(VLOOKUP(B26,Worksheet!$C$3:$G$46,4,FALSE),E26)</f>
        <v>6</v>
      </c>
      <c r="F26" s="299">
        <f ca="1">_xlfn.IFNA(VLOOKUP(B26,Worksheet!$C$3:$G$46,5,FALSE),F26)</f>
        <v>5</v>
      </c>
      <c r="G26" s="205" t="s">
        <v>150</v>
      </c>
    </row>
    <row r="27" spans="1:7" ht="45"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customHeight="1" x14ac:dyDescent="0.25">
      <c r="A30" s="224"/>
      <c r="B30" s="236">
        <v>1138</v>
      </c>
      <c r="C30" s="240" t="s">
        <v>3822</v>
      </c>
      <c r="D30" s="299">
        <f ca="1">_xlfn.IFNA(VLOOKUP(B30,Worksheet!$C$3:$G$46,3,FALSE),D30)</f>
        <v>40</v>
      </c>
      <c r="E30" s="299">
        <f ca="1">_xlfn.IFNA(VLOOKUP(B30,Worksheet!$C$3:$G$46,4,FALSE),E30)</f>
        <v>31</v>
      </c>
      <c r="F30" s="299">
        <f ca="1">_xlfn.IFNA(VLOOKUP(B30,Worksheet!$C$3:$G$46,5,FALSE),F30)</f>
        <v>59</v>
      </c>
      <c r="G30" s="205" t="s">
        <v>150</v>
      </c>
    </row>
    <row r="31" spans="1:7" ht="45" hidden="1" customHeight="1" x14ac:dyDescent="0.25">
      <c r="A31" s="224">
        <v>1116</v>
      </c>
      <c r="B31" s="236">
        <v>1141</v>
      </c>
      <c r="C31" s="240" t="s">
        <v>3823</v>
      </c>
      <c r="D31" s="300">
        <f ca="1">D13</f>
        <v>40</v>
      </c>
      <c r="E31" s="300">
        <f ca="1">E13</f>
        <v>32</v>
      </c>
      <c r="F31" s="300">
        <f ca="1">F13</f>
        <v>59</v>
      </c>
      <c r="G31" s="205"/>
    </row>
    <row r="32" spans="1:7" ht="45" hidden="1" customHeight="1" x14ac:dyDescent="0.25">
      <c r="A32" s="224"/>
      <c r="B32" s="236">
        <v>1142</v>
      </c>
      <c r="C32" s="241" t="s">
        <v>3824</v>
      </c>
      <c r="D32" s="300">
        <f ca="1">D18</f>
        <v>40</v>
      </c>
      <c r="E32" s="300">
        <f ca="1">E18</f>
        <v>32</v>
      </c>
      <c r="F32" s="300">
        <f ca="1">F18</f>
        <v>59</v>
      </c>
      <c r="G32" s="205"/>
    </row>
    <row r="33" spans="1:7" ht="45" customHeight="1" x14ac:dyDescent="0.25">
      <c r="A33" s="224"/>
      <c r="B33" s="236">
        <v>1143</v>
      </c>
      <c r="C33" s="240" t="s">
        <v>3825</v>
      </c>
      <c r="D33" s="299">
        <f ca="1">_xlfn.IFNA(VLOOKUP(B33,Worksheet!$C$3:$G$46,3,FALSE),D33)</f>
        <v>40</v>
      </c>
      <c r="E33" s="299">
        <f ca="1">_xlfn.IFNA(VLOOKUP(B33,Worksheet!$C$3:$G$46,4,FALSE),E33)</f>
        <v>32</v>
      </c>
      <c r="F33" s="299">
        <f ca="1">_xlfn.IFNA(VLOOKUP(B33,Worksheet!$C$3:$G$46,5,FALSE),F33)</f>
        <v>59</v>
      </c>
      <c r="G33" s="205" t="s">
        <v>150</v>
      </c>
    </row>
    <row r="34" spans="1:7" ht="45" customHeight="1" x14ac:dyDescent="0.25">
      <c r="A34" s="224"/>
      <c r="B34" s="236">
        <v>1144</v>
      </c>
      <c r="C34" s="240" t="s">
        <v>3826</v>
      </c>
      <c r="D34" s="299">
        <f ca="1">_xlfn.IFNA(VLOOKUP(B34,Worksheet!$C$3:$G$46,3,FALSE),D34)</f>
        <v>40</v>
      </c>
      <c r="E34" s="299">
        <f ca="1">_xlfn.IFNA(VLOOKUP(B34,Worksheet!$C$3:$G$46,4,FALSE),E34)</f>
        <v>31</v>
      </c>
      <c r="F34" s="299">
        <f ca="1">_xlfn.IFNA(VLOOKUP(B34,Worksheet!$C$3:$G$46,5,FALSE),F34)</f>
        <v>59</v>
      </c>
      <c r="G34" s="205" t="s">
        <v>150</v>
      </c>
    </row>
    <row r="35" spans="1:7" ht="45" customHeight="1" x14ac:dyDescent="0.25">
      <c r="A35" s="224"/>
      <c r="B35" s="236">
        <v>1145</v>
      </c>
      <c r="C35" s="240" t="s">
        <v>3827</v>
      </c>
      <c r="D35" s="299">
        <f ca="1">_xlfn.IFNA(VLOOKUP(B35,Worksheet!$C$3:$G$46,3,FALSE),D35)</f>
        <v>40</v>
      </c>
      <c r="E35" s="299">
        <f ca="1">_xlfn.IFNA(VLOOKUP(B35,Worksheet!$C$3:$G$46,4,FALSE),E35)</f>
        <v>32</v>
      </c>
      <c r="F35" s="299">
        <f ca="1">_xlfn.IFNA(VLOOKUP(B35,Worksheet!$C$3:$G$46,5,FALSE),F35)</f>
        <v>59</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customHeight="1" x14ac:dyDescent="0.25">
      <c r="A37" s="224"/>
      <c r="B37" s="236">
        <v>1152</v>
      </c>
      <c r="C37" s="240" t="s">
        <v>3829</v>
      </c>
      <c r="D37" s="299">
        <f ca="1">_xlfn.IFNA(VLOOKUP(B37,Worksheet!$C$3:$G$46,3,FALSE),D37)</f>
        <v>36</v>
      </c>
      <c r="E37" s="299">
        <f ca="1">_xlfn.IFNA(VLOOKUP(B37,Worksheet!$C$3:$G$46,4,FALSE),E37)</f>
        <v>26</v>
      </c>
      <c r="F37" s="299">
        <f ca="1">_xlfn.IFNA(VLOOKUP(B37,Worksheet!$C$3:$G$46,5,FALSE),F37)</f>
        <v>54</v>
      </c>
      <c r="G37" s="205" t="s">
        <v>150</v>
      </c>
    </row>
    <row r="38" spans="1:7" ht="45" customHeight="1" x14ac:dyDescent="0.25">
      <c r="A38" s="224"/>
      <c r="B38" s="236">
        <v>1153</v>
      </c>
      <c r="C38" s="240" t="s">
        <v>3830</v>
      </c>
      <c r="D38" s="299">
        <f ca="1">_xlfn.IFNA(VLOOKUP(B38,Worksheet!$C$3:$G$46,3,FALSE),D38)</f>
        <v>36</v>
      </c>
      <c r="E38" s="299">
        <f ca="1">_xlfn.IFNA(VLOOKUP(B38,Worksheet!$C$3:$G$46,4,FALSE),E38)</f>
        <v>26</v>
      </c>
      <c r="F38" s="299">
        <f ca="1">_xlfn.IFNA(VLOOKUP(B38,Worksheet!$C$3:$G$46,5,FALSE),F38)</f>
        <v>54</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customHeight="1" x14ac:dyDescent="0.25">
      <c r="A40" s="224"/>
      <c r="B40" s="236">
        <v>1155</v>
      </c>
      <c r="C40" s="240" t="s">
        <v>3829</v>
      </c>
      <c r="D40" s="299">
        <f ca="1">_xlfn.IFNA(VLOOKUP(B40,Worksheet!$C$3:$G$46,3,FALSE),D40)</f>
        <v>36</v>
      </c>
      <c r="E40" s="299">
        <f ca="1">_xlfn.IFNA(VLOOKUP(B40,Worksheet!$C$3:$G$46,4,FALSE),E40)</f>
        <v>26</v>
      </c>
      <c r="F40" s="299">
        <f ca="1">_xlfn.IFNA(VLOOKUP(B40,Worksheet!$C$3:$G$46,5,FALSE),F40)</f>
        <v>54</v>
      </c>
      <c r="G40" s="205" t="s">
        <v>150</v>
      </c>
    </row>
    <row r="41" spans="1:7" ht="45" customHeight="1" x14ac:dyDescent="0.25">
      <c r="A41" s="224"/>
      <c r="B41" s="236">
        <v>1156</v>
      </c>
      <c r="C41" s="240" t="s">
        <v>3832</v>
      </c>
      <c r="D41" s="299">
        <f ca="1">_xlfn.IFNA(VLOOKUP(B41,Worksheet!$C$3:$G$46,3,FALSE),D41)</f>
        <v>36</v>
      </c>
      <c r="E41" s="299">
        <f ca="1">_xlfn.IFNA(VLOOKUP(B41,Worksheet!$C$3:$G$46,4,FALSE),E41)</f>
        <v>26</v>
      </c>
      <c r="F41" s="299">
        <f ca="1">_xlfn.IFNA(VLOOKUP(B41,Worksheet!$C$3:$G$46,5,FALSE),F41)</f>
        <v>54</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0</v>
      </c>
      <c r="G43" s="205" t="s">
        <v>150</v>
      </c>
    </row>
    <row r="44" spans="1:7" s="248" customFormat="1" ht="45"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22</v>
      </c>
      <c r="G46" s="205" t="s">
        <v>83</v>
      </c>
    </row>
    <row r="47" spans="1:7" s="248" customFormat="1" ht="45" hidden="1" customHeight="1" x14ac:dyDescent="0.25">
      <c r="A47" s="224"/>
      <c r="B47" s="255" t="s">
        <v>4010</v>
      </c>
      <c r="C47" s="226" t="s">
        <v>3971</v>
      </c>
      <c r="D47" s="230"/>
      <c r="E47" s="229"/>
      <c r="F47" s="298">
        <f ca="1">_xlfn.IFNA(VLOOKUP(B47,Worksheet!$C$3:$G$46,5,FALSE),F47)</f>
        <v>1</v>
      </c>
      <c r="G47" s="205" t="s">
        <v>83</v>
      </c>
    </row>
    <row r="48" spans="1:7" ht="45" hidden="1" customHeight="1" x14ac:dyDescent="0.25">
      <c r="A48" s="224"/>
      <c r="B48" s="255" t="s">
        <v>4011</v>
      </c>
      <c r="C48" s="226" t="s">
        <v>3972</v>
      </c>
      <c r="D48" s="226"/>
      <c r="E48" s="256"/>
      <c r="F48" s="298">
        <f ca="1">_xlfn.IFNA(VLOOKUP(B48,Worksheet!$C$3:$G$46,5,FALSE),F48)</f>
        <v>1</v>
      </c>
      <c r="G48" s="205" t="s">
        <v>83</v>
      </c>
    </row>
    <row r="49" spans="1:7" ht="45" hidden="1" customHeight="1" x14ac:dyDescent="0.25">
      <c r="A49" s="224"/>
      <c r="B49" s="257" t="s">
        <v>4012</v>
      </c>
      <c r="C49" s="258" t="s">
        <v>3984</v>
      </c>
      <c r="D49" s="233"/>
      <c r="E49" s="259"/>
      <c r="F49" s="235">
        <f ca="1">_xlfn.IFNA(VLOOKUP(F46,Data_donotedit!$BE$2:$BG$25,3,TRUE),0)</f>
        <v>24</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0</v>
      </c>
      <c r="E52" s="299">
        <f ca="1">_xlfn.IFNA(VLOOKUP(B52,Worksheet!$C$3:$G$46,4,FALSE),E52)</f>
        <v>0</v>
      </c>
      <c r="F52" s="299">
        <f ca="1">_xlfn.IFNA(VLOOKUP(B52,Worksheet!$C$3:$G$46,5,FALSE),F52)</f>
        <v>0</v>
      </c>
      <c r="G52" s="205" t="s">
        <v>83</v>
      </c>
    </row>
    <row r="53" spans="1:7" ht="45" hidden="1" customHeight="1" x14ac:dyDescent="0.25">
      <c r="A53" s="224"/>
      <c r="B53" s="236">
        <v>1213</v>
      </c>
      <c r="C53" s="240" t="s">
        <v>3841</v>
      </c>
      <c r="D53" s="299">
        <f ca="1">_xlfn.IFNA(VLOOKUP(B53,Worksheet!$C$3:$G$46,3,FALSE),D53)</f>
        <v>12</v>
      </c>
      <c r="E53" s="299">
        <f ca="1">_xlfn.IFNA(VLOOKUP(B53,Worksheet!$C$3:$G$46,4,FALSE),E53)</f>
        <v>8</v>
      </c>
      <c r="F53" s="299">
        <f ca="1">_xlfn.IFNA(VLOOKUP(B53,Worksheet!$C$3:$G$46,5,FALSE),F53)</f>
        <v>14</v>
      </c>
      <c r="G53" s="205" t="s">
        <v>83</v>
      </c>
    </row>
    <row r="54" spans="1:7" ht="45" hidden="1" customHeight="1" x14ac:dyDescent="0.25">
      <c r="A54" s="224"/>
      <c r="B54" s="236">
        <v>1214</v>
      </c>
      <c r="C54" s="262" t="s">
        <v>3842</v>
      </c>
      <c r="D54" s="299">
        <f ca="1">_xlfn.IFNA(VLOOKUP(B54,Worksheet!$C$3:$G$46,3,FALSE),D54)</f>
        <v>12</v>
      </c>
      <c r="E54" s="299">
        <f ca="1">_xlfn.IFNA(VLOOKUP(B54,Worksheet!$C$3:$G$46,4,FALSE),E54)</f>
        <v>8</v>
      </c>
      <c r="F54" s="299">
        <f ca="1">_xlfn.IFNA(VLOOKUP(B54,Worksheet!$C$3:$G$46,5,FALSE),F54)</f>
        <v>14</v>
      </c>
      <c r="G54" s="205" t="s">
        <v>83</v>
      </c>
    </row>
    <row r="55" spans="1:7" ht="45" hidden="1" customHeight="1" x14ac:dyDescent="0.25">
      <c r="A55" s="224"/>
      <c r="B55" s="236">
        <v>1215</v>
      </c>
      <c r="C55" s="240" t="s">
        <v>3843</v>
      </c>
      <c r="D55" s="299">
        <f ca="1">_xlfn.IFNA(VLOOKUP(B55,Worksheet!$C$3:$G$46,3,FALSE),D55)</f>
        <v>12</v>
      </c>
      <c r="E55" s="299">
        <f ca="1">_xlfn.IFNA(VLOOKUP(B55,Worksheet!$C$3:$G$46,4,FALSE),E55)</f>
        <v>8</v>
      </c>
      <c r="F55" s="299">
        <f ca="1">_xlfn.IFNA(VLOOKUP(B55,Worksheet!$C$3:$G$46,5,FALSE),F55)</f>
        <v>14</v>
      </c>
      <c r="G55" s="205" t="s">
        <v>83</v>
      </c>
    </row>
    <row r="56" spans="1:7" ht="45" hidden="1" customHeight="1" x14ac:dyDescent="0.25">
      <c r="A56" s="224"/>
      <c r="B56" s="236">
        <v>1216</v>
      </c>
      <c r="C56" s="241" t="s">
        <v>3844</v>
      </c>
      <c r="D56" s="299">
        <f ca="1">_xlfn.IFNA(VLOOKUP(B56,Worksheet!$C$3:$G$46,3,FALSE),D56)</f>
        <v>6</v>
      </c>
      <c r="E56" s="299">
        <f ca="1">_xlfn.IFNA(VLOOKUP(B56,Worksheet!$C$3:$G$46,4,FALSE),E56)</f>
        <v>6</v>
      </c>
      <c r="F56" s="299">
        <f ca="1">_xlfn.IFNA(VLOOKUP(B56,Worksheet!$C$3:$G$46,5,FALSE),F56)</f>
        <v>12</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1</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1</v>
      </c>
      <c r="G58" s="205" t="s">
        <v>83</v>
      </c>
    </row>
    <row r="59" spans="1:7" ht="45" hidden="1" customHeight="1" x14ac:dyDescent="0.25">
      <c r="A59" s="224"/>
      <c r="B59" s="236">
        <v>1221</v>
      </c>
      <c r="C59" s="262" t="s">
        <v>3847</v>
      </c>
      <c r="D59" s="299">
        <f ca="1">_xlfn.IFNA(VLOOKUP(B59,Worksheet!$C$3:$G$46,3,FALSE),D59)</f>
        <v>6</v>
      </c>
      <c r="E59" s="299">
        <f ca="1">_xlfn.IFNA(VLOOKUP(B59,Worksheet!$C$3:$G$46,4,FALSE),E59)</f>
        <v>6</v>
      </c>
      <c r="F59" s="299">
        <f ca="1">_xlfn.IFNA(VLOOKUP(B59,Worksheet!$C$3:$G$46,5,FALSE),F59)</f>
        <v>12</v>
      </c>
      <c r="G59" s="205" t="s">
        <v>83</v>
      </c>
    </row>
    <row r="60" spans="1:7" ht="45" hidden="1" customHeight="1" x14ac:dyDescent="0.25">
      <c r="A60" s="224"/>
      <c r="B60" s="236">
        <v>1222</v>
      </c>
      <c r="C60" s="262" t="s">
        <v>3848</v>
      </c>
      <c r="D60" s="299">
        <f ca="1">_xlfn.IFNA(VLOOKUP(B60,Worksheet!$C$3:$G$46,3,FALSE),D60)</f>
        <v>6</v>
      </c>
      <c r="E60" s="299">
        <f ca="1">_xlfn.IFNA(VLOOKUP(B60,Worksheet!$C$3:$G$46,4,FALSE),E60)</f>
        <v>6</v>
      </c>
      <c r="F60" s="299">
        <f ca="1">_xlfn.IFNA(VLOOKUP(B60,Worksheet!$C$3:$G$46,5,FALSE),F60)</f>
        <v>12</v>
      </c>
      <c r="G60" s="205" t="s">
        <v>83</v>
      </c>
    </row>
    <row r="61" spans="1:7" ht="45" hidden="1" customHeight="1" x14ac:dyDescent="0.25">
      <c r="A61" s="224"/>
      <c r="B61" s="236">
        <v>1223</v>
      </c>
      <c r="C61" s="262" t="s">
        <v>3849</v>
      </c>
      <c r="D61" s="299">
        <f ca="1">_xlfn.IFNA(VLOOKUP(B61,Worksheet!$C$3:$G$46,3,FALSE),D61)</f>
        <v>6</v>
      </c>
      <c r="E61" s="299">
        <f ca="1">_xlfn.IFNA(VLOOKUP(B61,Worksheet!$C$3:$G$46,4,FALSE),E61)</f>
        <v>6</v>
      </c>
      <c r="F61" s="299">
        <f ca="1">_xlfn.IFNA(VLOOKUP(B61,Worksheet!$C$3:$G$46,5,FALSE),F61)</f>
        <v>12</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1</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12</v>
      </c>
      <c r="E67" s="299">
        <f ca="1">_xlfn.IFNA(VLOOKUP(B67,Worksheet!$C$3:$G$46,4,FALSE),E67)</f>
        <v>8</v>
      </c>
      <c r="F67" s="299">
        <f ca="1">_xlfn.IFNA(VLOOKUP(B67,Worksheet!$C$3:$G$46,5,FALSE),F67)</f>
        <v>14</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12</v>
      </c>
      <c r="E73" s="299">
        <f ca="1">_xlfn.IFNA(VLOOKUP(B73,Worksheet!$C$3:$G$46,4,FALSE),E73)</f>
        <v>8</v>
      </c>
      <c r="F73" s="299">
        <f ca="1">_xlfn.IFNA(VLOOKUP(B73,Worksheet!$C$3:$G$46,5,FALSE),F73)</f>
        <v>13</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1</v>
      </c>
      <c r="G74" s="205" t="s">
        <v>83</v>
      </c>
    </row>
    <row r="75" spans="1:7" ht="45" hidden="1" customHeight="1" x14ac:dyDescent="0.25">
      <c r="A75" s="224"/>
      <c r="B75" s="236">
        <v>1243</v>
      </c>
      <c r="C75" s="241" t="s">
        <v>3862</v>
      </c>
      <c r="D75" s="299">
        <f ca="1">_xlfn.IFNA(VLOOKUP(B75,Worksheet!$C$3:$G$46,3,FALSE),D75)</f>
        <v>12</v>
      </c>
      <c r="E75" s="299">
        <f ca="1">_xlfn.IFNA(VLOOKUP(B75,Worksheet!$C$3:$G$46,4,FALSE),E75)</f>
        <v>8</v>
      </c>
      <c r="F75" s="299">
        <f ca="1">_xlfn.IFNA(VLOOKUP(B75,Worksheet!$C$3:$G$46,5,FALSE),F75)</f>
        <v>13</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1</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12</v>
      </c>
      <c r="E79" s="299">
        <f ca="1">_xlfn.IFNA(VLOOKUP(B79,Worksheet!$C$3:$G$46,4,FALSE),E79)</f>
        <v>8</v>
      </c>
      <c r="F79" s="299">
        <f ca="1">_xlfn.IFNA(VLOOKUP(B79,Worksheet!$C$3:$G$46,5,FALSE),F79)</f>
        <v>13</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1</v>
      </c>
      <c r="G80" s="205" t="s">
        <v>83</v>
      </c>
    </row>
    <row r="81" spans="1:7" ht="45" hidden="1" customHeight="1" x14ac:dyDescent="0.25">
      <c r="A81" s="217"/>
      <c r="B81" s="236">
        <v>1251</v>
      </c>
      <c r="C81" s="219" t="s">
        <v>3868</v>
      </c>
      <c r="D81" s="263">
        <f ca="1">D82</f>
        <v>12</v>
      </c>
      <c r="E81" s="263">
        <f t="shared" ref="E81:F81" ca="1" si="4">E82</f>
        <v>8</v>
      </c>
      <c r="F81" s="263">
        <f t="shared" ca="1" si="4"/>
        <v>14</v>
      </c>
      <c r="G81" s="205"/>
    </row>
    <row r="82" spans="1:7" ht="45" hidden="1" customHeight="1" x14ac:dyDescent="0.25">
      <c r="A82" s="224"/>
      <c r="B82" s="236">
        <v>1252</v>
      </c>
      <c r="C82" s="240" t="s">
        <v>3869</v>
      </c>
      <c r="D82" s="299">
        <f ca="1">_xlfn.IFNA(VLOOKUP(B82,Worksheet!$C$3:$G$46,3,FALSE),D82)</f>
        <v>12</v>
      </c>
      <c r="E82" s="299">
        <f ca="1">_xlfn.IFNA(VLOOKUP(B82,Worksheet!$C$3:$G$46,4,FALSE),E82)</f>
        <v>8</v>
      </c>
      <c r="F82" s="299">
        <f ca="1">_xlfn.IFNA(VLOOKUP(B82,Worksheet!$C$3:$G$46,5,FALSE),F82)</f>
        <v>14</v>
      </c>
      <c r="G82" s="205" t="s">
        <v>83</v>
      </c>
    </row>
    <row r="83" spans="1:7" ht="45" hidden="1" customHeight="1" x14ac:dyDescent="0.25">
      <c r="A83" s="224"/>
      <c r="B83" s="236">
        <v>1253</v>
      </c>
      <c r="C83" s="240" t="s">
        <v>3870</v>
      </c>
      <c r="D83" s="299">
        <f ca="1">_xlfn.IFNA(VLOOKUP(B83,Worksheet!$C$3:$G$46,3,FALSE),D83)</f>
        <v>12</v>
      </c>
      <c r="E83" s="299">
        <f ca="1">_xlfn.IFNA(VLOOKUP(B83,Worksheet!$C$3:$G$46,4,FALSE),E83)</f>
        <v>8</v>
      </c>
      <c r="F83" s="299">
        <f ca="1">_xlfn.IFNA(VLOOKUP(B83,Worksheet!$C$3:$G$46,5,FALSE),F83)</f>
        <v>14</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2</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3</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1</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2</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1</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1</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2</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2</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1</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1</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1</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1</v>
      </c>
      <c r="G106" s="264" t="s">
        <v>155</v>
      </c>
    </row>
    <row r="107" spans="1:7" s="268" customFormat="1" ht="45" hidden="1" customHeight="1" x14ac:dyDescent="0.25">
      <c r="A107" s="224"/>
      <c r="B107" s="236">
        <v>1342</v>
      </c>
      <c r="C107" s="240" t="s">
        <v>3892</v>
      </c>
      <c r="D107" s="269">
        <f ca="1">D94</f>
        <v>0</v>
      </c>
      <c r="E107" s="269">
        <f ca="1">E94</f>
        <v>0</v>
      </c>
      <c r="F107" s="269">
        <f ca="1">F94</f>
        <v>1</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1</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1</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1</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1</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Neny</cp:lastModifiedBy>
  <cp:lastPrinted>2017-01-11T15:12:50Z</cp:lastPrinted>
  <dcterms:created xsi:type="dcterms:W3CDTF">2017-01-08T13:42:03Z</dcterms:created>
  <dcterms:modified xsi:type="dcterms:W3CDTF">2017-02-23T08:03:40Z</dcterms:modified>
</cp:coreProperties>
</file>