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11970" windowHeight="45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T23" i="11" s="1"/>
  <c r="S17" i="11"/>
  <c r="P24" i="11" s="1"/>
  <c r="T17" i="11"/>
  <c r="Q24" i="11" s="1"/>
  <c r="U17" i="11"/>
  <c r="R24" i="11" s="1"/>
  <c r="V17" i="11"/>
  <c r="S24" i="11" s="1"/>
  <c r="W17" i="11"/>
  <c r="T24" i="11" s="1"/>
  <c r="X17" i="11"/>
  <c r="P25" i="11" s="1"/>
  <c r="Y17" i="11"/>
  <c r="Q25" i="11" s="1"/>
  <c r="Z17" i="11"/>
  <c r="R25" i="11" s="1"/>
  <c r="AA17" i="11"/>
  <c r="S25" i="11" s="1"/>
  <c r="AB17" i="11"/>
  <c r="T25"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<sst xmlns="http://schemas.openxmlformats.org/spreadsheetml/2006/main" count="27075" uniqueCount="4026">
  <si>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</si>
  <si>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</si>
  <si>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</si>
  <si>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</si>
  <si>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</si>
  <si>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</si>
  <si>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</si>
  <si>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</si>
  <si>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</si>
  <si>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</si>
  <si>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</si>
  <si>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</si>
  <si>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</si>
  <si>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</si>
  <si>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</si>
  <si>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</si>
  <si>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</si>
  <si>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</si>
  <si>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</si>
  <si>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</si>
  <si>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</si>
  <si>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</si>
  <si>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</si>
  <si>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</si>
  <si>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</si>
  <si>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</si>
  <si>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</si>
  <si>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</si>
  <si>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</si>
  <si>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</si>
  <si>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</si>
  <si>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</si>
  <si>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</si>
  <si>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</si>
  <si>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</si>
  <si>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</si>
  <si>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</si>
  <si>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</si>
  <si>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</si>
  <si>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</si>
  <si>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</si>
  <si>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</si>
  <si>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</si>
  <si>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</si>
  <si>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</si>
  <si>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</si>
  <si>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</si>
  <si>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</si>
  <si>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</si>
  <si>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</si>
  <si>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</si>
  <si>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</si>
  <si>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</si>
  <si>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</si>
  <si>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</si>
  <si>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</si>
  <si>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</si>
  <si>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</si>
  <si>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</si>
  <si>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</si>
  <si>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</si>
  <si>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</si>
  <si>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</si>
  <si>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</si>
  <si>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</si>
  <si>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</si>
  <si>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</si>
  <si>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</si>
  <si>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</si>
  <si>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</si>
  <si>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</si>
  <si>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</si>
  <si>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</si>
  <si>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</si>
  <si>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</si>
  <si>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</si>
  <si>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</si>
  <si>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</si>
  <si>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</si>
  <si>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</si>
  <si>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</si>
  <si>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</si>
  <si>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</si>
  <si>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</si>
  <si>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</si>
  <si>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</si>
  <si>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</si>
  <si>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</si>
  <si>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</si>
  <si>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</si>
  <si>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</si>
  <si>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</si>
  <si>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</si>
  <si>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</si>
  <si>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</si>
  <si>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</si>
  <si>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</si>
  <si>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</si>
  <si>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</si>
  <si>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</si>
  <si>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</si>
  <si>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</si>
  <si>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</si>
  <si>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</si>
  <si>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</si>
  <si>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</si>
  <si>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</si>
  <si>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</si>
  <si>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</si>
  <si>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</si>
  <si>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</si>
  <si>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</si>
  <si>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</si>
  <si>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</si>
  <si>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</si>
  <si>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</si>
  <si>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</si>
  <si>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</si>
  <si>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</si>
  <si>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</si>
  <si>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</si>
  <si>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</si>
  <si>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</si>
  <si>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</si>
  <si>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</si>
  <si>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</si>
  <si>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</si>
  <si>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</si>
  <si>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</si>
  <si>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</si>
  <si>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</si>
  <si>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</si>
  <si>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</si>
  <si>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</si>
  <si>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</si>
  <si>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</si>
  <si>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</si>
  <si>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</si>
  <si>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</si>
  <si>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</si>
  <si>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</si>
  <si>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</si>
  <si>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</si>
  <si>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</si>
  <si>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</si>
  <si>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</si>
  <si>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</si>
  <si>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</si>
  <si>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</si>
  <si>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</si>
  <si>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</si>
  <si>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</si>
  <si>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</si>
  <si>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</si>
  <si>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</si>
  <si>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</si>
  <si>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</si>
  <si>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</si>
  <si>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</si>
  <si>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</si>
  <si>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</si>
  <si>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</si>
  <si>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</si>
  <si>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</si>
  <si>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</si>
  <si>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</si>
  <si>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</si>
  <si>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</si>
  <si>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</si>
  <si>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</si>
  <si>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</si>
  <si>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</si>
  <si>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</si>
  <si>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</si>
  <si>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</si>
  <si>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</si>
  <si>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</si>
  <si>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</si>
  <si>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</si>
  <si>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</si>
  <si>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</si>
  <si>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</si>
  <si>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</si>
  <si>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</si>
  <si>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</si>
  <si>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</si>
  <si>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</si>
  <si>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</si>
  <si>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</si>
  <si>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</si>
  <si>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</si>
  <si>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</si>
  <si>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</si>
  <si>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</si>
  <si>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</si>
  <si>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</si>
  <si>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</si>
  <si>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</si>
  <si>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</si>
  <si>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</si>
  <si>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</si>
  <si>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</si>
  <si>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</si>
  <si>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</si>
  <si>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</si>
  <si>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</si>
  <si>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</si>
  <si>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</si>
  <si>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</si>
  <si>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</si>
  <si>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</si>
  <si>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</si>
  <si>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</si>
  <si>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</si>
  <si>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</si>
  <si>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</si>
  <si>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</si>
  <si>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</si>
  <si>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</si>
  <si>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</si>
  <si>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</si>
  <si>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</si>
  <si>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</si>
  <si>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</si>
  <si>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</si>
  <si>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</si>
  <si>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</si>
  <si>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</si>
  <si>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</si>
  <si>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</si>
  <si>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</si>
  <si>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</si>
  <si>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</si>
  <si>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</si>
  <si>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</si>
  <si>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</si>
  <si>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</si>
  <si>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</si>
  <si>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</si>
  <si>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</si>
  <si>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</si>
  <si>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</si>
  <si>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</si>
  <si>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</si>
  <si>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</si>
  <si>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</si>
  <si>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</si>
  <si>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</si>
  <si>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</si>
  <si>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</si>
  <si>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</si>
  <si>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</si>
  <si>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</si>
  <si>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</si>
  <si>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</si>
  <si>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</si>
  <si>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</si>
  <si>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</si>
  <si>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</si>
  <si>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</si>
  <si>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</si>
  <si>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</si>
  <si>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</si>
  <si>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</si>
  <si>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</si>
  <si>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</si>
  <si>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</si>
  <si>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</si>
  <si>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</si>
  <si>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</si>
  <si>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</si>
  <si>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</si>
  <si>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</si>
  <si>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</si>
  <si>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</si>
  <si>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</si>
  <si>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</si>
  <si>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</si>
  <si>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</si>
  <si>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</si>
  <si>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</si>
  <si>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</si>
  <si>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</si>
  <si>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</si>
  <si>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</si>
  <si>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</si>
  <si>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</si>
  <si>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</si>
  <si>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</si>
  <si>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</si>
  <si>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</si>
  <si>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</si>
  <si>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</si>
  <si>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</si>
  <si>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</si>
  <si>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</si>
  <si>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</si>
  <si>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</si>
  <si>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</si>
  <si>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</si>
  <si>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</si>
  <si>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</si>
  <si>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</si>
  <si>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</si>
  <si>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</si>
  <si>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</si>
  <si>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</si>
  <si>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</si>
  <si>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</si>
  <si>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</si>
  <si>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</si>
  <si>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</si>
  <si>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</si>
  <si>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</si>
  <si>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</si>
  <si>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</si>
  <si>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</si>
  <si>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</si>
  <si>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</si>
  <si>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</si>
  <si>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</si>
  <si>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</si>
  <si>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</si>
  <si>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</si>
  <si>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</si>
  <si>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</si>
  <si>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</si>
  <si>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</si>
  <si>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</si>
  <si>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</si>
  <si>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</si>
  <si>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</si>
  <si>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</si>
  <si>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</si>
  <si>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</si>
  <si>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</si>
  <si>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</si>
  <si>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</si>
  <si>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</si>
  <si>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</si>
  <si>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</si>
  <si>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</si>
  <si>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</si>
  <si>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</si>
  <si>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</si>
  <si>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</si>
  <si>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</si>
  <si>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</si>
  <si>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</si>
  <si>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</si>
  <si>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</si>
  <si>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</si>
  <si>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</si>
  <si>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</si>
  <si>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</si>
  <si>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</si>
  <si>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</si>
  <si>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</si>
  <si>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</si>
  <si>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</si>
  <si>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</si>
  <si>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</si>
  <si>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</si>
  <si>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</si>
  <si>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</si>
  <si>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</si>
  <si>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</si>
  <si>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</si>
  <si>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</si>
  <si>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</si>
  <si>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</si>
  <si>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</si>
  <si>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</si>
  <si>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</si>
  <si>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</si>
  <si>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</si>
  <si>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</si>
  <si>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</si>
  <si>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</si>
  <si>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</si>
  <si>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</si>
  <si>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</si>
  <si>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</si>
  <si>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</si>
  <si>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</si>
  <si>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</si>
  <si>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</si>
  <si>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</si>
  <si>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</si>
  <si>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</si>
  <si>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</si>
  <si>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</si>
  <si>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</si>
  <si>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</si>
  <si>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</si>
  <si>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</si>
  <si>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</si>
  <si>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</si>
  <si>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</si>
  <si>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</si>
  <si>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</si>
  <si>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</si>
  <si>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</si>
  <si>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</si>
  <si>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</si>
  <si>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</si>
  <si>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</si>
  <si>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</si>
  <si>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</si>
  <si>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</si>
  <si>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</si>
  <si>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</si>
  <si>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</si>
  <si>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</si>
  <si>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</si>
  <si>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</si>
  <si>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</si>
  <si>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</si>
  <si>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</si>
  <si>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</si>
  <si>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</si>
  <si>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</si>
  <si>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</si>
  <si>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</si>
  <si>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</si>
  <si>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</si>
  <si>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</si>
  <si>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</si>
  <si>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</si>
  <si>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</si>
  <si>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</si>
  <si>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</si>
  <si>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</si>
  <si>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</si>
  <si>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</si>
  <si>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</si>
  <si>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</si>
  <si>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</si>
  <si>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</si>
  <si>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</si>
  <si>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</si>
  <si>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</si>
  <si>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</si>
  <si>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</si>
  <si>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</si>
  <si>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</si>
  <si>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</si>
  <si>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</si>
  <si>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</si>
  <si>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</si>
  <si>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</si>
  <si>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</si>
  <si>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</si>
  <si>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</si>
  <si>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</si>
  <si>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</si>
  <si>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</si>
  <si>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</si>
  <si>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</si>
  <si>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</si>
  <si>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</si>
  <si>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</si>
  <si>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</si>
  <si>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</si>
  <si>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</si>
  <si>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</si>
  <si>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</si>
  <si>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</si>
  <si>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</si>
  <si>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</si>
  <si>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</si>
  <si>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</si>
  <si>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</si>
  <si>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</si>
  <si>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</si>
  <si>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</si>
  <si>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</si>
  <si>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</si>
  <si>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</si>
  <si>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</si>
  <si>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</si>
  <si>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</si>
  <si>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</si>
  <si>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</si>
  <si>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</si>
  <si>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</si>
  <si>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</si>
  <si>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</si>
  <si>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</si>
  <si>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</si>
  <si>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</si>
  <si>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</si>
  <si>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</si>
  <si>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</si>
  <si>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</si>
  <si>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</si>
  <si>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</si>
  <si>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</si>
  <si>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</si>
  <si>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</si>
  <si>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</si>
  <si>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</si>
  <si>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</si>
  <si>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</si>
  <si>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</si>
  <si>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</si>
  <si>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</si>
  <si>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</si>
  <si>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</si>
  <si>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</si>
  <si>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</si>
  <si>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</si>
  <si>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</si>
  <si>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</si>
  <si>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</si>
  <si>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</si>
  <si>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</si>
  <si>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</si>
  <si>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</si>
  <si>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</si>
  <si>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</si>
  <si>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</si>
  <si>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</si>
  <si>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</si>
  <si>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</si>
  <si>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</si>
  <si>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</si>
  <si>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</si>
  <si>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</si>
  <si>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</si>
  <si>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</si>
  <si>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</si>
  <si>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</si>
  <si>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</si>
  <si>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</si>
  <si>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</si>
  <si>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</si>
  <si>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</si>
  <si>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</si>
  <si>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</si>
  <si>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</si>
  <si>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</si>
  <si>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</si>
  <si>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</si>
  <si>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</si>
  <si>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</si>
  <si>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</si>
  <si>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</si>
  <si>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</si>
  <si>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</si>
  <si>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</si>
  <si>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</si>
  <si>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</si>
  <si>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</si>
  <si>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</si>
  <si>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</si>
  <si>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</si>
  <si>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</si>
  <si>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</si>
  <si>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</si>
  <si>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</si>
  <si>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</si>
  <si>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</si>
  <si>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</si>
  <si>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</si>
  <si>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</si>
  <si>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</si>
  <si>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</si>
  <si>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</si>
  <si>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</si>
  <si>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</si>
  <si>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</si>
  <si>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</si>
  <si>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</si>
  <si>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</si>
  <si>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</si>
  <si>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</si>
  <si>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</si>
  <si>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</si>
  <si>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</si>
  <si>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</si>
  <si>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</si>
  <si>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</si>
  <si>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</si>
  <si>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</si>
  <si>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</si>
  <si>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</si>
  <si>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</si>
  <si>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</si>
  <si>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</si>
  <si>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</si>
  <si>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</si>
  <si>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</si>
  <si>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</si>
  <si>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</si>
  <si>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</si>
  <si>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</si>
  <si>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</si>
  <si>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</si>
  <si>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</si>
  <si>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</si>
  <si>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</si>
  <si>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</si>
  <si>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</si>
  <si>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</si>
  <si>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</si>
  <si>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</si>
  <si>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</si>
  <si>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</si>
  <si>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</si>
  <si>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</si>
  <si>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</si>
  <si>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</si>
  <si>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</si>
  <si>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</si>
  <si>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</si>
  <si>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</si>
  <si>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</si>
  <si>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</si>
  <si>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</si>
  <si>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</si>
  <si>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</si>
  <si>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</si>
  <si>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</si>
  <si>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</si>
  <si>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</si>
  <si>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</si>
  <si>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</si>
  <si>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</si>
  <si>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</si>
  <si>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</si>
  <si>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</si>
  <si>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</si>
  <si>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</si>
  <si>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</si>
  <si>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</si>
  <si>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</si>
  <si>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</si>
  <si>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</si>
  <si>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</si>
  <si>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</si>
  <si>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</si>
  <si>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</si>
  <si>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</si>
  <si>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</si>
  <si>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</si>
  <si>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</si>
  <si>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</si>
  <si>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</si>
  <si>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</si>
  <si>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</si>
  <si>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</si>
  <si>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</si>
  <si>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</si>
  <si>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</si>
  <si>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</si>
  <si>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</si>
  <si>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</si>
  <si>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</si>
  <si>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</si>
  <si>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</si>
  <si>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</si>
  <si>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</si>
  <si>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</si>
  <si>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</si>
  <si>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</si>
  <si>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</si>
  <si>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</si>
  <si>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</si>
  <si>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</si>
  <si>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</si>
  <si>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</si>
  <si>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</si>
  <si>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</si>
  <si>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</si>
  <si>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</si>
  <si>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</si>
  <si>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</si>
  <si>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</si>
  <si>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</si>
  <si>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</si>
  <si>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</si>
  <si>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</si>
  <si>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</si>
  <si>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</si>
  <si>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</si>
  <si>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</si>
  <si>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</si>
  <si>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</si>
  <si>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</si>
  <si>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</si>
  <si>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</si>
  <si>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</si>
  <si>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</si>
  <si>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</si>
  <si>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</si>
  <si>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</si>
  <si>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</si>
  <si>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</si>
  <si>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</si>
  <si>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</si>
  <si>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</si>
  <si>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</si>
  <si>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</si>
  <si>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</si>
  <si>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</si>
  <si>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</si>
  <si>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</si>
  <si>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</si>
  <si>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</si>
  <si>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</si>
  <si>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</si>
  <si>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</si>
  <si>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</si>
  <si>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</si>
  <si>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</si>
  <si>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</si>
  <si>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</si>
  <si>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</si>
  <si>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</si>
  <si>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</si>
  <si>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</si>
  <si>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</si>
  <si>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</si>
  <si>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</si>
  <si>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</si>
  <si>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</si>
  <si>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</si>
  <si>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</si>
  <si>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</si>
  <si>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</si>
  <si>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</si>
  <si>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</si>
  <si>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</si>
  <si>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</si>
  <si>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</si>
  <si>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</si>
  <si>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</si>
  <si>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</si>
  <si>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</si>
  <si>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</si>
  <si>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</si>
  <si>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</si>
  <si>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</si>
  <si>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</si>
  <si>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</si>
  <si>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</si>
  <si>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</si>
  <si>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</si>
  <si>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</si>
  <si>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</si>
  <si>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</si>
  <si>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</si>
  <si>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</si>
  <si>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</si>
  <si>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</si>
  <si>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</si>
  <si>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</si>
  <si>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</si>
  <si>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</si>
  <si>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</si>
  <si>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</si>
  <si>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</si>
  <si>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</si>
  <si>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</si>
  <si>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</si>
  <si>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</si>
  <si>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</si>
  <si>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</si>
  <si>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</si>
  <si>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</si>
  <si>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</si>
  <si>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</si>
  <si>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</si>
  <si>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</si>
  <si>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</si>
  <si>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</si>
  <si>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</si>
  <si>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</si>
  <si>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</si>
  <si>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</si>
  <si>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</si>
  <si>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</si>
  <si>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</si>
  <si>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</si>
  <si>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</si>
  <si>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</si>
  <si>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</si>
  <si>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</si>
  <si>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</si>
  <si>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</si>
  <si>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</si>
  <si>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</si>
  <si>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</si>
  <si>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</si>
  <si>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</si>
  <si>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</si>
  <si>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</si>
  <si>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</si>
  <si>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</si>
  <si>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</si>
  <si>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</si>
  <si>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</si>
  <si>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</si>
  <si>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</si>
  <si>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</si>
  <si>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</si>
  <si>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</si>
  <si>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</si>
  <si>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</si>
  <si>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</si>
  <si>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</si>
  <si>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</si>
  <si>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</si>
  <si>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</si>
  <si>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</si>
  <si>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</si>
  <si>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</si>
  <si>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</si>
  <si>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</si>
  <si>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</si>
  <si>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</si>
  <si>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</si>
  <si>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</si>
  <si>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</si>
  <si>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</si>
  <si>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</si>
  <si>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</si>
  <si>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</si>
  <si>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</si>
  <si>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</si>
  <si>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</si>
  <si>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</si>
  <si>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</si>
  <si>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</si>
  <si>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</si>
  <si>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</si>
  <si>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</si>
  <si>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</si>
  <si>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</si>
  <si>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</si>
  <si>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</si>
  <si>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</si>
  <si>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</si>
  <si>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</si>
  <si>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</si>
  <si>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</si>
  <si>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</si>
  <si>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</si>
  <si>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</si>
  <si>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</si>
  <si>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</si>
  <si>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</si>
  <si>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</si>
  <si>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</si>
  <si>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</si>
  <si>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</si>
  <si>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</si>
  <si>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</si>
  <si>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</si>
  <si>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</si>
  <si>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</si>
  <si>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</si>
  <si>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</si>
  <si>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</si>
  <si>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</si>
  <si>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</si>
  <si>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</si>
  <si>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</si>
  <si>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</si>
  <si>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</si>
  <si>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</si>
  <si>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</si>
  <si>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</si>
  <si>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</si>
  <si>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</si>
  <si>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</si>
  <si>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</si>
  <si>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</si>
  <si>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</si>
  <si>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</si>
  <si>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</si>
  <si>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</si>
  <si>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</si>
  <si>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</si>
  <si>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</si>
  <si>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</si>
  <si>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</si>
  <si>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</si>
  <si>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</si>
  <si>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</si>
  <si>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</si>
  <si>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</si>
  <si>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</si>
  <si>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</si>
  <si>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</si>
  <si>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</si>
  <si>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</si>
  <si>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</si>
  <si>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</si>
  <si>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</si>
  <si>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</si>
  <si>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</si>
  <si>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</si>
  <si>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</si>
  <si>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</si>
  <si>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</si>
  <si>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</si>
  <si>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</si>
  <si>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</si>
  <si>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</si>
  <si>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</si>
  <si>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</si>
  <si>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</si>
  <si>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</si>
  <si>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</si>
  <si>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</si>
  <si>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</si>
  <si>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</si>
  <si>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</si>
  <si>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</si>
  <si>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</si>
  <si>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</si>
  <si>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</si>
  <si>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</si>
  <si>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</si>
  <si>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</si>
  <si>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</si>
  <si>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</si>
  <si>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</si>
  <si>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</si>
  <si>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</si>
  <si>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</si>
  <si>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</si>
  <si>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</si>
  <si>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</si>
  <si>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</si>
  <si>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</si>
  <si>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</si>
  <si>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</si>
  <si>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</si>
  <si>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</si>
  <si>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</si>
  <si>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</si>
  <si>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</si>
  <si>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</si>
  <si>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</si>
  <si>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</si>
  <si>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</si>
  <si>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</si>
  <si>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</si>
  <si>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</si>
  <si>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</si>
  <si>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</si>
  <si>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</si>
  <si>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</si>
  <si>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</si>
  <si>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</si>
  <si>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</si>
  <si>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</si>
  <si>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</si>
  <si>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</si>
  <si>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</si>
  <si>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</si>
  <si>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</si>
  <si>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</si>
  <si>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</si>
  <si>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</si>
  <si>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</si>
  <si>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</si>
  <si>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</si>
  <si>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</si>
  <si>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</si>
  <si>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</si>
  <si>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</si>
  <si>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</si>
  <si>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</si>
  <si>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</si>
  <si>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</si>
  <si>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</si>
  <si>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</si>
  <si>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</si>
  <si>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</si>
  <si>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</si>
  <si>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</si>
  <si>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</si>
  <si>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</si>
  <si>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</si>
  <si>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</si>
  <si>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</si>
  <si>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</si>
  <si>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</si>
  <si>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</si>
  <si>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</si>
  <si>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</si>
  <si>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</si>
  <si>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</si>
  <si>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</si>
  <si>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</si>
  <si>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</si>
  <si>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</si>
  <si>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</si>
  <si>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</si>
  <si>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</si>
  <si>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</si>
  <si>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</si>
  <si>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</si>
  <si>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</si>
  <si>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</si>
  <si>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</si>
  <si>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</si>
  <si>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</si>
  <si>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</si>
  <si>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</si>
  <si>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</si>
  <si>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</si>
  <si>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</si>
  <si>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</si>
  <si>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</si>
  <si>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</si>
  <si>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</si>
  <si>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</si>
  <si>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</si>
  <si>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</si>
  <si>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</si>
  <si>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</si>
  <si>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</si>
  <si>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</si>
  <si>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</si>
  <si>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</si>
  <si>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</si>
  <si>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</si>
  <si>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</si>
  <si>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</si>
  <si>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</si>
  <si>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</si>
  <si>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</si>
  <si>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</si>
  <si>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</si>
  <si>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</si>
  <si>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</si>
  <si>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</si>
  <si>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</si>
  <si>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</si>
  <si>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</si>
  <si>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</si>
  <si>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</si>
  <si>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</si>
  <si>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</si>
  <si>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</si>
  <si>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</si>
  <si>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</si>
  <si>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</si>
  <si>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</si>
  <si>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</si>
  <si>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</si>
  <si>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</si>
  <si>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</si>
  <si>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</si>
  <si>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</si>
  <si>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</si>
  <si>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</si>
  <si>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</si>
  <si>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</si>
  <si>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</si>
  <si>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</si>
  <si>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</si>
  <si>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</si>
  <si>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</si>
  <si>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</si>
  <si>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</si>
  <si>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</si>
  <si>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</si>
  <si>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</si>
  <si>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</si>
  <si>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</si>
  <si>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</si>
  <si>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</si>
  <si>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</si>
  <si>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</si>
  <si>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</si>
  <si>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</si>
  <si>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</si>
  <si>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</si>
  <si>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</si>
  <si>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</si>
  <si>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</si>
  <si>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</si>
  <si>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</si>
  <si>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</si>
  <si>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</si>
  <si>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</si>
  <si>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</si>
  <si>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</si>
  <si>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</si>
  <si>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</si>
  <si>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</si>
  <si>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</si>
  <si>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</si>
  <si>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</si>
  <si>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</si>
  <si>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</si>
  <si>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</si>
  <si>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</si>
  <si>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</si>
  <si>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</si>
  <si>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</si>
  <si>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</si>
  <si>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</si>
  <si>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</si>
  <si>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</si>
  <si>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</si>
  <si>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</si>
  <si>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</si>
  <si>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</si>
  <si>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</si>
  <si>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</si>
  <si>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</si>
  <si>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</si>
  <si>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</si>
  <si>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</si>
  <si>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</si>
  <si>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</si>
  <si>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</si>
  <si>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</si>
  <si>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</si>
  <si>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</si>
  <si>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</si>
  <si>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</si>
  <si>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</si>
  <si>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</si>
  <si>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</si>
  <si>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</si>
  <si>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</si>
  <si>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</si>
  <si>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</si>
  <si>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</si>
  <si>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</si>
  <si>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</si>
  <si>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</si>
  <si>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</si>
  <si>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</si>
  <si>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</si>
  <si>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</si>
  <si>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</si>
  <si>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</si>
  <si>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</si>
  <si>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</si>
  <si>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</si>
  <si>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</si>
  <si>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</si>
  <si>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</si>
  <si>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</si>
  <si>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</si>
  <si>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</si>
  <si>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</si>
  <si>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</si>
  <si>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</si>
  <si>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</si>
  <si>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</si>
  <si>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</si>
  <si>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</si>
  <si>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</si>
  <si>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</si>
  <si>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</si>
  <si>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</si>
  <si>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</si>
  <si>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</si>
  <si>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</si>
  <si>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</si>
  <si>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</si>
  <si>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</si>
  <si>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</si>
  <si>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</si>
  <si>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</si>
  <si>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</si>
  <si>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</si>
  <si>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</si>
  <si>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</si>
  <si>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</si>
  <si>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</si>
  <si>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</si>
  <si>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</si>
  <si>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</si>
  <si>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</si>
  <si>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</si>
  <si>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</si>
  <si>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</si>
  <si>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</si>
  <si>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</si>
  <si>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</si>
  <si>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</si>
  <si>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</si>
  <si>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</si>
  <si>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</si>
  <si>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</si>
  <si>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</si>
  <si>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</si>
  <si>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</si>
  <si>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</si>
  <si>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</si>
  <si>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</si>
  <si>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</si>
  <si>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</si>
  <si>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</si>
  <si>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</si>
  <si>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</si>
  <si>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</si>
  <si>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</si>
  <si>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</si>
  <si>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</si>
  <si>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</si>
  <si>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</si>
  <si>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</si>
  <si>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</si>
  <si>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</si>
  <si>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</si>
  <si>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</si>
  <si>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</si>
  <si>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</si>
  <si>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</si>
  <si>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</si>
  <si>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</si>
  <si>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</si>
  <si>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</si>
  <si>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</si>
  <si>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</si>
  <si>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</si>
  <si>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</si>
  <si>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</si>
  <si>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</si>
  <si>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</si>
  <si>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</si>
  <si>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</si>
  <si>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</si>
  <si>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</si>
  <si>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</si>
  <si>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</si>
  <si>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</si>
  <si>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</si>
  <si>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</si>
  <si>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</si>
  <si>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</si>
  <si>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</si>
  <si>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</si>
  <si>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</si>
  <si>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</si>
  <si>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</si>
  <si>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</si>
  <si>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</si>
  <si>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</si>
  <si>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</si>
  <si>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</si>
  <si>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</si>
  <si>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</si>
  <si>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</si>
  <si>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</si>
  <si>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</si>
  <si>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</si>
  <si>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</si>
  <si>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</si>
  <si>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</si>
  <si>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</si>
  <si>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</si>
  <si>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</si>
  <si>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</si>
  <si>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</si>
  <si>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</si>
  <si>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</si>
  <si>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</si>
  <si>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</si>
  <si>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</si>
  <si>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</si>
  <si>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</si>
  <si>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</si>
  <si>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</si>
  <si>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</si>
  <si>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</si>
  <si>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</si>
  <si>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</si>
  <si>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</si>
  <si>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</si>
  <si>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</si>
  <si>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</si>
  <si>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</si>
  <si>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</si>
  <si>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</si>
  <si>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</si>
  <si>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</si>
  <si>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</si>
  <si>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</si>
  <si>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</si>
  <si>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</si>
  <si>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</si>
  <si>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</si>
  <si>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</si>
  <si>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</si>
  <si>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</si>
  <si>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</si>
  <si>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</si>
  <si>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</si>
  <si>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</si>
  <si>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</si>
  <si>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</si>
  <si>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</si>
  <si>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</si>
  <si>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</si>
  <si>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</si>
  <si>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</si>
  <si>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</si>
  <si>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</si>
  <si>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</si>
  <si>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</si>
  <si>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</si>
  <si>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</si>
  <si>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</si>
  <si>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</si>
  <si>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</si>
  <si>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</si>
  <si>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</si>
  <si>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</si>
  <si>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</si>
  <si>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</si>
  <si>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</si>
  <si>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</si>
  <si>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</si>
  <si>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</si>
  <si>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</si>
  <si>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</si>
  <si>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</si>
  <si>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</si>
  <si>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</si>
  <si>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</si>
  <si>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</si>
  <si>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</si>
  <si>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</si>
  <si>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</si>
  <si>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</si>
  <si>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</si>
  <si>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</si>
  <si>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</si>
  <si>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</si>
  <si>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</si>
  <si>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</si>
  <si>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</si>
  <si>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</si>
  <si>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</si>
  <si>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</si>
  <si>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</si>
  <si>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</si>
  <si>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</si>
  <si>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</si>
  <si>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</si>
  <si>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</si>
  <si>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</si>
  <si>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</si>
  <si>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</si>
  <si>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</si>
  <si>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</si>
  <si>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</si>
  <si>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</si>
  <si>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</si>
  <si>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</si>
  <si>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</si>
  <si>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</si>
  <si>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</si>
  <si>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</si>
  <si>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</si>
  <si>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</si>
  <si>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</si>
  <si>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</si>
  <si>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</si>
  <si>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</si>
  <si>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</si>
  <si>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</si>
  <si>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</si>
  <si>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</si>
  <si>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</si>
  <si>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</si>
  <si>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</si>
  <si>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</si>
  <si>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</si>
  <si>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</si>
  <si>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</si>
  <si>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</si>
  <si>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</si>
  <si>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</si>
  <si>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</si>
  <si>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</si>
  <si>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</si>
  <si>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</si>
  <si>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</si>
  <si>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</si>
  <si>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</si>
  <si>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</si>
  <si>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</si>
  <si>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</si>
  <si>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</si>
  <si>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</si>
  <si>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</si>
  <si>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</si>
  <si>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</si>
  <si>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</si>
  <si>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</si>
  <si>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</si>
  <si>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</si>
  <si>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</si>
  <si>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</si>
  <si>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</si>
  <si>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</si>
  <si>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</si>
  <si>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</si>
  <si>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</si>
  <si>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</si>
  <si>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</si>
  <si>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</si>
  <si>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</si>
  <si>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</si>
  <si>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</si>
  <si>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</si>
  <si>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</si>
  <si>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</si>
  <si>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</si>
  <si>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</si>
  <si>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</si>
  <si>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</si>
  <si>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</si>
  <si>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</si>
  <si>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</si>
  <si>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</si>
  <si>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</si>
  <si>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</si>
  <si>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</si>
  <si>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</si>
  <si>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</si>
  <si>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</si>
  <si>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</si>
  <si>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</si>
  <si>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</si>
  <si>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</si>
  <si>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</si>
  <si>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</si>
  <si>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</si>
  <si>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</si>
  <si>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</si>
  <si>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</si>
  <si>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</si>
  <si>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</si>
  <si>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</si>
  <si>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</si>
  <si>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</si>
  <si>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</si>
  <si>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</si>
  <si>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</si>
  <si>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</si>
  <si>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</si>
  <si>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</si>
  <si>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</si>
  <si>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</si>
  <si>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</si>
  <si>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</si>
  <si>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</si>
  <si>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</si>
  <si>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</si>
  <si>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</si>
  <si>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</si>
  <si>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</si>
  <si>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</si>
  <si>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</si>
  <si>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</si>
  <si>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</si>
  <si>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</si>
  <si>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</si>
  <si>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</si>
  <si>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</si>
  <si>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</si>
  <si>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</si>
  <si>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</si>
  <si>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</si>
  <si>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</si>
  <si>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</si>
  <si>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</si>
  <si>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</si>
  <si>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</si>
  <si>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</si>
  <si>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</si>
  <si>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</si>
  <si>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</si>
  <si>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</si>
  <si>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</si>
  <si>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</si>
  <si>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</si>
  <si>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</si>
  <si>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</si>
  <si>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</si>
  <si>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</si>
  <si>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</si>
  <si>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</si>
  <si>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</si>
  <si>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</si>
  <si>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</si>
  <si>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</si>
  <si>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</si>
  <si>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</si>
  <si>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</si>
  <si>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</si>
  <si>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</si>
  <si>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</si>
  <si>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</si>
  <si>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</si>
  <si>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</si>
  <si>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</si>
  <si>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</si>
  <si>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</si>
  <si>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</si>
  <si>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</si>
  <si>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</si>
  <si>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</si>
  <si>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</si>
  <si>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</si>
  <si>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</si>
  <si>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</si>
  <si>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</si>
  <si>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</si>
  <si>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</si>
  <si>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</si>
  <si>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</si>
  <si>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</si>
  <si>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</si>
  <si>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</si>
  <si>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</si>
  <si>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</si>
  <si>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</si>
  <si>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</si>
  <si>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</si>
  <si>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</si>
  <si>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</si>
  <si>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</si>
  <si>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</si>
  <si>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</si>
  <si>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</si>
  <si>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</si>
  <si>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</si>
  <si>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</si>
  <si>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</si>
  <si>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</si>
  <si>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</si>
  <si>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</si>
  <si>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</si>
  <si>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</si>
  <si>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</si>
  <si>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</si>
  <si>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</si>
  <si>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</si>
  <si>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</si>
  <si>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</si>
  <si>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</si>
  <si>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</si>
  <si>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</si>
  <si>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</si>
  <si>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</si>
  <si>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</si>
  <si>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</si>
  <si>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</si>
  <si>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</si>
  <si>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</si>
  <si>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</si>
  <si>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</si>
  <si>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</si>
  <si>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</si>
  <si>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</si>
  <si>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</si>
  <si>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</si>
  <si>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</si>
  <si>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</si>
  <si>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</si>
  <si>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</si>
  <si>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</si>
  <si>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</si>
  <si>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</si>
  <si>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</si>
  <si>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</si>
  <si>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</si>
  <si>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</si>
  <si>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</si>
  <si>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</si>
  <si>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</si>
  <si>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</si>
  <si>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</si>
  <si>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</si>
  <si>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</si>
  <si>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</si>
  <si>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</si>
  <si>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</si>
  <si>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</si>
  <si>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</si>
  <si>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</si>
  <si>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</si>
  <si>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</si>
  <si>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</si>
  <si>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</si>
  <si>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</si>
  <si>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</si>
  <si>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</si>
  <si>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</si>
  <si>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</si>
  <si>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</si>
  <si>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</si>
  <si>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</si>
  <si>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</si>
  <si>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</si>
  <si>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</si>
  <si>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</si>
  <si>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</si>
  <si>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</si>
  <si>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</si>
  <si>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</si>
  <si>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</si>
  <si>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</si>
  <si>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</si>
  <si>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</si>
  <si>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</si>
  <si>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</si>
  <si>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</si>
  <si>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</si>
  <si>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</si>
  <si>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</si>
  <si>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</si>
  <si>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</si>
  <si>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</si>
  <si>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</si>
  <si>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</si>
  <si>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</si>
  <si>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</si>
  <si>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</si>
  <si>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</si>
  <si>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</si>
  <si>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</si>
  <si>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</si>
  <si>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</si>
  <si>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</si>
  <si>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</si>
  <si>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</si>
  <si>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</si>
  <si>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</si>
  <si>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</si>
  <si>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</si>
  <si>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</si>
  <si>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</si>
  <si>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</si>
  <si>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</si>
  <si>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</si>
  <si>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</si>
  <si>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</si>
  <si>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</si>
  <si>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</si>
  <si>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</si>
  <si>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</si>
  <si>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</si>
  <si>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</si>
  <si>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</si>
  <si>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</si>
  <si>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</si>
  <si>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</si>
  <si>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</si>
  <si>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</si>
  <si>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</si>
  <si>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</si>
  <si>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</si>
  <si>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</si>
  <si>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</si>
  <si>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</si>
  <si>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</si>
  <si>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</si>
  <si>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</si>
  <si>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</si>
  <si>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</si>
  <si>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</si>
  <si>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</si>
  <si>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</si>
  <si>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</si>
  <si>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</si>
  <si>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</si>
  <si>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</si>
  <si>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</si>
  <si>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</si>
  <si>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</si>
  <si>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</si>
  <si>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</si>
  <si>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</si>
  <si>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</si>
  <si>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</si>
  <si>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</si>
  <si>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</si>
  <si>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</si>
  <si>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</si>
  <si>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</si>
  <si>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</si>
  <si>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</si>
  <si>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</si>
  <si>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</si>
  <si>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</si>
  <si>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</si>
  <si>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</si>
  <si>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</si>
  <si>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</si>
  <si>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</si>
  <si>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</si>
  <si>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</si>
  <si>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</si>
  <si>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</si>
  <si>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</si>
  <si>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</si>
  <si>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</si>
  <si>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</si>
  <si>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</si>
  <si>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</si>
  <si>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</si>
  <si>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</si>
  <si>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</si>
  <si>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</si>
  <si>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</si>
  <si>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</si>
  <si>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</si>
  <si>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</si>
  <si>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</si>
  <si>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</si>
  <si>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</si>
  <si>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</si>
  <si>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</si>
  <si>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</si>
  <si>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</si>
  <si>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</si>
  <si>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</si>
  <si>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</si>
  <si>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</si>
  <si>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</si>
  <si>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</si>
  <si>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</si>
  <si>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</si>
  <si>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</si>
  <si>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</si>
  <si>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</si>
  <si>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</si>
  <si>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</si>
  <si>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</si>
  <si>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</si>
  <si>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</si>
  <si>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</si>
  <si>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</si>
  <si>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</si>
  <si>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</si>
  <si>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</si>
  <si>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</si>
  <si>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</si>
  <si>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</si>
  <si>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</si>
  <si>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</si>
  <si>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</si>
  <si>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</si>
  <si>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</si>
  <si>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</si>
  <si>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</si>
  <si>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</si>
  <si>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</si>
  <si>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</si>
  <si>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</si>
  <si>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</si>
  <si>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</si>
  <si>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</si>
  <si>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</si>
  <si>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</si>
  <si>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</si>
  <si>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</si>
  <si>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</si>
  <si>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</si>
  <si>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</si>
  <si>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</si>
  <si>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</si>
  <si>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</si>
  <si>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</si>
  <si>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</si>
  <si>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</si>
  <si>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</si>
  <si>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</si>
  <si>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</si>
  <si>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</si>
  <si>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</si>
  <si>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</si>
  <si>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</si>
  <si>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</si>
  <si>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</si>
  <si>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</si>
  <si>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</si>
  <si>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</si>
  <si>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</si>
  <si>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</si>
  <si>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</si>
  <si>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</si>
  <si>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</si>
  <si>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</si>
  <si>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</si>
  <si>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</si>
  <si>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</si>
  <si>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</si>
  <si>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</si>
  <si>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</si>
  <si>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</si>
  <si>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</si>
  <si>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</si>
  <si>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</si>
  <si>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</si>
  <si>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</si>
  <si>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</si>
  <si>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</si>
  <si>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</si>
  <si>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</si>
  <si>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</si>
  <si>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</si>
  <si>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</si>
  <si>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</si>
  <si>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</si>
  <si>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</si>
  <si>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</si>
  <si>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</si>
  <si>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</si>
  <si>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</si>
  <si>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</si>
  <si>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</si>
  <si>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</si>
  <si>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</si>
  <si>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</si>
  <si>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</si>
  <si>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</si>
  <si>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</si>
  <si>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</si>
  <si>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</si>
  <si>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</si>
  <si>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</si>
  <si>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</si>
  <si>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</si>
  <si>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</si>
  <si>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</si>
  <si>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</si>
  <si>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</si>
  <si>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</si>
  <si>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</si>
  <si>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</si>
  <si>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</si>
  <si>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</si>
  <si>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</si>
  <si>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</si>
  <si>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</si>
  <si>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</si>
  <si>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</si>
  <si>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</si>
  <si>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</si>
  <si>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</si>
  <si>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</si>
  <si>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</si>
  <si>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</si>
  <si>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</si>
  <si>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</si>
  <si>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</si>
  <si>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</si>
  <si>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</si>
  <si>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</si>
  <si>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</si>
  <si>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</si>
  <si>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</si>
  <si>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</si>
  <si>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</si>
  <si>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</si>
  <si>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</si>
  <si>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</si>
  <si>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</si>
  <si>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</si>
  <si>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</si>
  <si>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</si>
  <si>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</si>
  <si>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</si>
  <si>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</si>
  <si>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</si>
  <si>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</si>
  <si>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</si>
  <si>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</si>
  <si>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</si>
  <si>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</si>
  <si>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</si>
  <si>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</si>
  <si>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</si>
  <si>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</si>
  <si>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</si>
  <si>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</si>
  <si>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</si>
  <si>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</si>
  <si>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</si>
  <si>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</si>
  <si>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</si>
  <si>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</si>
  <si>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</si>
  <si>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</si>
  <si>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</si>
  <si>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</si>
  <si>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</si>
  <si>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</si>
  <si>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</si>
  <si>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</si>
  <si>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</si>
  <si>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</si>
  <si>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</si>
  <si>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</si>
  <si>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</si>
  <si>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</si>
  <si>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</si>
  <si>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</si>
  <si>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</si>
  <si>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</si>
  <si>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</si>
  <si>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</si>
  <si>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</si>
  <si>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</si>
  <si>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</si>
  <si>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</si>
  <si>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</si>
  <si>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</si>
  <si>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</si>
  <si>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</si>
  <si>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</si>
  <si>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</si>
  <si>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</si>
  <si>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</si>
  <si>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</si>
  <si>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</si>
  <si>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</si>
  <si>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</si>
  <si>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</si>
  <si>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</si>
  <si>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</si>
  <si>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</si>
  <si>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</si>
  <si>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</si>
  <si>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</si>
  <si>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</si>
  <si>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</si>
  <si>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</si>
  <si>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</si>
  <si>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</si>
  <si>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</si>
  <si>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</si>
  <si>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</si>
  <si>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</si>
  <si>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</si>
  <si>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</si>
  <si>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</si>
  <si>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</si>
  <si>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</si>
  <si>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</si>
  <si>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</si>
  <si>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</si>
  <si>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</si>
  <si>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</si>
  <si>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</si>
  <si>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</si>
  <si>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</si>
  <si>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</si>
  <si>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</si>
  <si>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</si>
  <si>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</si>
  <si>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</si>
  <si>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</si>
  <si>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</si>
  <si>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</si>
  <si>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</si>
  <si>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</si>
  <si>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</si>
  <si>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</si>
  <si>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</si>
  <si>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</si>
  <si>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</si>
  <si>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</si>
  <si>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</si>
  <si>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</si>
  <si>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</si>
  <si>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</si>
  <si>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</si>
  <si>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</si>
  <si>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</si>
  <si>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</si>
  <si>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</si>
  <si>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</si>
  <si>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</si>
  <si>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</si>
  <si>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</si>
  <si>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</si>
  <si>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</si>
  <si>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</si>
  <si>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</si>
  <si>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</si>
  <si>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</si>
  <si>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</si>
  <si>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</si>
  <si>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</si>
  <si>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</si>
  <si>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</si>
  <si>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</si>
  <si>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</si>
  <si>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</si>
  <si>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</si>
  <si>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</si>
  <si>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</si>
  <si>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</si>
  <si>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</si>
  <si>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</si>
  <si>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</si>
  <si>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</si>
  <si>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</si>
  <si>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</si>
  <si>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</si>
  <si>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</si>
  <si>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</si>
  <si>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</si>
  <si>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</si>
  <si>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</si>
  <si>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</si>
  <si>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</si>
  <si>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</si>
  <si>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</si>
  <si>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</si>
  <si>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</si>
  <si>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</si>
  <si>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</si>
  <si>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</si>
  <si>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</si>
  <si>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</si>
  <si>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</si>
  <si>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</si>
  <si>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</si>
  <si>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</si>
  <si>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</si>
  <si>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</si>
  <si>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</si>
  <si>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</si>
  <si>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</si>
  <si>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</si>
  <si>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</si>
  <si>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</si>
  <si>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</si>
  <si>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</si>
  <si>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</si>
  <si>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</si>
  <si>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</si>
  <si>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</si>
  <si>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</si>
  <si>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</si>
  <si>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</si>
  <si>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</si>
  <si>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</si>
  <si>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</si>
  <si>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</si>
  <si>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</si>
  <si>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</si>
  <si>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</si>
  <si>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</si>
  <si>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</si>
  <si>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</si>
  <si>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</si>
  <si>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</si>
  <si>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</si>
  <si>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</si>
  <si>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</si>
  <si>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</si>
  <si>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</si>
  <si>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</si>
  <si>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</si>
  <si>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</si>
  <si>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</si>
  <si>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</si>
  <si>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</si>
  <si>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</si>
  <si>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</si>
  <si>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</si>
  <si>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</si>
  <si>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</si>
  <si>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</si>
  <si>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</si>
  <si>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</si>
  <si>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</si>
  <si>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</si>
  <si>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</si>
  <si>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</si>
  <si>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</si>
  <si>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</si>
  <si>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</si>
  <si>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</si>
  <si>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</si>
  <si>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</si>
  <si>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</si>
  <si>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</si>
  <si>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</si>
  <si>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</si>
  <si>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</si>
  <si>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</si>
  <si>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</si>
  <si>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</si>
  <si>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</si>
  <si>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</si>
  <si>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</si>
  <si>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</si>
  <si>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</si>
  <si>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</si>
  <si>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</si>
  <si>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</si>
  <si>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</si>
  <si>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</si>
  <si>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</si>
  <si>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</si>
  <si>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</si>
  <si>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</si>
  <si>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</si>
  <si>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</si>
  <si>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</si>
  <si>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</si>
  <si>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</si>
  <si>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</si>
  <si>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</si>
  <si>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</si>
  <si>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</si>
  <si>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</si>
  <si>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</si>
  <si>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</si>
  <si>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</si>
  <si>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</si>
  <si>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</si>
  <si>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</si>
  <si>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</si>
  <si>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</si>
  <si>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</si>
  <si>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</si>
  <si>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</si>
  <si>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</si>
  <si>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</si>
  <si>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</si>
  <si>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</si>
  <si>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</si>
  <si>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</si>
  <si>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</si>
  <si>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</si>
  <si>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</si>
  <si>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</si>
  <si>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</si>
  <si>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</si>
  <si>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</si>
  <si>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</si>
  <si>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</si>
  <si>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</si>
  <si>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</si>
  <si>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</si>
  <si>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</si>
  <si>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</si>
  <si>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</si>
  <si>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</si>
  <si>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</si>
  <si>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</si>
  <si>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</si>
  <si>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</si>
  <si>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</si>
  <si>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</si>
  <si>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</si>
  <si>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</si>
  <si>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</si>
  <si>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</si>
  <si>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</si>
  <si>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</si>
  <si>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</si>
  <si>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</si>
  <si>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</si>
  <si>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</si>
  <si>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</si>
  <si>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</si>
  <si>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</si>
  <si>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</si>
  <si>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</si>
  <si>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</si>
  <si>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</si>
  <si>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</si>
  <si>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</si>
  <si>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</si>
  <si>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</si>
  <si>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</si>
  <si>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</si>
  <si>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</si>
  <si>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</si>
  <si>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</si>
  <si>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</si>
  <si>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</si>
  <si>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</si>
  <si>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</si>
  <si>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</si>
  <si>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</si>
  <si>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</si>
  <si>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</si>
  <si>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</si>
  <si>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</si>
  <si>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</si>
  <si>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</si>
  <si>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</si>
  <si>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</si>
  <si>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</si>
  <si>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</si>
  <si>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</si>
  <si>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</si>
  <si>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</si>
  <si>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</si>
  <si>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</si>
  <si>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</si>
  <si>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</si>
  <si>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</si>
  <si>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</si>
  <si>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</si>
  <si>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</si>
  <si>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</si>
  <si>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</si>
  <si>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</si>
  <si>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</si>
  <si>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</si>
  <si>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</si>
  <si>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</si>
  <si>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</si>
  <si>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</si>
  <si>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</si>
  <si>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</si>
  <si>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</si>
  <si>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</si>
  <si>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</si>
  <si>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</si>
  <si>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</si>
  <si>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</si>
  <si>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</si>
  <si>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</si>
  <si>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</si>
  <si>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</si>
  <si>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</si>
  <si>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</si>
  <si>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</si>
  <si>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</si>
  <si>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</si>
  <si>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</si>
  <si>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</si>
  <si>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</si>
  <si>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</si>
  <si>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</si>
  <si>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</si>
  <si>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</si>
  <si>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</si>
  <si>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</si>
  <si>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</si>
  <si>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</si>
  <si>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</si>
  <si>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</si>
  <si>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</si>
  <si>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</si>
  <si>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</si>
  <si>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</si>
  <si>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</si>
  <si>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</si>
  <si>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</si>
  <si>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</si>
  <si>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</si>
  <si>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</si>
  <si>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</si>
  <si>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</si>
  <si>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</si>
  <si>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</si>
  <si>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</si>
  <si>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</si>
  <si>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</si>
  <si>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</si>
  <si>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</si>
  <si>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</si>
  <si>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</si>
  <si>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</si>
  <si>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</si>
  <si>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</si>
  <si>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</si>
  <si>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</si>
  <si>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</si>
  <si>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</si>
  <si>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</si>
  <si>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</si>
  <si>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</si>
  <si>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</si>
  <si>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</si>
  <si>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</si>
  <si>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</si>
  <si>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</si>
  <si>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</si>
  <si>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</si>
  <si>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</si>
  <si>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</si>
  <si>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</si>
  <si>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</si>
  <si>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</si>
  <si>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</si>
  <si>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</si>
  <si>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</si>
  <si>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</si>
  <si>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</si>
  <si>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</si>
  <si>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</si>
  <si>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</si>
  <si>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</si>
  <si>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</si>
  <si>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</si>
  <si>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</si>
  <si>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</si>
  <si>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</si>
  <si>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</si>
  <si>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</si>
  <si>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</si>
  <si>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</si>
  <si>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</si>
  <si>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</si>
  <si>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</si>
  <si>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</si>
  <si>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</si>
  <si>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</si>
  <si>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</si>
  <si>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</si>
  <si>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</si>
  <si>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</si>
  <si>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</si>
  <si>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</si>
  <si>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</si>
  <si>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</si>
  <si>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</si>
  <si>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</si>
  <si>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</si>
  <si>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</si>
  <si>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</si>
  <si>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</si>
  <si>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</si>
  <si>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</si>
  <si>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</si>
  <si>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</si>
  <si>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</si>
  <si>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</si>
  <si>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</si>
  <si>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</si>
  <si>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</si>
  <si>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</si>
  <si>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</si>
  <si>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</si>
  <si>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</si>
  <si>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</si>
  <si>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</si>
  <si>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</si>
  <si>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</si>
  <si>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</si>
  <si>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</si>
  <si>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</si>
  <si>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</si>
  <si>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</si>
  <si>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</si>
  <si>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</si>
  <si>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</si>
  <si>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</si>
  <si>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</si>
  <si>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</si>
  <si>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</si>
  <si>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</si>
  <si>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</si>
  <si>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</si>
  <si>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</si>
  <si>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</si>
  <si>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</si>
  <si>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</si>
  <si>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</si>
  <si>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</si>
  <si>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</si>
  <si>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</si>
  <si>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</si>
  <si>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</si>
  <si>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</si>
  <si>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</si>
  <si>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</si>
  <si>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</si>
  <si>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</si>
  <si>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</si>
  <si>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</si>
  <si>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</si>
  <si>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</si>
  <si>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</si>
  <si>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</si>
  <si>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</si>
  <si>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</si>
  <si>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</si>
  <si>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</si>
  <si>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</si>
  <si>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</si>
  <si>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</si>
  <si>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</si>
  <si>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</si>
  <si>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</si>
  <si>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</si>
  <si>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</si>
  <si>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</si>
  <si>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</si>
  <si>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</si>
  <si>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</si>
  <si>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</si>
  <si>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</si>
  <si>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</si>
  <si>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</si>
  <si>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</si>
  <si>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</si>
  <si>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</si>
  <si>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</si>
  <si>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</si>
  <si>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</si>
  <si>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</si>
  <si>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</si>
  <si>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</si>
  <si>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</si>
  <si>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</si>
  <si>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</si>
  <si>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</si>
  <si>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</si>
  <si>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</si>
  <si>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</si>
  <si>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</si>
  <si>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</si>
  <si>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</si>
  <si>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</si>
  <si>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</si>
  <si>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</si>
  <si>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</si>
  <si>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</si>
  <si>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</si>
  <si>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</si>
  <si>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</si>
  <si>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</si>
  <si>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</si>
  <si>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</si>
  <si>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</si>
  <si>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</si>
  <si>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</si>
  <si>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</si>
  <si>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</si>
  <si>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</si>
  <si>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</si>
  <si>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</si>
  <si>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</si>
  <si>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</si>
  <si>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</si>
  <si>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</si>
  <si>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</si>
  <si>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</si>
  <si>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</si>
  <si>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</si>
  <si>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</si>
  <si>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</si>
  <si>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</si>
  <si>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</si>
  <si>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</si>
  <si>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</si>
  <si>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</si>
  <si>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</si>
  <si>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</si>
  <si>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</si>
  <si>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</si>
  <si>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</si>
  <si>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</si>
  <si>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</si>
  <si>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</si>
  <si>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</si>
  <si>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</si>
  <si>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</si>
  <si>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</si>
  <si>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</si>
  <si>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</si>
  <si>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</si>
  <si>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</si>
  <si>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</si>
  <si>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</si>
  <si>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</si>
  <si>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</si>
  <si>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</si>
  <si>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</si>
  <si>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</si>
  <si>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</si>
  <si>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</si>
  <si>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</si>
  <si>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</si>
  <si>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</si>
  <si>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</si>
  <si>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</si>
  <si>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</si>
  <si>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</si>
  <si>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</si>
  <si>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</si>
  <si>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</si>
  <si>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</si>
  <si>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</si>
  <si>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</si>
  <si>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</si>
  <si>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</si>
  <si>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</si>
  <si>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</si>
  <si>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</si>
  <si>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</si>
  <si>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</si>
  <si>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</si>
  <si>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</si>
  <si>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</si>
  <si>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</si>
  <si>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</si>
  <si>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</si>
  <si>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</si>
  <si>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</si>
  <si>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</si>
  <si>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</si>
  <si>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</si>
  <si>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</si>
  <si>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</si>
  <si>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</si>
  <si>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</si>
  <si>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</si>
  <si>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</si>
  <si>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</si>
  <si>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</si>
  <si>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</si>
  <si>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</si>
  <si>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</si>
  <si>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</si>
  <si>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</si>
  <si>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</si>
  <si>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</si>
  <si>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</si>
  <si>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</si>
  <si>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</si>
  <si>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</si>
  <si>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</si>
  <si>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</si>
  <si>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</si>
  <si>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</si>
  <si>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</si>
  <si>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</si>
  <si>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</si>
  <si>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</si>
  <si>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</si>
  <si>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</si>
  <si>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</si>
  <si>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</si>
  <si>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</si>
  <si>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</si>
  <si>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</si>
  <si>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</si>
  <si>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</si>
  <si>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</si>
  <si>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</si>
  <si>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</si>
  <si>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</si>
  <si>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</si>
  <si>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</si>
  <si>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</si>
  <si>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</si>
  <si>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</si>
  <si>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</si>
  <si>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</si>
  <si>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</si>
  <si>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</si>
  <si>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</si>
  <si>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</si>
  <si>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</si>
  <si>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</si>
  <si>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</si>
  <si>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</si>
  <si>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</si>
  <si>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</si>
  <si>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</si>
  <si>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</si>
  <si>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</si>
  <si>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</si>
  <si>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</si>
  <si>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</si>
  <si>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</si>
  <si>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</si>
  <si>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</si>
  <si>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</si>
  <si>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</si>
  <si>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</si>
  <si>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</si>
  <si>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</si>
  <si>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</si>
  <si>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</si>
  <si>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</si>
  <si>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</si>
  <si>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</si>
  <si>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</si>
  <si>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</si>
  <si>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</si>
  <si>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</si>
  <si>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</si>
  <si>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</si>
  <si>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</si>
  <si>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</si>
  <si>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</si>
  <si>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</si>
  <si>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</si>
  <si>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</si>
  <si>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</si>
  <si>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</si>
  <si>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</si>
  <si>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</si>
  <si>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</si>
  <si>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</si>
  <si>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</si>
  <si>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</si>
  <si>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</si>
  <si>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</si>
  <si>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</si>
  <si>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</si>
  <si>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</si>
  <si>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</si>
  <si>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</si>
  <si>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</si>
  <si>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</si>
  <si>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</si>
  <si>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</si>
  <si>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</si>
  <si>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</si>
  <si>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</si>
  <si>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</si>
  <si>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</si>
  <si>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</si>
  <si>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</si>
  <si>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</si>
  <si>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</si>
  <si>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</si>
  <si>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</si>
  <si>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</si>
  <si>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</si>
  <si>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</si>
  <si>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</si>
  <si>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</si>
  <si>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</si>
  <si>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</si>
  <si>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</si>
  <si>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</si>
  <si>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</si>
  <si>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</si>
  <si>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</si>
  <si>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</si>
  <si>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</si>
  <si>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</si>
  <si>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</si>
  <si>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</si>
  <si>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</si>
  <si>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</si>
  <si>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</si>
  <si>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</si>
  <si>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</si>
  <si>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</si>
  <si>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</si>
  <si>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</si>
  <si>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</si>
  <si>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</si>
  <si>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</si>
  <si>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</si>
  <si>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</si>
  <si>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</si>
  <si>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</si>
  <si>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</si>
  <si>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</si>
  <si>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</si>
  <si>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</si>
  <si>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</si>
  <si>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</si>
  <si>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</si>
  <si>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</si>
  <si>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</si>
  <si>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</si>
  <si>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</si>
  <si>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</si>
  <si>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</si>
  <si>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</si>
  <si>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</si>
  <si>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</si>
  <si>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</si>
  <si>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</si>
  <si>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</si>
  <si>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</si>
  <si>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</si>
  <si>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</si>
  <si>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</si>
  <si>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</si>
  <si>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</si>
  <si>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</si>
  <si>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</si>
  <si>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</si>
  <si>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</si>
  <si>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</si>
  <si>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</si>
  <si>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</si>
  <si>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</si>
  <si>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</si>
  <si>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</si>
  <si>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</si>
  <si>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</si>
  <si>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</si>
  <si>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</si>
  <si>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</si>
  <si>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</si>
  <si>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</si>
  <si>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</si>
  <si>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</si>
  <si>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</si>
  <si>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</si>
  <si>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</si>
  <si>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</si>
  <si>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</si>
  <si>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</si>
  <si>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</si>
  <si>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</si>
  <si>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</si>
  <si>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</si>
  <si>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</si>
  <si>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</si>
  <si>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</si>
  <si>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</si>
  <si>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</si>
  <si>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</si>
  <si>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</si>
  <si>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</si>
  <si>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</si>
  <si>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</si>
  <si>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</si>
  <si>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</si>
  <si>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</si>
  <si>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</si>
  <si>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</si>
  <si>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</si>
  <si>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</si>
  <si>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</si>
  <si>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</si>
  <si>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</si>
  <si>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</si>
  <si>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</si>
  <si>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</si>
  <si>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</si>
  <si>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</si>
  <si>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</si>
  <si>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</si>
  <si>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</si>
  <si>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</si>
  <si>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</si>
  <si>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</si>
  <si>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</si>
  <si>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</si>
  <si>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</si>
  <si>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</si>
  <si>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</si>
  <si>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</si>
  <si>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</si>
  <si>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</si>
  <si>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</si>
  <si>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</si>
  <si>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</si>
  <si>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</si>
  <si>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</si>
  <si>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</si>
  <si>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</si>
  <si>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</si>
  <si>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</si>
  <si>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</si>
  <si>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</si>
  <si>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</si>
  <si>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</si>
  <si>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</si>
  <si>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</si>
  <si>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</si>
  <si>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</si>
  <si>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</si>
  <si>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</si>
  <si>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</si>
  <si>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</si>
  <si>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</si>
  <si>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</si>
  <si>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</si>
  <si>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</si>
  <si>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</si>
  <si>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</si>
  <si>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</si>
  <si>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</si>
  <si>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</si>
  <si>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</si>
  <si>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</si>
  <si>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</si>
  <si>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</si>
  <si>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</si>
  <si>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</si>
  <si>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</si>
  <si>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</si>
  <si>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</si>
  <si>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</si>
  <si>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</si>
  <si>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</si>
  <si>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</si>
  <si>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</si>
  <si>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</si>
  <si>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</si>
  <si>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</si>
  <si>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</si>
  <si>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</si>
  <si>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</si>
  <si>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</si>
  <si>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</si>
  <si>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</si>
  <si>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</si>
  <si>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</si>
  <si>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</si>
  <si>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</si>
  <si>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</si>
  <si>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</si>
  <si>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</si>
  <si>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</si>
  <si>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</si>
  <si>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</si>
  <si>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</si>
  <si>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</si>
  <si>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</si>
  <si>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</si>
  <si>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</si>
  <si>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</si>
  <si>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</si>
  <si>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</si>
  <si>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</si>
  <si>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</si>
  <si>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</si>
  <si>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</si>
  <si>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</si>
  <si>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</si>
  <si>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</si>
  <si>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</si>
  <si>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</si>
  <si>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</si>
  <si>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</si>
  <si>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</si>
  <si>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</si>
  <si>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</si>
  <si>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</si>
  <si>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</si>
  <si>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</si>
  <si>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</si>
  <si>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</si>
  <si>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</si>
  <si>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</si>
  <si>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</si>
  <si>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</si>
  <si>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</si>
  <si>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</si>
  <si>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</si>
  <si>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</si>
  <si>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</si>
  <si>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</si>
  <si>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</si>
  <si>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</si>
  <si>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</si>
  <si>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</si>
  <si>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</si>
  <si>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</si>
  <si>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</si>
  <si>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</si>
  <si>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</si>
  <si>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</si>
  <si>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</si>
  <si>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</si>
  <si>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</si>
  <si>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</si>
  <si>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</si>
  <si>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</si>
  <si>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</si>
  <si>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</si>
  <si>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</si>
  <si>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</si>
  <si>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</si>
  <si>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</si>
  <si>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</si>
  <si>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</si>
  <si>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</si>
  <si>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</si>
  <si>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</si>
  <si>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</si>
  <si>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</si>
  <si>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</si>
  <si>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</si>
  <si>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</si>
  <si>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</si>
  <si>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</si>
  <si>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</si>
  <si>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</si>
  <si>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</si>
  <si>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</si>
  <si>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</si>
  <si>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</si>
  <si>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</si>
  <si>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</si>
  <si>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</si>
  <si>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</si>
  <si>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</si>
  <si>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</si>
  <si>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</si>
  <si>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</si>
  <si>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</si>
  <si>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</si>
  <si>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</si>
  <si>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</si>
  <si>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</si>
  <si>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</si>
  <si>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</si>
  <si>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</si>
  <si>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</si>
  <si>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</si>
  <si>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</si>
  <si>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</si>
  <si>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</si>
  <si>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</si>
  <si>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</si>
  <si>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</si>
  <si>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</si>
  <si>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</si>
  <si>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</si>
  <si>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</si>
  <si>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</si>
  <si>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</si>
  <si>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</si>
  <si>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</si>
  <si>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</si>
  <si>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</si>
  <si>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</si>
  <si>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</si>
  <si>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</si>
  <si>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</si>
  <si>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</si>
  <si>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</si>
  <si>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</si>
  <si>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</si>
  <si>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</si>
  <si>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</si>
  <si>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</si>
  <si>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</si>
  <si>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</si>
  <si>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</si>
  <si>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</si>
  <si>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</si>
  <si>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</si>
  <si>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</si>
  <si>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</si>
  <si>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</si>
  <si>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</si>
  <si>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</si>
  <si>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</si>
  <si>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</si>
  <si>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</si>
  <si>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</si>
  <si>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</si>
  <si>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</si>
  <si>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</si>
  <si>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</si>
  <si>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</si>
  <si>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</si>
  <si>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</si>
  <si>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</si>
  <si>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</si>
  <si>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</si>
  <si>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</si>
  <si>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</si>
  <si>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</si>
  <si>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</si>
  <si>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</si>
  <si>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</si>
  <si>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</si>
  <si>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</si>
  <si>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</si>
  <si>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</si>
  <si>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</si>
  <si>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</si>
  <si>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</si>
  <si>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</si>
  <si>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</si>
  <si>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</si>
  <si>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</si>
  <si>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</si>
  <si>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</si>
  <si>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</si>
  <si>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</si>
  <si>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</si>
  <si>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</si>
  <si>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</si>
  <si>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</si>
  <si>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</si>
  <si>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</si>
  <si>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</si>
  <si>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</si>
  <si>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</si>
  <si>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</si>
  <si>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</si>
  <si>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</si>
  <si>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</si>
  <si>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</si>
  <si>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</si>
  <si>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</si>
  <si>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</si>
  <si>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</si>
  <si>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</si>
  <si>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</si>
  <si>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</si>
  <si>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</si>
  <si>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</si>
  <si>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</si>
  <si>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</si>
  <si>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</si>
  <si>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</si>
  <si>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</si>
  <si>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</si>
  <si>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</si>
  <si>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</si>
  <si>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</si>
  <si>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</si>
  <si>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</si>
  <si>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</si>
  <si>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</si>
  <si>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</si>
  <si>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</si>
  <si>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</si>
  <si>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</si>
  <si>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</si>
  <si>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</si>
  <si>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</si>
  <si>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</si>
  <si>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</si>
  <si>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</si>
  <si>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</si>
  <si>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</si>
  <si>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</si>
  <si>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</si>
  <si>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</si>
  <si>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</si>
  <si>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</si>
  <si>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</si>
  <si>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</si>
  <si>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</si>
  <si>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</si>
  <si>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</si>
  <si>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</si>
  <si>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</si>
  <si>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</si>
  <si>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</si>
  <si>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</si>
  <si>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</si>
  <si>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</si>
  <si>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</si>
  <si>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</si>
  <si>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</si>
  <si>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</si>
  <si>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</si>
  <si>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</si>
  <si>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</si>
  <si>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</si>
  <si>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</si>
  <si>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</si>
  <si>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</si>
  <si>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</si>
  <si>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</si>
  <si>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</si>
  <si>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</si>
  <si>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</si>
  <si>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</si>
  <si>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</si>
  <si>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</si>
  <si>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</si>
  <si>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</si>
  <si>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</si>
  <si>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</si>
  <si>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</si>
  <si>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</si>
  <si>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</si>
  <si>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</si>
  <si>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</si>
  <si>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</si>
  <si>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</si>
  <si>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</si>
  <si>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</si>
  <si>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</si>
  <si>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</si>
  <si>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</si>
  <si>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</si>
  <si>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</si>
  <si>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</si>
  <si>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</si>
  <si>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</si>
  <si>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</si>
  <si>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</si>
  <si>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</si>
  <si>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</si>
  <si>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</si>
  <si>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</si>
  <si>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</si>
  <si>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</si>
  <si>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</si>
  <si>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</si>
  <si>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</si>
  <si>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</si>
  <si>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</si>
  <si>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</si>
  <si>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</si>
  <si>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</si>
  <si>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</si>
  <si>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</si>
  <si>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</si>
  <si>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</si>
  <si>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</si>
  <si>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</si>
  <si>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</si>
  <si>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</si>
  <si>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</si>
  <si>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</si>
  <si>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</si>
  <si>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</si>
  <si>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</si>
  <si>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</si>
  <si>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</si>
  <si>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</si>
  <si>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</si>
  <si>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</si>
  <si>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</si>
  <si>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</si>
  <si>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</si>
  <si>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</si>
  <si>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</si>
  <si>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</si>
  <si>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</si>
  <si>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</si>
  <si>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</si>
  <si>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</si>
  <si>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</si>
  <si>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</si>
  <si>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</si>
  <si>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</si>
  <si>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</si>
  <si>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</si>
  <si>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</si>
  <si>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</si>
  <si>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</si>
  <si>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</si>
  <si>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</si>
  <si>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</si>
  <si>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</si>
  <si>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</si>
  <si>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</si>
  <si>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</si>
  <si>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</si>
  <si>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</si>
  <si>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</si>
  <si>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</si>
  <si>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</si>
  <si>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</si>
  <si>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</si>
  <si>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</si>
  <si>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</si>
  <si>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</si>
  <si>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</si>
  <si>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</si>
  <si>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</si>
  <si>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</si>
  <si>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</si>
  <si>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</si>
  <si>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</si>
  <si>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</si>
  <si>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</si>
  <si>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</si>
  <si>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</si>
  <si>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</si>
  <si>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</si>
  <si>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</si>
  <si>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</si>
  <si>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</si>
  <si>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</si>
  <si>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</si>
  <si>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</si>
  <si>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</si>
  <si>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</si>
  <si>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</si>
  <si>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</si>
  <si>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</si>
  <si>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</si>
  <si>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</si>
  <si>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</si>
  <si>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</si>
  <si>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</si>
  <si>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</si>
  <si>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</si>
  <si>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</si>
  <si>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</si>
  <si>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</si>
  <si>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</si>
  <si>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</si>
  <si>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</si>
  <si>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</si>
  <si>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</si>
  <si>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</si>
  <si>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</si>
  <si>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</si>
  <si>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</si>
  <si>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</si>
  <si>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</si>
  <si>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</si>
  <si>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</si>
  <si>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</si>
  <si>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</si>
  <si>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</si>
  <si>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</si>
  <si>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</si>
  <si>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</si>
  <si>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</si>
  <si>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</si>
  <si>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</si>
  <si>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</si>
  <si>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</si>
  <si>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</si>
  <si>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</si>
  <si>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</si>
  <si>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</si>
  <si>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</si>
  <si>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</si>
  <si>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</si>
  <si>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</si>
  <si>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</si>
  <si>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</si>
  <si>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</si>
  <si>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</si>
  <si>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</si>
  <si>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</si>
  <si>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</si>
  <si>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</si>
  <si>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</si>
  <si>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</si>
  <si>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</si>
  <si>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</si>
  <si>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</si>
  <si>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</si>
  <si>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</si>
  <si>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</si>
  <si>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</si>
  <si>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</si>
  <si>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</si>
  <si>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</si>
  <si>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</si>
  <si>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</si>
  <si>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</si>
  <si>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</si>
  <si>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</si>
  <si>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</si>
  <si>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</si>
  <si>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</si>
  <si>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</si>
  <si>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</si>
  <si>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</si>
  <si>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</si>
  <si>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</si>
  <si>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</si>
  <si>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</si>
  <si>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</si>
  <si>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</si>
  <si>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</si>
  <si>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</si>
  <si>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</si>
  <si>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</si>
  <si>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</si>
  <si>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</si>
  <si>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</si>
  <si>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</si>
  <si>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</si>
  <si>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</si>
  <si>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</si>
  <si>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</si>
  <si>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</si>
  <si>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</si>
  <si>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</si>
  <si>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</si>
  <si>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</si>
  <si>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</si>
  <si>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</si>
  <si>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</si>
  <si>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</si>
  <si>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</si>
  <si>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</si>
  <si>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</si>
  <si>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</si>
  <si>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</si>
  <si>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</si>
  <si>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</si>
  <si>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</si>
  <si>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</si>
  <si>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</si>
  <si>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</si>
  <si>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</si>
  <si>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</si>
  <si>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</si>
  <si>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</si>
  <si>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</si>
  <si>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</si>
  <si>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</si>
  <si>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</si>
  <si>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</si>
  <si>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</si>
  <si>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</si>
  <si>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</si>
  <si>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</si>
  <si>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</si>
  <si>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</si>
  <si>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</si>
  <si>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</si>
  <si>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</si>
  <si>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</si>
  <si>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</si>
  <si>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</si>
  <si>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</si>
  <si>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</si>
  <si>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</si>
  <si>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</si>
  <si>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</si>
  <si>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</si>
  <si>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</si>
  <si>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</si>
  <si>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</si>
  <si>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</si>
  <si>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</si>
  <si>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</si>
  <si>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</si>
  <si>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</si>
  <si>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</si>
  <si>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</si>
  <si>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</si>
  <si>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</si>
  <si>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</si>
  <si>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</si>
  <si>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</si>
  <si>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</si>
  <si>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</si>
  <si>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</si>
  <si>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</si>
  <si>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</si>
  <si>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</si>
  <si>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</si>
  <si>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</si>
  <si>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</si>
  <si>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</si>
  <si>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</si>
  <si>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</si>
  <si>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</si>
  <si>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</si>
  <si>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</si>
  <si>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</si>
  <si>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</si>
  <si>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</si>
  <si>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</si>
  <si>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</si>
  <si>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</si>
  <si>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</si>
  <si>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</si>
  <si>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</si>
  <si>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</si>
  <si>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</si>
  <si>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</si>
  <si>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</si>
  <si>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</si>
  <si>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</si>
  <si>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</si>
  <si>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</si>
  <si>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</si>
  <si>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</si>
  <si>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</si>
  <si>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</si>
  <si>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</si>
  <si>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</si>
  <si>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</si>
  <si>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</si>
  <si>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</si>
  <si>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</si>
  <si>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</si>
  <si>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</si>
  <si>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</si>
  <si>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</si>
  <si>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</si>
  <si>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</si>
  <si>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</si>
  <si>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</si>
  <si>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</si>
  <si>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</si>
  <si>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</si>
  <si>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</si>
  <si>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</si>
  <si>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</si>
  <si>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</si>
  <si>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</si>
  <si>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</si>
  <si>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</si>
  <si>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</si>
  <si>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</si>
  <si>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</si>
  <si>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</si>
  <si>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</si>
  <si>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</si>
  <si>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</si>
  <si>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</si>
  <si>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</si>
  <si>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</si>
  <si>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</si>
  <si>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</si>
  <si>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</si>
  <si>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</si>
  <si>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</si>
  <si>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</si>
  <si>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</si>
  <si>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</si>
  <si>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</si>
  <si>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</si>
  <si>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</si>
  <si>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</si>
  <si>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</si>
  <si>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</si>
  <si>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</si>
  <si>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</si>
  <si>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</si>
  <si>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</si>
  <si>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</si>
  <si>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</si>
  <si>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</si>
  <si>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</si>
  <si>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</si>
  <si>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</si>
  <si>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</si>
  <si>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</si>
  <si>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</si>
  <si>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</si>
  <si>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</si>
  <si>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</si>
  <si>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</si>
  <si>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</si>
  <si>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</si>
  <si>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</si>
  <si>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</si>
  <si>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</si>
  <si>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</si>
  <si>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</si>
  <si>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</si>
  <si>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</si>
  <si>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</si>
  <si>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</si>
  <si>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</si>
  <si>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</si>
  <si>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</si>
  <si>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</si>
  <si>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</si>
  <si>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</si>
  <si>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</si>
  <si>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</si>
  <si>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</si>
  <si>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</si>
  <si>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</si>
  <si>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</si>
  <si>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</si>
  <si>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</si>
  <si>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</si>
  <si>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</si>
  <si>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</si>
  <si>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</si>
  <si>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</si>
  <si>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</si>
  <si>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</si>
  <si>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</si>
  <si>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</si>
  <si>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</si>
  <si>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</si>
  <si>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</si>
  <si>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</si>
  <si>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</si>
  <si>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</si>
  <si>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</si>
  <si>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</si>
  <si>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</si>
  <si>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</si>
  <si>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</si>
  <si>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</si>
  <si>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</si>
  <si>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</si>
  <si>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</si>
  <si>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</si>
  <si>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</si>
  <si>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</si>
  <si>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</si>
  <si>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</si>
  <si>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</si>
  <si>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</si>
  <si>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</si>
  <si>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</si>
  <si>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</si>
  <si>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</si>
  <si>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</si>
  <si>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</si>
  <si>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</si>
  <si>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</si>
  <si>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</si>
  <si>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</si>
  <si>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</si>
  <si>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</si>
  <si>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</si>
  <si>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</si>
  <si>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</si>
  <si>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</si>
  <si>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</si>
  <si>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</si>
  <si>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</si>
  <si>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</si>
  <si>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</si>
  <si>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</si>
  <si>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</si>
  <si>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</si>
  <si>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</si>
  <si>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</si>
  <si>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</si>
  <si>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</si>
  <si>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</si>
  <si>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</si>
  <si>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</si>
  <si>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</si>
  <si>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</si>
  <si>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</si>
  <si>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</si>
  <si>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</si>
  <si>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</si>
  <si>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</si>
  <si>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</si>
  <si>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</si>
  <si>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</si>
  <si>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</si>
  <si>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</si>
  <si>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</si>
  <si>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</si>
  <si>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</si>
  <si>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</si>
  <si>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</si>
  <si>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</si>
  <si>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</si>
  <si>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</si>
  <si>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</si>
  <si>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</si>
  <si>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</si>
  <si>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</si>
  <si>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</si>
  <si>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</si>
  <si>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</si>
  <si>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</si>
  <si>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</si>
  <si>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</si>
  <si>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</si>
  <si>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</si>
  <si>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</si>
  <si>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</si>
  <si>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</si>
  <si>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</si>
  <si>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</si>
  <si>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</si>
  <si>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</si>
  <si>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</si>
  <si>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</si>
  <si>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</si>
  <si>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</si>
  <si>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</si>
  <si>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</si>
  <si>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</si>
  <si>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</si>
  <si>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</si>
  <si>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</si>
  <si>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</si>
  <si>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</si>
  <si>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</si>
  <si>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</si>
  <si>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</si>
  <si>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</si>
  <si>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</si>
  <si>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</si>
  <si>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</si>
  <si>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</si>
  <si>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</si>
  <si>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</si>
  <si>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</si>
  <si>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</si>
  <si>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</si>
  <si>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</si>
  <si>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</si>
  <si>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</si>
  <si>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</si>
  <si>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</si>
  <si>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</si>
  <si>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</si>
  <si>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</si>
  <si>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</si>
  <si>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</si>
  <si>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</si>
  <si>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</si>
  <si>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</si>
  <si>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</si>
  <si>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</si>
  <si>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</si>
  <si>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</si>
  <si>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</si>
  <si>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</si>
  <si>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</si>
  <si>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</si>
  <si>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</si>
  <si>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</si>
  <si>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</si>
  <si>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</si>
  <si>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</si>
  <si>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</si>
  <si>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</si>
  <si>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</si>
  <si>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</si>
  <si>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</si>
  <si>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</si>
  <si>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</si>
  <si>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</si>
  <si>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</si>
  <si>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</si>
  <si>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</si>
  <si>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</si>
  <si>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</si>
  <si>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</si>
  <si>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</si>
  <si>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</si>
  <si>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</si>
  <si>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</si>
  <si>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</si>
  <si>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</si>
  <si>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</si>
  <si>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</si>
  <si>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</si>
  <si>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</si>
  <si>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</si>
  <si>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</si>
  <si>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</si>
  <si>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</si>
  <si>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</si>
  <si>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</si>
  <si>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</si>
  <si>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</si>
  <si>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</si>
  <si>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</si>
  <si>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</si>
  <si>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</si>
  <si>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</si>
  <si>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</si>
  <si>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</si>
  <si>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</si>
  <si>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</si>
  <si>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</si>
  <si>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</si>
  <si>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</si>
  <si>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</si>
  <si>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</si>
  <si>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</si>
  <si>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</si>
  <si>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</si>
  <si>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</si>
  <si>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</si>
  <si>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</si>
  <si>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</si>
  <si>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</si>
  <si>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</si>
  <si>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</si>
  <si>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</si>
  <si>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</si>
  <si>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</si>
  <si>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</si>
  <si>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</si>
  <si>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</si>
  <si>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</si>
  <si>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</si>
  <si>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</si>
  <si>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</si>
  <si>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</si>
  <si>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</si>
  <si>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</si>
  <si>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</si>
  <si>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</si>
  <si>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</si>
  <si>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</si>
  <si>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</si>
  <si>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</si>
  <si>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</si>
  <si>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</si>
  <si>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</si>
  <si>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</si>
  <si>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</si>
  <si>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</si>
  <si>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</si>
  <si>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</si>
  <si>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</si>
  <si>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</si>
  <si>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</si>
  <si>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</si>
  <si>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</si>
  <si>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</si>
  <si>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</si>
  <si>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</si>
  <si>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</si>
  <si>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</si>
  <si>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</si>
  <si>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</si>
  <si>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</si>
  <si>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</si>
  <si>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</si>
  <si>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</si>
  <si>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</si>
  <si>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</si>
  <si>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</si>
  <si>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</si>
  <si>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</si>
  <si>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</si>
  <si>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</si>
  <si>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</si>
  <si>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</si>
  <si>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</si>
  <si>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</si>
  <si>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</si>
  <si>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</si>
  <si>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</si>
  <si>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</si>
  <si>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</si>
  <si>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</si>
  <si>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</si>
  <si>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</si>
  <si>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</si>
  <si>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</si>
  <si>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</si>
  <si>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</si>
  <si>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</si>
  <si>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</si>
  <si>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</si>
  <si>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</si>
  <si>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</si>
  <si>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</si>
  <si>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</si>
  <si>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</si>
  <si>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</si>
  <si>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</si>
  <si>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</si>
  <si>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</si>
  <si>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</si>
  <si>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</si>
  <si>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</si>
  <si>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</si>
  <si>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</si>
  <si>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</si>
  <si>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</si>
  <si>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</si>
  <si>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</si>
  <si>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</si>
  <si>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</si>
  <si>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</si>
  <si>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</si>
  <si>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</si>
  <si>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</si>
  <si>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</si>
  <si>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</si>
  <si>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</si>
  <si>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</si>
  <si>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</si>
  <si>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</si>
  <si>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</si>
  <si>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</si>
  <si>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</si>
  <si>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</si>
  <si>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</si>
  <si>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</si>
  <si>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</si>
  <si>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</si>
  <si>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</si>
  <si>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</si>
  <si>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</si>
  <si>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</si>
  <si>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</si>
  <si>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</si>
  <si>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</si>
  <si>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</si>
  <si>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</si>
  <si>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</si>
  <si>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</si>
  <si>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</si>
  <si>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</si>
  <si>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</si>
  <si>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</si>
  <si>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</si>
  <si>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</si>
  <si>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</si>
  <si>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</si>
  <si>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</si>
  <si>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</si>
  <si>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</si>
  <si>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</si>
  <si>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</si>
  <si>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</si>
  <si>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</si>
  <si>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</si>
  <si>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</si>
  <si>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</si>
  <si>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</si>
  <si>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</si>
  <si>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</si>
  <si>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</si>
  <si>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</si>
  <si>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</si>
  <si>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</si>
  <si>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</si>
  <si>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</si>
  <si>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</si>
  <si>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</si>
  <si>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</si>
  <si>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</si>
  <si>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</si>
  <si>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</si>
  <si>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</si>
  <si>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</si>
  <si>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</si>
  <si>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</si>
  <si>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</si>
  <si>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</si>
  <si>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</si>
  <si>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</si>
  <si>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</si>
  <si>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</si>
  <si>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</si>
  <si>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</si>
  <si>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</si>
  <si>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</si>
  <si>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</si>
  <si>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</si>
  <si>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</si>
  <si>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</si>
  <si>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</si>
  <si>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</si>
  <si>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</si>
  <si>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</si>
  <si>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</si>
  <si>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</si>
  <si>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</si>
  <si>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</si>
  <si>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</si>
  <si>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</si>
  <si>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</si>
  <si>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</si>
  <si>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</si>
  <si>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</si>
  <si>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</si>
  <si>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</si>
  <si>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</si>
  <si>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</si>
  <si>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</si>
  <si>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</si>
  <si>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</si>
  <si>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</si>
  <si>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</si>
  <si>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</si>
  <si>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</si>
  <si>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</si>
  <si>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</si>
  <si>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</si>
  <si>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</si>
  <si>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</si>
  <si>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</si>
  <si>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</si>
  <si>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</si>
  <si>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</si>
  <si>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</si>
  <si>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</si>
  <si>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</si>
  <si>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</si>
  <si>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</si>
  <si>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</si>
  <si>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</si>
  <si>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</si>
  <si>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</si>
  <si>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</si>
  <si>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</si>
  <si>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</si>
  <si>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</si>
  <si>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</si>
  <si>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</si>
  <si>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</si>
  <si>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</si>
  <si>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</si>
  <si>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</si>
  <si>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</si>
  <si>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</si>
  <si>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</si>
  <si>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</si>
  <si>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</si>
  <si>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</si>
  <si>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</si>
  <si>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</si>
  <si>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</si>
  <si>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</si>
  <si>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</si>
  <si>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</si>
  <si>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</si>
  <si>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</si>
  <si>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</si>
  <si>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</si>
  <si>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</si>
  <si>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</si>
  <si>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</si>
  <si>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</si>
  <si>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</si>
  <si>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</si>
  <si>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</si>
  <si>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</si>
  <si>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</si>
  <si>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</si>
  <si>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</si>
  <si>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</si>
  <si>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</si>
  <si>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</si>
  <si>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</si>
  <si>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</si>
  <si>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</si>
  <si>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</si>
  <si>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</si>
  <si>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</si>
  <si>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</si>
  <si>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</si>
  <si>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</si>
  <si>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</si>
  <si>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</si>
  <si>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</si>
  <si>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</si>
  <si>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</si>
  <si>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</si>
  <si>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</si>
  <si>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</si>
  <si>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</si>
  <si>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</si>
  <si>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</si>
  <si>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</si>
  <si>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</si>
  <si>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</si>
  <si>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</si>
  <si>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</si>
  <si>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</si>
  <si>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</si>
  <si>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</si>
  <si>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</si>
  <si>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</si>
  <si>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</si>
  <si>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</si>
  <si>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</si>
  <si>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</si>
  <si>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</si>
  <si>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</si>
  <si>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</si>
  <si>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</si>
  <si>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</si>
  <si>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</si>
  <si>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</si>
  <si>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</si>
  <si>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</si>
  <si>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</si>
  <si>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</si>
  <si>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</si>
  <si>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</si>
  <si>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</si>
  <si>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</si>
  <si>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</si>
  <si>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</si>
  <si>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</si>
  <si>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</si>
  <si>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</si>
  <si>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</si>
  <si>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</si>
  <si>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</si>
  <si>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</si>
  <si>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</si>
  <si>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</si>
  <si>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</si>
  <si>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</si>
  <si>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</si>
  <si>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</si>
  <si>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</si>
  <si>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</si>
  <si>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</si>
  <si>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</si>
  <si>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</si>
  <si>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</si>
  <si>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</si>
  <si>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</si>
  <si>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</si>
  <si>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</si>
  <si>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</si>
  <si>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</si>
  <si>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</si>
  <si>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</si>
  <si>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</si>
  <si>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</si>
  <si>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</si>
  <si>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</si>
  <si>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</si>
  <si>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</si>
  <si>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</si>
  <si>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</si>
  <si>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</si>
  <si>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</si>
  <si>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Kende Abraham</t>
  </si>
  <si>
    <t>mgberikon</t>
  </si>
  <si>
    <t>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</si>
</sst>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c:v>
                </c:pt>
                <c:pt idx="1">
                  <c:v>2.083333333333333</c:v>
                </c:pt>
                <c:pt idx="2">
                  <c:v>2.0606060606060606</c:v>
                </c:pt>
                <c:pt idx="3">
                  <c:v>1.75</c:v>
                </c:pt>
                <c:pt idx="4">
                  <c:v>8.9166666666666661</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3.4</c:v>
                </c:pt>
                <c:pt idx="1">
                  <c:v>1.6666666666666667</c:v>
                </c:pt>
                <c:pt idx="2">
                  <c:v>1.2121212121212119</c:v>
                </c:pt>
                <c:pt idx="3">
                  <c:v>1.5</c:v>
                </c:pt>
                <c:pt idx="4">
                  <c:v>5.333333333333333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3.25</c:v>
                </c:pt>
                <c:pt idx="1">
                  <c:v>0.41666666666666669</c:v>
                </c:pt>
                <c:pt idx="2">
                  <c:v>1.2121212121212122</c:v>
                </c:pt>
                <c:pt idx="3">
                  <c:v>0.375</c:v>
                </c:pt>
                <c:pt idx="4">
                  <c:v>4.8888888888888893</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CIHP</v>
      </c>
      <c r="E2" s="319"/>
      <c r="F2" s="319"/>
      <c r="G2" s="319"/>
      <c r="H2" s="319"/>
      <c r="I2" s="319"/>
      <c r="J2" s="320"/>
      <c r="K2" s="321" t="s">
        <v>4019</v>
      </c>
      <c r="L2" s="322"/>
      <c r="M2" s="322"/>
      <c r="N2" s="322"/>
      <c r="O2" s="323" t="str">
        <f>Worksheet!M18</f>
        <v>Margaret Gberikon</v>
      </c>
      <c r="P2" s="324"/>
      <c r="Q2" s="324"/>
      <c r="R2" s="324"/>
      <c r="S2" s="324"/>
      <c r="T2" s="325"/>
    </row>
    <row r="3" spans="1:20" ht="24" thickBot="1" x14ac:dyDescent="0.4">
      <c r="A3" s="315" t="s">
        <v>94</v>
      </c>
      <c r="B3" s="316" t="s">
        <v>1</v>
      </c>
      <c r="C3" s="317"/>
      <c r="D3" s="318" t="str">
        <f>Worksheet!R2</f>
        <v>Benue</v>
      </c>
      <c r="E3" s="319"/>
      <c r="F3" s="319"/>
      <c r="G3" s="319"/>
      <c r="H3" s="319"/>
      <c r="I3" s="319"/>
      <c r="J3" s="320"/>
      <c r="K3" s="321" t="s">
        <v>3966</v>
      </c>
      <c r="L3" s="322"/>
      <c r="M3" s="322"/>
      <c r="N3" s="322"/>
      <c r="O3" s="323" t="str">
        <f>Worksheet!W18</f>
        <v>10th Feb 2017</v>
      </c>
      <c r="P3" s="324"/>
      <c r="Q3" s="324"/>
      <c r="R3" s="324"/>
      <c r="S3" s="324"/>
      <c r="T3" s="325"/>
    </row>
    <row r="4" spans="1:20" ht="24" thickBot="1" x14ac:dyDescent="0.4">
      <c r="A4" s="315" t="s">
        <v>93</v>
      </c>
      <c r="B4" s="316"/>
      <c r="C4" s="317" t="s">
        <v>3</v>
      </c>
      <c r="D4" s="318" t="str">
        <f>Worksheet!T2</f>
        <v>be Buruku</v>
      </c>
      <c r="E4" s="319"/>
      <c r="F4" s="319"/>
      <c r="G4" s="319"/>
      <c r="H4" s="319"/>
      <c r="I4" s="319"/>
      <c r="J4" s="320"/>
      <c r="K4" s="321" t="s">
        <v>4020</v>
      </c>
      <c r="L4" s="322"/>
      <c r="M4" s="322"/>
      <c r="N4" s="322"/>
      <c r="O4" s="323" t="str">
        <f>Worksheet!M19</f>
        <v>Kende Abraham</v>
      </c>
      <c r="P4" s="324"/>
      <c r="Q4" s="324"/>
      <c r="R4" s="324"/>
      <c r="S4" s="324"/>
      <c r="T4" s="325"/>
    </row>
    <row r="5" spans="1:20" ht="24" thickBot="1" x14ac:dyDescent="0.4">
      <c r="A5" s="315" t="s">
        <v>92</v>
      </c>
      <c r="B5" s="316"/>
      <c r="C5" s="317" t="s">
        <v>6</v>
      </c>
      <c r="D5" s="318" t="str">
        <f>Worksheet!V2</f>
        <v>Mbagen Community Health Service - Nyamatsor</v>
      </c>
      <c r="E5" s="319"/>
      <c r="F5" s="319"/>
      <c r="G5" s="319"/>
      <c r="H5" s="319"/>
      <c r="I5" s="319"/>
      <c r="J5" s="320"/>
      <c r="K5" s="321" t="s">
        <v>3966</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3967</v>
      </c>
      <c r="D8" s="152">
        <f ca="1">(SUM('All Questions'!D10:D14)/5)+D12</f>
        <v>23</v>
      </c>
      <c r="E8" s="152">
        <f ca="1">SUM('All Questions'!D15:D21)/7+E12</f>
        <v>7.333333333333333</v>
      </c>
      <c r="F8" s="152">
        <f ca="1">SUM('All Questions'!D23:D30)/4+F12</f>
        <v>10.833333333333334</v>
      </c>
      <c r="G8" s="152">
        <f ca="1">SUM('All Questions'!D31:D35)/5+G12</f>
        <v>6.75</v>
      </c>
      <c r="H8" s="153">
        <f ca="1">SUM('All Questions'!D37,'All Questions'!D40)/2+'All Questions'!D26+H12</f>
        <v>39</v>
      </c>
      <c r="I8" s="154">
        <f ca="1">(SUM('All Questions'!E10:E14)/5)+I12</f>
        <v>13.6</v>
      </c>
      <c r="J8" s="152">
        <f ca="1">SUM('All Questions'!E15:E21)/7+J12</f>
        <v>6.666666666666667</v>
      </c>
      <c r="K8" s="152">
        <f ca="1">SUM('All Questions'!E23:E30)/4+K12</f>
        <v>6.6666666666666661</v>
      </c>
      <c r="L8" s="152">
        <f ca="1">SUM('All Questions'!E31:E35)/5+L12</f>
        <v>6</v>
      </c>
      <c r="M8" s="153">
        <f ca="1">('All Questions'!E37+'All Questions'!E40)/2+'All Questions'!E26+M12</f>
        <v>24</v>
      </c>
      <c r="N8" s="154">
        <f ca="1">(SUM('All Questions'!F10:F14)/5)+N12</f>
        <v>13</v>
      </c>
      <c r="O8" s="152">
        <f ca="1">SUM('All Questions'!F15:F21)/7+O12</f>
        <v>1.6666666666666667</v>
      </c>
      <c r="P8" s="152">
        <f ca="1">SUM('All Questions'!F23:F30)/4+P12</f>
        <v>5.666666666666667</v>
      </c>
      <c r="Q8" s="152">
        <f ca="1">SUM('All Questions'!F31:F35)/5+Q12</f>
        <v>1.5</v>
      </c>
      <c r="R8" s="153">
        <f ca="1">('All Questions'!F37+'All Questions'!F40)/2+'All Questions'!F26+R12</f>
        <v>22</v>
      </c>
      <c r="S8" s="138">
        <f ca="1">'All Questions'!F2</f>
        <v>97</v>
      </c>
      <c r="T8" s="139">
        <f t="shared" ref="T8:T17" ca="1" si="0">(((SUM(D8:H8)/5)+(SUM(I8:M8)/5)+(SUM(N8:R8)/5)))/S8</f>
        <v>0.38697594501718208</v>
      </c>
    </row>
    <row r="9" spans="1:20" ht="72.599999999999994" customHeight="1" thickBot="1" x14ac:dyDescent="0.3">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6</v>
      </c>
      <c r="T9" s="140">
        <f t="shared" ca="1" si="0"/>
        <v>0</v>
      </c>
    </row>
    <row r="10" spans="1:20" ht="72.599999999999994" customHeight="1" thickBot="1" x14ac:dyDescent="0.3">
      <c r="A10" s="105" t="s">
        <v>141</v>
      </c>
      <c r="B10" s="106" t="s">
        <v>79</v>
      </c>
      <c r="C10" s="107" t="s">
        <v>3969</v>
      </c>
      <c r="D10" s="156">
        <f ca="1">(SUM('All Questions'!D10:D14)/5)</f>
        <v>18</v>
      </c>
      <c r="E10" s="156">
        <f ca="1">SUM('All Questions'!D15:D21)/7</f>
        <v>0</v>
      </c>
      <c r="F10" s="156">
        <f ca="1">(SUM('All Questions'!D23:D24)+SUM('All Questions'!D25:D26)+SUM('All Questions'!D27:D28)+SUM('All Questions'!D29:D30))/4</f>
        <v>7.5</v>
      </c>
      <c r="G10" s="156">
        <f ca="1">SUM('All Questions'!D31:D35)/5</f>
        <v>0</v>
      </c>
      <c r="H10" s="159">
        <f ca="1">('All Questions'!D37+'All Questions'!D40)/2+'All Questions'!D26</f>
        <v>30</v>
      </c>
      <c r="I10" s="160">
        <f ca="1">(SUM('All Questions'!E10:E14)/5)</f>
        <v>9.6</v>
      </c>
      <c r="J10" s="161">
        <f ca="1">SUM('All Questions'!E15:E21)/7</f>
        <v>0</v>
      </c>
      <c r="K10" s="161">
        <f ca="1">(SUM('All Questions'!E23:E24)+SUM('All Questions'!E25:E26)+SUM('All Questions'!E27:E28)+SUM('All Questions'!E29:E30))/4</f>
        <v>4</v>
      </c>
      <c r="L10" s="161">
        <f ca="1">SUM('All Questions'!E31:E35)/5</f>
        <v>0</v>
      </c>
      <c r="M10" s="162">
        <f ca="1">('All Questions'!E37+'All Questions'!E40)/2+'All Questions'!E26</f>
        <v>16</v>
      </c>
      <c r="N10" s="163">
        <f ca="1">(SUM('All Questions'!F10:F14)/5)</f>
        <v>12</v>
      </c>
      <c r="O10" s="161">
        <f ca="1">SUM('All Questions'!F15:F21)/7</f>
        <v>0</v>
      </c>
      <c r="P10" s="161">
        <f ca="1">(SUM('All Questions'!F23:F24)+SUM('All Questions'!F25:F26)+SUM('All Questions'!F27:F28)+SUM('All Questions'!F29:F30))/4</f>
        <v>5</v>
      </c>
      <c r="Q10" s="161">
        <f ca="1">SUM('All Questions'!F31:F35)/5</f>
        <v>0</v>
      </c>
      <c r="R10" s="162">
        <f ca="1">('All Questions'!F37+'All Questions'!F40)/2+'All Questions'!F26</f>
        <v>20</v>
      </c>
      <c r="S10" s="138">
        <f ca="1">'All Questions'!F4</f>
        <v>77</v>
      </c>
      <c r="T10" s="140">
        <f t="shared" ca="1" si="0"/>
        <v>0.31714285714285717</v>
      </c>
    </row>
    <row r="11" spans="1:20" ht="72.599999999999994" customHeight="1" thickBot="1" x14ac:dyDescent="0.3">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4</v>
      </c>
      <c r="T11" s="141">
        <f t="shared" ca="1" si="0"/>
        <v>0</v>
      </c>
    </row>
    <row r="12" spans="1:20" ht="72.599999999999994" customHeight="1" x14ac:dyDescent="0.25">
      <c r="A12" s="111">
        <v>2</v>
      </c>
      <c r="B12" s="112" t="s">
        <v>83</v>
      </c>
      <c r="C12" s="113" t="s">
        <v>3971</v>
      </c>
      <c r="D12" s="169">
        <f ca="1">SUM('All Questions'!D55:D58)/4</f>
        <v>5</v>
      </c>
      <c r="E12" s="170">
        <f ca="1">SUM('All Questions'!D60:D75)/6</f>
        <v>7.333333333333333</v>
      </c>
      <c r="F12" s="170">
        <f ca="1">SUM('All Questions'!D67:D72)/3</f>
        <v>3.3333333333333335</v>
      </c>
      <c r="G12" s="170">
        <f ca="1">SUM('All Questions'!D73:D80)/4</f>
        <v>6.75</v>
      </c>
      <c r="H12" s="171">
        <f ca="1">SUM('All Questions'!D82:D83)/2</f>
        <v>9</v>
      </c>
      <c r="I12" s="172">
        <f ca="1">SUM('All Questions'!E55:E58)/4</f>
        <v>4</v>
      </c>
      <c r="J12" s="173">
        <f ca="1">SUM('All Questions'!E60:E75)/6</f>
        <v>6.666666666666667</v>
      </c>
      <c r="K12" s="173">
        <f ca="1">SUM('All Questions'!E67:E72)/3</f>
        <v>2.6666666666666665</v>
      </c>
      <c r="L12" s="173">
        <f ca="1">SUM('All Questions'!E73:E80)/4</f>
        <v>6</v>
      </c>
      <c r="M12" s="174">
        <f ca="1">SUM('All Questions'!E82:E83)/2</f>
        <v>8</v>
      </c>
      <c r="N12" s="175">
        <f ca="1">SUM('All Questions'!F55:F58)/4</f>
        <v>1</v>
      </c>
      <c r="O12" s="173">
        <f ca="1">SUM('All Questions'!F60:F75)/6</f>
        <v>1.6666666666666667</v>
      </c>
      <c r="P12" s="173">
        <f ca="1">SUM('All Questions'!F67:F72)/3</f>
        <v>0.66666666666666663</v>
      </c>
      <c r="Q12" s="173">
        <f ca="1">SUM('All Questions'!F73:F80)/4</f>
        <v>1.5</v>
      </c>
      <c r="R12" s="174">
        <f ca="1">SUM('All Questions'!F82:F83)/2</f>
        <v>2</v>
      </c>
      <c r="S12" s="142">
        <f ca="1">'All Questions'!F46</f>
        <v>20</v>
      </c>
      <c r="T12" s="143">
        <f t="shared" ca="1" si="0"/>
        <v>0.65583333333333338</v>
      </c>
    </row>
    <row r="13" spans="1:20" ht="72.599999999999994" customHeight="1" x14ac:dyDescent="0.25">
      <c r="A13" s="105">
        <v>2.1</v>
      </c>
      <c r="B13" s="106" t="s">
        <v>83</v>
      </c>
      <c r="C13" s="114" t="s">
        <v>3972</v>
      </c>
      <c r="D13" s="158"/>
      <c r="E13" s="155"/>
      <c r="F13" s="176">
        <f ca="1">'All Questions'!D72</f>
        <v>0</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2</v>
      </c>
      <c r="T13" s="144">
        <f t="shared" ca="1" si="0"/>
        <v>0.1</v>
      </c>
    </row>
    <row r="14" spans="1:20" ht="72.599999999999994" customHeight="1" x14ac:dyDescent="0.25">
      <c r="A14" s="105">
        <v>2.2000000000000002</v>
      </c>
      <c r="B14" s="106" t="s">
        <v>83</v>
      </c>
      <c r="C14" s="114" t="s">
        <v>3973</v>
      </c>
      <c r="D14" s="183">
        <f ca="1">'All Questions'!D57</f>
        <v>1</v>
      </c>
      <c r="E14" s="176">
        <f ca="1">'All Questions'!D64</f>
        <v>1</v>
      </c>
      <c r="F14" s="176">
        <f ca="1">SUM('All Questions'!D69:D70)</f>
        <v>1</v>
      </c>
      <c r="G14" s="176">
        <f ca="1">SUM('All Questions'!D74,'All Questions'!D76,'All Questions'!D78,'All Questions'!D80)/4</f>
        <v>0.5</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v>
      </c>
      <c r="Q14" s="180">
        <f ca="1">SUM('All Questions'!F74,'All Questions'!F76,'All Questions'!F78,'All Questions'!F80)/4</f>
        <v>0</v>
      </c>
      <c r="R14" s="181">
        <f ca="1">SUM('All Questions'!F88:F89)/2</f>
        <v>0</v>
      </c>
      <c r="S14" s="142">
        <f ca="1">'All Questions'!F48</f>
        <v>1</v>
      </c>
      <c r="T14" s="144">
        <f t="shared" ca="1" si="0"/>
        <v>1.3</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0</v>
      </c>
      <c r="G16" s="188">
        <f ca="1">SUM('All Questions'!D106:D108)/3</f>
        <v>0</v>
      </c>
      <c r="H16" s="189">
        <f ca="1">SUM('All Questions'!D111+'All Questions'!D112+'All Questions'!D114+'All Questions'!D115)/4</f>
        <v>0.25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3</v>
      </c>
      <c r="T16" s="147">
        <f t="shared" ca="1" si="0"/>
        <v>0.15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53">
        <v>20170218</v>
      </c>
      <c r="G1" s="354"/>
      <c r="H1" s="63"/>
      <c r="I1" s="63"/>
      <c r="J1" s="63"/>
      <c r="K1" s="356" t="s">
        <v>4021</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3801</v>
      </c>
      <c r="C2" s="218" t="s">
        <v>4005</v>
      </c>
      <c r="D2" s="219" t="s">
        <v>3975</v>
      </c>
      <c r="E2" s="220"/>
      <c r="F2" s="221" t="s">
        <v>4006</v>
      </c>
      <c r="G2" s="222"/>
      <c r="H2" s="223"/>
      <c r="I2" s="63"/>
      <c r="J2" s="63"/>
      <c r="K2" s="355" t="s">
        <v>157</v>
      </c>
      <c r="L2" s="355"/>
      <c r="M2" s="66" t="s">
        <v>86</v>
      </c>
      <c r="N2" s="355" t="s">
        <v>158</v>
      </c>
      <c r="O2" s="355"/>
      <c r="P2" s="66" t="s">
        <v>568</v>
      </c>
      <c r="Q2" s="301" t="s">
        <v>1</v>
      </c>
      <c r="R2" s="66" t="s">
        <v>167</v>
      </c>
      <c r="S2" s="301" t="s">
        <v>3</v>
      </c>
      <c r="T2" s="66" t="s">
        <v>571</v>
      </c>
      <c r="U2" s="67" t="s">
        <v>159</v>
      </c>
      <c r="V2" s="66" t="s">
        <v>1922</v>
      </c>
      <c r="W2" s="66"/>
      <c r="X2" s="67" t="s">
        <v>160</v>
      </c>
      <c r="Y2" s="66" t="s">
        <v>149</v>
      </c>
      <c r="Z2" s="96" t="s">
        <v>3800</v>
      </c>
      <c r="AA2" s="68" t="str">
        <f>VLOOKUP(V2,[2]Data_donotedit!AY2:AZ1504,2,FALSE)</f>
        <v>E1cCmIs4B6J</v>
      </c>
      <c r="AB2" s="68"/>
      <c r="AC2" s="68"/>
      <c r="AD2" s="68"/>
    </row>
    <row r="3" spans="1:30" ht="40.15" customHeight="1" x14ac:dyDescent="0.25">
      <c r="A3" s="63"/>
      <c r="B3" s="224"/>
      <c r="C3" s="218" t="s">
        <v>86</v>
      </c>
      <c r="D3" s="258" t="s">
        <v>3989</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3901</v>
      </c>
      <c r="E4" s="238" t="s">
        <v>76</v>
      </c>
      <c r="F4" s="239" t="s">
        <v>77</v>
      </c>
      <c r="G4" s="239" t="s">
        <v>78</v>
      </c>
      <c r="H4" s="205" t="s">
        <v>86</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36">
        <v>1413</v>
      </c>
      <c r="D5" s="240" t="s">
        <v>3902</v>
      </c>
      <c r="E5" s="479">
        <f ca="1">_xlfn.IFNA(VLOOKUP(C5,Worksheet!$C$3:$G$46,3,FALSE),E5)</f>
        <v>0</v>
      </c>
      <c r="F5" s="479">
        <f ca="1">_xlfn.IFNA(VLOOKUP(C5,Worksheet!$C$3:$G$46,4,FALSE),F5)</f>
        <v>0</v>
      </c>
      <c r="G5" s="479">
        <f ca="1">_xlfn.IFNA(VLOOKUP(C5,Worksheet!$C$3:$G$46,5,FALSE),G5)</f>
        <v>0</v>
      </c>
      <c r="H5" s="205" t="s">
        <v>86</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1414</v>
      </c>
      <c r="D6" s="241" t="s">
        <v>3903</v>
      </c>
      <c r="E6" s="479">
        <f ca="1">_xlfn.IFNA(VLOOKUP(C6,Worksheet!$C$3:$G$46,3,FALSE),E6)</f>
        <v>0</v>
      </c>
      <c r="F6" s="479">
        <f ca="1">_xlfn.IFNA(VLOOKUP(C6,Worksheet!$C$3:$G$46,4,FALSE),F6)</f>
        <v>0</v>
      </c>
      <c r="G6" s="479">
        <f ca="1">_xlfn.IFNA(VLOOKUP(C6,Worksheet!$C$3:$G$46,5,FALSE),G6)</f>
        <v>0</v>
      </c>
      <c r="H6" s="205" t="s">
        <v>86</v>
      </c>
      <c r="I6" s="63"/>
      <c r="J6" s="63"/>
      <c r="K6" s="132" t="s">
        <v>89</v>
      </c>
      <c r="L6" s="346" t="s">
        <v>3967</v>
      </c>
      <c r="M6" s="347"/>
      <c r="N6" s="71">
        <v>23</v>
      </c>
      <c r="O6" s="71">
        <v>7.333333333333333</v>
      </c>
      <c r="P6" s="71">
        <v>10.833333333333334</v>
      </c>
      <c r="Q6" s="71">
        <v>6.75</v>
      </c>
      <c r="R6" s="72">
        <v>39</v>
      </c>
      <c r="S6" s="71">
        <v>13.6</v>
      </c>
      <c r="T6" s="71">
        <v>6.666666666666667</v>
      </c>
      <c r="U6" s="71">
        <v>6.6666666666666661</v>
      </c>
      <c r="V6" s="71">
        <v>6</v>
      </c>
      <c r="W6" s="72">
        <v>24</v>
      </c>
      <c r="X6" s="71">
        <v>13</v>
      </c>
      <c r="Y6" s="71">
        <v>1.6666666666666667</v>
      </c>
      <c r="Z6" s="71">
        <v>5.666666666666667</v>
      </c>
      <c r="AA6" s="71">
        <v>1.5</v>
      </c>
      <c r="AB6" s="71">
        <v>22</v>
      </c>
      <c r="AC6" s="73">
        <v>97</v>
      </c>
      <c r="AD6" s="74">
        <v>0.38697594501718208</v>
      </c>
    </row>
    <row r="7" spans="1:30" ht="40.15" customHeight="1" x14ac:dyDescent="0.25">
      <c r="A7" s="63"/>
      <c r="B7" s="224"/>
      <c r="C7" s="236">
        <v>1422</v>
      </c>
      <c r="D7" s="240" t="s">
        <v>3904</v>
      </c>
      <c r="E7" s="479">
        <f ca="1">_xlfn.IFNA(VLOOKUP(C7,Worksheet!$C$3:$G$46,3,FALSE),E7)</f>
        <v>0</v>
      </c>
      <c r="F7" s="479">
        <f ca="1">_xlfn.IFNA(VLOOKUP(C7,Worksheet!$C$3:$G$46,4,FALSE),F7)</f>
        <v>0</v>
      </c>
      <c r="G7" s="479">
        <f ca="1">_xlfn.IFNA(VLOOKUP(C7,Worksheet!$C$3:$G$46,5,FALSE),G7)</f>
        <v>0</v>
      </c>
      <c r="H7" s="205" t="s">
        <v>86</v>
      </c>
      <c r="I7" s="63"/>
      <c r="J7" s="65"/>
      <c r="K7" s="59" t="s">
        <v>89</v>
      </c>
      <c r="L7" s="333" t="s">
        <v>3968</v>
      </c>
      <c r="M7" s="334"/>
      <c r="N7" s="133"/>
      <c r="O7" s="133"/>
      <c r="P7" s="78">
        <v>0</v>
      </c>
      <c r="Q7" s="133"/>
      <c r="R7" s="134"/>
      <c r="S7" s="133"/>
      <c r="T7" s="133"/>
      <c r="U7" s="78">
        <v>0</v>
      </c>
      <c r="V7" s="133"/>
      <c r="W7" s="134"/>
      <c r="X7" s="133"/>
      <c r="Y7" s="133"/>
      <c r="Z7" s="78">
        <v>0</v>
      </c>
      <c r="AA7" s="133"/>
      <c r="AB7" s="133"/>
      <c r="AC7" s="80">
        <v>6</v>
      </c>
      <c r="AD7" s="81">
        <v>0</v>
      </c>
    </row>
    <row r="8" spans="1:30" ht="40.15" customHeight="1" x14ac:dyDescent="0.25">
      <c r="A8" s="63"/>
      <c r="B8" s="224"/>
      <c r="C8" s="236">
        <v>1423</v>
      </c>
      <c r="D8" s="240" t="s">
        <v>3905</v>
      </c>
      <c r="E8" s="479">
        <f ca="1">_xlfn.IFNA(VLOOKUP(C8,Worksheet!$C$3:$G$46,3,FALSE),E8)</f>
        <v>0</v>
      </c>
      <c r="F8" s="479">
        <f ca="1">_xlfn.IFNA(VLOOKUP(C8,Worksheet!$C$3:$G$46,4,FALSE),F8)</f>
        <v>0</v>
      </c>
      <c r="G8" s="479">
        <f ca="1">_xlfn.IFNA(VLOOKUP(C8,Worksheet!$C$3:$G$46,5,FALSE),G8)</f>
        <v>0</v>
      </c>
      <c r="H8" s="205" t="s">
        <v>86</v>
      </c>
      <c r="I8" s="63"/>
      <c r="J8" s="70"/>
      <c r="K8" s="58" t="s">
        <v>79</v>
      </c>
      <c r="L8" s="331" t="s">
        <v>3969</v>
      </c>
      <c r="M8" s="332"/>
      <c r="N8" s="71">
        <v>18</v>
      </c>
      <c r="O8" s="71">
        <v>0</v>
      </c>
      <c r="P8" s="71">
        <v>7.5</v>
      </c>
      <c r="Q8" s="71">
        <v>0</v>
      </c>
      <c r="R8" s="72">
        <v>30</v>
      </c>
      <c r="S8" s="71">
        <v>9.6</v>
      </c>
      <c r="T8" s="71">
        <v>0</v>
      </c>
      <c r="U8" s="71">
        <v>4</v>
      </c>
      <c r="V8" s="71">
        <v>0</v>
      </c>
      <c r="W8" s="72">
        <v>16</v>
      </c>
      <c r="X8" s="71">
        <v>12</v>
      </c>
      <c r="Y8" s="71">
        <v>0</v>
      </c>
      <c r="Z8" s="71">
        <v>5</v>
      </c>
      <c r="AA8" s="71">
        <v>0</v>
      </c>
      <c r="AB8" s="71">
        <v>20</v>
      </c>
      <c r="AC8" s="75">
        <v>77</v>
      </c>
      <c r="AD8" s="76">
        <v>0.31714285714285717</v>
      </c>
    </row>
    <row r="9" spans="1:30" ht="40.15" customHeight="1" x14ac:dyDescent="0.25">
      <c r="A9" s="63"/>
      <c r="B9" s="224"/>
      <c r="C9" s="236">
        <v>1424</v>
      </c>
      <c r="D9" s="240" t="s">
        <v>3906</v>
      </c>
      <c r="E9" s="479">
        <f ca="1">_xlfn.IFNA(VLOOKUP(C9,Worksheet!$C$3:$G$46,3,FALSE),E9)</f>
        <v>0</v>
      </c>
      <c r="F9" s="479">
        <f ca="1">_xlfn.IFNA(VLOOKUP(C9,Worksheet!$C$3:$G$46,4,FALSE),F9)</f>
        <v>0</v>
      </c>
      <c r="G9" s="479">
        <f ca="1">_xlfn.IFNA(VLOOKUP(C9,Worksheet!$C$3:$G$46,5,FALSE),G9)</f>
        <v>0</v>
      </c>
      <c r="H9" s="205" t="s">
        <v>86</v>
      </c>
      <c r="I9" s="63"/>
      <c r="J9" s="70"/>
      <c r="K9" s="59" t="s">
        <v>79</v>
      </c>
      <c r="L9" s="333" t="s">
        <v>88</v>
      </c>
      <c r="M9" s="334"/>
      <c r="N9" s="133"/>
      <c r="O9" s="133"/>
      <c r="P9" s="78">
        <v>0</v>
      </c>
      <c r="Q9" s="133"/>
      <c r="R9" s="134"/>
      <c r="S9" s="133"/>
      <c r="T9" s="133"/>
      <c r="U9" s="78">
        <v>0</v>
      </c>
      <c r="V9" s="133"/>
      <c r="W9" s="134"/>
      <c r="X9" s="133"/>
      <c r="Y9" s="133"/>
      <c r="Z9" s="78">
        <v>0</v>
      </c>
      <c r="AA9" s="133"/>
      <c r="AB9" s="133"/>
      <c r="AC9" s="80">
        <v>4</v>
      </c>
      <c r="AD9" s="81">
        <v>0</v>
      </c>
    </row>
    <row r="10" spans="1:30" ht="40.15" customHeight="1" x14ac:dyDescent="0.25">
      <c r="A10" s="63"/>
      <c r="B10" s="224"/>
      <c r="C10" s="236">
        <v>1425</v>
      </c>
      <c r="D10" s="240" t="s">
        <v>3907</v>
      </c>
      <c r="E10" s="479">
        <f ca="1">_xlfn.IFNA(VLOOKUP(C10,Worksheet!$C$3:$G$46,3,FALSE),E10)</f>
        <v>0</v>
      </c>
      <c r="F10" s="479">
        <f ca="1">_xlfn.IFNA(VLOOKUP(C10,Worksheet!$C$3:$G$46,4,FALSE),F10)</f>
        <v>0</v>
      </c>
      <c r="G10" s="479">
        <f ca="1">_xlfn.IFNA(VLOOKUP(C10,Worksheet!$C$3:$G$46,5,FALSE),G10)</f>
        <v>0</v>
      </c>
      <c r="H10" s="205" t="s">
        <v>86</v>
      </c>
      <c r="I10" s="63"/>
      <c r="J10" s="70"/>
      <c r="K10" s="121" t="s">
        <v>83</v>
      </c>
      <c r="L10" s="335" t="s">
        <v>3971</v>
      </c>
      <c r="M10" s="336"/>
      <c r="N10" s="122">
        <v>5</v>
      </c>
      <c r="O10" s="71">
        <v>7.333333333333333</v>
      </c>
      <c r="P10" s="71">
        <v>3.3333333333333335</v>
      </c>
      <c r="Q10" s="71">
        <v>6.75</v>
      </c>
      <c r="R10" s="71">
        <v>9</v>
      </c>
      <c r="S10" s="122">
        <v>4</v>
      </c>
      <c r="T10" s="71">
        <v>6.666666666666667</v>
      </c>
      <c r="U10" s="71">
        <v>2.6666666666666665</v>
      </c>
      <c r="V10" s="71">
        <v>6</v>
      </c>
      <c r="W10" s="71">
        <v>8</v>
      </c>
      <c r="X10" s="122">
        <v>1</v>
      </c>
      <c r="Y10" s="71">
        <v>1.6666666666666667</v>
      </c>
      <c r="Z10" s="71">
        <v>0.66666666666666663</v>
      </c>
      <c r="AA10" s="71">
        <v>1.5</v>
      </c>
      <c r="AB10" s="71">
        <v>2</v>
      </c>
      <c r="AC10" s="124">
        <v>20</v>
      </c>
      <c r="AD10" s="125">
        <v>0.65583333333333338</v>
      </c>
    </row>
    <row r="11" spans="1:30" ht="50.45" customHeight="1" x14ac:dyDescent="0.25">
      <c r="A11" s="63"/>
      <c r="B11" s="224"/>
      <c r="C11" s="236">
        <v>1431</v>
      </c>
      <c r="D11" s="240" t="s">
        <v>3909</v>
      </c>
      <c r="E11" s="479">
        <f ca="1">_xlfn.IFNA(VLOOKUP(C11,Worksheet!$C$3:$G$46,3,FALSE),E11)</f>
        <v>0</v>
      </c>
      <c r="F11" s="479">
        <f ca="1">_xlfn.IFNA(VLOOKUP(C11,Worksheet!$C$3:$G$46,4,FALSE),F11)</f>
        <v>0</v>
      </c>
      <c r="G11" s="479">
        <f ca="1">_xlfn.IFNA(VLOOKUP(C11,Worksheet!$C$3:$G$46,5,FALSE),G11)</f>
        <v>0</v>
      </c>
      <c r="H11" s="205" t="s">
        <v>86</v>
      </c>
      <c r="I11" s="63"/>
      <c r="J11" s="65"/>
      <c r="K11" s="120" t="s">
        <v>83</v>
      </c>
      <c r="L11" s="337" t="s">
        <v>3972</v>
      </c>
      <c r="M11" s="338"/>
      <c r="N11" s="135"/>
      <c r="O11" s="136"/>
      <c r="P11" s="71">
        <v>0</v>
      </c>
      <c r="Q11" s="136"/>
      <c r="R11" s="71">
        <v>1</v>
      </c>
      <c r="S11" s="135"/>
      <c r="T11" s="136"/>
      <c r="U11" s="71">
        <v>0</v>
      </c>
      <c r="V11" s="136"/>
      <c r="W11" s="71">
        <v>0</v>
      </c>
      <c r="X11" s="135"/>
      <c r="Y11" s="136"/>
      <c r="Z11" s="71">
        <v>0</v>
      </c>
      <c r="AA11" s="136"/>
      <c r="AB11" s="71">
        <v>0</v>
      </c>
      <c r="AC11" s="123">
        <v>2</v>
      </c>
      <c r="AD11" s="126">
        <v>0.1</v>
      </c>
    </row>
    <row r="12" spans="1:30" ht="48.6" customHeight="1" x14ac:dyDescent="0.25">
      <c r="A12" s="63"/>
      <c r="B12" s="224"/>
      <c r="C12" s="236">
        <v>1432</v>
      </c>
      <c r="D12" s="240" t="s">
        <v>3910</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39" t="s">
        <v>3973</v>
      </c>
      <c r="M12" s="340"/>
      <c r="N12" s="77">
        <v>1</v>
      </c>
      <c r="O12" s="78">
        <v>1</v>
      </c>
      <c r="P12" s="78">
        <v>1</v>
      </c>
      <c r="Q12" s="78">
        <v>0.5</v>
      </c>
      <c r="R12" s="78">
        <v>1</v>
      </c>
      <c r="S12" s="77">
        <v>0</v>
      </c>
      <c r="T12" s="78">
        <v>0</v>
      </c>
      <c r="U12" s="78">
        <v>0</v>
      </c>
      <c r="V12" s="78">
        <v>0</v>
      </c>
      <c r="W12" s="78">
        <v>0</v>
      </c>
      <c r="X12" s="77">
        <v>0</v>
      </c>
      <c r="Y12" s="78">
        <v>0</v>
      </c>
      <c r="Z12" s="78">
        <v>2</v>
      </c>
      <c r="AA12" s="78">
        <v>0</v>
      </c>
      <c r="AB12" s="78">
        <v>0</v>
      </c>
      <c r="AC12" s="128">
        <v>1</v>
      </c>
      <c r="AD12" s="129">
        <v>1.3</v>
      </c>
    </row>
    <row r="13" spans="1:30" ht="48.6" customHeight="1" x14ac:dyDescent="0.25">
      <c r="A13" s="63"/>
      <c r="B13" s="224"/>
      <c r="C13" s="236">
        <v>1433</v>
      </c>
      <c r="D13" s="240" t="s">
        <v>3911</v>
      </c>
      <c r="E13" s="479">
        <f ca="1">_xlfn.IFNA(VLOOKUP(C13,Worksheet!$C$3:$G$46,3,FALSE),E13)</f>
        <v>0</v>
      </c>
      <c r="F13" s="479">
        <f ca="1">_xlfn.IFNA(VLOOKUP(C13,Worksheet!$C$3:$G$46,4,FALSE),F13)</f>
        <v>0</v>
      </c>
      <c r="G13" s="479">
        <f ca="1">_xlfn.IFNA(VLOOKUP(C13,Worksheet!$C$3:$G$46,5,FALSE),G13)</f>
        <v>0</v>
      </c>
      <c r="H13" s="205" t="s">
        <v>86</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1434</v>
      </c>
      <c r="D14" s="240" t="s">
        <v>3912</v>
      </c>
      <c r="E14" s="479">
        <f ca="1">_xlfn.IFNA(VLOOKUP(C14,Worksheet!$C$3:$G$46,3,FALSE),E14)</f>
        <v>0</v>
      </c>
      <c r="F14" s="479">
        <f ca="1">_xlfn.IFNA(VLOOKUP(C14,Worksheet!$C$3:$G$46,4,FALSE),F14)</f>
        <v>0</v>
      </c>
      <c r="G14" s="479">
        <f ca="1">_xlfn.IFNA(VLOOKUP(C14,Worksheet!$C$3:$G$46,5,FALSE),G14)</f>
        <v>0</v>
      </c>
      <c r="H14" s="205" t="s">
        <v>86</v>
      </c>
      <c r="I14" s="63"/>
      <c r="J14" s="70"/>
      <c r="K14" s="59" t="s">
        <v>84</v>
      </c>
      <c r="L14" s="339" t="s">
        <v>85</v>
      </c>
      <c r="M14" s="344"/>
      <c r="N14" s="77">
        <v>1</v>
      </c>
      <c r="O14" s="78">
        <v>1</v>
      </c>
      <c r="P14" s="78">
        <v>0</v>
      </c>
      <c r="Q14" s="78">
        <v>0</v>
      </c>
      <c r="R14" s="79">
        <v>0.25</v>
      </c>
      <c r="S14" s="78">
        <v>0</v>
      </c>
      <c r="T14" s="78">
        <v>0</v>
      </c>
      <c r="U14" s="78">
        <v>0</v>
      </c>
      <c r="V14" s="78">
        <v>0</v>
      </c>
      <c r="W14" s="79">
        <v>0</v>
      </c>
      <c r="X14" s="78">
        <v>0</v>
      </c>
      <c r="Y14" s="78">
        <v>0</v>
      </c>
      <c r="Z14" s="78">
        <v>0</v>
      </c>
      <c r="AA14" s="78">
        <v>0</v>
      </c>
      <c r="AB14" s="78">
        <v>0</v>
      </c>
      <c r="AC14" s="80">
        <v>3</v>
      </c>
      <c r="AD14" s="81">
        <v>0.15</v>
      </c>
    </row>
    <row r="15" spans="1:30" ht="47.45" customHeight="1" x14ac:dyDescent="0.25">
      <c r="A15" s="63"/>
      <c r="B15" s="224"/>
      <c r="C15" s="236">
        <v>1435</v>
      </c>
      <c r="D15" s="240" t="s">
        <v>3913</v>
      </c>
      <c r="E15" s="479">
        <f ca="1">_xlfn.IFNA(VLOOKUP(C15,Worksheet!$C$3:$G$46,3,FALSE),E15)</f>
        <v>0</v>
      </c>
      <c r="F15" s="479">
        <f ca="1">_xlfn.IFNA(VLOOKUP(C15,Worksheet!$C$3:$G$46,4,FALSE),F15)</f>
        <v>0</v>
      </c>
      <c r="G15" s="479">
        <f ca="1">_xlfn.IFNA(VLOOKUP(C15,Worksheet!$C$3:$G$46,5,FALSE),G15)</f>
        <v>0</v>
      </c>
      <c r="H15" s="205" t="s">
        <v>86</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3914</v>
      </c>
      <c r="E16" s="479">
        <f ca="1">_xlfn.IFNA(VLOOKUP(C16,Worksheet!$C$3:$G$46,3,FALSE),E16)</f>
        <v>0</v>
      </c>
      <c r="F16" s="479">
        <f ca="1">_xlfn.IFNA(VLOOKUP(C16,Worksheet!$C$3:$G$46,4,FALSE),F16)</f>
        <v>0</v>
      </c>
      <c r="G16" s="479">
        <f ca="1">_xlfn.IFNA(VLOOKUP(C16,Worksheet!$C$3:$G$46,5,FALSE),G16)</f>
        <v>0</v>
      </c>
      <c r="H16" s="205" t="s">
        <v>86</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3916</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6</v>
      </c>
      <c r="O17" s="87">
        <f t="shared" ref="O17:AB17" si="0">AVERAGE(O6:O16)</f>
        <v>2.083333333333333</v>
      </c>
      <c r="P17" s="87">
        <f t="shared" si="0"/>
        <v>2.0606060606060606</v>
      </c>
      <c r="Q17" s="87">
        <f t="shared" si="0"/>
        <v>1.75</v>
      </c>
      <c r="R17" s="87">
        <f t="shared" si="0"/>
        <v>8.9166666666666661</v>
      </c>
      <c r="S17" s="87">
        <f t="shared" si="0"/>
        <v>3.4</v>
      </c>
      <c r="T17" s="87">
        <f t="shared" si="0"/>
        <v>1.6666666666666667</v>
      </c>
      <c r="U17" s="87">
        <f t="shared" si="0"/>
        <v>1.2121212121212119</v>
      </c>
      <c r="V17" s="87">
        <f t="shared" si="0"/>
        <v>1.5</v>
      </c>
      <c r="W17" s="87">
        <f t="shared" si="0"/>
        <v>5.333333333333333</v>
      </c>
      <c r="X17" s="87">
        <f t="shared" si="0"/>
        <v>3.25</v>
      </c>
      <c r="Y17" s="87">
        <f t="shared" si="0"/>
        <v>0.41666666666666669</v>
      </c>
      <c r="Z17" s="87">
        <f t="shared" si="0"/>
        <v>1.2121212121212122</v>
      </c>
      <c r="AA17" s="87">
        <f t="shared" si="0"/>
        <v>0.375</v>
      </c>
      <c r="AB17" s="87">
        <f t="shared" si="0"/>
        <v>4.8888888888888893</v>
      </c>
      <c r="AC17" s="63"/>
      <c r="AD17" s="63"/>
    </row>
    <row r="18" spans="1:30" ht="40.15" customHeight="1" x14ac:dyDescent="0.3">
      <c r="A18" s="63"/>
      <c r="B18" s="224"/>
      <c r="C18" s="236">
        <v>1452</v>
      </c>
      <c r="D18" s="240" t="s">
        <v>3918</v>
      </c>
      <c r="E18" s="479">
        <f ca="1">_xlfn.IFNA(VLOOKUP(C18,Worksheet!$C$3:$G$46,3,FALSE),E18)</f>
        <v>0</v>
      </c>
      <c r="F18" s="479">
        <f ca="1">_xlfn.IFNA(VLOOKUP(C18,Worksheet!$C$3:$G$46,4,FALSE),F18)</f>
        <v>0</v>
      </c>
      <c r="G18" s="479">
        <f ca="1">_xlfn.IFNA(VLOOKUP(C18,Worksheet!$C$3:$G$46,5,FALSE),G18)</f>
        <v>0</v>
      </c>
      <c r="H18" s="205" t="s">
        <v>86</v>
      </c>
      <c r="I18" s="63"/>
      <c r="J18" s="65"/>
      <c r="K18" s="345" t="s">
        <v>563</v>
      </c>
      <c r="L18" s="345"/>
      <c r="M18" s="206" t="s">
        <v>4022</v>
      </c>
      <c r="N18" s="207"/>
      <c r="O18" s="208"/>
      <c r="P18" s="208"/>
      <c r="Q18" s="208"/>
      <c r="R18" s="303" t="s">
        <v>561</v>
      </c>
      <c r="S18" s="480" t="s">
        <v>4024</v>
      </c>
      <c r="T18" s="209"/>
      <c r="U18" s="342" t="s">
        <v>562</v>
      </c>
      <c r="V18" s="342"/>
      <c r="W18" s="210" t="s">
        <v>564</v>
      </c>
      <c r="X18" s="210"/>
      <c r="Y18" s="88"/>
      <c r="Z18" s="88"/>
      <c r="AA18" s="88"/>
      <c r="AB18" s="88"/>
      <c r="AC18" s="63"/>
      <c r="AD18" s="63"/>
    </row>
    <row r="19" spans="1:30" ht="40.15" customHeight="1" x14ac:dyDescent="0.3">
      <c r="A19" s="63"/>
      <c r="B19" s="224"/>
      <c r="C19" s="236">
        <v>1453</v>
      </c>
      <c r="D19" s="240" t="s">
        <v>3919</v>
      </c>
      <c r="E19" s="479">
        <f ca="1">_xlfn.IFNA(VLOOKUP(C19,Worksheet!$C$3:$G$46,3,FALSE),E19)</f>
        <v>0</v>
      </c>
      <c r="F19" s="479">
        <f ca="1">_xlfn.IFNA(VLOOKUP(C19,Worksheet!$C$3:$G$46,4,FALSE),F19)</f>
        <v>0</v>
      </c>
      <c r="G19" s="479">
        <f ca="1">_xlfn.IFNA(VLOOKUP(C19,Worksheet!$C$3:$G$46,5,FALSE),G19)</f>
        <v>0</v>
      </c>
      <c r="H19" s="205" t="s">
        <v>86</v>
      </c>
      <c r="I19" s="63"/>
      <c r="J19" s="65"/>
      <c r="K19" s="341" t="s">
        <v>61</v>
      </c>
      <c r="L19" s="341"/>
      <c r="M19" s="206" t="s">
        <v>4023</v>
      </c>
      <c r="N19" s="206"/>
      <c r="O19" s="206"/>
      <c r="P19" s="206"/>
      <c r="Q19" s="206"/>
      <c r="R19" s="303" t="s">
        <v>561</v>
      </c>
      <c r="S19" s="209" t="s">
        <v>4025</v>
      </c>
      <c r="T19" s="209"/>
      <c r="U19" s="342" t="s">
        <v>562</v>
      </c>
      <c r="V19" s="342"/>
      <c r="W19" s="210"/>
      <c r="X19" s="210"/>
      <c r="Y19" s="63"/>
      <c r="Z19" s="63"/>
      <c r="AA19" s="63"/>
      <c r="AB19" s="63"/>
      <c r="AC19" s="63"/>
      <c r="AD19" s="63"/>
    </row>
    <row r="20" spans="1:30" ht="40.15" customHeight="1" x14ac:dyDescent="0.25">
      <c r="A20" s="63"/>
      <c r="B20" s="224"/>
      <c r="C20" s="236">
        <v>1455</v>
      </c>
      <c r="D20" s="240" t="s">
        <v>3921</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3922</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6</v>
      </c>
      <c r="Q23" s="93">
        <f>O17</f>
        <v>2.083333333333333</v>
      </c>
      <c r="R23" s="93">
        <f>P17</f>
        <v>2.0606060606060606</v>
      </c>
      <c r="S23" s="93">
        <f>Q17</f>
        <v>1.75</v>
      </c>
      <c r="T23" s="93">
        <f>R17</f>
        <v>8.9166666666666661</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3.4</v>
      </c>
      <c r="Q24" s="93">
        <f>T17</f>
        <v>1.6666666666666667</v>
      </c>
      <c r="R24" s="93">
        <f>U17</f>
        <v>1.2121212121212119</v>
      </c>
      <c r="S24" s="93">
        <f>V17</f>
        <v>1.5</v>
      </c>
      <c r="T24" s="93">
        <f>W17</f>
        <v>5.333333333333333</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3.25</v>
      </c>
      <c r="Q25" s="93">
        <f>Y17</f>
        <v>0.41666666666666669</v>
      </c>
      <c r="R25" s="93">
        <f>Z17</f>
        <v>1.2121212121212122</v>
      </c>
      <c r="S25" s="93">
        <f>AA17</f>
        <v>0.375</v>
      </c>
      <c r="T25" s="93">
        <f>AB17</f>
        <v>4.8888888888888893</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iUt4BH5SgZezSoaJSEEXPB6qBitK93Yy5H17z2rQTlWzeYNqh7lHkuvKihps7E/MXUENKIzmMEK56v37K8ttCA==" saltValue="BjBQ3lGmpVQuqRZWVx1a+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97</v>
      </c>
      <c r="G2" s="205" t="s">
        <v>150</v>
      </c>
    </row>
    <row r="3" spans="1:7" ht="45" hidden="1" customHeight="1" x14ac:dyDescent="0.25">
      <c r="A3" s="224"/>
      <c r="B3" s="228" t="s">
        <v>4007</v>
      </c>
      <c r="C3" s="226" t="s">
        <v>3977</v>
      </c>
      <c r="D3" s="226"/>
      <c r="E3" s="229"/>
      <c r="F3" s="298">
        <f ca="1">_xlfn.IFNA(VLOOKUP(B3,Worksheet!$C$3:$G$46,5,FALSE),F3)</f>
        <v>6</v>
      </c>
      <c r="G3" s="205" t="s">
        <v>150</v>
      </c>
    </row>
    <row r="4" spans="1:7" ht="45" hidden="1" customHeight="1" x14ac:dyDescent="0.25">
      <c r="A4" s="224"/>
      <c r="B4" s="228" t="s">
        <v>4008</v>
      </c>
      <c r="C4" s="226" t="s">
        <v>3978</v>
      </c>
      <c r="D4" s="230"/>
      <c r="E4" s="229"/>
      <c r="F4" s="298">
        <f ca="1">_xlfn.IFNA(VLOOKUP(B4,Worksheet!$C$3:$G$46,5,FALSE),F4)</f>
        <v>77</v>
      </c>
      <c r="G4" s="205" t="s">
        <v>150</v>
      </c>
    </row>
    <row r="5" spans="1:7" ht="45" hidden="1" customHeight="1" x14ac:dyDescent="0.25">
      <c r="A5" s="224"/>
      <c r="B5" s="228" t="s">
        <v>4009</v>
      </c>
      <c r="C5" s="226" t="s">
        <v>3979</v>
      </c>
      <c r="D5" s="226"/>
      <c r="E5" s="229"/>
      <c r="F5" s="298">
        <f ca="1">_xlfn.IFNA(VLOOKUP(B5,Worksheet!$C$3:$G$46,5,FALSE),F5)</f>
        <v>4</v>
      </c>
      <c r="G5" s="205" t="s">
        <v>150</v>
      </c>
    </row>
    <row r="6" spans="1:7" ht="45" hidden="1" customHeight="1" x14ac:dyDescent="0.25">
      <c r="A6" s="224"/>
      <c r="B6" s="231" t="s">
        <v>4010</v>
      </c>
      <c r="C6" s="232" t="s">
        <v>3980</v>
      </c>
      <c r="D6" s="233"/>
      <c r="E6" s="234"/>
      <c r="F6" s="235">
        <f ca="1">_xlfn.IFNA(VLOOKUP(F2,Data_donotedit!$BE$2:$BG$25,3,TRUE),0)</f>
        <v>52</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3803</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3804</v>
      </c>
      <c r="D10" s="299">
        <f ca="1">_xlfn.IFNA(VLOOKUP(B10,Worksheet!$C$3:$G$46,3,FALSE),D10)</f>
        <v>30</v>
      </c>
      <c r="E10" s="299">
        <f ca="1">_xlfn.IFNA(VLOOKUP(B10,Worksheet!$C$3:$G$46,4,FALSE),E10)</f>
        <v>16</v>
      </c>
      <c r="F10" s="299">
        <f ca="1">_xlfn.IFNA(VLOOKUP(B10,Worksheet!$C$3:$G$46,5,FALSE),F10)</f>
        <v>20</v>
      </c>
      <c r="G10" s="205" t="s">
        <v>150</v>
      </c>
    </row>
    <row r="11" spans="1:7" ht="45" hidden="1" customHeight="1" x14ac:dyDescent="0.25">
      <c r="A11" s="224"/>
      <c r="B11" s="236">
        <v>1114</v>
      </c>
      <c r="C11" s="241" t="s">
        <v>3805</v>
      </c>
      <c r="D11" s="299">
        <f ca="1">_xlfn.IFNA(VLOOKUP(B11,Worksheet!$C$3:$G$46,3,FALSE),D11)</f>
        <v>30</v>
      </c>
      <c r="E11" s="299">
        <f ca="1">_xlfn.IFNA(VLOOKUP(B11,Worksheet!$C$3:$G$46,4,FALSE),E11)</f>
        <v>16</v>
      </c>
      <c r="F11" s="299">
        <f ca="1">_xlfn.IFNA(VLOOKUP(B11,Worksheet!$C$3:$G$46,5,FALSE),F11)</f>
        <v>20</v>
      </c>
      <c r="G11" s="205" t="s">
        <v>150</v>
      </c>
    </row>
    <row r="12" spans="1:7" ht="45" hidden="1" customHeight="1" x14ac:dyDescent="0.25">
      <c r="A12" s="224"/>
      <c r="B12" s="236">
        <v>1115</v>
      </c>
      <c r="C12" s="240" t="s">
        <v>3806</v>
      </c>
      <c r="D12" s="299">
        <f ca="1">_xlfn.IFNA(VLOOKUP(B12,Worksheet!$C$3:$G$46,3,FALSE),D12)</f>
        <v>30</v>
      </c>
      <c r="E12" s="299">
        <f ca="1">_xlfn.IFNA(VLOOKUP(B12,Worksheet!$C$3:$G$46,4,FALSE),E12)</f>
        <v>16</v>
      </c>
      <c r="F12" s="299">
        <f ca="1">_xlfn.IFNA(VLOOKUP(B12,Worksheet!$C$3:$G$46,5,FALSE),F12)</f>
        <v>20</v>
      </c>
      <c r="G12" s="205" t="s">
        <v>150</v>
      </c>
    </row>
    <row r="13" spans="1:7" ht="45" hidden="1" customHeight="1" x14ac:dyDescent="0.25">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3818</v>
      </c>
      <c r="D25" s="299">
        <f ca="1">_xlfn.IFNA(VLOOKUP(B25,Worksheet!$C$3:$G$46,3,FALSE),D25)</f>
        <v>27</v>
      </c>
      <c r="E25" s="299">
        <f ca="1">_xlfn.IFNA(VLOOKUP(B25,Worksheet!$C$3:$G$46,4,FALSE),E25)</f>
        <v>13</v>
      </c>
      <c r="F25" s="299">
        <f ca="1">_xlfn.IFNA(VLOOKUP(B25,Worksheet!$C$3:$G$46,5,FALSE),F25)</f>
        <v>17</v>
      </c>
      <c r="G25" s="205" t="s">
        <v>150</v>
      </c>
    </row>
    <row r="26" spans="1:7" ht="45" hidden="1" customHeight="1" x14ac:dyDescent="0.25">
      <c r="A26" s="224"/>
      <c r="B26" s="236">
        <v>1134</v>
      </c>
      <c r="C26" s="240" t="s">
        <v>3819</v>
      </c>
      <c r="D26" s="299">
        <f ca="1">_xlfn.IFNA(VLOOKUP(B26,Worksheet!$C$3:$G$46,3,FALSE),D26)</f>
        <v>3</v>
      </c>
      <c r="E26" s="299">
        <f ca="1">_xlfn.IFNA(VLOOKUP(B26,Worksheet!$C$3:$G$46,4,FALSE),E26)</f>
        <v>3</v>
      </c>
      <c r="F26" s="299">
        <f ca="1">_xlfn.IFNA(VLOOKUP(B26,Worksheet!$C$3:$G$46,5,FALSE),F26)</f>
        <v>3</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3824</v>
      </c>
      <c r="D31" s="300">
        <f ca="1">D13</f>
        <v>0</v>
      </c>
      <c r="E31" s="300">
        <f ca="1">E13</f>
        <v>0</v>
      </c>
      <c r="F31" s="300">
        <f ca="1">F13</f>
        <v>0</v>
      </c>
      <c r="G31" s="205"/>
    </row>
    <row r="32" spans="1:7" ht="45" hidden="1" customHeight="1" x14ac:dyDescent="0.25">
      <c r="A32" s="224"/>
      <c r="B32" s="236">
        <v>1142</v>
      </c>
      <c r="C32" s="241" t="s">
        <v>3825</v>
      </c>
      <c r="D32" s="300">
        <f ca="1">D18</f>
        <v>0</v>
      </c>
      <c r="E32" s="300">
        <f ca="1">E18</f>
        <v>0</v>
      </c>
      <c r="F32" s="300">
        <f ca="1">F18</f>
        <v>0</v>
      </c>
      <c r="G32" s="205"/>
    </row>
    <row r="33" spans="1:7" ht="45" hidden="1" customHeight="1" x14ac:dyDescent="0.25">
      <c r="A33" s="224"/>
      <c r="B33" s="236">
        <v>1143</v>
      </c>
      <c r="C33" s="240" t="s">
        <v>3826</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3827</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3828</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3829</v>
      </c>
      <c r="D36" s="247">
        <f ca="1">D37/D38</f>
        <v>1</v>
      </c>
      <c r="E36" s="247">
        <f t="shared" ref="E36:F36" ca="1" si="1">E37/E38</f>
        <v>1</v>
      </c>
      <c r="F36" s="247">
        <f t="shared" ca="1" si="1"/>
        <v>1</v>
      </c>
      <c r="G36" s="205"/>
    </row>
    <row r="37" spans="1:7" ht="45" hidden="1" customHeight="1" x14ac:dyDescent="0.25">
      <c r="A37" s="224"/>
      <c r="B37" s="236">
        <v>1152</v>
      </c>
      <c r="C37" s="240" t="s">
        <v>3830</v>
      </c>
      <c r="D37" s="299">
        <f ca="1">_xlfn.IFNA(VLOOKUP(B37,Worksheet!$C$3:$G$46,3,FALSE),D37)</f>
        <v>27</v>
      </c>
      <c r="E37" s="299">
        <f ca="1">_xlfn.IFNA(VLOOKUP(B37,Worksheet!$C$3:$G$46,4,FALSE),E37)</f>
        <v>13</v>
      </c>
      <c r="F37" s="299">
        <f ca="1">_xlfn.IFNA(VLOOKUP(B37,Worksheet!$C$3:$G$46,5,FALSE),F37)</f>
        <v>17</v>
      </c>
      <c r="G37" s="205" t="s">
        <v>150</v>
      </c>
    </row>
    <row r="38" spans="1:7" ht="45" hidden="1" customHeight="1" x14ac:dyDescent="0.25">
      <c r="A38" s="224"/>
      <c r="B38" s="236">
        <v>1153</v>
      </c>
      <c r="C38" s="240" t="s">
        <v>3831</v>
      </c>
      <c r="D38" s="299">
        <f ca="1">_xlfn.IFNA(VLOOKUP(B38,Worksheet!$C$3:$G$46,3,FALSE),D38)</f>
        <v>27</v>
      </c>
      <c r="E38" s="299">
        <f ca="1">_xlfn.IFNA(VLOOKUP(B38,Worksheet!$C$3:$G$46,4,FALSE),E38)</f>
        <v>13</v>
      </c>
      <c r="F38" s="299">
        <f ca="1">_xlfn.IFNA(VLOOKUP(B38,Worksheet!$C$3:$G$46,5,FALSE),F38)</f>
        <v>17</v>
      </c>
      <c r="G38" s="205" t="s">
        <v>150</v>
      </c>
    </row>
    <row r="39" spans="1:7" ht="45" hidden="1" customHeight="1" x14ac:dyDescent="0.25">
      <c r="A39" s="224"/>
      <c r="B39" s="236">
        <v>1154</v>
      </c>
      <c r="C39" s="246" t="s">
        <v>3832</v>
      </c>
      <c r="D39" s="247">
        <f ca="1">D40/D41</f>
        <v>1</v>
      </c>
      <c r="E39" s="247">
        <f t="shared" ref="E39:F39" ca="1" si="2">E40/E41</f>
        <v>1</v>
      </c>
      <c r="F39" s="247">
        <f t="shared" ca="1" si="2"/>
        <v>1</v>
      </c>
      <c r="G39" s="205"/>
    </row>
    <row r="40" spans="1:7" ht="45" hidden="1" customHeight="1" x14ac:dyDescent="0.25">
      <c r="A40" s="224"/>
      <c r="B40" s="236">
        <v>1155</v>
      </c>
      <c r="C40" s="240" t="s">
        <v>3830</v>
      </c>
      <c r="D40" s="299">
        <f ca="1">_xlfn.IFNA(VLOOKUP(B40,Worksheet!$C$3:$G$46,3,FALSE),D40)</f>
        <v>27</v>
      </c>
      <c r="E40" s="299">
        <f ca="1">_xlfn.IFNA(VLOOKUP(B40,Worksheet!$C$3:$G$46,4,FALSE),E40)</f>
        <v>13</v>
      </c>
      <c r="F40" s="299">
        <f ca="1">_xlfn.IFNA(VLOOKUP(B40,Worksheet!$C$3:$G$46,5,FALSE),F40)</f>
        <v>17</v>
      </c>
      <c r="G40" s="205" t="s">
        <v>150</v>
      </c>
    </row>
    <row r="41" spans="1:7" ht="45" hidden="1" customHeight="1" x14ac:dyDescent="0.25">
      <c r="A41" s="224"/>
      <c r="B41" s="236">
        <v>1156</v>
      </c>
      <c r="C41" s="240" t="s">
        <v>3833</v>
      </c>
      <c r="D41" s="299">
        <f ca="1">_xlfn.IFNA(VLOOKUP(B41,Worksheet!$C$3:$G$46,3,FALSE),D41)</f>
        <v>27</v>
      </c>
      <c r="E41" s="299">
        <f ca="1">_xlfn.IFNA(VLOOKUP(B41,Worksheet!$C$3:$G$46,4,FALSE),E41)</f>
        <v>13</v>
      </c>
      <c r="F41" s="299">
        <f ca="1">_xlfn.IFNA(VLOOKUP(B41,Worksheet!$C$3:$G$46,5,FALSE),F41)</f>
        <v>17</v>
      </c>
      <c r="G41" s="205" t="s">
        <v>150</v>
      </c>
    </row>
    <row r="42" spans="1:7" ht="45" hidden="1" customHeight="1" x14ac:dyDescent="0.25">
      <c r="A42" s="224"/>
      <c r="B42" s="236">
        <v>1157</v>
      </c>
      <c r="C42" s="246" t="s">
        <v>3834</v>
      </c>
      <c r="D42" s="247">
        <f ca="1">D43/D44</f>
        <v>1</v>
      </c>
      <c r="E42" s="247" t="e">
        <f t="shared" ref="E42:F42" ca="1" si="3">E43/E44</f>
        <v>#DIV/0!</v>
      </c>
      <c r="F42" s="247" t="e">
        <f t="shared" ca="1" si="3"/>
        <v>#DIV/0!</v>
      </c>
      <c r="G42" s="205"/>
    </row>
    <row r="43" spans="1:7" ht="45" hidden="1" customHeight="1" x14ac:dyDescent="0.25">
      <c r="A43" s="224"/>
      <c r="B43" s="236">
        <v>1158</v>
      </c>
      <c r="C43" s="240" t="s">
        <v>3835</v>
      </c>
      <c r="D43" s="299">
        <f ca="1">_xlfn.IFNA(VLOOKUP(B43,Worksheet!$C$3:$G$46,3,FALSE),D43)</f>
        <v>2</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3836</v>
      </c>
      <c r="D44" s="299">
        <f ca="1">_xlfn.IFNA(VLOOKUP(B44,Worksheet!$C$3:$G$46,3,FALSE),D44)</f>
        <v>2</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20</v>
      </c>
      <c r="G46" s="205" t="s">
        <v>83</v>
      </c>
    </row>
    <row r="47" spans="1:7" s="248" customFormat="1" ht="45" hidden="1" customHeight="1" x14ac:dyDescent="0.25">
      <c r="A47" s="224"/>
      <c r="B47" s="255" t="s">
        <v>4011</v>
      </c>
      <c r="C47" s="226" t="s">
        <v>3972</v>
      </c>
      <c r="D47" s="230"/>
      <c r="E47" s="229"/>
      <c r="F47" s="298">
        <f ca="1">_xlfn.IFNA(VLOOKUP(B47,Worksheet!$C$3:$G$46,5,FALSE),F47)</f>
        <v>2</v>
      </c>
      <c r="G47" s="205" t="s">
        <v>83</v>
      </c>
    </row>
    <row r="48" spans="1:7" ht="45" hidden="1" customHeight="1" x14ac:dyDescent="0.25">
      <c r="A48" s="224"/>
      <c r="B48" s="255" t="s">
        <v>4012</v>
      </c>
      <c r="C48" s="226" t="s">
        <v>3973</v>
      </c>
      <c r="D48" s="226"/>
      <c r="E48" s="256"/>
      <c r="F48" s="298">
        <f ca="1">_xlfn.IFNA(VLOOKUP(B48,Worksheet!$C$3:$G$46,5,FALSE),F48)</f>
        <v>1</v>
      </c>
      <c r="G48" s="205" t="s">
        <v>83</v>
      </c>
    </row>
    <row r="49" spans="1:7" ht="45" hidden="1" customHeight="1" x14ac:dyDescent="0.25">
      <c r="A49" s="224"/>
      <c r="B49" s="257" t="s">
        <v>4013</v>
      </c>
      <c r="C49" s="258" t="s">
        <v>3985</v>
      </c>
      <c r="D49" s="233"/>
      <c r="E49" s="259"/>
      <c r="F49" s="235">
        <f ca="1">_xlfn.IFNA(VLOOKUP(F46,Data_donotedit!$BE$2:$BG$25,3,TRUE),0)</f>
        <v>20</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9</v>
      </c>
      <c r="E53" s="299">
        <f ca="1">_xlfn.IFNA(VLOOKUP(B53,Worksheet!$C$3:$G$46,4,FALSE),E53)</f>
        <v>8</v>
      </c>
      <c r="F53" s="299">
        <f ca="1">_xlfn.IFNA(VLOOKUP(B53,Worksheet!$C$3:$G$46,5,FALSE),F53)</f>
        <v>2</v>
      </c>
      <c r="G53" s="205" t="s">
        <v>83</v>
      </c>
    </row>
    <row r="54" spans="1:7" ht="45" hidden="1" customHeight="1" x14ac:dyDescent="0.25">
      <c r="A54" s="224"/>
      <c r="B54" s="236">
        <v>1214</v>
      </c>
      <c r="C54" s="262" t="s">
        <v>3843</v>
      </c>
      <c r="D54" s="299">
        <f ca="1">_xlfn.IFNA(VLOOKUP(B54,Worksheet!$C$3:$G$46,3,FALSE),D54)</f>
        <v>9</v>
      </c>
      <c r="E54" s="299">
        <f ca="1">_xlfn.IFNA(VLOOKUP(B54,Worksheet!$C$3:$G$46,4,FALSE),E54)</f>
        <v>8</v>
      </c>
      <c r="F54" s="299">
        <f ca="1">_xlfn.IFNA(VLOOKUP(B54,Worksheet!$C$3:$G$46,5,FALSE),F54)</f>
        <v>2</v>
      </c>
      <c r="G54" s="205" t="s">
        <v>83</v>
      </c>
    </row>
    <row r="55" spans="1:7" ht="45" hidden="1" customHeight="1" x14ac:dyDescent="0.25">
      <c r="A55" s="224"/>
      <c r="B55" s="236">
        <v>1215</v>
      </c>
      <c r="C55" s="240" t="s">
        <v>3844</v>
      </c>
      <c r="D55" s="299">
        <f ca="1">_xlfn.IFNA(VLOOKUP(B55,Worksheet!$C$3:$G$46,3,FALSE),D55)</f>
        <v>9</v>
      </c>
      <c r="E55" s="299">
        <f ca="1">_xlfn.IFNA(VLOOKUP(B55,Worksheet!$C$3:$G$46,4,FALSE),E55)</f>
        <v>8</v>
      </c>
      <c r="F55" s="299">
        <f ca="1">_xlfn.IFNA(VLOOKUP(B55,Worksheet!$C$3:$G$46,5,FALSE),F55)</f>
        <v>2</v>
      </c>
      <c r="G55" s="205" t="s">
        <v>83</v>
      </c>
    </row>
    <row r="56" spans="1:7" ht="45" hidden="1" customHeight="1" x14ac:dyDescent="0.25">
      <c r="A56" s="224"/>
      <c r="B56" s="236">
        <v>1216</v>
      </c>
      <c r="C56" s="241" t="s">
        <v>3845</v>
      </c>
      <c r="D56" s="299">
        <f ca="1">_xlfn.IFNA(VLOOKUP(B56,Worksheet!$C$3:$G$46,3,FALSE),D56)</f>
        <v>9</v>
      </c>
      <c r="E56" s="299">
        <f ca="1">_xlfn.IFNA(VLOOKUP(B56,Worksheet!$C$3:$G$46,4,FALSE),E56)</f>
        <v>8</v>
      </c>
      <c r="F56" s="299">
        <f ca="1">_xlfn.IFNA(VLOOKUP(B56,Worksheet!$C$3:$G$46,5,FALSE),F56)</f>
        <v>2</v>
      </c>
      <c r="G56" s="205" t="s">
        <v>83</v>
      </c>
    </row>
    <row r="57" spans="1:7" ht="45" hidden="1" customHeight="1" x14ac:dyDescent="0.25">
      <c r="A57" s="224"/>
      <c r="B57" s="236">
        <v>1217</v>
      </c>
      <c r="C57" s="241" t="s">
        <v>3846</v>
      </c>
      <c r="D57" s="299">
        <f ca="1">_xlfn.IFNA(VLOOKUP(B57,Worksheet!$C$3:$G$46,3,FALSE),D57)</f>
        <v>1</v>
      </c>
      <c r="E57" s="299">
        <f ca="1">_xlfn.IFNA(VLOOKUP(B57,Worksheet!$C$3:$G$46,4,FALSE),E57)</f>
        <v>0</v>
      </c>
      <c r="F57" s="299">
        <f ca="1">_xlfn.IFNA(VLOOKUP(B57,Worksheet!$C$3:$G$46,5,FALSE),F57)</f>
        <v>0</v>
      </c>
      <c r="G57" s="205" t="s">
        <v>83</v>
      </c>
    </row>
    <row r="58" spans="1:7" ht="45" hidden="1" customHeight="1" x14ac:dyDescent="0.25">
      <c r="A58" s="224"/>
      <c r="B58" s="236">
        <v>1218</v>
      </c>
      <c r="C58" s="241" t="s">
        <v>3847</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3848</v>
      </c>
      <c r="D59" s="299">
        <f ca="1">_xlfn.IFNA(VLOOKUP(B59,Worksheet!$C$3:$G$46,3,FALSE),D59)</f>
        <v>9</v>
      </c>
      <c r="E59" s="299">
        <f ca="1">_xlfn.IFNA(VLOOKUP(B59,Worksheet!$C$3:$G$46,4,FALSE),E59)</f>
        <v>8</v>
      </c>
      <c r="F59" s="299">
        <f ca="1">_xlfn.IFNA(VLOOKUP(B59,Worksheet!$C$3:$G$46,5,FALSE),F59)</f>
        <v>2</v>
      </c>
      <c r="G59" s="205" t="s">
        <v>83</v>
      </c>
    </row>
    <row r="60" spans="1:7" ht="45" hidden="1" customHeight="1" x14ac:dyDescent="0.25">
      <c r="A60" s="224"/>
      <c r="B60" s="236">
        <v>1222</v>
      </c>
      <c r="C60" s="262" t="s">
        <v>3849</v>
      </c>
      <c r="D60" s="299">
        <f ca="1">_xlfn.IFNA(VLOOKUP(B60,Worksheet!$C$3:$G$46,3,FALSE),D60)</f>
        <v>8</v>
      </c>
      <c r="E60" s="299">
        <f ca="1">_xlfn.IFNA(VLOOKUP(B60,Worksheet!$C$3:$G$46,4,FALSE),E60)</f>
        <v>8</v>
      </c>
      <c r="F60" s="299">
        <f ca="1">_xlfn.IFNA(VLOOKUP(B60,Worksheet!$C$3:$G$46,5,FALSE),F60)</f>
        <v>2</v>
      </c>
      <c r="G60" s="205" t="s">
        <v>83</v>
      </c>
    </row>
    <row r="61" spans="1:7" ht="45" hidden="1" customHeight="1" x14ac:dyDescent="0.25">
      <c r="A61" s="224"/>
      <c r="B61" s="236">
        <v>1223</v>
      </c>
      <c r="C61" s="262" t="s">
        <v>3850</v>
      </c>
      <c r="D61" s="299">
        <f ca="1">_xlfn.IFNA(VLOOKUP(B61,Worksheet!$C$3:$G$46,3,FALSE),D61)</f>
        <v>8</v>
      </c>
      <c r="E61" s="299">
        <f ca="1">_xlfn.IFNA(VLOOKUP(B61,Worksheet!$C$3:$G$46,4,FALSE),E61)</f>
        <v>8</v>
      </c>
      <c r="F61" s="299">
        <f ca="1">_xlfn.IFNA(VLOOKUP(B61,Worksheet!$C$3:$G$46,5,FALSE),F61)</f>
        <v>2</v>
      </c>
      <c r="G61" s="205" t="s">
        <v>83</v>
      </c>
    </row>
    <row r="62" spans="1:7" ht="54.6" hidden="1" customHeight="1" x14ac:dyDescent="0.25">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3853</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9</v>
      </c>
      <c r="E67" s="299">
        <f ca="1">_xlfn.IFNA(VLOOKUP(B67,Worksheet!$C$3:$G$46,4,FALSE),E67)</f>
        <v>8</v>
      </c>
      <c r="F67" s="299">
        <f ca="1">_xlfn.IFNA(VLOOKUP(B67,Worksheet!$C$3:$G$46,5,FALSE),F67)</f>
        <v>2</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8</v>
      </c>
      <c r="E73" s="299">
        <f ca="1">_xlfn.IFNA(VLOOKUP(B73,Worksheet!$C$3:$G$46,4,FALSE),E73)</f>
        <v>8</v>
      </c>
      <c r="F73" s="299">
        <f ca="1">_xlfn.IFNA(VLOOKUP(B73,Worksheet!$C$3:$G$46,5,FALSE),F73)</f>
        <v>2</v>
      </c>
      <c r="G73" s="205" t="s">
        <v>83</v>
      </c>
    </row>
    <row r="74" spans="1:7" ht="45" hidden="1" customHeight="1" x14ac:dyDescent="0.25">
      <c r="A74" s="224"/>
      <c r="B74" s="236">
        <v>1242</v>
      </c>
      <c r="C74" s="240" t="s">
        <v>3862</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3863</v>
      </c>
      <c r="D75" s="299">
        <f ca="1">_xlfn.IFNA(VLOOKUP(B75,Worksheet!$C$3:$G$46,3,FALSE),D75)</f>
        <v>8</v>
      </c>
      <c r="E75" s="299">
        <f ca="1">_xlfn.IFNA(VLOOKUP(B75,Worksheet!$C$3:$G$46,4,FALSE),E75)</f>
        <v>8</v>
      </c>
      <c r="F75" s="299">
        <f ca="1">_xlfn.IFNA(VLOOKUP(B75,Worksheet!$C$3:$G$46,5,FALSE),F75)</f>
        <v>2</v>
      </c>
      <c r="G75" s="205" t="s">
        <v>83</v>
      </c>
    </row>
    <row r="76" spans="1:7" ht="45" hidden="1" customHeight="1" x14ac:dyDescent="0.25">
      <c r="A76" s="224"/>
      <c r="B76" s="236">
        <v>1244</v>
      </c>
      <c r="C76" s="241" t="s">
        <v>3864</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9</v>
      </c>
      <c r="E79" s="299">
        <f ca="1">_xlfn.IFNA(VLOOKUP(B79,Worksheet!$C$3:$G$46,4,FALSE),E79)</f>
        <v>8</v>
      </c>
      <c r="F79" s="299">
        <f ca="1">_xlfn.IFNA(VLOOKUP(B79,Worksheet!$C$3:$G$46,5,FALSE),F79)</f>
        <v>2</v>
      </c>
      <c r="G79" s="205" t="s">
        <v>83</v>
      </c>
    </row>
    <row r="80" spans="1:7" ht="45" hidden="1" customHeight="1" x14ac:dyDescent="0.25">
      <c r="A80" s="224"/>
      <c r="B80" s="236">
        <v>1248</v>
      </c>
      <c r="C80" s="240" t="s">
        <v>3868</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3869</v>
      </c>
      <c r="D81" s="263">
        <f ca="1">D82</f>
        <v>9</v>
      </c>
      <c r="E81" s="263">
        <f t="shared" ref="E81:F81" ca="1" si="4">E82</f>
        <v>8</v>
      </c>
      <c r="F81" s="263">
        <f t="shared" ca="1" si="4"/>
        <v>2</v>
      </c>
      <c r="G81" s="205"/>
    </row>
    <row r="82" spans="1:7" ht="45" hidden="1" customHeight="1" x14ac:dyDescent="0.25">
      <c r="A82" s="224"/>
      <c r="B82" s="236">
        <v>1252</v>
      </c>
      <c r="C82" s="240" t="s">
        <v>3870</v>
      </c>
      <c r="D82" s="299">
        <f ca="1">_xlfn.IFNA(VLOOKUP(B82,Worksheet!$C$3:$G$46,3,FALSE),D82)</f>
        <v>9</v>
      </c>
      <c r="E82" s="299">
        <f ca="1">_xlfn.IFNA(VLOOKUP(B82,Worksheet!$C$3:$G$46,4,FALSE),E82)</f>
        <v>8</v>
      </c>
      <c r="F82" s="299">
        <f ca="1">_xlfn.IFNA(VLOOKUP(B82,Worksheet!$C$3:$G$46,5,FALSE),F82)</f>
        <v>2</v>
      </c>
      <c r="G82" s="205" t="s">
        <v>83</v>
      </c>
    </row>
    <row r="83" spans="1:7" ht="45" hidden="1" customHeight="1" x14ac:dyDescent="0.25">
      <c r="A83" s="224"/>
      <c r="B83" s="236">
        <v>1253</v>
      </c>
      <c r="C83" s="240" t="s">
        <v>3871</v>
      </c>
      <c r="D83" s="299">
        <f ca="1">_xlfn.IFNA(VLOOKUP(B83,Worksheet!$C$3:$G$46,3,FALSE),D83)</f>
        <v>9</v>
      </c>
      <c r="E83" s="299">
        <f ca="1">_xlfn.IFNA(VLOOKUP(B83,Worksheet!$C$3:$G$46,4,FALSE),E83)</f>
        <v>8</v>
      </c>
      <c r="F83" s="299">
        <f ca="1">_xlfn.IFNA(VLOOKUP(B83,Worksheet!$C$3:$G$46,5,FALSE),F83)</f>
        <v>2</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3874</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3877</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3</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2</v>
      </c>
      <c r="E93" s="299">
        <f ca="1">_xlfn.IFNA(VLOOKUP(B93,Worksheet!$C$3:$G$46,4,FALSE),E93)</f>
        <v>0</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2</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2</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0</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0</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0</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3989</v>
      </c>
      <c r="D117" s="226"/>
      <c r="E117" s="229"/>
      <c r="F117" s="298">
        <f ca="1">_xlfn.IFNA(VLOOKUP(B117,Worksheet!$C$3:$G$46,5,FALSE),F117)</f>
        <v>0</v>
      </c>
      <c r="G117" s="205" t="s">
        <v>86</v>
      </c>
    </row>
    <row r="118" spans="1:7" s="268" customFormat="1" ht="45" customHeight="1" x14ac:dyDescent="0.25">
      <c r="A118" s="224"/>
      <c r="B118" s="272"/>
      <c r="C118" s="260" t="s">
        <v>3901</v>
      </c>
      <c r="D118" s="238" t="s">
        <v>76</v>
      </c>
      <c r="E118" s="239" t="s">
        <v>77</v>
      </c>
      <c r="F118" s="239" t="s">
        <v>78</v>
      </c>
      <c r="G118" s="205" t="s">
        <v>86</v>
      </c>
    </row>
    <row r="119" spans="1:7" s="268" customFormat="1" ht="45" customHeight="1" x14ac:dyDescent="0.25">
      <c r="A119" s="224"/>
      <c r="B119" s="236">
        <v>1413</v>
      </c>
      <c r="C119" s="240" t="s">
        <v>3902</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customHeight="1" x14ac:dyDescent="0.25">
      <c r="A120" s="224"/>
      <c r="B120" s="236">
        <v>1414</v>
      </c>
      <c r="C120" s="241" t="s">
        <v>3903</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customHeight="1" x14ac:dyDescent="0.25">
      <c r="A121" s="224"/>
      <c r="B121" s="236">
        <v>1422</v>
      </c>
      <c r="C121" s="240" t="s">
        <v>3904</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customHeight="1" x14ac:dyDescent="0.25">
      <c r="A122" s="224"/>
      <c r="B122" s="236">
        <v>1423</v>
      </c>
      <c r="C122" s="240" t="s">
        <v>3905</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customHeight="1" x14ac:dyDescent="0.25">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customHeight="1" x14ac:dyDescent="0.25">
      <c r="A124" s="224"/>
      <c r="B124" s="236">
        <v>1425</v>
      </c>
      <c r="C124" s="240" t="s">
        <v>3907</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customHeight="1" x14ac:dyDescent="0.25">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customHeight="1" x14ac:dyDescent="0.25">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3915</v>
      </c>
      <c r="D132" s="269">
        <f ca="1">D120</f>
        <v>0</v>
      </c>
      <c r="E132" s="269">
        <f ca="1">E120</f>
        <v>0</v>
      </c>
      <c r="F132" s="269">
        <f ca="1">F120</f>
        <v>0</v>
      </c>
      <c r="G132" s="205"/>
    </row>
    <row r="133" spans="1:7" s="268" customFormat="1" ht="45" customHeight="1" x14ac:dyDescent="0.25">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3917</v>
      </c>
      <c r="D134" s="263"/>
      <c r="E134" s="263"/>
      <c r="F134" s="263"/>
      <c r="G134" s="205"/>
    </row>
    <row r="135" spans="1:7" s="268" customFormat="1" ht="51" customHeight="1" x14ac:dyDescent="0.25">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25">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3920</v>
      </c>
      <c r="D137" s="263"/>
      <c r="E137" s="263"/>
      <c r="F137" s="263"/>
      <c r="G137" s="205"/>
    </row>
    <row r="138" spans="1:7" s="268" customFormat="1" ht="45" customHeight="1" x14ac:dyDescent="0.25">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3922</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0</v>
      </c>
      <c r="G141" s="205" t="s">
        <v>90</v>
      </c>
    </row>
    <row r="142" spans="1:7" ht="45" hidden="1" customHeight="1" x14ac:dyDescent="0.25">
      <c r="A142" s="224"/>
      <c r="B142" s="231" t="s">
        <v>4014</v>
      </c>
      <c r="C142" s="258" t="s">
        <v>3923</v>
      </c>
      <c r="D142" s="233"/>
      <c r="E142" s="274"/>
      <c r="F142" s="235">
        <f ca="1">_xlfn.IFNA(VLOOKUP(F141,Data_donotedit!$BE$2:$BG$25,3,TRUE),0)</f>
        <v>20</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3926</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3932</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3933</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3936</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3937</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3939</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3942</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3942</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3993</v>
      </c>
      <c r="D166" s="226"/>
      <c r="E166" s="229"/>
      <c r="F166" s="298">
        <f ca="1">_xlfn.IFNA(VLOOKUP(B166,Worksheet!$C$3:$G$46,5,FALSE),F166)</f>
        <v>0</v>
      </c>
      <c r="G166" s="205" t="s">
        <v>91</v>
      </c>
    </row>
    <row r="167" spans="1:7" ht="45" hidden="1" customHeight="1" x14ac:dyDescent="0.25">
      <c r="A167" s="224"/>
      <c r="B167" s="280" t="s">
        <v>4015</v>
      </c>
      <c r="C167" s="258" t="s">
        <v>3994</v>
      </c>
      <c r="D167" s="226"/>
      <c r="E167" s="229"/>
      <c r="F167" s="235">
        <f ca="1">_xlfn.IFNA(VLOOKUP(F166,Data_donotedit!$BE$2:$BG$25,3,TRUE),0)</f>
        <v>20</v>
      </c>
      <c r="G167" s="205" t="s">
        <v>91</v>
      </c>
    </row>
    <row r="168" spans="1:7" ht="45" hidden="1" customHeight="1" x14ac:dyDescent="0.25">
      <c r="A168" s="224"/>
      <c r="B168" s="279"/>
      <c r="C168" s="260" t="s">
        <v>3945</v>
      </c>
      <c r="D168" s="238" t="s">
        <v>76</v>
      </c>
      <c r="E168" s="239" t="s">
        <v>77</v>
      </c>
      <c r="F168" s="239" t="s">
        <v>78</v>
      </c>
      <c r="G168" s="205" t="s">
        <v>91</v>
      </c>
    </row>
    <row r="169" spans="1:7" ht="45" hidden="1" customHeight="1" x14ac:dyDescent="0.25">
      <c r="A169" s="224"/>
      <c r="B169" s="236">
        <v>1611</v>
      </c>
      <c r="C169" s="240" t="s">
        <v>3924</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3946</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3925</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3995</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3947</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3996</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3997</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3998</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3999</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4001</v>
      </c>
      <c r="D180" s="244"/>
      <c r="E180" s="244"/>
      <c r="F180" s="245"/>
      <c r="G180" s="205" t="s">
        <v>91</v>
      </c>
    </row>
    <row r="181" spans="1:7" ht="45" hidden="1" customHeight="1" x14ac:dyDescent="0.25">
      <c r="A181" s="224"/>
      <c r="B181" s="236">
        <v>1631</v>
      </c>
      <c r="C181" s="240" t="s">
        <v>3949</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3950</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3953</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4002</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3953</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3954</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3955</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3957</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3960</v>
      </c>
      <c r="D196" s="263"/>
      <c r="E196" s="263"/>
      <c r="F196" s="263"/>
      <c r="G196" s="205"/>
    </row>
    <row r="197" spans="1:7" ht="45" hidden="1" customHeight="1" x14ac:dyDescent="0.25">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3963</v>
      </c>
      <c r="D199" s="263"/>
      <c r="E199" s="263"/>
      <c r="F199" s="263"/>
      <c r="G199" s="205"/>
    </row>
    <row r="200" spans="1:7" ht="45" hidden="1" customHeight="1" x14ac:dyDescent="0.25">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YW8RKAgdf8LY0xapw3oXKdEl1jMjtrqwgCRk2AHsSBKXxzUpjZXPy/rtmCKSu7L6AucnTsmLYK+TNrAh8OE4uQ==" saltValue="T1Iog8lcABdaq8oMpO6H7w=="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2017-02-21T13:23:36Z</dcterms:modified>
</cp:coreProperties>
</file>