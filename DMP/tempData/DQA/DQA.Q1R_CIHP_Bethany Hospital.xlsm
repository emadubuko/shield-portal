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ayode\Desktop\MGIC\SHIELD\DQA\RE__RE__Instruction_on_how_to_use_DQA_tool\"/>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19"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alcChain>
</file>

<file path=xl/sharedStrings.xml><?xml version="1.0" encoding="utf-8"?>
<sst xmlns="http://schemas.openxmlformats.org/spreadsheetml/2006/main" count="27076" uniqueCount="4024">
  <si>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</si>
  <si>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</si>
  <si>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</si>
  <si>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</si>
  <si>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</si>
  <si>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</si>
  <si>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</si>
  <si>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</si>
  <si>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</si>
  <si>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</si>
  <si>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</si>
  <si>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</si>
  <si>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</si>
  <si>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</si>
  <si>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</si>
  <si>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</si>
  <si>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</si>
  <si>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</si>
  <si>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</si>
  <si>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</si>
  <si>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</si>
  <si>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</si>
  <si>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</si>
  <si>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</si>
  <si>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</si>
  <si>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</si>
  <si>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</si>
  <si>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</si>
  <si>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</si>
  <si>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</si>
  <si>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</si>
  <si>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</si>
  <si>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</si>
  <si>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</si>
  <si>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</si>
  <si>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</si>
  <si>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</si>
  <si>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</si>
  <si>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</si>
  <si>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</si>
  <si>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</si>
  <si>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</si>
  <si>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</si>
  <si>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</si>
  <si>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</si>
  <si>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</si>
  <si>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</si>
  <si>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</si>
  <si>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</si>
  <si>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</si>
  <si>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</si>
  <si>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</si>
  <si>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</si>
  <si>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</si>
  <si>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</si>
  <si>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</si>
  <si>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</si>
  <si>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</si>
  <si>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</si>
  <si>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</si>
  <si>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</si>
  <si>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</si>
  <si>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</si>
  <si>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</si>
  <si>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</si>
  <si>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</si>
  <si>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</si>
  <si>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</si>
  <si>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</si>
  <si>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</si>
  <si>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</si>
  <si>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</si>
  <si>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</si>
  <si>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</si>
  <si>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</si>
  <si>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</si>
  <si>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</si>
  <si>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</si>
  <si>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</si>
  <si>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</si>
  <si>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</si>
  <si>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</si>
  <si>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</si>
  <si>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</si>
  <si>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</si>
  <si>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</si>
  <si>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</si>
  <si>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</si>
  <si>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</si>
  <si>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</si>
  <si>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</si>
  <si>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</si>
  <si>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</si>
  <si>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</si>
  <si>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</si>
  <si>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</si>
  <si>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</si>
  <si>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</si>
  <si>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</si>
  <si>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</si>
  <si>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</si>
  <si>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</si>
  <si>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</si>
  <si>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</si>
  <si>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</si>
  <si>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</si>
  <si>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</si>
  <si>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</si>
  <si>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</si>
  <si>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</si>
  <si>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</si>
  <si>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</si>
  <si>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</si>
  <si>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</si>
  <si>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</si>
  <si>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</si>
  <si>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</si>
  <si>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</si>
  <si>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</si>
  <si>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</si>
  <si>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</si>
  <si>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</si>
  <si>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</si>
  <si>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</si>
  <si>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</si>
  <si>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</si>
  <si>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</si>
  <si>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</si>
  <si>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</si>
  <si>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</si>
  <si>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</si>
  <si>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</si>
  <si>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</si>
  <si>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</si>
  <si>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</si>
  <si>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</si>
  <si>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</si>
  <si>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</si>
  <si>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</si>
  <si>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</si>
  <si>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</si>
  <si>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</si>
  <si>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</si>
  <si>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</si>
  <si>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</si>
  <si>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</si>
  <si>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</si>
  <si>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</si>
  <si>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</si>
  <si>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</si>
  <si>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</si>
  <si>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</si>
  <si>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</si>
  <si>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</si>
  <si>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</si>
  <si>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</si>
  <si>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</si>
  <si>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</si>
  <si>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</si>
  <si>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</si>
  <si>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</si>
  <si>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</si>
  <si>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</si>
  <si>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</si>
  <si>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</si>
  <si>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</si>
  <si>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</si>
  <si>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</si>
  <si>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</si>
  <si>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</si>
  <si>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</si>
  <si>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</si>
  <si>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</si>
  <si>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</si>
  <si>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</si>
  <si>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</si>
  <si>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</si>
  <si>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</si>
  <si>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</si>
  <si>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</si>
  <si>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</si>
  <si>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</si>
  <si>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</si>
  <si>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</si>
  <si>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</si>
  <si>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</si>
  <si>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</si>
  <si>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</si>
  <si>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</si>
  <si>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</si>
  <si>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</si>
  <si>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</si>
  <si>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</si>
  <si>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</si>
  <si>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</si>
  <si>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</si>
  <si>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</si>
  <si>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</si>
  <si>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</si>
  <si>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</si>
  <si>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</si>
  <si>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</si>
  <si>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</si>
  <si>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</si>
  <si>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</si>
  <si>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</si>
  <si>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</si>
  <si>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</si>
  <si>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</si>
  <si>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</si>
  <si>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</si>
  <si>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</si>
  <si>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</si>
  <si>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</si>
  <si>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</si>
  <si>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</si>
  <si>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</si>
  <si>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</si>
  <si>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</si>
  <si>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</si>
  <si>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</si>
  <si>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</si>
  <si>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</si>
  <si>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</si>
  <si>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</si>
  <si>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</si>
  <si>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</si>
  <si>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</si>
  <si>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</si>
  <si>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</si>
  <si>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</si>
  <si>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</si>
  <si>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</si>
  <si>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</si>
  <si>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</si>
  <si>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</si>
  <si>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</si>
  <si>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</si>
  <si>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</si>
  <si>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</si>
  <si>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</si>
  <si>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</si>
  <si>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</si>
  <si>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</si>
  <si>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</si>
  <si>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</si>
  <si>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</si>
  <si>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</si>
  <si>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</si>
  <si>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</si>
  <si>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</si>
  <si>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</si>
  <si>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</si>
  <si>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</si>
  <si>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</si>
  <si>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</si>
  <si>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</si>
  <si>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</si>
  <si>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</si>
  <si>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</si>
  <si>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</si>
  <si>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</si>
  <si>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</si>
  <si>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</si>
  <si>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</si>
  <si>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</si>
  <si>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</si>
  <si>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</si>
  <si>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</si>
  <si>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</si>
  <si>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</si>
  <si>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</si>
  <si>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</si>
  <si>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</si>
  <si>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</si>
  <si>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</si>
  <si>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</si>
  <si>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</si>
  <si>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</si>
  <si>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</si>
  <si>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</si>
  <si>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</si>
  <si>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</si>
  <si>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</si>
  <si>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</si>
  <si>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</si>
  <si>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</si>
  <si>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</si>
  <si>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</si>
  <si>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</si>
  <si>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</si>
  <si>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</si>
  <si>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</si>
  <si>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</si>
  <si>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</si>
  <si>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</si>
  <si>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</si>
  <si>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</si>
  <si>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</si>
  <si>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</si>
  <si>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</si>
  <si>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</si>
  <si>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</si>
  <si>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</si>
  <si>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</si>
  <si>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</si>
  <si>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</si>
  <si>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</si>
  <si>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</si>
  <si>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</si>
  <si>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</si>
  <si>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</si>
  <si>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</si>
  <si>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</si>
  <si>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</si>
  <si>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</si>
  <si>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</si>
  <si>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</si>
  <si>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</si>
  <si>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</si>
  <si>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</si>
  <si>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</si>
  <si>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</si>
  <si>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</si>
  <si>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</si>
  <si>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</si>
  <si>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</si>
  <si>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</si>
  <si>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</si>
  <si>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</si>
  <si>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</si>
  <si>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</si>
  <si>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</si>
  <si>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</si>
  <si>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</si>
  <si>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</si>
  <si>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</si>
  <si>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</si>
  <si>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</si>
  <si>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</si>
  <si>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</si>
  <si>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</si>
  <si>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</si>
  <si>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</si>
  <si>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</si>
  <si>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</si>
  <si>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</si>
  <si>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</si>
  <si>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</si>
  <si>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</si>
  <si>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</si>
  <si>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</si>
  <si>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</si>
  <si>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</si>
  <si>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</si>
  <si>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</si>
  <si>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</si>
  <si>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</si>
  <si>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</si>
  <si>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</si>
  <si>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</si>
  <si>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</si>
  <si>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</si>
  <si>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</si>
  <si>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</si>
  <si>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</si>
  <si>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</si>
  <si>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</si>
  <si>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</si>
  <si>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</si>
  <si>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</si>
  <si>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</si>
  <si>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</si>
  <si>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</si>
  <si>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</si>
  <si>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</si>
  <si>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</si>
  <si>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</si>
  <si>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</si>
  <si>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</si>
  <si>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</si>
  <si>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</si>
  <si>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</si>
  <si>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</si>
  <si>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</si>
  <si>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</si>
  <si>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</si>
  <si>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</si>
  <si>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</si>
  <si>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</si>
  <si>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</si>
  <si>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</si>
  <si>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</si>
  <si>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</si>
  <si>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</si>
  <si>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</si>
  <si>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</si>
  <si>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</si>
  <si>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</si>
  <si>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</si>
  <si>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</si>
  <si>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</si>
  <si>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</si>
  <si>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</si>
  <si>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</si>
  <si>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</si>
  <si>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</si>
  <si>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</si>
  <si>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</si>
  <si>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</si>
  <si>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</si>
  <si>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</si>
  <si>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</si>
  <si>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</si>
  <si>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</si>
  <si>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</si>
  <si>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</si>
  <si>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</si>
  <si>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</si>
  <si>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</si>
  <si>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</si>
  <si>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</si>
  <si>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</si>
  <si>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</si>
  <si>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</si>
  <si>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</si>
  <si>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</si>
  <si>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</si>
  <si>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</si>
  <si>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</si>
  <si>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</si>
  <si>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</si>
  <si>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</si>
  <si>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</si>
  <si>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</si>
  <si>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</si>
  <si>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</si>
  <si>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</si>
  <si>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</si>
  <si>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</si>
  <si>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</si>
  <si>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</si>
  <si>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</si>
  <si>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</si>
  <si>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</si>
  <si>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</si>
  <si>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</si>
  <si>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</si>
  <si>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</si>
  <si>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</si>
  <si>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</si>
  <si>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</si>
  <si>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</si>
  <si>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</si>
  <si>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</si>
  <si>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</si>
  <si>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</si>
  <si>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</si>
  <si>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</si>
  <si>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</si>
  <si>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</si>
  <si>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</si>
  <si>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</si>
  <si>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</si>
  <si>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</si>
  <si>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</si>
  <si>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</si>
  <si>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</si>
  <si>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</si>
  <si>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</si>
  <si>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</si>
  <si>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</si>
  <si>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</si>
  <si>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</si>
  <si>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</si>
  <si>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</si>
  <si>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</si>
  <si>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</si>
  <si>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</si>
  <si>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</si>
  <si>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</si>
  <si>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</si>
  <si>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</si>
  <si>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</si>
  <si>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</si>
  <si>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</si>
  <si>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</si>
  <si>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</si>
  <si>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</si>
  <si>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</si>
  <si>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</si>
  <si>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</si>
  <si>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</si>
  <si>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</si>
  <si>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</si>
  <si>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</si>
  <si>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</si>
  <si>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</si>
  <si>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</si>
  <si>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</si>
  <si>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</si>
  <si>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</si>
  <si>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</si>
  <si>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</si>
  <si>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</si>
  <si>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</si>
  <si>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</si>
  <si>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</si>
  <si>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</si>
  <si>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</si>
  <si>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</si>
  <si>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</si>
  <si>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</si>
  <si>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</si>
  <si>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</si>
  <si>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</si>
  <si>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</si>
  <si>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</si>
  <si>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</si>
  <si>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</si>
  <si>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</si>
  <si>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</si>
  <si>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</si>
  <si>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</si>
  <si>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</si>
  <si>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</si>
  <si>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</si>
  <si>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</si>
  <si>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</si>
  <si>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</si>
  <si>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</si>
  <si>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</si>
  <si>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</si>
  <si>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</si>
  <si>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</si>
  <si>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</si>
  <si>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</si>
  <si>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</si>
  <si>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</si>
  <si>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</si>
  <si>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</si>
  <si>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</si>
  <si>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</si>
  <si>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</si>
  <si>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</si>
  <si>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</si>
  <si>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</si>
  <si>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</si>
  <si>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</si>
  <si>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</si>
  <si>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</si>
  <si>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</si>
  <si>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</si>
  <si>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</si>
  <si>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</si>
  <si>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</si>
  <si>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</si>
  <si>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</si>
  <si>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</si>
  <si>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</si>
  <si>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</si>
  <si>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</si>
  <si>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</si>
  <si>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</si>
  <si>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</si>
  <si>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</si>
  <si>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</si>
  <si>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</si>
  <si>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</si>
  <si>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</si>
  <si>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</si>
  <si>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</si>
  <si>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</si>
  <si>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</si>
  <si>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</si>
  <si>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</si>
  <si>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</si>
  <si>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</si>
  <si>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</si>
  <si>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</si>
  <si>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</si>
  <si>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</si>
  <si>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</si>
  <si>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</si>
  <si>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</si>
  <si>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</si>
  <si>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</si>
  <si>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</si>
  <si>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</si>
  <si>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</si>
  <si>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</si>
  <si>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</si>
  <si>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</si>
  <si>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</si>
  <si>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</si>
  <si>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</si>
  <si>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</si>
  <si>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</si>
  <si>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</si>
  <si>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</si>
  <si>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</si>
  <si>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</si>
  <si>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</si>
  <si>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</si>
  <si>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</si>
  <si>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</si>
  <si>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</si>
  <si>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</si>
  <si>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</si>
  <si>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</si>
  <si>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</si>
  <si>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</si>
  <si>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</si>
  <si>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</si>
  <si>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</si>
  <si>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</si>
  <si>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</si>
  <si>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</si>
  <si>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</si>
  <si>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</si>
  <si>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</si>
  <si>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</si>
  <si>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</si>
  <si>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</si>
  <si>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</si>
  <si>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</si>
  <si>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</si>
  <si>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</si>
  <si>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</si>
  <si>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</si>
  <si>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</si>
  <si>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</si>
  <si>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</si>
  <si>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</si>
  <si>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</si>
  <si>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</si>
  <si>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</si>
  <si>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</si>
  <si>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</si>
  <si>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</si>
  <si>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</si>
  <si>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</si>
  <si>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</si>
  <si>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</si>
  <si>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</si>
  <si>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</si>
  <si>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</si>
  <si>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</si>
  <si>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</si>
  <si>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</si>
  <si>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</si>
  <si>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</si>
  <si>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</si>
  <si>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</si>
  <si>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</si>
  <si>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</si>
  <si>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</si>
  <si>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</si>
  <si>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</si>
  <si>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</si>
  <si>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</si>
  <si>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</si>
  <si>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</si>
  <si>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</si>
  <si>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</si>
  <si>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</si>
  <si>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</si>
  <si>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</si>
  <si>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</si>
  <si>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</si>
  <si>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</si>
  <si>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</si>
  <si>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</si>
  <si>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</si>
  <si>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</si>
  <si>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</si>
  <si>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</si>
  <si>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</si>
  <si>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</si>
  <si>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</si>
  <si>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</si>
  <si>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</si>
  <si>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</si>
  <si>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</si>
  <si>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</si>
  <si>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</si>
  <si>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</si>
  <si>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</si>
  <si>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</si>
  <si>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</si>
  <si>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</si>
  <si>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</si>
  <si>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</si>
  <si>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</si>
  <si>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</si>
  <si>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</si>
  <si>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</si>
  <si>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</si>
  <si>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</si>
  <si>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</si>
  <si>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</si>
  <si>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</si>
  <si>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</si>
  <si>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</si>
  <si>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</si>
  <si>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</si>
  <si>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</si>
  <si>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</si>
  <si>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</si>
  <si>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</si>
  <si>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</si>
  <si>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</si>
  <si>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</si>
  <si>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</si>
  <si>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</si>
  <si>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</si>
  <si>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</si>
  <si>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</si>
  <si>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</si>
  <si>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</si>
  <si>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</si>
  <si>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</si>
  <si>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</si>
  <si>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</si>
  <si>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</si>
  <si>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</si>
  <si>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</si>
  <si>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</si>
  <si>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</si>
  <si>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</si>
  <si>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</si>
  <si>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</si>
  <si>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</si>
  <si>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</si>
  <si>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</si>
  <si>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</si>
  <si>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</si>
  <si>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</si>
  <si>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</si>
  <si>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</si>
  <si>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</si>
  <si>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</si>
  <si>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</si>
  <si>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</si>
  <si>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</si>
  <si>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</si>
  <si>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</si>
  <si>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</si>
  <si>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</si>
  <si>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</si>
  <si>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</si>
  <si>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</si>
  <si>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</si>
  <si>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</si>
  <si>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</si>
  <si>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</si>
  <si>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</si>
  <si>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</si>
  <si>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</si>
  <si>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</si>
  <si>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</si>
  <si>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</si>
  <si>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</si>
  <si>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</si>
  <si>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</si>
  <si>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</si>
  <si>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</si>
  <si>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</si>
  <si>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</si>
  <si>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</si>
  <si>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</si>
  <si>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</si>
  <si>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</si>
  <si>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</si>
  <si>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</si>
  <si>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</si>
  <si>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</si>
  <si>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</si>
  <si>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</si>
  <si>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</si>
  <si>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</si>
  <si>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</si>
  <si>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</si>
  <si>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</si>
  <si>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</si>
  <si>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</si>
  <si>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</si>
  <si>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</si>
  <si>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</si>
  <si>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</si>
  <si>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</si>
  <si>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</si>
  <si>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</si>
  <si>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</si>
  <si>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</si>
  <si>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</si>
  <si>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</si>
  <si>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</si>
  <si>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</si>
  <si>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</si>
  <si>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</si>
  <si>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</si>
  <si>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</si>
  <si>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</si>
  <si>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</si>
  <si>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</si>
  <si>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</si>
  <si>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</si>
  <si>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</si>
  <si>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</si>
  <si>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</si>
  <si>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</si>
  <si>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</si>
  <si>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</si>
  <si>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</si>
  <si>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</si>
  <si>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</si>
  <si>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</si>
  <si>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</si>
  <si>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</si>
  <si>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</si>
  <si>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</si>
  <si>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</si>
  <si>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</si>
  <si>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</si>
  <si>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</si>
  <si>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</si>
  <si>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</si>
  <si>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</si>
  <si>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</si>
  <si>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</si>
  <si>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</si>
  <si>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</si>
  <si>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</si>
  <si>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</si>
  <si>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</si>
  <si>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</si>
  <si>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</si>
  <si>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</si>
  <si>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</si>
  <si>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</si>
  <si>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</si>
  <si>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</si>
  <si>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</si>
  <si>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</si>
  <si>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</si>
  <si>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</si>
  <si>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</si>
  <si>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</si>
  <si>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</si>
  <si>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</si>
  <si>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</si>
  <si>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</si>
  <si>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</si>
  <si>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</si>
  <si>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</si>
  <si>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</si>
  <si>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</si>
  <si>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</si>
  <si>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</si>
  <si>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</si>
  <si>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</si>
  <si>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</si>
  <si>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</si>
  <si>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</si>
  <si>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</si>
  <si>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</si>
  <si>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</si>
  <si>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</si>
  <si>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</si>
  <si>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</si>
  <si>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</si>
  <si>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</si>
  <si>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</si>
  <si>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</si>
  <si>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</si>
  <si>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</si>
  <si>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</si>
  <si>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</si>
  <si>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</si>
  <si>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</si>
  <si>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</si>
  <si>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</si>
  <si>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</si>
  <si>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</si>
  <si>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</si>
  <si>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</si>
  <si>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</si>
  <si>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</si>
  <si>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</si>
  <si>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</si>
  <si>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</si>
  <si>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</si>
  <si>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</si>
  <si>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</si>
  <si>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</si>
  <si>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</si>
  <si>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</si>
  <si>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</si>
  <si>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</si>
  <si>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</si>
  <si>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</si>
  <si>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</si>
  <si>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</si>
  <si>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</si>
  <si>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</si>
  <si>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</si>
  <si>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</si>
  <si>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</si>
  <si>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</si>
  <si>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</si>
  <si>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</si>
  <si>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</si>
  <si>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</si>
  <si>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</si>
  <si>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</si>
  <si>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</si>
  <si>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</si>
  <si>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</si>
  <si>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</si>
  <si>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</si>
  <si>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</si>
  <si>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</si>
  <si>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</si>
  <si>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</si>
  <si>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</si>
  <si>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</si>
  <si>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</si>
  <si>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</si>
  <si>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</si>
  <si>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</si>
  <si>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</si>
  <si>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</si>
  <si>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</si>
  <si>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</si>
  <si>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</si>
  <si>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</si>
  <si>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</si>
  <si>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</si>
  <si>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</si>
  <si>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</si>
  <si>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</si>
  <si>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</si>
  <si>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</si>
  <si>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</si>
  <si>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</si>
  <si>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</si>
  <si>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</si>
  <si>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</si>
  <si>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</si>
  <si>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</si>
  <si>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</si>
  <si>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</si>
  <si>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</si>
  <si>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</si>
  <si>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</si>
  <si>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</si>
  <si>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</si>
  <si>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</si>
  <si>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</si>
  <si>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</si>
  <si>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</si>
  <si>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</si>
  <si>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</si>
  <si>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</si>
  <si>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</si>
  <si>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</si>
  <si>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</si>
  <si>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</si>
  <si>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</si>
  <si>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</si>
  <si>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</si>
  <si>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</si>
  <si>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</si>
  <si>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</si>
  <si>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</si>
  <si>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</si>
  <si>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</si>
  <si>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</si>
  <si>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</si>
  <si>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</si>
  <si>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</si>
  <si>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</si>
  <si>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</si>
  <si>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</si>
  <si>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</si>
  <si>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</si>
  <si>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</si>
  <si>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</si>
  <si>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</si>
  <si>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</si>
  <si>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</si>
  <si>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</si>
  <si>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</si>
  <si>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</si>
  <si>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</si>
  <si>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</si>
  <si>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</si>
  <si>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</si>
  <si>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</si>
  <si>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</si>
  <si>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</si>
  <si>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</si>
  <si>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</si>
  <si>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</si>
  <si>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</si>
  <si>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</si>
  <si>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</si>
  <si>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</si>
  <si>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</si>
  <si>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</si>
  <si>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</si>
  <si>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</si>
  <si>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</si>
  <si>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</si>
  <si>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</si>
  <si>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</si>
  <si>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</si>
  <si>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</si>
  <si>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</si>
  <si>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</si>
  <si>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</si>
  <si>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</si>
  <si>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</si>
  <si>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</si>
  <si>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</si>
  <si>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</si>
  <si>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</si>
  <si>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</si>
  <si>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</si>
  <si>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</si>
  <si>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</si>
  <si>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</si>
  <si>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</si>
  <si>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</si>
  <si>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</si>
  <si>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</si>
  <si>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</si>
  <si>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</si>
  <si>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</si>
  <si>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</si>
  <si>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</si>
  <si>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</si>
  <si>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</si>
  <si>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</si>
  <si>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</si>
  <si>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</si>
  <si>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</si>
  <si>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</si>
  <si>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</si>
  <si>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</si>
  <si>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</si>
  <si>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</si>
  <si>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</si>
  <si>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</si>
  <si>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</si>
  <si>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</si>
  <si>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</si>
  <si>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</si>
  <si>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</si>
  <si>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</si>
  <si>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</si>
  <si>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</si>
  <si>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</si>
  <si>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</si>
  <si>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</si>
  <si>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</si>
  <si>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</si>
  <si>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</si>
  <si>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</si>
  <si>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</si>
  <si>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</si>
  <si>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</si>
  <si>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</si>
  <si>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</si>
  <si>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</si>
  <si>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</si>
  <si>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</si>
  <si>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</si>
  <si>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</si>
  <si>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</si>
  <si>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</si>
  <si>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</si>
  <si>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</si>
  <si>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</si>
  <si>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</si>
  <si>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</si>
  <si>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</si>
  <si>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</si>
  <si>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</si>
  <si>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</si>
  <si>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</si>
  <si>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</si>
  <si>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</si>
  <si>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</si>
  <si>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</si>
  <si>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</si>
  <si>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</si>
  <si>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</si>
  <si>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</si>
  <si>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</si>
  <si>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</si>
  <si>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</si>
  <si>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</si>
  <si>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</si>
  <si>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</si>
  <si>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</si>
  <si>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</si>
  <si>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</si>
  <si>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</si>
  <si>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</si>
  <si>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</si>
  <si>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</si>
  <si>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</si>
  <si>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</si>
  <si>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</si>
  <si>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</si>
  <si>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</si>
  <si>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</si>
  <si>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</si>
  <si>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</si>
  <si>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</si>
  <si>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</si>
  <si>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</si>
  <si>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</si>
  <si>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</si>
  <si>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</si>
  <si>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</si>
  <si>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</si>
  <si>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</si>
  <si>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</si>
  <si>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</si>
  <si>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</si>
  <si>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</si>
  <si>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</si>
  <si>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</si>
  <si>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</si>
  <si>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</si>
  <si>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</si>
  <si>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</si>
  <si>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</si>
  <si>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</si>
  <si>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</si>
  <si>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</si>
  <si>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</si>
  <si>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</si>
  <si>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</si>
  <si>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</si>
  <si>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</si>
  <si>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</si>
  <si>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</si>
  <si>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</si>
  <si>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</si>
  <si>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</si>
  <si>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</si>
  <si>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</si>
  <si>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</si>
  <si>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</si>
  <si>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</si>
  <si>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</si>
  <si>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</si>
  <si>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</si>
  <si>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</si>
  <si>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</si>
  <si>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</si>
  <si>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</si>
  <si>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</si>
  <si>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</si>
  <si>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</si>
  <si>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</si>
  <si>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</si>
  <si>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</si>
  <si>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</si>
  <si>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</si>
  <si>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</si>
  <si>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</si>
  <si>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</si>
  <si>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</si>
  <si>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</si>
  <si>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</si>
  <si>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</si>
  <si>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</si>
  <si>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</si>
  <si>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</si>
  <si>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</si>
  <si>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</si>
  <si>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</si>
  <si>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</si>
  <si>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</si>
  <si>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</si>
  <si>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</si>
  <si>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</si>
  <si>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</si>
  <si>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</si>
  <si>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</si>
  <si>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</si>
  <si>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</si>
  <si>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</si>
  <si>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</si>
  <si>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</si>
  <si>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</si>
  <si>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</si>
  <si>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</si>
  <si>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</si>
  <si>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</si>
  <si>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</si>
  <si>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</si>
  <si>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</si>
  <si>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</si>
  <si>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</si>
  <si>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</si>
  <si>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</si>
  <si>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</si>
  <si>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</si>
  <si>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</si>
  <si>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</si>
  <si>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</si>
  <si>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</si>
  <si>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</si>
  <si>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</si>
  <si>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</si>
  <si>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</si>
  <si>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</si>
  <si>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</si>
  <si>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</si>
  <si>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</si>
  <si>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</si>
  <si>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</si>
  <si>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</si>
  <si>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</si>
  <si>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</si>
  <si>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</si>
  <si>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</si>
  <si>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</si>
  <si>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</si>
  <si>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</si>
  <si>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</si>
  <si>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</si>
  <si>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</si>
  <si>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</si>
  <si>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</si>
  <si>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</si>
  <si>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</si>
  <si>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</si>
  <si>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</si>
  <si>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</si>
  <si>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</si>
  <si>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</si>
  <si>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</si>
  <si>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</si>
  <si>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</si>
  <si>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</si>
  <si>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</si>
  <si>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</si>
  <si>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</si>
  <si>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</si>
  <si>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</si>
  <si>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</si>
  <si>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</si>
  <si>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</si>
  <si>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</si>
  <si>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</si>
  <si>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</si>
  <si>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</si>
  <si>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</si>
  <si>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</si>
  <si>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</si>
  <si>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</si>
  <si>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</si>
  <si>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</si>
  <si>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</si>
  <si>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</si>
  <si>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</si>
  <si>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</si>
  <si>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</si>
  <si>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</si>
  <si>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</si>
  <si>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</si>
  <si>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</si>
  <si>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</si>
  <si>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</si>
  <si>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</si>
  <si>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</si>
  <si>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</si>
  <si>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</si>
  <si>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</si>
  <si>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</si>
  <si>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</si>
  <si>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</si>
  <si>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</si>
  <si>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</si>
  <si>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</si>
  <si>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</si>
  <si>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</si>
  <si>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</si>
  <si>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</si>
  <si>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</si>
  <si>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</si>
  <si>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</si>
  <si>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</si>
  <si>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</si>
  <si>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</si>
  <si>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</si>
  <si>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</si>
  <si>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</si>
  <si>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</si>
  <si>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</si>
  <si>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</si>
  <si>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</si>
  <si>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</si>
  <si>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</si>
  <si>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</si>
  <si>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</si>
  <si>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</si>
  <si>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</si>
  <si>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</si>
  <si>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</si>
  <si>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</si>
  <si>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</si>
  <si>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</si>
  <si>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</si>
  <si>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</si>
  <si>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</si>
  <si>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</si>
  <si>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</si>
  <si>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</si>
  <si>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</si>
  <si>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</si>
  <si>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</si>
  <si>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</si>
  <si>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</si>
  <si>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</si>
  <si>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</si>
  <si>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</si>
  <si>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</si>
  <si>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</si>
  <si>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</si>
  <si>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</si>
  <si>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</si>
  <si>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</si>
  <si>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</si>
  <si>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</si>
  <si>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</si>
  <si>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</si>
  <si>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</si>
  <si>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</si>
  <si>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</si>
  <si>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</si>
  <si>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</si>
  <si>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</si>
  <si>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</si>
  <si>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</si>
  <si>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</si>
  <si>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</si>
  <si>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</si>
  <si>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</si>
  <si>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</si>
  <si>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</si>
  <si>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</si>
  <si>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</si>
  <si>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</si>
  <si>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</si>
  <si>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</si>
  <si>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</si>
  <si>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</si>
  <si>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</si>
  <si>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</si>
  <si>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</si>
  <si>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</si>
  <si>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</si>
  <si>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</si>
  <si>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</si>
  <si>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</si>
  <si>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</si>
  <si>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</si>
  <si>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</si>
  <si>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</si>
  <si>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</si>
  <si>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</si>
  <si>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</si>
  <si>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</si>
  <si>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</si>
  <si>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</si>
  <si>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</si>
  <si>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</si>
  <si>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</si>
  <si>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</si>
  <si>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</si>
  <si>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</si>
  <si>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</si>
  <si>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</si>
  <si>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</si>
  <si>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</si>
  <si>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</si>
  <si>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</si>
  <si>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</si>
  <si>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</si>
  <si>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</si>
  <si>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</si>
  <si>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</si>
  <si>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</si>
  <si>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</si>
  <si>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</si>
  <si>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</si>
  <si>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</si>
  <si>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</si>
  <si>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</si>
  <si>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</si>
  <si>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</si>
  <si>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</si>
  <si>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</si>
  <si>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</si>
  <si>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</si>
  <si>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</si>
  <si>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</si>
  <si>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</si>
  <si>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</si>
  <si>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</si>
  <si>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</si>
  <si>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</si>
  <si>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</si>
  <si>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</si>
  <si>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</si>
  <si>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</si>
  <si>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</si>
  <si>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</si>
  <si>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</si>
  <si>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</si>
  <si>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</si>
  <si>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</si>
  <si>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</si>
  <si>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</si>
  <si>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</si>
  <si>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</si>
  <si>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</si>
  <si>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</si>
  <si>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</si>
  <si>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</si>
  <si>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</si>
  <si>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</si>
  <si>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</si>
  <si>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</si>
  <si>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</si>
  <si>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</si>
  <si>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</si>
  <si>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</si>
  <si>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</si>
  <si>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</si>
  <si>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</si>
  <si>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</si>
  <si>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</si>
  <si>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</si>
  <si>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</si>
  <si>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</si>
  <si>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</si>
  <si>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</si>
  <si>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</si>
  <si>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</si>
  <si>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</si>
  <si>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</si>
  <si>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</si>
  <si>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</si>
  <si>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</si>
  <si>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</si>
  <si>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</si>
  <si>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</si>
  <si>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</si>
  <si>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</si>
  <si>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</si>
  <si>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</si>
  <si>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</si>
  <si>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</si>
  <si>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</si>
  <si>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</si>
  <si>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</si>
  <si>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</si>
  <si>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</si>
  <si>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</si>
  <si>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</si>
  <si>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</si>
  <si>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</si>
  <si>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</si>
  <si>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</si>
  <si>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</si>
  <si>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</si>
  <si>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</si>
  <si>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</si>
  <si>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</si>
  <si>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</si>
  <si>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</si>
  <si>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</si>
  <si>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</si>
  <si>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</si>
  <si>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</si>
  <si>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</si>
  <si>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</si>
  <si>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</si>
  <si>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</si>
  <si>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</si>
  <si>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</si>
  <si>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</si>
  <si>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</si>
  <si>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</si>
  <si>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</si>
  <si>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</si>
  <si>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</si>
  <si>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</si>
  <si>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</si>
  <si>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</si>
  <si>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</si>
  <si>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</si>
  <si>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</si>
  <si>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</si>
  <si>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</si>
  <si>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</si>
  <si>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</si>
  <si>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</si>
  <si>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</si>
  <si>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</si>
  <si>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</si>
  <si>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</si>
  <si>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</si>
  <si>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</si>
  <si>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</si>
  <si>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</si>
  <si>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</si>
  <si>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</si>
  <si>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</si>
  <si>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</si>
  <si>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</si>
  <si>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</si>
  <si>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</si>
  <si>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</si>
  <si>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</si>
  <si>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</si>
  <si>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</si>
  <si>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</si>
  <si>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</si>
  <si>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</si>
  <si>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</si>
  <si>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</si>
  <si>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</si>
  <si>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</si>
  <si>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</si>
  <si>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</si>
  <si>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</si>
  <si>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</si>
  <si>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</si>
  <si>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</si>
  <si>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</si>
  <si>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</si>
  <si>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</si>
  <si>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</si>
  <si>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</si>
  <si>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</si>
  <si>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</si>
  <si>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</si>
  <si>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</si>
  <si>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</si>
  <si>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</si>
  <si>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</si>
  <si>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</si>
  <si>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</si>
  <si>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</si>
  <si>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</si>
  <si>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</si>
  <si>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</si>
  <si>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</si>
  <si>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</si>
  <si>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</si>
  <si>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</si>
  <si>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</si>
  <si>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</si>
  <si>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</si>
  <si>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</si>
  <si>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</si>
  <si>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</si>
  <si>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</si>
  <si>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</si>
  <si>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</si>
  <si>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</si>
  <si>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</si>
  <si>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</si>
  <si>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</si>
  <si>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</si>
  <si>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</si>
  <si>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</si>
  <si>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</si>
  <si>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</si>
  <si>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</si>
  <si>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</si>
  <si>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</si>
  <si>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</si>
  <si>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</si>
  <si>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</si>
  <si>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</si>
  <si>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</si>
  <si>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</si>
  <si>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</si>
  <si>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</si>
  <si>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</si>
  <si>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</si>
  <si>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</si>
  <si>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</si>
  <si>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</si>
  <si>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</si>
  <si>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</si>
  <si>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</si>
  <si>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</si>
  <si>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</si>
  <si>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</si>
  <si>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</si>
  <si>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</si>
  <si>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</si>
  <si>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</si>
  <si>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</si>
  <si>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</si>
  <si>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</si>
  <si>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</si>
  <si>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</si>
  <si>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</si>
  <si>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</si>
  <si>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</si>
  <si>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</si>
  <si>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</si>
  <si>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</si>
  <si>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</si>
  <si>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</si>
  <si>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</si>
  <si>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</si>
  <si>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</si>
  <si>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</si>
  <si>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</si>
  <si>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</si>
  <si>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</si>
  <si>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</si>
  <si>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</si>
  <si>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</si>
  <si>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</si>
  <si>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</si>
  <si>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</si>
  <si>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</si>
  <si>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</si>
  <si>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</si>
  <si>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</si>
  <si>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</si>
  <si>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</si>
  <si>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</si>
  <si>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</si>
  <si>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</si>
  <si>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</si>
  <si>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</si>
  <si>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</si>
  <si>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</si>
  <si>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</si>
  <si>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</si>
  <si>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</si>
  <si>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</si>
  <si>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</si>
  <si>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</si>
  <si>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</si>
  <si>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</si>
  <si>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</si>
  <si>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</si>
  <si>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</si>
  <si>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</si>
  <si>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</si>
  <si>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</si>
  <si>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</si>
  <si>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</si>
  <si>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</si>
  <si>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</si>
  <si>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</si>
  <si>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</si>
  <si>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</si>
  <si>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</si>
  <si>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</si>
  <si>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</si>
  <si>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</si>
  <si>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</si>
  <si>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</si>
  <si>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</si>
  <si>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</si>
  <si>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</si>
  <si>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</si>
  <si>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</si>
  <si>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</si>
  <si>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</si>
  <si>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</si>
  <si>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</si>
  <si>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</si>
  <si>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</si>
  <si>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</si>
  <si>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</si>
  <si>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</si>
  <si>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</si>
  <si>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</si>
  <si>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</si>
  <si>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</si>
  <si>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</si>
  <si>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</si>
  <si>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</si>
  <si>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</si>
  <si>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</si>
  <si>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</si>
  <si>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</si>
  <si>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</si>
  <si>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</si>
  <si>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</si>
  <si>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</si>
  <si>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</si>
  <si>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</si>
  <si>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</si>
  <si>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</si>
  <si>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</si>
  <si>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</si>
  <si>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</si>
  <si>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</si>
  <si>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</si>
  <si>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</si>
  <si>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</si>
  <si>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</si>
  <si>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</si>
  <si>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</si>
  <si>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</si>
  <si>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</si>
  <si>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</si>
  <si>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</si>
  <si>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</si>
  <si>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</si>
  <si>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</si>
  <si>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</si>
  <si>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</si>
  <si>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</si>
  <si>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</si>
  <si>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</si>
  <si>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</si>
  <si>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</si>
  <si>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</si>
  <si>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</si>
  <si>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</si>
  <si>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</si>
  <si>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</si>
  <si>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</si>
  <si>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</si>
  <si>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</si>
  <si>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</si>
  <si>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</si>
  <si>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</si>
  <si>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</si>
  <si>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</si>
  <si>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</si>
  <si>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</si>
  <si>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</si>
  <si>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</si>
  <si>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</si>
  <si>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</si>
  <si>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</si>
  <si>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</si>
  <si>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</si>
  <si>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</si>
  <si>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</si>
  <si>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</si>
  <si>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</si>
  <si>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</si>
  <si>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</si>
  <si>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</si>
  <si>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</si>
  <si>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</si>
  <si>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</si>
  <si>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</si>
  <si>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</si>
  <si>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</si>
  <si>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</si>
  <si>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</si>
  <si>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</si>
  <si>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</si>
  <si>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</si>
  <si>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</si>
  <si>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</si>
  <si>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</si>
  <si>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</si>
  <si>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</si>
  <si>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</si>
  <si>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</si>
  <si>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</si>
  <si>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</si>
  <si>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</si>
  <si>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</si>
  <si>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</si>
  <si>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</si>
  <si>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</si>
  <si>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</si>
  <si>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</si>
  <si>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</si>
  <si>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</si>
  <si>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</si>
  <si>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</si>
  <si>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</si>
  <si>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</si>
  <si>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</si>
  <si>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</si>
  <si>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</si>
  <si>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</si>
  <si>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</si>
  <si>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</si>
  <si>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</si>
  <si>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</si>
  <si>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</si>
  <si>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</si>
  <si>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</si>
  <si>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</si>
  <si>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</si>
  <si>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</si>
  <si>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</si>
  <si>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</si>
  <si>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</si>
  <si>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</si>
  <si>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</si>
  <si>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</si>
  <si>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</si>
  <si>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</si>
  <si>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</si>
  <si>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</si>
  <si>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</si>
  <si>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</si>
  <si>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</si>
  <si>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</si>
  <si>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</si>
  <si>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</si>
  <si>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</si>
  <si>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</si>
  <si>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</si>
  <si>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</si>
  <si>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</si>
  <si>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</si>
  <si>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</si>
  <si>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</si>
  <si>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</si>
  <si>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</si>
  <si>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</si>
  <si>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</si>
  <si>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</si>
  <si>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</si>
  <si>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</si>
  <si>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</si>
  <si>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</si>
  <si>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</si>
  <si>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</si>
  <si>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</si>
  <si>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</si>
  <si>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</si>
  <si>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</si>
  <si>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</si>
  <si>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</si>
  <si>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</si>
  <si>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</si>
  <si>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</si>
  <si>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</si>
  <si>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</si>
  <si>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</si>
  <si>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</si>
  <si>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</si>
  <si>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</si>
  <si>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</si>
  <si>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</si>
  <si>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</si>
  <si>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</si>
  <si>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</si>
  <si>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</si>
  <si>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</si>
  <si>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</si>
  <si>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</si>
  <si>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</si>
  <si>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</si>
  <si>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</si>
  <si>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</si>
  <si>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</si>
  <si>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</si>
  <si>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</si>
  <si>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</si>
  <si>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</si>
  <si>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</si>
  <si>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</si>
  <si>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</si>
  <si>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</si>
  <si>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</si>
  <si>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</si>
  <si>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</si>
  <si>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</si>
  <si>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</si>
  <si>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</si>
  <si>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</si>
  <si>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</si>
  <si>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</si>
  <si>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</si>
  <si>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</si>
  <si>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</si>
  <si>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</si>
  <si>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</si>
  <si>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</si>
  <si>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</si>
  <si>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</si>
  <si>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</si>
  <si>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</si>
  <si>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</si>
  <si>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</si>
  <si>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</si>
  <si>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</si>
  <si>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</si>
  <si>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</si>
  <si>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</si>
  <si>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</si>
  <si>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</si>
  <si>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</si>
  <si>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</si>
  <si>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</si>
  <si>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</si>
  <si>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</si>
  <si>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</si>
  <si>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</si>
  <si>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</si>
  <si>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</si>
  <si>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</si>
  <si>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</si>
  <si>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</si>
  <si>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</si>
  <si>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</si>
  <si>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</si>
  <si>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</si>
  <si>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</si>
  <si>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</si>
  <si>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</si>
  <si>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</si>
  <si>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</si>
  <si>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</si>
  <si>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</si>
  <si>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</si>
  <si>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</si>
  <si>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</si>
  <si>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</si>
  <si>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</si>
  <si>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</si>
  <si>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</si>
  <si>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</si>
  <si>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</si>
  <si>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</si>
  <si>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</si>
  <si>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</si>
  <si>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</si>
  <si>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</si>
  <si>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</si>
  <si>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</si>
  <si>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</si>
  <si>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</si>
  <si>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</si>
  <si>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</si>
  <si>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</si>
  <si>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</si>
  <si>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</si>
  <si>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</si>
  <si>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</si>
  <si>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</si>
  <si>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</si>
  <si>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</si>
  <si>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</si>
  <si>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</si>
  <si>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</si>
  <si>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</si>
  <si>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</si>
  <si>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</si>
  <si>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</si>
  <si>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</si>
  <si>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</si>
  <si>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</si>
  <si>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</si>
  <si>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</si>
  <si>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</si>
  <si>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</si>
  <si>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</si>
  <si>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</si>
  <si>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</si>
  <si>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</si>
  <si>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</si>
  <si>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</si>
  <si>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</si>
  <si>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</si>
  <si>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</si>
  <si>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</si>
  <si>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</si>
  <si>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</si>
  <si>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</si>
  <si>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</si>
  <si>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</si>
  <si>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</si>
  <si>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</si>
  <si>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</si>
  <si>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</si>
  <si>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</si>
  <si>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</si>
  <si>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</si>
  <si>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</si>
  <si>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</si>
  <si>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</si>
  <si>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</si>
  <si>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</si>
  <si>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</si>
  <si>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</si>
  <si>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</si>
  <si>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</si>
  <si>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</si>
  <si>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</si>
  <si>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</si>
  <si>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</si>
  <si>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</si>
  <si>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</si>
  <si>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</si>
  <si>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</si>
  <si>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</si>
  <si>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</si>
  <si>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</si>
  <si>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</si>
  <si>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</si>
  <si>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</si>
  <si>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</si>
  <si>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</si>
  <si>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</si>
  <si>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</si>
  <si>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</si>
  <si>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</si>
  <si>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</si>
  <si>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</si>
  <si>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</si>
  <si>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</si>
  <si>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</si>
  <si>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</si>
  <si>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</si>
  <si>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</si>
  <si>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</si>
  <si>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</si>
  <si>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</si>
  <si>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</si>
  <si>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</si>
  <si>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</si>
  <si>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</si>
  <si>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</si>
  <si>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</si>
  <si>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</si>
  <si>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</si>
  <si>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</si>
  <si>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</si>
  <si>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</si>
  <si>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</si>
  <si>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</si>
  <si>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</si>
  <si>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</si>
  <si>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</si>
  <si>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</si>
  <si>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</si>
  <si>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</si>
  <si>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</si>
  <si>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</si>
  <si>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</si>
  <si>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</si>
  <si>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</si>
  <si>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</si>
  <si>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</si>
  <si>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</si>
  <si>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</si>
  <si>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</si>
  <si>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</si>
  <si>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</si>
  <si>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</si>
  <si>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</si>
  <si>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</si>
  <si>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</si>
  <si>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</si>
  <si>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</si>
  <si>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</si>
  <si>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</si>
  <si>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</si>
  <si>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</si>
  <si>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</si>
  <si>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</si>
  <si>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</si>
  <si>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</si>
  <si>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</si>
  <si>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</si>
  <si>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</si>
  <si>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</si>
  <si>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</si>
  <si>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</si>
  <si>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</si>
  <si>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</si>
  <si>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</si>
  <si>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</si>
  <si>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</si>
  <si>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</si>
  <si>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</si>
  <si>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</si>
  <si>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</si>
  <si>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</si>
  <si>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</si>
  <si>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</si>
  <si>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</si>
  <si>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</si>
  <si>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</si>
  <si>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</si>
  <si>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</si>
  <si>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</si>
  <si>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</si>
  <si>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</si>
  <si>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</si>
  <si>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</si>
  <si>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</si>
  <si>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</si>
  <si>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</si>
  <si>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</si>
  <si>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</si>
  <si>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</si>
  <si>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</si>
  <si>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</si>
  <si>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</si>
  <si>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</si>
  <si>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</si>
  <si>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</si>
  <si>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</si>
  <si>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</si>
  <si>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</si>
  <si>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</si>
  <si>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</si>
  <si>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</si>
  <si>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</si>
  <si>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</si>
  <si>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</si>
  <si>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</si>
  <si>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</si>
  <si>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</si>
  <si>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</si>
  <si>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</si>
  <si>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</si>
  <si>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</si>
  <si>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</si>
  <si>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</si>
  <si>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</si>
  <si>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</si>
  <si>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</si>
  <si>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</si>
  <si>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</si>
  <si>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</si>
  <si>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</si>
  <si>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</si>
  <si>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</si>
  <si>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</si>
  <si>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</si>
  <si>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</si>
  <si>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</si>
  <si>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</si>
  <si>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</si>
  <si>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</si>
  <si>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</si>
  <si>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</si>
  <si>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</si>
  <si>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</si>
  <si>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</si>
  <si>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</si>
  <si>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</si>
  <si>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</si>
  <si>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</si>
  <si>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</si>
  <si>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</si>
  <si>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</si>
  <si>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</si>
  <si>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</si>
  <si>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</si>
  <si>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</si>
  <si>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</si>
  <si>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</si>
  <si>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</si>
  <si>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</si>
  <si>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</si>
  <si>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</si>
  <si>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</si>
  <si>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</si>
  <si>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</si>
  <si>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</si>
  <si>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</si>
  <si>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</si>
  <si>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</si>
  <si>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</si>
  <si>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</si>
  <si>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</si>
  <si>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</si>
  <si>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</si>
  <si>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</si>
  <si>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</si>
  <si>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</si>
  <si>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</si>
  <si>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</si>
  <si>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</si>
  <si>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</si>
  <si>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</si>
  <si>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</si>
  <si>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</si>
  <si>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</si>
  <si>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</si>
  <si>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</si>
  <si>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</si>
  <si>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</si>
  <si>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</si>
  <si>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</si>
  <si>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</si>
  <si>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</si>
  <si>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</si>
  <si>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</si>
  <si>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</si>
  <si>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</si>
  <si>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</si>
  <si>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</si>
  <si>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</si>
  <si>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</si>
  <si>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</si>
  <si>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</si>
  <si>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</si>
  <si>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</si>
  <si>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</si>
  <si>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</si>
  <si>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</si>
  <si>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</si>
  <si>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</si>
  <si>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</si>
  <si>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</si>
  <si>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</si>
  <si>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</si>
  <si>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</si>
  <si>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</si>
  <si>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</si>
  <si>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</si>
  <si>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</si>
  <si>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</si>
  <si>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</si>
  <si>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</si>
  <si>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</si>
  <si>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</si>
  <si>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</si>
  <si>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</si>
  <si>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</si>
  <si>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</si>
  <si>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</si>
  <si>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</si>
  <si>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</si>
  <si>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</si>
  <si>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</si>
  <si>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</si>
  <si>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</si>
  <si>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</si>
  <si>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</si>
  <si>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</si>
  <si>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</si>
  <si>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</si>
  <si>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</si>
  <si>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</si>
  <si>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</si>
  <si>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</si>
  <si>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</si>
  <si>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</si>
  <si>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</si>
  <si>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</si>
  <si>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</si>
  <si>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</si>
  <si>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</si>
  <si>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</si>
  <si>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</si>
  <si>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</si>
  <si>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</si>
  <si>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</si>
  <si>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</si>
  <si>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</si>
  <si>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</si>
  <si>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</si>
  <si>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</si>
  <si>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</si>
  <si>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</si>
  <si>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</si>
  <si>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</si>
  <si>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</si>
  <si>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</si>
  <si>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</si>
  <si>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</si>
  <si>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</si>
  <si>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</si>
  <si>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</si>
  <si>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</si>
  <si>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</si>
  <si>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</si>
  <si>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</si>
  <si>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</si>
  <si>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</si>
  <si>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</si>
  <si>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</si>
  <si>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</si>
  <si>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</si>
  <si>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</si>
  <si>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</si>
  <si>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</si>
  <si>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</si>
  <si>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</si>
  <si>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</si>
  <si>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</si>
  <si>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</si>
  <si>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</si>
  <si>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</si>
  <si>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</si>
  <si>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</si>
  <si>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</si>
  <si>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</si>
  <si>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</si>
  <si>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</si>
  <si>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</si>
  <si>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</si>
  <si>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</si>
  <si>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</si>
  <si>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</si>
  <si>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</si>
  <si>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</si>
  <si>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</si>
  <si>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</si>
  <si>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</si>
  <si>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</si>
  <si>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</si>
  <si>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</si>
  <si>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</si>
  <si>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</si>
  <si>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</si>
  <si>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</si>
  <si>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</si>
  <si>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</si>
  <si>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</si>
  <si>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</si>
  <si>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</si>
  <si>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</si>
  <si>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</si>
  <si>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</si>
  <si>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</si>
  <si>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</si>
  <si>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</si>
  <si>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</si>
  <si>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</si>
  <si>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</si>
  <si>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</si>
  <si>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</si>
  <si>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</si>
  <si>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</si>
  <si>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</si>
  <si>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</si>
  <si>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</si>
  <si>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</si>
  <si>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</si>
  <si>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</si>
  <si>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</si>
  <si>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</si>
  <si>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</si>
  <si>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</si>
  <si>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</si>
  <si>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</si>
  <si>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</si>
  <si>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</si>
  <si>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</si>
  <si>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</si>
  <si>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</si>
  <si>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</si>
  <si>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</si>
  <si>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</si>
  <si>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</si>
  <si>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</si>
  <si>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</si>
  <si>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</si>
  <si>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</si>
  <si>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</si>
  <si>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</si>
  <si>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</si>
  <si>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</si>
  <si>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</si>
  <si>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</si>
  <si>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</si>
  <si>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</si>
  <si>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</si>
  <si>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</si>
  <si>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</si>
  <si>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</si>
  <si>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</si>
  <si>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</si>
  <si>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</si>
  <si>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</si>
  <si>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</si>
  <si>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</si>
  <si>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</si>
  <si>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</si>
  <si>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</si>
  <si>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</si>
  <si>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</si>
  <si>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</si>
  <si>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</si>
  <si>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</si>
  <si>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</si>
  <si>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</si>
  <si>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</si>
  <si>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</si>
  <si>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</si>
  <si>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</si>
  <si>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</si>
  <si>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</si>
  <si>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</si>
  <si>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</si>
  <si>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</si>
  <si>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</si>
  <si>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</si>
  <si>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</si>
  <si>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</si>
  <si>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</si>
  <si>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</si>
  <si>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</si>
  <si>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</si>
  <si>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</si>
  <si>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</si>
  <si>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</si>
  <si>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</si>
  <si>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</si>
  <si>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</si>
  <si>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</si>
  <si>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</si>
  <si>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</si>
  <si>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</si>
  <si>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</si>
  <si>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</si>
  <si>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</si>
  <si>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</si>
  <si>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</si>
  <si>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</si>
  <si>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</si>
  <si>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</si>
  <si>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</si>
  <si>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</si>
  <si>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</si>
  <si>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</si>
  <si>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</si>
  <si>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</si>
  <si>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</si>
  <si>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</si>
  <si>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</si>
  <si>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</si>
  <si>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</si>
  <si>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</si>
  <si>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</si>
  <si>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</si>
  <si>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</si>
  <si>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</si>
  <si>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</si>
  <si>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</si>
  <si>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</si>
  <si>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</si>
  <si>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</si>
  <si>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</si>
  <si>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</si>
  <si>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</si>
  <si>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</si>
  <si>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</si>
  <si>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</si>
  <si>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</si>
  <si>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</si>
  <si>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</si>
  <si>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</si>
  <si>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</si>
  <si>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</si>
  <si>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</si>
  <si>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</si>
  <si>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</si>
  <si>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</si>
  <si>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</si>
  <si>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</si>
  <si>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</si>
  <si>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</si>
  <si>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</si>
  <si>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</si>
  <si>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</si>
  <si>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</si>
  <si>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</si>
  <si>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</si>
  <si>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</si>
  <si>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</si>
  <si>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</si>
  <si>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</si>
  <si>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</si>
  <si>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</si>
  <si>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</si>
  <si>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</si>
  <si>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</si>
  <si>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</si>
  <si>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</si>
  <si>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</si>
  <si>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</si>
  <si>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</si>
  <si>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</si>
  <si>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</si>
  <si>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</si>
  <si>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</si>
  <si>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</si>
  <si>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</si>
  <si>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</si>
  <si>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</si>
  <si>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</si>
  <si>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</si>
  <si>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</si>
  <si>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</si>
  <si>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</si>
  <si>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</si>
  <si>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</si>
  <si>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</si>
  <si>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</si>
  <si>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</si>
  <si>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</si>
  <si>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</si>
  <si>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</si>
  <si>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</si>
  <si>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</si>
  <si>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</si>
  <si>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</si>
  <si>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</si>
  <si>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</si>
  <si>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</si>
  <si>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</si>
  <si>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</si>
  <si>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</si>
  <si>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</si>
  <si>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</si>
  <si>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</si>
  <si>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</si>
  <si>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</si>
  <si>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</si>
  <si>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</si>
  <si>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</si>
  <si>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</si>
  <si>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</si>
  <si>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</si>
  <si>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</si>
  <si>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</si>
  <si>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</si>
  <si>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</si>
  <si>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</si>
  <si>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</si>
  <si>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</si>
  <si>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</si>
  <si>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</si>
  <si>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</si>
  <si>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</si>
  <si>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</si>
  <si>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</si>
  <si>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</si>
  <si>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</si>
  <si>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</si>
  <si>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</si>
  <si>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</si>
  <si>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</si>
  <si>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</si>
  <si>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</si>
  <si>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</si>
  <si>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</si>
  <si>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</si>
  <si>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</si>
  <si>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</si>
  <si>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</si>
  <si>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</si>
  <si>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</si>
  <si>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</si>
  <si>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</si>
  <si>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</si>
  <si>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</si>
  <si>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</si>
  <si>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</si>
  <si>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</si>
  <si>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</si>
  <si>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</si>
  <si>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</si>
  <si>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</si>
  <si>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</si>
  <si>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</si>
  <si>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</si>
  <si>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</si>
  <si>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</si>
  <si>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</si>
  <si>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</si>
  <si>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</si>
  <si>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</si>
  <si>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</si>
  <si>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</si>
  <si>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</si>
  <si>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</si>
  <si>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</si>
  <si>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</si>
  <si>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</si>
  <si>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</si>
  <si>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</si>
  <si>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</si>
  <si>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</si>
  <si>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</si>
  <si>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</si>
  <si>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</si>
  <si>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</si>
  <si>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</si>
  <si>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</si>
  <si>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</si>
  <si>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</si>
  <si>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</si>
  <si>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</si>
  <si>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</si>
  <si>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</si>
  <si>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</si>
  <si>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</si>
  <si>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</si>
  <si>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</si>
  <si>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</si>
  <si>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</si>
  <si>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</si>
  <si>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</si>
  <si>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</si>
  <si>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</si>
  <si>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</si>
  <si>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</si>
  <si>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</si>
  <si>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</si>
  <si>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</si>
  <si>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</si>
  <si>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</si>
  <si>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</si>
  <si>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</si>
  <si>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</si>
  <si>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</si>
  <si>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</si>
  <si>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</si>
  <si>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</si>
  <si>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</si>
  <si>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</si>
  <si>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</si>
  <si>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</si>
  <si>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</si>
  <si>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</si>
  <si>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</si>
  <si>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</si>
  <si>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</si>
  <si>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</si>
  <si>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</si>
  <si>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</si>
  <si>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</si>
  <si>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</si>
  <si>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</si>
  <si>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</si>
  <si>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</si>
  <si>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</si>
  <si>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</si>
  <si>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</si>
  <si>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</si>
  <si>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</si>
  <si>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</si>
  <si>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</si>
  <si>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</si>
  <si>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</si>
  <si>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</si>
  <si>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</si>
  <si>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</si>
  <si>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</si>
  <si>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</si>
  <si>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</si>
  <si>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</si>
  <si>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</si>
  <si>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</si>
  <si>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</si>
  <si>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</si>
  <si>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</si>
  <si>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</si>
  <si>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</si>
  <si>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</si>
  <si>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</si>
  <si>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</si>
  <si>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</si>
  <si>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</si>
  <si>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</si>
  <si>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</si>
  <si>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</si>
  <si>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</si>
  <si>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</si>
  <si>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</si>
  <si>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</si>
  <si>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</si>
  <si>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</si>
  <si>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</si>
  <si>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</si>
  <si>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</si>
  <si>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</si>
  <si>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</si>
  <si>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</si>
  <si>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</si>
  <si>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</si>
  <si>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</si>
  <si>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</si>
  <si>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</si>
  <si>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</si>
  <si>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</si>
  <si>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</si>
  <si>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</si>
  <si>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</si>
  <si>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</si>
  <si>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</si>
  <si>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</si>
  <si>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</si>
  <si>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</si>
  <si>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</si>
  <si>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</si>
  <si>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</si>
  <si>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</si>
  <si>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</si>
  <si>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</si>
  <si>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</si>
  <si>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</si>
  <si>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</si>
  <si>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</si>
  <si>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</si>
  <si>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</si>
  <si>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</si>
  <si>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</si>
  <si>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</si>
  <si>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</si>
  <si>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</si>
  <si>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</si>
  <si>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</si>
  <si>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</si>
  <si>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</si>
  <si>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</si>
  <si>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</si>
  <si>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</si>
  <si>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</si>
  <si>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</si>
  <si>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</si>
  <si>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</si>
  <si>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</si>
  <si>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</si>
  <si>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</si>
  <si>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</si>
  <si>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</si>
  <si>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</si>
  <si>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</si>
  <si>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</si>
  <si>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</si>
  <si>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</si>
  <si>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</si>
  <si>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</si>
  <si>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</si>
  <si>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</si>
  <si>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</si>
  <si>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</si>
  <si>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</si>
  <si>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</si>
  <si>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</si>
  <si>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</si>
  <si>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</si>
  <si>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</si>
  <si>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</si>
  <si>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</si>
  <si>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</si>
  <si>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</si>
  <si>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</si>
  <si>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</si>
  <si>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</si>
  <si>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</si>
  <si>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</si>
  <si>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</si>
  <si>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</si>
  <si>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</si>
  <si>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</si>
  <si>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</si>
  <si>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</si>
  <si>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</si>
  <si>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</si>
  <si>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</si>
  <si>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</si>
  <si>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</si>
  <si>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</si>
  <si>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</si>
  <si>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</si>
  <si>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</si>
  <si>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</si>
  <si>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</si>
  <si>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</si>
  <si>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</si>
  <si>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</si>
  <si>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</si>
  <si>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</si>
  <si>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</si>
  <si>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</si>
  <si>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</si>
  <si>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</si>
  <si>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</si>
  <si>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</si>
  <si>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</si>
  <si>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</si>
  <si>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</si>
  <si>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</si>
  <si>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</si>
  <si>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</si>
  <si>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</si>
  <si>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</si>
  <si>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</si>
  <si>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</si>
  <si>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</si>
  <si>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</si>
  <si>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</si>
  <si>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</si>
  <si>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</si>
  <si>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</si>
  <si>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</si>
  <si>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</si>
  <si>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</si>
  <si>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</si>
  <si>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</si>
  <si>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</si>
  <si>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</si>
  <si>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</si>
  <si>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</si>
  <si>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</si>
  <si>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</si>
  <si>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</si>
  <si>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</si>
  <si>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</si>
  <si>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</si>
  <si>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</si>
  <si>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</si>
  <si>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</si>
  <si>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</si>
  <si>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</si>
  <si>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</si>
  <si>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</si>
  <si>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</si>
  <si>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</si>
  <si>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</si>
  <si>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</si>
  <si>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</si>
  <si>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</si>
  <si>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</si>
  <si>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</si>
  <si>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</si>
  <si>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</si>
  <si>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</si>
  <si>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</si>
  <si>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</si>
  <si>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</si>
  <si>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</si>
  <si>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</si>
  <si>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</si>
  <si>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</si>
  <si>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</si>
  <si>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</si>
  <si>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</si>
  <si>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</si>
  <si>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</si>
  <si>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</si>
  <si>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</si>
  <si>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</si>
  <si>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</si>
  <si>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</si>
  <si>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</si>
  <si>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</si>
  <si>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</si>
  <si>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</si>
  <si>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</si>
  <si>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</si>
  <si>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</si>
  <si>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</si>
  <si>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</si>
  <si>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</si>
  <si>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</si>
  <si>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</si>
  <si>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</si>
  <si>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</si>
  <si>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</si>
  <si>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</si>
  <si>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</si>
  <si>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</si>
  <si>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</si>
  <si>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</si>
  <si>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</si>
  <si>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</si>
  <si>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</si>
  <si>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</si>
  <si>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</si>
  <si>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</si>
  <si>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</si>
  <si>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</si>
  <si>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</si>
  <si>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</si>
  <si>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</si>
  <si>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</si>
  <si>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</si>
  <si>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</si>
  <si>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</si>
  <si>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</si>
  <si>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</si>
  <si>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</si>
  <si>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</si>
  <si>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</si>
  <si>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</si>
  <si>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</si>
  <si>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</si>
  <si>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</si>
  <si>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</si>
  <si>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</si>
  <si>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</si>
  <si>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</si>
  <si>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</si>
  <si>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</si>
  <si>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</si>
  <si>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</si>
  <si>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</si>
  <si>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</si>
  <si>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</si>
  <si>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</si>
  <si>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</si>
  <si>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</si>
  <si>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</si>
  <si>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</si>
  <si>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</si>
  <si>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</si>
  <si>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</si>
  <si>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</si>
  <si>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</si>
  <si>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</si>
  <si>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</si>
  <si>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</si>
  <si>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</si>
  <si>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</si>
  <si>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</si>
  <si>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</si>
  <si>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</si>
  <si>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</si>
  <si>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</si>
  <si>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</si>
  <si>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</si>
  <si>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</si>
  <si>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</si>
  <si>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</si>
  <si>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</si>
  <si>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</si>
  <si>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</si>
  <si>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</si>
  <si>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</si>
  <si>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</si>
  <si>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</si>
  <si>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</si>
  <si>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</si>
  <si>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</si>
  <si>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</si>
  <si>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</si>
  <si>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</si>
  <si>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</si>
  <si>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</si>
  <si>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</si>
  <si>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</si>
  <si>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</si>
  <si>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</si>
  <si>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</si>
  <si>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</si>
  <si>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</si>
  <si>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</si>
  <si>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</si>
  <si>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</si>
  <si>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</si>
  <si>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</si>
  <si>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</si>
  <si>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</si>
  <si>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</si>
  <si>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</si>
  <si>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</si>
  <si>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</si>
  <si>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</si>
  <si>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</si>
  <si>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</si>
  <si>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</si>
  <si>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</si>
  <si>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</si>
  <si>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</si>
  <si>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</si>
  <si>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</si>
  <si>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</si>
  <si>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</si>
  <si>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</si>
  <si>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</si>
  <si>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</si>
  <si>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</si>
  <si>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</si>
  <si>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</si>
  <si>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</si>
  <si>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</si>
  <si>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</si>
  <si>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</si>
  <si>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</si>
  <si>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</si>
  <si>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</si>
  <si>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</si>
  <si>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</si>
  <si>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</si>
  <si>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</si>
  <si>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</si>
  <si>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</si>
  <si>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</si>
  <si>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</si>
  <si>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</si>
  <si>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</si>
  <si>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</si>
  <si>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</si>
  <si>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</si>
  <si>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</si>
  <si>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</si>
  <si>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</si>
  <si>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</si>
  <si>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</si>
  <si>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</si>
  <si>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</si>
  <si>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</si>
  <si>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</si>
  <si>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</si>
  <si>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</si>
  <si>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</si>
  <si>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</si>
  <si>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</si>
  <si>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</si>
  <si>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</si>
  <si>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</si>
  <si>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</si>
  <si>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</si>
  <si>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</si>
  <si>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</si>
  <si>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</si>
  <si>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</si>
  <si>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</si>
  <si>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</si>
  <si>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</si>
  <si>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</si>
  <si>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</si>
  <si>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</si>
  <si>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</si>
  <si>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</si>
  <si>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</si>
  <si>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</si>
  <si>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</si>
  <si>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</si>
  <si>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</si>
  <si>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</si>
  <si>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</si>
  <si>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</si>
  <si>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</si>
  <si>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</si>
  <si>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</si>
  <si>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</si>
  <si>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</si>
  <si>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</si>
  <si>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</si>
  <si>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</si>
  <si>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</si>
  <si>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</si>
  <si>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</si>
  <si>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</si>
  <si>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</si>
  <si>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</si>
  <si>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</si>
  <si>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</si>
  <si>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</si>
  <si>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</si>
  <si>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</si>
  <si>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</si>
  <si>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</si>
  <si>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</si>
  <si>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</si>
  <si>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</si>
  <si>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</si>
  <si>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</si>
  <si>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</si>
  <si>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</si>
  <si>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</si>
  <si>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</si>
  <si>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</si>
  <si>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</si>
  <si>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</si>
  <si>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</si>
  <si>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</si>
  <si>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</si>
  <si>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</si>
  <si>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</si>
  <si>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</si>
  <si>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</si>
  <si>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</si>
  <si>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</si>
  <si>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</si>
  <si>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</si>
  <si>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</si>
  <si>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</si>
  <si>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</si>
  <si>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</si>
  <si>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</si>
  <si>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</si>
  <si>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</si>
  <si>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</si>
  <si>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</si>
  <si>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</si>
  <si>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</si>
  <si>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</si>
  <si>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</si>
  <si>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</si>
  <si>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</si>
  <si>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</si>
  <si>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</si>
  <si>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</si>
  <si>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</si>
  <si>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</si>
  <si>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</si>
  <si>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</si>
  <si>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</si>
  <si>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</si>
  <si>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</si>
  <si>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</si>
  <si>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</si>
  <si>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</si>
  <si>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</si>
  <si>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</si>
  <si>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</si>
  <si>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</si>
  <si>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</si>
  <si>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</si>
  <si>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</si>
  <si>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</si>
  <si>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</si>
  <si>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</si>
  <si>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</si>
  <si>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</si>
  <si>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</si>
  <si>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</si>
  <si>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</si>
  <si>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</si>
  <si>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</si>
  <si>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</si>
  <si>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</si>
  <si>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</si>
  <si>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</si>
  <si>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</si>
  <si>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</si>
  <si>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</si>
  <si>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</si>
  <si>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</si>
  <si>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</si>
  <si>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</si>
  <si>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</si>
  <si>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</si>
  <si>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</si>
  <si>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</si>
  <si>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</si>
  <si>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</si>
  <si>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</si>
  <si>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</si>
  <si>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</si>
  <si>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</si>
  <si>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</si>
  <si>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</si>
  <si>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</si>
  <si>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</si>
  <si>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</si>
  <si>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</si>
  <si>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</si>
  <si>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</si>
  <si>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</si>
  <si>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</si>
  <si>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</si>
  <si>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</si>
  <si>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</si>
  <si>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</si>
  <si>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</si>
  <si>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</si>
  <si>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</si>
  <si>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</si>
  <si>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</si>
  <si>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</si>
  <si>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</si>
  <si>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</si>
  <si>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</si>
  <si>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</si>
  <si>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</si>
  <si>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</si>
  <si>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</si>
  <si>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</si>
  <si>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</si>
  <si>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</si>
  <si>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</si>
  <si>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</si>
  <si>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</si>
  <si>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</si>
  <si>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</si>
  <si>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</si>
  <si>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</si>
  <si>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</si>
  <si>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</si>
  <si>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</si>
  <si>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</si>
  <si>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</si>
  <si>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</si>
  <si>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</si>
  <si>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</si>
  <si>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</si>
  <si>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</si>
  <si>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</si>
  <si>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</si>
  <si>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</si>
  <si>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</si>
  <si>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</si>
  <si>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</si>
  <si>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</si>
  <si>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</si>
  <si>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</si>
  <si>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</si>
  <si>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</si>
  <si>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</si>
  <si>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</si>
  <si>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</si>
  <si>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</si>
  <si>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</si>
  <si>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</si>
  <si>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</si>
  <si>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</si>
  <si>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</si>
  <si>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</si>
  <si>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</si>
  <si>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</si>
  <si>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</si>
  <si>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</si>
  <si>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</si>
  <si>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</si>
  <si>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</si>
  <si>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</si>
  <si>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</si>
  <si>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</si>
  <si>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</si>
  <si>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</si>
  <si>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</si>
  <si>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</si>
  <si>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</si>
  <si>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</si>
  <si>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</si>
  <si>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</si>
  <si>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</si>
  <si>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</si>
  <si>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</si>
  <si>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</si>
  <si>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</si>
  <si>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</si>
  <si>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</si>
  <si>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</si>
  <si>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</si>
  <si>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</si>
  <si>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</si>
  <si>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</si>
  <si>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</si>
  <si>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</si>
  <si>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</si>
  <si>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</si>
  <si>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</si>
  <si>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</si>
  <si>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</si>
  <si>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</si>
  <si>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</si>
  <si>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</si>
  <si>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</si>
  <si>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</si>
  <si>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</si>
  <si>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</si>
  <si>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</si>
  <si>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</si>
  <si>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</si>
  <si>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</si>
  <si>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</si>
  <si>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</si>
  <si>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</si>
  <si>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</si>
  <si>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</si>
  <si>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</si>
  <si>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</si>
  <si>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</si>
  <si>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</si>
  <si>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</si>
  <si>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</si>
  <si>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</si>
  <si>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</si>
  <si>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</si>
  <si>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</si>
  <si>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</si>
  <si>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</si>
  <si>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</si>
  <si>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</si>
  <si>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</si>
  <si>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</si>
  <si>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</si>
  <si>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</si>
  <si>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</si>
  <si>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</si>
  <si>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</si>
  <si>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</si>
  <si>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</si>
  <si>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</si>
  <si>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</si>
  <si>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</si>
  <si>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</si>
  <si>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</si>
  <si>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</si>
  <si>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</si>
  <si>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</si>
  <si>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</si>
  <si>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</si>
  <si>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</si>
  <si>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</si>
  <si>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</si>
  <si>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</si>
  <si>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</si>
  <si>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</si>
  <si>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</si>
  <si>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</si>
  <si>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</si>
  <si>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</si>
  <si>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</si>
  <si>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</si>
  <si>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</si>
  <si>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</si>
  <si>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</si>
  <si>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</si>
  <si>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</si>
  <si>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</si>
  <si>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</si>
  <si>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</si>
  <si>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</si>
  <si>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</si>
  <si>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</si>
  <si>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</si>
  <si>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</si>
  <si>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</si>
  <si>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</si>
  <si>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</si>
  <si>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</si>
  <si>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</si>
  <si>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</si>
  <si>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</si>
  <si>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</si>
  <si>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</si>
  <si>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</si>
  <si>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</si>
  <si>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</si>
  <si>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</si>
  <si>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</si>
  <si>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</si>
  <si>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</si>
  <si>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</si>
  <si>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</si>
  <si>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</si>
  <si>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</si>
  <si>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</si>
  <si>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</si>
  <si>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</si>
  <si>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</si>
  <si>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</si>
  <si>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</si>
  <si>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</si>
  <si>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</si>
  <si>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</si>
  <si>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</si>
  <si>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</si>
  <si>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</si>
  <si>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</si>
  <si>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</si>
  <si>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</si>
  <si>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</si>
  <si>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</si>
  <si>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</si>
  <si>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</si>
  <si>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</si>
  <si>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</si>
  <si>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</si>
  <si>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</si>
  <si>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</si>
  <si>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</si>
  <si>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</si>
  <si>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</si>
  <si>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</si>
  <si>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</si>
  <si>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</si>
  <si>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</si>
  <si>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</si>
  <si>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</si>
  <si>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</si>
  <si>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</si>
  <si>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</si>
  <si>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</si>
  <si>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</si>
  <si>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</si>
  <si>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</si>
  <si>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</si>
  <si>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</si>
  <si>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</si>
  <si>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</si>
  <si>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</si>
  <si>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</si>
  <si>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</si>
  <si>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</si>
  <si>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</si>
  <si>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</si>
  <si>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</si>
  <si>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</si>
  <si>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</si>
  <si>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</si>
  <si>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</si>
  <si>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</si>
  <si>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</si>
  <si>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</si>
  <si>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</si>
  <si>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</si>
  <si>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</si>
  <si>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</si>
  <si>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</si>
  <si>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</si>
  <si>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</si>
  <si>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</si>
  <si>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</si>
  <si>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</si>
  <si>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</si>
  <si>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</si>
  <si>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</si>
  <si>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</si>
  <si>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</si>
  <si>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</si>
  <si>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</si>
  <si>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</si>
  <si>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</si>
  <si>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</si>
  <si>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</si>
  <si>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</si>
  <si>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</si>
  <si>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</si>
  <si>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</si>
  <si>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</si>
  <si>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</si>
  <si>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</si>
  <si>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</si>
  <si>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</si>
  <si>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</si>
  <si>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</si>
  <si>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</si>
  <si>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</si>
  <si>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</si>
  <si>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</si>
  <si>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</si>
  <si>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</si>
  <si>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</si>
  <si>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</si>
  <si>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</si>
  <si>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</si>
  <si>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</si>
  <si>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</si>
  <si>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</si>
  <si>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</si>
  <si>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</si>
  <si>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</si>
  <si>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</si>
  <si>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</si>
  <si>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</si>
  <si>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</si>
  <si>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</si>
  <si>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</si>
  <si>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</si>
  <si>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</si>
  <si>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</si>
  <si>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</si>
  <si>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</si>
  <si>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</si>
  <si>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</si>
  <si>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</si>
  <si>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</si>
  <si>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</si>
  <si>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</si>
  <si>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</si>
  <si>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</si>
  <si>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</si>
  <si>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</si>
  <si>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</si>
  <si>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</si>
  <si>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</si>
  <si>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</si>
  <si>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</si>
  <si>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</si>
  <si>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</si>
  <si>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</si>
  <si>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</si>
  <si>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</si>
  <si>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</si>
  <si>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</si>
  <si>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</si>
  <si>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</si>
  <si>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</si>
  <si>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</si>
  <si>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</si>
  <si>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</si>
  <si>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</si>
  <si>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</si>
  <si>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</si>
  <si>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</si>
  <si>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</si>
  <si>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</si>
  <si>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</si>
  <si>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</si>
  <si>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</si>
  <si>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</si>
  <si>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</si>
  <si>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</si>
  <si>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</si>
  <si>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</si>
  <si>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</si>
  <si>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</si>
  <si>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</si>
  <si>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</si>
  <si>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</si>
  <si>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</si>
  <si>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</si>
  <si>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</si>
  <si>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</si>
  <si>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</si>
  <si>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</si>
  <si>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</si>
  <si>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</si>
  <si>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</si>
  <si>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</si>
  <si>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</si>
  <si>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</si>
  <si>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</si>
  <si>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</si>
  <si>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</si>
  <si>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</si>
  <si>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</si>
  <si>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</si>
  <si>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</si>
  <si>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</si>
  <si>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</si>
  <si>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</si>
  <si>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</si>
  <si>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</si>
  <si>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</si>
  <si>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</si>
  <si>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</si>
  <si>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</si>
  <si>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</si>
  <si>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</si>
  <si>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</si>
  <si>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</si>
  <si>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</si>
  <si>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</si>
  <si>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</si>
  <si>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</si>
  <si>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</si>
  <si>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</si>
  <si>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</si>
  <si>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</si>
  <si>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</si>
  <si>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</si>
  <si>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</si>
  <si>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</si>
  <si>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</si>
  <si>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</si>
  <si>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</si>
  <si>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</si>
  <si>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</si>
  <si>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</si>
  <si>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</si>
  <si>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</si>
  <si>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</si>
  <si>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</si>
  <si>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</si>
  <si>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</si>
  <si>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</si>
  <si>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</si>
  <si>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</si>
  <si>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</si>
  <si>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</si>
  <si>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</si>
  <si>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</si>
  <si>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</si>
  <si>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</si>
  <si>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</si>
  <si>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</si>
  <si>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</si>
  <si>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</si>
  <si>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</si>
  <si>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</si>
  <si>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</si>
  <si>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</si>
  <si>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</si>
  <si>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</si>
  <si>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</si>
  <si>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</si>
  <si>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</si>
  <si>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</si>
  <si>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</si>
  <si>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</si>
  <si>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</si>
  <si>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</si>
  <si>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</si>
  <si>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</si>
  <si>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</si>
  <si>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</si>
  <si>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</si>
  <si>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</si>
  <si>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</si>
  <si>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</si>
  <si>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</si>
  <si>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</si>
  <si>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</si>
  <si>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</si>
  <si>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</si>
  <si>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</si>
  <si>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</si>
  <si>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</si>
  <si>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</si>
  <si>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</si>
  <si>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</si>
  <si>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</si>
  <si>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</si>
  <si>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</si>
  <si>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</si>
  <si>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</si>
  <si>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</si>
  <si>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</si>
  <si>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</si>
  <si>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</si>
  <si>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</si>
  <si>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</si>
  <si>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</si>
  <si>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</si>
  <si>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</si>
  <si>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</si>
  <si>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</si>
  <si>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</si>
  <si>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</si>
  <si>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</si>
  <si>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</si>
  <si>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</si>
  <si>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</si>
  <si>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</si>
  <si>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</si>
  <si>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</si>
  <si>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</si>
  <si>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</si>
  <si>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</si>
  <si>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</si>
  <si>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</si>
  <si>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</si>
  <si>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</si>
  <si>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</si>
  <si>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</si>
  <si>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</si>
  <si>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</si>
  <si>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</si>
  <si>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</si>
  <si>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</si>
  <si>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</si>
  <si>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</si>
  <si>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</si>
  <si>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</si>
  <si>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</si>
  <si>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</si>
  <si>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</si>
  <si>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</si>
  <si>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</si>
  <si>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</si>
  <si>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</si>
  <si>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</si>
  <si>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</si>
  <si>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</si>
  <si>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</si>
  <si>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</si>
  <si>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</si>
  <si>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</si>
  <si>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</si>
  <si>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</si>
  <si>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</si>
  <si>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</si>
  <si>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</si>
  <si>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</si>
  <si>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</si>
  <si>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</si>
  <si>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</si>
  <si>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</si>
  <si>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</si>
  <si>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</si>
  <si>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</si>
  <si>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</si>
  <si>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</si>
  <si>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</si>
  <si>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</si>
  <si>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</si>
  <si>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</si>
  <si>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</si>
  <si>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</si>
  <si>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</si>
  <si>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</si>
  <si>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</si>
  <si>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</si>
  <si>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</si>
  <si>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</si>
  <si>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</si>
  <si>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</si>
  <si>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</si>
  <si>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</si>
  <si>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</si>
  <si>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</si>
  <si>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</si>
  <si>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</si>
  <si>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</si>
  <si>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</si>
  <si>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</si>
  <si>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</si>
  <si>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</si>
  <si>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</si>
  <si>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</si>
  <si>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</si>
  <si>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</si>
  <si>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</si>
  <si>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</si>
  <si>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</si>
  <si>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</si>
  <si>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</si>
  <si>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</si>
  <si>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</si>
  <si>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</si>
  <si>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</si>
  <si>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</si>
  <si>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</si>
  <si>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</si>
  <si>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</si>
  <si>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</si>
  <si>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</si>
  <si>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</si>
  <si>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</si>
  <si>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</si>
  <si>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</si>
  <si>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</si>
  <si>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</si>
  <si>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</si>
  <si>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</si>
  <si>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</si>
  <si>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</si>
  <si>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</si>
  <si>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</si>
  <si>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</si>
  <si>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</si>
  <si>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</si>
  <si>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</si>
  <si>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</si>
  <si>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</si>
  <si>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</si>
  <si>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</si>
  <si>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</si>
  <si>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</si>
  <si>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</si>
  <si>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</si>
  <si>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</si>
  <si>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</si>
  <si>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</si>
  <si>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</si>
  <si>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</si>
  <si>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</si>
  <si>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</si>
  <si>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</si>
  <si>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</si>
  <si>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</si>
  <si>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</si>
  <si>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</si>
  <si>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</si>
  <si>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</si>
  <si>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</si>
  <si>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</si>
  <si>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</si>
  <si>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</si>
  <si>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</si>
  <si>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</si>
  <si>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</si>
  <si>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</si>
  <si>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</si>
  <si>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</si>
  <si>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</si>
  <si>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</si>
  <si>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</si>
  <si>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</si>
  <si>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</si>
  <si>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</si>
  <si>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</si>
  <si>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</si>
  <si>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</si>
  <si>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</si>
  <si>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</si>
  <si>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</si>
  <si>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</si>
  <si>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</si>
  <si>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</si>
  <si>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</si>
  <si>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</si>
  <si>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</si>
  <si>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</si>
  <si>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</si>
  <si>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</si>
  <si>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</si>
  <si>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</si>
  <si>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</si>
  <si>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</si>
  <si>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</si>
  <si>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</si>
  <si>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</si>
  <si>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</si>
  <si>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</si>
  <si>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</si>
  <si>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</si>
  <si>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</si>
  <si>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</si>
  <si>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</si>
  <si>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</si>
  <si>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</si>
  <si>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</si>
  <si>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</si>
  <si>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</si>
  <si>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</si>
  <si>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</si>
  <si>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</si>
  <si>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</si>
  <si>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</si>
  <si>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</si>
  <si>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</si>
  <si>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</si>
  <si>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</si>
  <si>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</si>
  <si>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</si>
  <si>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</si>
  <si>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</si>
  <si>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</si>
  <si>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</si>
  <si>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</si>
  <si>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</si>
  <si>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</si>
  <si>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</si>
  <si>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</si>
  <si>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</si>
  <si>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</si>
  <si>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</si>
  <si>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</si>
  <si>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</si>
  <si>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</si>
  <si>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</si>
  <si>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</si>
  <si>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</si>
  <si>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</si>
  <si>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</si>
  <si>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</si>
  <si>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</si>
  <si>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</si>
  <si>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</si>
  <si>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</si>
  <si>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</si>
  <si>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</si>
  <si>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</si>
  <si>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</si>
  <si>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</si>
  <si>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</si>
  <si>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</si>
  <si>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</si>
  <si>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</si>
  <si>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</si>
  <si>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</si>
  <si>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</si>
  <si>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</si>
  <si>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</si>
  <si>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</si>
  <si>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</si>
  <si>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</si>
  <si>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</si>
  <si>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</si>
  <si>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</si>
  <si>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</si>
  <si>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</si>
  <si>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</si>
  <si>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</si>
  <si>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</si>
  <si>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</si>
  <si>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</si>
  <si>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</si>
  <si>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</si>
  <si>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</si>
  <si>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</si>
  <si>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</si>
  <si>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</si>
  <si>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</si>
  <si>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</si>
  <si>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</si>
  <si>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</si>
  <si>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</si>
  <si>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</si>
  <si>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</si>
  <si>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</si>
  <si>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</si>
  <si>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</si>
  <si>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</si>
  <si>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</si>
  <si>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</si>
  <si>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</si>
  <si>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</si>
  <si>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</si>
  <si>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</si>
  <si>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</si>
  <si>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</si>
  <si>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</si>
  <si>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</si>
  <si>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</si>
  <si>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</si>
  <si>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</si>
  <si>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</si>
  <si>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</si>
  <si>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</si>
  <si>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</si>
  <si>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</si>
  <si>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</si>
  <si>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</si>
  <si>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</si>
  <si>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</si>
  <si>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</si>
  <si>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</si>
  <si>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</si>
  <si>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</si>
  <si>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</si>
  <si>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</si>
  <si>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</si>
  <si>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</si>
  <si>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</si>
  <si>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</si>
  <si>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</si>
  <si>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</si>
  <si>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</si>
  <si>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</si>
  <si>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</si>
  <si>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</si>
  <si>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</si>
  <si>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</si>
  <si>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</si>
  <si>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</si>
  <si>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</si>
  <si>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</si>
  <si>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</si>
  <si>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</si>
  <si>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</si>
  <si>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</si>
  <si>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</si>
  <si>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</si>
  <si>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</si>
  <si>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</si>
  <si>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</si>
  <si>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</si>
  <si>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</si>
  <si>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</si>
  <si>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</si>
  <si>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</si>
  <si>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</si>
  <si>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</si>
  <si>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</si>
  <si>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</si>
  <si>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</si>
  <si>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</si>
  <si>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</si>
  <si>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</si>
  <si>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</si>
  <si>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</si>
  <si>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</si>
  <si>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</si>
  <si>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</si>
  <si>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</si>
  <si>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</si>
  <si>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</si>
  <si>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</si>
  <si>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</si>
  <si>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</si>
  <si>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</si>
  <si>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</si>
  <si>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</si>
  <si>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</si>
  <si>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</si>
  <si>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</si>
  <si>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</si>
  <si>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</si>
  <si>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</si>
  <si>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</si>
  <si>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</si>
  <si>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</si>
  <si>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</si>
  <si>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</si>
  <si>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</si>
  <si>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</si>
  <si>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</si>
  <si>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</si>
  <si>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</si>
  <si>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</si>
  <si>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</si>
  <si>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</si>
  <si>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</si>
  <si>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</si>
  <si>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</si>
  <si>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</si>
  <si>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</si>
  <si>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</si>
  <si>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Kayode Fasominu</t>
  </si>
  <si>
    <t>Yahaya Ummani</t>
  </si>
  <si>
    <t>22nd Feb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</si>
</sst>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36.662500000000001</c:v>
                </c:pt>
                <c:pt idx="1">
                  <c:v>13.4375</c:v>
                </c:pt>
                <c:pt idx="2">
                  <c:v>23.681818181818183</c:v>
                </c:pt>
                <c:pt idx="3">
                  <c:v>36.110416666666666</c:v>
                </c:pt>
                <c:pt idx="4">
                  <c:v>68.666666666666671</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37.125</c:v>
                </c:pt>
                <c:pt idx="1">
                  <c:v>12.44047619047619</c:v>
                </c:pt>
                <c:pt idx="2">
                  <c:v>24.954545454545453</c:v>
                </c:pt>
                <c:pt idx="3">
                  <c:v>36.3125</c:v>
                </c:pt>
                <c:pt idx="4">
                  <c:v>69.444444444444443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36.037500000000001</c:v>
                </c:pt>
                <c:pt idx="1">
                  <c:v>14.708333333333336</c:v>
                </c:pt>
                <c:pt idx="2">
                  <c:v>40.378787878787882</c:v>
                </c:pt>
                <c:pt idx="3">
                  <c:v>52.84375</c:v>
                </c:pt>
                <c:pt idx="4">
                  <c:v>65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CIHP</v>
      </c>
      <c r="E2" s="308"/>
      <c r="F2" s="308"/>
      <c r="G2" s="308"/>
      <c r="H2" s="308"/>
      <c r="I2" s="308"/>
      <c r="J2" s="309"/>
      <c r="K2" s="310" t="s">
        <v>4018</v>
      </c>
      <c r="L2" s="311"/>
      <c r="M2" s="311"/>
      <c r="N2" s="311"/>
      <c r="O2" s="312" t="str">
        <f>Worksheet!M18</f>
        <v>Kayode Fasominu</v>
      </c>
      <c r="P2" s="313"/>
      <c r="Q2" s="313"/>
      <c r="R2" s="313"/>
      <c r="S2" s="313"/>
      <c r="T2" s="314"/>
    </row>
    <row r="3" spans="1:20" ht="24" thickBot="1" x14ac:dyDescent="0.4">
      <c r="A3" s="304" t="s">
        <v>94</v>
      </c>
      <c r="B3" s="305" t="s">
        <v>1</v>
      </c>
      <c r="C3" s="306"/>
      <c r="D3" s="307" t="str">
        <f>Worksheet!R2</f>
        <v>Kogi</v>
      </c>
      <c r="E3" s="308"/>
      <c r="F3" s="308"/>
      <c r="G3" s="308"/>
      <c r="H3" s="308"/>
      <c r="I3" s="308"/>
      <c r="J3" s="309"/>
      <c r="K3" s="310" t="s">
        <v>3965</v>
      </c>
      <c r="L3" s="311"/>
      <c r="M3" s="311"/>
      <c r="N3" s="311"/>
      <c r="O3" s="312" t="str">
        <f>Worksheet!W18</f>
        <v>22nd Feb 2017</v>
      </c>
      <c r="P3" s="313"/>
      <c r="Q3" s="313"/>
      <c r="R3" s="313"/>
      <c r="S3" s="313"/>
      <c r="T3" s="314"/>
    </row>
    <row r="4" spans="1:20" ht="24" thickBot="1" x14ac:dyDescent="0.4">
      <c r="A4" s="304" t="s">
        <v>93</v>
      </c>
      <c r="B4" s="305"/>
      <c r="C4" s="306" t="s">
        <v>3</v>
      </c>
      <c r="D4" s="307" t="str">
        <f>Worksheet!T2</f>
        <v>ko Ankpa</v>
      </c>
      <c r="E4" s="308"/>
      <c r="F4" s="308"/>
      <c r="G4" s="308"/>
      <c r="H4" s="308"/>
      <c r="I4" s="308"/>
      <c r="J4" s="309"/>
      <c r="K4" s="310" t="s">
        <v>4019</v>
      </c>
      <c r="L4" s="311"/>
      <c r="M4" s="311"/>
      <c r="N4" s="311"/>
      <c r="O4" s="312" t="str">
        <f>Worksheet!M19</f>
        <v>Yahaya Ummani</v>
      </c>
      <c r="P4" s="313"/>
      <c r="Q4" s="313"/>
      <c r="R4" s="313"/>
      <c r="S4" s="313"/>
      <c r="T4" s="314"/>
    </row>
    <row r="5" spans="1:20" ht="24" thickBot="1" x14ac:dyDescent="0.4">
      <c r="A5" s="304" t="s">
        <v>92</v>
      </c>
      <c r="B5" s="305"/>
      <c r="C5" s="306" t="s">
        <v>6</v>
      </c>
      <c r="D5" s="307" t="str">
        <f>Worksheet!V2</f>
        <v>Bethel Hospital</v>
      </c>
      <c r="E5" s="308"/>
      <c r="F5" s="308"/>
      <c r="G5" s="308"/>
      <c r="H5" s="308"/>
      <c r="I5" s="308"/>
      <c r="J5" s="309"/>
      <c r="K5" s="310" t="s">
        <v>3965</v>
      </c>
      <c r="L5" s="311"/>
      <c r="M5" s="311"/>
      <c r="N5" s="311"/>
      <c r="O5" s="312" t="str">
        <f>Worksheet!W19</f>
        <v>22nd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144.65</v>
      </c>
      <c r="E8" s="152">
        <f ca="1">SUM('All Questions'!D15:D21)/7+E12</f>
        <v>52</v>
      </c>
      <c r="F8" s="152">
        <f ca="1">SUM('All Questions'!D23:D30)/4+F12</f>
        <v>130.25</v>
      </c>
      <c r="G8" s="152">
        <f ca="1">SUM('All Questions'!D31:D35)/5+G12</f>
        <v>143.9</v>
      </c>
      <c r="H8" s="153">
        <f ca="1">SUM('All Questions'!D37,'All Questions'!D40)/2+'All Questions'!D26+H12</f>
        <v>306.5</v>
      </c>
      <c r="I8" s="154">
        <f ca="1">(SUM('All Questions'!E10:E14)/5)+I12</f>
        <v>148.5</v>
      </c>
      <c r="J8" s="152">
        <f ca="1">SUM('All Questions'!E15:E21)/7+J12</f>
        <v>49.761904761904759</v>
      </c>
      <c r="K8" s="152">
        <f ca="1">SUM('All Questions'!E23:E30)/4+K12</f>
        <v>137.25</v>
      </c>
      <c r="L8" s="152">
        <f ca="1">SUM('All Questions'!E31:E35)/5+L12</f>
        <v>145.25</v>
      </c>
      <c r="M8" s="153">
        <f ca="1">('All Questions'!E37+'All Questions'!E40)/2+'All Questions'!E26+M12</f>
        <v>312.5</v>
      </c>
      <c r="N8" s="154">
        <f ca="1">(SUM('All Questions'!F10:F14)/5)+N12</f>
        <v>144.15</v>
      </c>
      <c r="O8" s="152">
        <f ca="1">SUM('All Questions'!F15:F21)/7+O12</f>
        <v>58.833333333333336</v>
      </c>
      <c r="P8" s="152">
        <f ca="1">SUM('All Questions'!F23:F30)/4+P12</f>
        <v>203.58333333333334</v>
      </c>
      <c r="Q8" s="152">
        <f ca="1">SUM('All Questions'!F31:F35)/5+Q12</f>
        <v>211.25</v>
      </c>
      <c r="R8" s="153">
        <f ca="1">('All Questions'!F37+'All Questions'!F40)/2+'All Questions'!F26+R12</f>
        <v>292.5</v>
      </c>
      <c r="S8" s="138">
        <f ca="1">'All Questions'!F2</f>
        <v>1882</v>
      </c>
      <c r="T8" s="139">
        <f t="shared" ref="T8:T17" ca="1" si="0">(((SUM(D8:H8)/5)+(SUM(I8:M8)/5)+(SUM(N8:R8)/5)))/S8</f>
        <v>0.2636427812357674</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4</v>
      </c>
      <c r="Q9" s="155"/>
      <c r="R9" s="157"/>
      <c r="S9" s="138">
        <f ca="1">'All Questions'!F3</f>
        <v>9</v>
      </c>
      <c r="T9" s="140">
        <f t="shared" ca="1" si="0"/>
        <v>8.8888888888888892E-2</v>
      </c>
    </row>
    <row r="10" spans="1:20" ht="72.599999999999994" customHeight="1" thickBot="1" x14ac:dyDescent="0.3">
      <c r="A10" s="105" t="s">
        <v>141</v>
      </c>
      <c r="B10" s="106" t="s">
        <v>79</v>
      </c>
      <c r="C10" s="107" t="s">
        <v>3968</v>
      </c>
      <c r="D10" s="156">
        <f ca="1">(SUM('All Questions'!D10:D14)/5)</f>
        <v>127.4</v>
      </c>
      <c r="E10" s="156">
        <f ca="1">SUM('All Questions'!D15:D21)/7</f>
        <v>20</v>
      </c>
      <c r="F10" s="156">
        <f ca="1">(SUM('All Questions'!D23:D24)+SUM('All Questions'!D25:D26)+SUM('All Questions'!D27:D28)+SUM('All Questions'!D29:D30))/4</f>
        <v>130.25</v>
      </c>
      <c r="G10" s="156">
        <f ca="1">SUM('All Questions'!D31:D35)/5</f>
        <v>118.4</v>
      </c>
      <c r="H10" s="159">
        <f ca="1">('All Questions'!D37+'All Questions'!D40)/2+'All Questions'!D26</f>
        <v>260</v>
      </c>
      <c r="I10" s="160">
        <f ca="1">(SUM('All Questions'!E10:E14)/5)</f>
        <v>133</v>
      </c>
      <c r="J10" s="161">
        <f ca="1">SUM('All Questions'!E15:E21)/7</f>
        <v>19.428571428571427</v>
      </c>
      <c r="K10" s="161">
        <f ca="1">(SUM('All Questions'!E23:E24)+SUM('All Questions'!E25:E26)+SUM('All Questions'!E27:E28)+SUM('All Questions'!E29:E30))/4</f>
        <v>137.25</v>
      </c>
      <c r="L10" s="161">
        <f ca="1">SUM('All Questions'!E31:E35)/5</f>
        <v>122</v>
      </c>
      <c r="M10" s="162">
        <f ca="1">('All Questions'!E37+'All Questions'!E40)/2+'All Questions'!E26</f>
        <v>271</v>
      </c>
      <c r="N10" s="163">
        <f ca="1">(SUM('All Questions'!F10:F14)/5)</f>
        <v>129.4</v>
      </c>
      <c r="O10" s="161">
        <f ca="1">SUM('All Questions'!F15:F21)/7</f>
        <v>25</v>
      </c>
      <c r="P10" s="161">
        <f ca="1">(SUM('All Questions'!F23:F24)+SUM('All Questions'!F25:F26)+SUM('All Questions'!F27:F28)+SUM('All Questions'!F29:F30))/4</f>
        <v>194.25</v>
      </c>
      <c r="Q10" s="161">
        <f ca="1">SUM('All Questions'!F31:F35)/5</f>
        <v>182</v>
      </c>
      <c r="R10" s="162">
        <f ca="1">('All Questions'!F37+'All Questions'!F40)/2+'All Questions'!F26</f>
        <v>259</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4</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17.25</v>
      </c>
      <c r="E12" s="170">
        <f ca="1">SUM('All Questions'!D60:D75)/6</f>
        <v>32</v>
      </c>
      <c r="F12" s="170">
        <f ca="1">SUM('All Questions'!D67:D72)/3</f>
        <v>0</v>
      </c>
      <c r="G12" s="170">
        <f ca="1">SUM('All Questions'!D73:D80)/4</f>
        <v>25.5</v>
      </c>
      <c r="H12" s="171">
        <f ca="1">SUM('All Questions'!D82:D83)/2</f>
        <v>46.5</v>
      </c>
      <c r="I12" s="172">
        <f ca="1">SUM('All Questions'!E55:E58)/4</f>
        <v>15.5</v>
      </c>
      <c r="J12" s="173">
        <f ca="1">SUM('All Questions'!E60:E75)/6</f>
        <v>30.333333333333332</v>
      </c>
      <c r="K12" s="173">
        <f ca="1">SUM('All Questions'!E67:E72)/3</f>
        <v>0</v>
      </c>
      <c r="L12" s="173">
        <f ca="1">SUM('All Questions'!E73:E80)/4</f>
        <v>23.25</v>
      </c>
      <c r="M12" s="174">
        <f ca="1">SUM('All Questions'!E82:E83)/2</f>
        <v>41.5</v>
      </c>
      <c r="N12" s="175">
        <f ca="1">SUM('All Questions'!F55:F58)/4</f>
        <v>14.75</v>
      </c>
      <c r="O12" s="173">
        <f ca="1">SUM('All Questions'!F60:F75)/6</f>
        <v>33.833333333333336</v>
      </c>
      <c r="P12" s="173">
        <f ca="1">SUM('All Questions'!F67:F72)/3</f>
        <v>9.3333333333333339</v>
      </c>
      <c r="Q12" s="173">
        <f ca="1">SUM('All Questions'!F73:F80)/4</f>
        <v>29.25</v>
      </c>
      <c r="R12" s="174">
        <f ca="1">SUM('All Questions'!F82:F83)/2</f>
        <v>33.5</v>
      </c>
      <c r="S12" s="142">
        <f ca="1">'All Questions'!F46</f>
        <v>0</v>
      </c>
      <c r="T12" s="143" t="e">
        <f t="shared" ca="1" si="0"/>
        <v>#DIV/0!</v>
      </c>
    </row>
    <row r="13" spans="1:20" ht="72.599999999999994" customHeight="1" x14ac:dyDescent="0.25">
      <c r="A13" s="105">
        <v>2.1</v>
      </c>
      <c r="B13" s="106" t="s">
        <v>83</v>
      </c>
      <c r="C13" s="114" t="s">
        <v>3971</v>
      </c>
      <c r="D13" s="158"/>
      <c r="E13" s="155"/>
      <c r="F13" s="176">
        <f ca="1">'All Questions'!D72</f>
        <v>0</v>
      </c>
      <c r="G13" s="155"/>
      <c r="H13" s="177">
        <f ca="1">SUM('All Questions'!D85:D86)/2</f>
        <v>3</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2</v>
      </c>
      <c r="E14" s="176">
        <f ca="1">'All Questions'!D64</f>
        <v>2</v>
      </c>
      <c r="F14" s="176">
        <f ca="1">SUM('All Questions'!D69:D70)</f>
        <v>0</v>
      </c>
      <c r="G14" s="176">
        <f ca="1">SUM('All Questions'!D74,'All Questions'!D76,'All Questions'!D78,'All Questions'!D80)/4</f>
        <v>0.75</v>
      </c>
      <c r="H14" s="177">
        <f ca="1">SUM('All Questions'!D88:D89)/2</f>
        <v>2</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29</v>
      </c>
      <c r="Q14" s="180">
        <f ca="1">SUM('All Questions'!F74,'All Questions'!F76,'All Questions'!F78,'All Questions'!F80)/4</f>
        <v>0.25</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0.5</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1.5</v>
      </c>
      <c r="E16" s="188">
        <f ca="1">SUM('All Questions'!D97:D100)/4</f>
        <v>1.5</v>
      </c>
      <c r="F16" s="188">
        <f ca="1">SUM('All Questions'!D101:D105)/2</f>
        <v>0</v>
      </c>
      <c r="G16" s="188">
        <f ca="1">SUM('All Questions'!D106:D108)/3</f>
        <v>0.33333333333333331</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86</v>
      </c>
      <c r="N2" s="331" t="s">
        <v>158</v>
      </c>
      <c r="O2" s="331"/>
      <c r="P2" s="66" t="s">
        <v>567</v>
      </c>
      <c r="Q2" s="303" t="s">
        <v>1</v>
      </c>
      <c r="R2" s="66" t="s">
        <v>183</v>
      </c>
      <c r="S2" s="303" t="s">
        <v>3</v>
      </c>
      <c r="T2" s="66" t="s">
        <v>712</v>
      </c>
      <c r="U2" s="67" t="s">
        <v>159</v>
      </c>
      <c r="V2" s="66" t="s">
        <v>2533</v>
      </c>
      <c r="W2" s="66"/>
      <c r="X2" s="67" t="s">
        <v>160</v>
      </c>
      <c r="Y2" s="66" t="s">
        <v>149</v>
      </c>
      <c r="Z2" s="96" t="s">
        <v>3799</v>
      </c>
      <c r="AA2" s="68" t="str">
        <f>VLOOKUP(V2,[2]Data_donotedit!AY2:AZ1504,2,FALSE)</f>
        <v>N2YrIzbDRkx</v>
      </c>
      <c r="AB2" s="68"/>
      <c r="AC2" s="68"/>
      <c r="AD2" s="68"/>
    </row>
    <row r="3" spans="1:30" ht="40.15" customHeight="1" x14ac:dyDescent="0.25">
      <c r="A3" s="63"/>
      <c r="B3" s="224"/>
      <c r="C3" s="218" t="s">
        <v>86</v>
      </c>
      <c r="D3" s="258" t="s">
        <v>3988</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3900</v>
      </c>
      <c r="E4" s="238" t="s">
        <v>76</v>
      </c>
      <c r="F4" s="239" t="s">
        <v>77</v>
      </c>
      <c r="G4" s="239" t="s">
        <v>78</v>
      </c>
      <c r="H4" s="205" t="s">
        <v>86</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1413</v>
      </c>
      <c r="D5" s="240" t="s">
        <v>3901</v>
      </c>
      <c r="E5" s="479">
        <v>1</v>
      </c>
      <c r="F5" s="479">
        <f ca="1">_xlfn.IFNA(VLOOKUP(C5,Worksheet!$C$3:$G$46,4,FALSE),F5)</f>
        <v>0</v>
      </c>
      <c r="G5" s="479">
        <f ca="1">_xlfn.IFNA(VLOOKUP(C5,Worksheet!$C$3:$G$46,5,FALSE),G5)</f>
        <v>0</v>
      </c>
      <c r="H5" s="205" t="s">
        <v>86</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1414</v>
      </c>
      <c r="D6" s="241" t="s">
        <v>3902</v>
      </c>
      <c r="E6" s="479">
        <f ca="1">_xlfn.IFNA(VLOOKUP(C6,Worksheet!$C$3:$G$46,3,FALSE),E6)</f>
        <v>0</v>
      </c>
      <c r="F6" s="479">
        <f ca="1">_xlfn.IFNA(VLOOKUP(C6,Worksheet!$C$3:$G$46,4,FALSE),F6)</f>
        <v>0</v>
      </c>
      <c r="G6" s="479">
        <f ca="1">_xlfn.IFNA(VLOOKUP(C6,Worksheet!$C$3:$G$46,5,FALSE),G6)</f>
        <v>0</v>
      </c>
      <c r="H6" s="205" t="s">
        <v>86</v>
      </c>
      <c r="I6" s="63"/>
      <c r="J6" s="63"/>
      <c r="K6" s="132" t="s">
        <v>89</v>
      </c>
      <c r="L6" s="339" t="s">
        <v>3966</v>
      </c>
      <c r="M6" s="340"/>
      <c r="N6" s="71">
        <v>144.65</v>
      </c>
      <c r="O6" s="71">
        <v>52</v>
      </c>
      <c r="P6" s="71">
        <v>130.25</v>
      </c>
      <c r="Q6" s="71">
        <v>143.9</v>
      </c>
      <c r="R6" s="72">
        <v>306.5</v>
      </c>
      <c r="S6" s="71">
        <v>148.5</v>
      </c>
      <c r="T6" s="71">
        <v>49.761904761904759</v>
      </c>
      <c r="U6" s="71">
        <v>137.25</v>
      </c>
      <c r="V6" s="71">
        <v>145.25</v>
      </c>
      <c r="W6" s="72">
        <v>312.5</v>
      </c>
      <c r="X6" s="71">
        <v>144.15</v>
      </c>
      <c r="Y6" s="71">
        <v>58.833333333333336</v>
      </c>
      <c r="Z6" s="71">
        <v>203.58333333333334</v>
      </c>
      <c r="AA6" s="71">
        <v>211.25</v>
      </c>
      <c r="AB6" s="71">
        <v>292.5</v>
      </c>
      <c r="AC6" s="73">
        <v>1882</v>
      </c>
      <c r="AD6" s="74">
        <v>0.2636427812357674</v>
      </c>
    </row>
    <row r="7" spans="1:30" ht="40.15" customHeight="1" x14ac:dyDescent="0.25">
      <c r="A7" s="63"/>
      <c r="B7" s="224"/>
      <c r="C7" s="236">
        <v>1422</v>
      </c>
      <c r="D7" s="240" t="s">
        <v>3903</v>
      </c>
      <c r="E7" s="479">
        <f ca="1">_xlfn.IFNA(VLOOKUP(C7,Worksheet!$C$3:$G$46,3,FALSE),E7)</f>
        <v>0</v>
      </c>
      <c r="F7" s="479">
        <f ca="1">_xlfn.IFNA(VLOOKUP(C7,Worksheet!$C$3:$G$46,4,FALSE),F7)</f>
        <v>0</v>
      </c>
      <c r="G7" s="479">
        <f ca="1">_xlfn.IFNA(VLOOKUP(C7,Worksheet!$C$3:$G$46,5,FALSE),G7)</f>
        <v>0</v>
      </c>
      <c r="H7" s="205" t="s">
        <v>86</v>
      </c>
      <c r="I7" s="63"/>
      <c r="J7" s="65"/>
      <c r="K7" s="59" t="s">
        <v>89</v>
      </c>
      <c r="L7" s="341" t="s">
        <v>3967</v>
      </c>
      <c r="M7" s="342"/>
      <c r="N7" s="133"/>
      <c r="O7" s="133"/>
      <c r="P7" s="78">
        <v>0</v>
      </c>
      <c r="Q7" s="133"/>
      <c r="R7" s="134"/>
      <c r="S7" s="133"/>
      <c r="T7" s="133"/>
      <c r="U7" s="78">
        <v>0</v>
      </c>
      <c r="V7" s="133"/>
      <c r="W7" s="134"/>
      <c r="X7" s="133"/>
      <c r="Y7" s="133"/>
      <c r="Z7" s="78">
        <v>4</v>
      </c>
      <c r="AA7" s="133"/>
      <c r="AB7" s="133"/>
      <c r="AC7" s="80">
        <v>9</v>
      </c>
      <c r="AD7" s="81">
        <v>8.8888888888888892E-2</v>
      </c>
    </row>
    <row r="8" spans="1:30" ht="40.15" customHeight="1" x14ac:dyDescent="0.25">
      <c r="A8" s="63"/>
      <c r="B8" s="224"/>
      <c r="C8" s="236">
        <v>1423</v>
      </c>
      <c r="D8" s="240" t="s">
        <v>3904</v>
      </c>
      <c r="E8" s="479">
        <f ca="1">_xlfn.IFNA(VLOOKUP(C8,Worksheet!$C$3:$G$46,3,FALSE),E8)</f>
        <v>0</v>
      </c>
      <c r="F8" s="479">
        <f ca="1">_xlfn.IFNA(VLOOKUP(C8,Worksheet!$C$3:$G$46,4,FALSE),F8)</f>
        <v>0</v>
      </c>
      <c r="G8" s="479">
        <f ca="1">_xlfn.IFNA(VLOOKUP(C8,Worksheet!$C$3:$G$46,5,FALSE),G8)</f>
        <v>0</v>
      </c>
      <c r="H8" s="205" t="s">
        <v>86</v>
      </c>
      <c r="I8" s="63"/>
      <c r="J8" s="70"/>
      <c r="K8" s="58" t="s">
        <v>79</v>
      </c>
      <c r="L8" s="354" t="s">
        <v>3968</v>
      </c>
      <c r="M8" s="355"/>
      <c r="N8" s="71">
        <v>127.4</v>
      </c>
      <c r="O8" s="71">
        <v>20</v>
      </c>
      <c r="P8" s="71">
        <v>130.25</v>
      </c>
      <c r="Q8" s="71">
        <v>118.4</v>
      </c>
      <c r="R8" s="72">
        <v>260</v>
      </c>
      <c r="S8" s="71">
        <v>133</v>
      </c>
      <c r="T8" s="71">
        <v>19.428571428571427</v>
      </c>
      <c r="U8" s="71">
        <v>137.25</v>
      </c>
      <c r="V8" s="71">
        <v>122</v>
      </c>
      <c r="W8" s="72">
        <v>271</v>
      </c>
      <c r="X8" s="71">
        <v>129.4</v>
      </c>
      <c r="Y8" s="71">
        <v>25</v>
      </c>
      <c r="Z8" s="71">
        <v>194.25</v>
      </c>
      <c r="AA8" s="71">
        <v>182</v>
      </c>
      <c r="AB8" s="71">
        <v>259</v>
      </c>
      <c r="AC8" s="75">
        <v>0</v>
      </c>
      <c r="AD8" s="76" t="e">
        <v>#DIV/0!</v>
      </c>
    </row>
    <row r="9" spans="1:30" ht="40.15" customHeight="1" x14ac:dyDescent="0.25">
      <c r="A9" s="63"/>
      <c r="B9" s="224"/>
      <c r="C9" s="236">
        <v>1424</v>
      </c>
      <c r="D9" s="240" t="s">
        <v>3905</v>
      </c>
      <c r="E9" s="479">
        <f ca="1">_xlfn.IFNA(VLOOKUP(C9,Worksheet!$C$3:$G$46,3,FALSE),E9)</f>
        <v>0</v>
      </c>
      <c r="F9" s="479">
        <f ca="1">_xlfn.IFNA(VLOOKUP(C9,Worksheet!$C$3:$G$46,4,FALSE),F9)</f>
        <v>0</v>
      </c>
      <c r="G9" s="479">
        <f ca="1">_xlfn.IFNA(VLOOKUP(C9,Worksheet!$C$3:$G$46,5,FALSE),G9)</f>
        <v>0</v>
      </c>
      <c r="H9" s="205" t="s">
        <v>86</v>
      </c>
      <c r="I9" s="63"/>
      <c r="J9" s="70"/>
      <c r="K9" s="59" t="s">
        <v>79</v>
      </c>
      <c r="L9" s="341" t="s">
        <v>88</v>
      </c>
      <c r="M9" s="342"/>
      <c r="N9" s="133"/>
      <c r="O9" s="133"/>
      <c r="P9" s="78">
        <v>0</v>
      </c>
      <c r="Q9" s="133"/>
      <c r="R9" s="134"/>
      <c r="S9" s="133"/>
      <c r="T9" s="133"/>
      <c r="U9" s="78">
        <v>0</v>
      </c>
      <c r="V9" s="133"/>
      <c r="W9" s="134"/>
      <c r="X9" s="133"/>
      <c r="Y9" s="133"/>
      <c r="Z9" s="78">
        <v>4</v>
      </c>
      <c r="AA9" s="133"/>
      <c r="AB9" s="133"/>
      <c r="AC9" s="80">
        <v>0</v>
      </c>
      <c r="AD9" s="81" t="e">
        <v>#DIV/0!</v>
      </c>
    </row>
    <row r="10" spans="1:30" ht="40.15" customHeight="1" x14ac:dyDescent="0.25">
      <c r="A10" s="63"/>
      <c r="B10" s="224"/>
      <c r="C10" s="236">
        <v>1425</v>
      </c>
      <c r="D10" s="240" t="s">
        <v>3906</v>
      </c>
      <c r="E10" s="479">
        <f ca="1">_xlfn.IFNA(VLOOKUP(C10,Worksheet!$C$3:$G$46,3,FALSE),E10)</f>
        <v>0</v>
      </c>
      <c r="F10" s="479">
        <f ca="1">_xlfn.IFNA(VLOOKUP(C10,Worksheet!$C$3:$G$46,4,FALSE),F10)</f>
        <v>0</v>
      </c>
      <c r="G10" s="479">
        <f ca="1">_xlfn.IFNA(VLOOKUP(C10,Worksheet!$C$3:$G$46,5,FALSE),G10)</f>
        <v>0</v>
      </c>
      <c r="H10" s="205" t="s">
        <v>86</v>
      </c>
      <c r="I10" s="63"/>
      <c r="J10" s="70"/>
      <c r="K10" s="121" t="s">
        <v>83</v>
      </c>
      <c r="L10" s="356" t="s">
        <v>3970</v>
      </c>
      <c r="M10" s="357"/>
      <c r="N10" s="122">
        <v>17.25</v>
      </c>
      <c r="O10" s="71">
        <v>32</v>
      </c>
      <c r="P10" s="71">
        <v>0</v>
      </c>
      <c r="Q10" s="71">
        <v>25.5</v>
      </c>
      <c r="R10" s="71">
        <v>46.5</v>
      </c>
      <c r="S10" s="122">
        <v>15.5</v>
      </c>
      <c r="T10" s="71">
        <v>30.333333333333332</v>
      </c>
      <c r="U10" s="71">
        <v>0</v>
      </c>
      <c r="V10" s="71">
        <v>23.25</v>
      </c>
      <c r="W10" s="71">
        <v>41.5</v>
      </c>
      <c r="X10" s="122">
        <v>14.75</v>
      </c>
      <c r="Y10" s="71">
        <v>33.833333333333336</v>
      </c>
      <c r="Z10" s="71">
        <v>9.3333333333333339</v>
      </c>
      <c r="AA10" s="71">
        <v>29.25</v>
      </c>
      <c r="AB10" s="71">
        <v>33.5</v>
      </c>
      <c r="AC10" s="124">
        <v>0</v>
      </c>
      <c r="AD10" s="125" t="e">
        <v>#DIV/0!</v>
      </c>
    </row>
    <row r="11" spans="1:30" ht="50.45" customHeight="1" x14ac:dyDescent="0.25">
      <c r="A11" s="63"/>
      <c r="B11" s="224"/>
      <c r="C11" s="236">
        <v>1431</v>
      </c>
      <c r="D11" s="240" t="s">
        <v>3908</v>
      </c>
      <c r="E11" s="479">
        <f ca="1">_xlfn.IFNA(VLOOKUP(C11,Worksheet!$C$3:$G$46,3,FALSE),E11)</f>
        <v>0</v>
      </c>
      <c r="F11" s="479">
        <f ca="1">_xlfn.IFNA(VLOOKUP(C11,Worksheet!$C$3:$G$46,4,FALSE),F11)</f>
        <v>0</v>
      </c>
      <c r="G11" s="479">
        <f ca="1">_xlfn.IFNA(VLOOKUP(C11,Worksheet!$C$3:$G$46,5,FALSE),G11)</f>
        <v>0</v>
      </c>
      <c r="H11" s="205" t="s">
        <v>86</v>
      </c>
      <c r="I11" s="63"/>
      <c r="J11" s="65"/>
      <c r="K11" s="120" t="s">
        <v>83</v>
      </c>
      <c r="L11" s="358" t="s">
        <v>3971</v>
      </c>
      <c r="M11" s="359"/>
      <c r="N11" s="135"/>
      <c r="O11" s="136"/>
      <c r="P11" s="71">
        <v>0</v>
      </c>
      <c r="Q11" s="136"/>
      <c r="R11" s="71">
        <v>3</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1432</v>
      </c>
      <c r="D12" s="240" t="s">
        <v>3909</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50" t="s">
        <v>3972</v>
      </c>
      <c r="M12" s="360"/>
      <c r="N12" s="77">
        <v>2</v>
      </c>
      <c r="O12" s="78">
        <v>2</v>
      </c>
      <c r="P12" s="78">
        <v>0</v>
      </c>
      <c r="Q12" s="78">
        <v>0.75</v>
      </c>
      <c r="R12" s="78">
        <v>2</v>
      </c>
      <c r="S12" s="77">
        <v>0</v>
      </c>
      <c r="T12" s="78">
        <v>0</v>
      </c>
      <c r="U12" s="78">
        <v>0</v>
      </c>
      <c r="V12" s="78">
        <v>0</v>
      </c>
      <c r="W12" s="78">
        <v>0</v>
      </c>
      <c r="X12" s="77">
        <v>0</v>
      </c>
      <c r="Y12" s="78">
        <v>0</v>
      </c>
      <c r="Z12" s="78">
        <v>29</v>
      </c>
      <c r="AA12" s="78">
        <v>0.25</v>
      </c>
      <c r="AB12" s="78">
        <v>0</v>
      </c>
      <c r="AC12" s="128">
        <v>0</v>
      </c>
      <c r="AD12" s="129" t="e">
        <v>#DIV/0!</v>
      </c>
    </row>
    <row r="13" spans="1:30" ht="48.6" customHeight="1" x14ac:dyDescent="0.25">
      <c r="A13" s="63"/>
      <c r="B13" s="224"/>
      <c r="C13" s="236">
        <v>1433</v>
      </c>
      <c r="D13" s="240" t="s">
        <v>3910</v>
      </c>
      <c r="E13" s="479">
        <f ca="1">_xlfn.IFNA(VLOOKUP(C13,Worksheet!$C$3:$G$46,3,FALSE),E13)</f>
        <v>0</v>
      </c>
      <c r="F13" s="479">
        <f ca="1">_xlfn.IFNA(VLOOKUP(C13,Worksheet!$C$3:$G$46,4,FALSE),F13)</f>
        <v>0</v>
      </c>
      <c r="G13" s="479">
        <f ca="1">_xlfn.IFNA(VLOOKUP(C13,Worksheet!$C$3:$G$46,5,FALSE),G13)</f>
        <v>0</v>
      </c>
      <c r="H13" s="205" t="s">
        <v>86</v>
      </c>
      <c r="I13" s="63"/>
      <c r="J13" s="65"/>
      <c r="K13" s="60" t="s">
        <v>86</v>
      </c>
      <c r="L13" s="348" t="s">
        <v>87</v>
      </c>
      <c r="M13" s="353"/>
      <c r="N13" s="82">
        <v>0.5</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1434</v>
      </c>
      <c r="D14" s="240" t="s">
        <v>3911</v>
      </c>
      <c r="E14" s="479">
        <f ca="1">_xlfn.IFNA(VLOOKUP(C14,Worksheet!$C$3:$G$46,3,FALSE),E14)</f>
        <v>0</v>
      </c>
      <c r="F14" s="479">
        <f ca="1">_xlfn.IFNA(VLOOKUP(C14,Worksheet!$C$3:$G$46,4,FALSE),F14)</f>
        <v>0</v>
      </c>
      <c r="G14" s="479">
        <f ca="1">_xlfn.IFNA(VLOOKUP(C14,Worksheet!$C$3:$G$46,5,FALSE),G14)</f>
        <v>0</v>
      </c>
      <c r="H14" s="205" t="s">
        <v>86</v>
      </c>
      <c r="I14" s="63"/>
      <c r="J14" s="70"/>
      <c r="K14" s="59" t="s">
        <v>84</v>
      </c>
      <c r="L14" s="350" t="s">
        <v>85</v>
      </c>
      <c r="M14" s="351"/>
      <c r="N14" s="77">
        <v>1.5</v>
      </c>
      <c r="O14" s="78">
        <v>1.5</v>
      </c>
      <c r="P14" s="78">
        <v>0</v>
      </c>
      <c r="Q14" s="78">
        <v>0.33333333333333331</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1435</v>
      </c>
      <c r="D15" s="240" t="s">
        <v>3912</v>
      </c>
      <c r="E15" s="479">
        <f ca="1">_xlfn.IFNA(VLOOKUP(C15,Worksheet!$C$3:$G$46,3,FALSE),E15)</f>
        <v>0</v>
      </c>
      <c r="F15" s="479">
        <f ca="1">_xlfn.IFNA(VLOOKUP(C15,Worksheet!$C$3:$G$46,4,FALSE),F15)</f>
        <v>0</v>
      </c>
      <c r="G15" s="479">
        <f ca="1">_xlfn.IFNA(VLOOKUP(C15,Worksheet!$C$3:$G$46,5,FALSE),G15)</f>
        <v>0</v>
      </c>
      <c r="H15" s="205" t="s">
        <v>86</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3913</v>
      </c>
      <c r="E16" s="479">
        <f ca="1">_xlfn.IFNA(VLOOKUP(C16,Worksheet!$C$3:$G$46,3,FALSE),E16)</f>
        <v>0</v>
      </c>
      <c r="F16" s="479">
        <f ca="1">_xlfn.IFNA(VLOOKUP(C16,Worksheet!$C$3:$G$46,4,FALSE),F16)</f>
        <v>0</v>
      </c>
      <c r="G16" s="479">
        <f ca="1">_xlfn.IFNA(VLOOKUP(C16,Worksheet!$C$3:$G$46,5,FALSE),G16)</f>
        <v>0</v>
      </c>
      <c r="H16" s="205" t="s">
        <v>86</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3915</v>
      </c>
      <c r="E17" s="479">
        <f ca="1">_xlfn.IFNA(VLOOKUP(C17,Worksheet!$C$3:$G$46,3,FALSE),E17)</f>
        <v>0</v>
      </c>
      <c r="F17" s="479">
        <f ca="1">_xlfn.IFNA(VLOOKUP(C17,Worksheet!$C$3:$G$46,4,FALSE),F17)</f>
        <v>0</v>
      </c>
      <c r="G17" s="479">
        <f ca="1">_xlfn.IFNA(VLOOKUP(C17,Worksheet!$C$3:$G$46,5,FALSE),G17)</f>
        <v>0</v>
      </c>
      <c r="H17" s="205" t="s">
        <v>86</v>
      </c>
      <c r="I17" s="63"/>
      <c r="J17" s="65"/>
      <c r="K17" s="63"/>
      <c r="L17" s="63"/>
      <c r="M17" s="63"/>
      <c r="N17" s="87">
        <f>AVERAGE(N6:N16)</f>
        <v>36.662500000000001</v>
      </c>
      <c r="O17" s="87">
        <f t="shared" ref="O17:AB17" si="0">AVERAGE(O6:O16)</f>
        <v>13.4375</v>
      </c>
      <c r="P17" s="87">
        <f t="shared" si="0"/>
        <v>23.681818181818183</v>
      </c>
      <c r="Q17" s="87">
        <f t="shared" si="0"/>
        <v>36.110416666666666</v>
      </c>
      <c r="R17" s="87">
        <f t="shared" si="0"/>
        <v>68.666666666666671</v>
      </c>
      <c r="S17" s="87">
        <f t="shared" si="0"/>
        <v>37.125</v>
      </c>
      <c r="T17" s="87">
        <f t="shared" si="0"/>
        <v>12.44047619047619</v>
      </c>
      <c r="U17" s="87">
        <f t="shared" si="0"/>
        <v>24.954545454545453</v>
      </c>
      <c r="V17" s="87">
        <f t="shared" si="0"/>
        <v>36.3125</v>
      </c>
      <c r="W17" s="87">
        <f t="shared" si="0"/>
        <v>69.444444444444443</v>
      </c>
      <c r="X17" s="87">
        <f t="shared" si="0"/>
        <v>36.037500000000001</v>
      </c>
      <c r="Y17" s="87">
        <f t="shared" si="0"/>
        <v>14.708333333333336</v>
      </c>
      <c r="Z17" s="87">
        <f t="shared" si="0"/>
        <v>40.378787878787882</v>
      </c>
      <c r="AA17" s="87">
        <f t="shared" si="0"/>
        <v>52.84375</v>
      </c>
      <c r="AB17" s="87">
        <f t="shared" si="0"/>
        <v>65</v>
      </c>
      <c r="AC17" s="63"/>
      <c r="AD17" s="63"/>
    </row>
    <row r="18" spans="1:30" ht="40.15" customHeight="1" x14ac:dyDescent="0.3">
      <c r="A18" s="63"/>
      <c r="B18" s="224"/>
      <c r="C18" s="236">
        <v>1452</v>
      </c>
      <c r="D18" s="240" t="s">
        <v>3917</v>
      </c>
      <c r="E18" s="479">
        <f ca="1">_xlfn.IFNA(VLOOKUP(C18,Worksheet!$C$3:$G$46,3,FALSE),E18)</f>
        <v>0</v>
      </c>
      <c r="F18" s="479">
        <f ca="1">_xlfn.IFNA(VLOOKUP(C18,Worksheet!$C$3:$G$46,4,FALSE),F18)</f>
        <v>0</v>
      </c>
      <c r="G18" s="479">
        <f ca="1">_xlfn.IFNA(VLOOKUP(C18,Worksheet!$C$3:$G$46,5,FALSE),G18)</f>
        <v>0</v>
      </c>
      <c r="H18" s="205" t="s">
        <v>86</v>
      </c>
      <c r="I18" s="63"/>
      <c r="J18" s="65"/>
      <c r="K18" s="352" t="s">
        <v>563</v>
      </c>
      <c r="L18" s="352"/>
      <c r="M18" s="206" t="s">
        <v>4021</v>
      </c>
      <c r="N18" s="207"/>
      <c r="O18" s="208"/>
      <c r="P18" s="208"/>
      <c r="Q18" s="208"/>
      <c r="R18" s="301" t="s">
        <v>561</v>
      </c>
      <c r="S18" s="480" t="s">
        <v>4021</v>
      </c>
      <c r="T18" s="209"/>
      <c r="U18" s="347" t="s">
        <v>562</v>
      </c>
      <c r="V18" s="347"/>
      <c r="W18" s="210" t="s">
        <v>4023</v>
      </c>
      <c r="X18" s="210"/>
      <c r="Y18" s="88"/>
      <c r="Z18" s="88"/>
      <c r="AA18" s="88"/>
      <c r="AB18" s="88"/>
      <c r="AC18" s="63"/>
      <c r="AD18" s="63"/>
    </row>
    <row r="19" spans="1:30" ht="40.15" customHeight="1" x14ac:dyDescent="0.3">
      <c r="A19" s="63"/>
      <c r="B19" s="224"/>
      <c r="C19" s="236">
        <v>1453</v>
      </c>
      <c r="D19" s="240" t="s">
        <v>3918</v>
      </c>
      <c r="E19" s="479">
        <f ca="1">_xlfn.IFNA(VLOOKUP(C19,Worksheet!$C$3:$G$46,3,FALSE),E19)</f>
        <v>0</v>
      </c>
      <c r="F19" s="479">
        <f ca="1">_xlfn.IFNA(VLOOKUP(C19,Worksheet!$C$3:$G$46,4,FALSE),F19)</f>
        <v>0</v>
      </c>
      <c r="G19" s="479">
        <f ca="1">_xlfn.IFNA(VLOOKUP(C19,Worksheet!$C$3:$G$46,5,FALSE),G19)</f>
        <v>0</v>
      </c>
      <c r="H19" s="205" t="s">
        <v>86</v>
      </c>
      <c r="I19" s="63"/>
      <c r="J19" s="65"/>
      <c r="K19" s="346" t="s">
        <v>61</v>
      </c>
      <c r="L19" s="346"/>
      <c r="M19" s="206" t="s">
        <v>4022</v>
      </c>
      <c r="N19" s="206"/>
      <c r="O19" s="206"/>
      <c r="P19" s="206"/>
      <c r="Q19" s="206"/>
      <c r="R19" s="301" t="s">
        <v>561</v>
      </c>
      <c r="S19" s="209" t="s">
        <v>4022</v>
      </c>
      <c r="T19" s="209"/>
      <c r="U19" s="347" t="s">
        <v>562</v>
      </c>
      <c r="V19" s="347"/>
      <c r="W19" s="210" t="s">
        <v>4023</v>
      </c>
      <c r="X19" s="210"/>
      <c r="Y19" s="63"/>
      <c r="Z19" s="63"/>
      <c r="AA19" s="63"/>
      <c r="AB19" s="63"/>
      <c r="AC19" s="63"/>
      <c r="AD19" s="63"/>
    </row>
    <row r="20" spans="1:30" ht="40.15" customHeight="1" x14ac:dyDescent="0.25">
      <c r="A20" s="63"/>
      <c r="B20" s="224"/>
      <c r="C20" s="236">
        <v>1455</v>
      </c>
      <c r="D20" s="240" t="s">
        <v>3920</v>
      </c>
      <c r="E20" s="479">
        <f ca="1">_xlfn.IFNA(VLOOKUP(C20,Worksheet!$C$3:$G$46,3,FALSE),E20)</f>
        <v>0</v>
      </c>
      <c r="F20" s="479">
        <f ca="1">_xlfn.IFNA(VLOOKUP(C20,Worksheet!$C$3:$G$46,4,FALSE),F20)</f>
        <v>0</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3921</v>
      </c>
      <c r="E21" s="479">
        <f ca="1">_xlfn.IFNA(VLOOKUP(C21,Worksheet!$C$3:$G$46,3,FALSE),E21)</f>
        <v>0</v>
      </c>
      <c r="F21" s="479">
        <f ca="1">_xlfn.IFNA(VLOOKUP(C21,Worksheet!$C$3:$G$46,4,FALSE),F21)</f>
        <v>0</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36.662500000000001</v>
      </c>
      <c r="Q23" s="93">
        <f>O17</f>
        <v>13.4375</v>
      </c>
      <c r="R23" s="93">
        <f>P17</f>
        <v>23.681818181818183</v>
      </c>
      <c r="S23" s="93">
        <f>Q17</f>
        <v>36.110416666666666</v>
      </c>
      <c r="T23" s="93">
        <f>R17</f>
        <v>68.666666666666671</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37.125</v>
      </c>
      <c r="Q24" s="93">
        <f>T17</f>
        <v>12.44047619047619</v>
      </c>
      <c r="R24" s="93">
        <f>U17</f>
        <v>24.954545454545453</v>
      </c>
      <c r="S24" s="93">
        <f>V17</f>
        <v>36.3125</v>
      </c>
      <c r="T24" s="93">
        <f>W17</f>
        <v>69.444444444444443</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36.037500000000001</v>
      </c>
      <c r="Q25" s="93">
        <f>Y17</f>
        <v>14.708333333333336</v>
      </c>
      <c r="R25" s="93">
        <f>Z17</f>
        <v>40.378787878787882</v>
      </c>
      <c r="S25" s="93">
        <f>AA17</f>
        <v>52.84375</v>
      </c>
      <c r="T25" s="93">
        <f>AB17</f>
        <v>65</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P/BnHM3cnr9vUszokq6Zk7jUHTjMcEB+Vi75aZGxMeXeIcGc7b3Hf/dqQBJCkhnScPMRmOmv0RqAoa1SIbbbew==" saltValue="NLpPjxy/pJUzO40YtCInj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1882</v>
      </c>
      <c r="G2" s="205" t="s">
        <v>150</v>
      </c>
    </row>
    <row r="3" spans="1:7" ht="45" hidden="1" customHeight="1" x14ac:dyDescent="0.25">
      <c r="A3" s="224"/>
      <c r="B3" s="228" t="s">
        <v>4006</v>
      </c>
      <c r="C3" s="226" t="s">
        <v>3976</v>
      </c>
      <c r="D3" s="226"/>
      <c r="E3" s="229"/>
      <c r="F3" s="298">
        <f ca="1">_xlfn.IFNA(VLOOKUP(B3,Worksheet!$C$3:$G$46,5,FALSE),F3)</f>
        <v>9</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105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hidden="1" customHeight="1" x14ac:dyDescent="0.25">
      <c r="A10" s="224"/>
      <c r="B10" s="236">
        <v>1113</v>
      </c>
      <c r="C10" s="240" t="s">
        <v>3803</v>
      </c>
      <c r="D10" s="299">
        <f ca="1">_xlfn.IFNA(VLOOKUP(B10,Worksheet!$C$3:$G$46,3,FALSE),D10)</f>
        <v>266</v>
      </c>
      <c r="E10" s="299">
        <f ca="1">_xlfn.IFNA(VLOOKUP(B10,Worksheet!$C$3:$G$46,4,FALSE),E10)</f>
        <v>281</v>
      </c>
      <c r="F10" s="299">
        <f ca="1">_xlfn.IFNA(VLOOKUP(B10,Worksheet!$C$3:$G$46,5,FALSE),F10)</f>
        <v>271</v>
      </c>
      <c r="G10" s="205" t="s">
        <v>150</v>
      </c>
    </row>
    <row r="11" spans="1:7" ht="45" hidden="1" customHeight="1" x14ac:dyDescent="0.25">
      <c r="A11" s="224"/>
      <c r="B11" s="236">
        <v>1114</v>
      </c>
      <c r="C11" s="241" t="s">
        <v>3804</v>
      </c>
      <c r="D11" s="299">
        <f ca="1">_xlfn.IFNA(VLOOKUP(B11,Worksheet!$C$3:$G$46,3,FALSE),D11)</f>
        <v>266</v>
      </c>
      <c r="E11" s="299">
        <f ca="1">_xlfn.IFNA(VLOOKUP(B11,Worksheet!$C$3:$G$46,4,FALSE),E11)</f>
        <v>281</v>
      </c>
      <c r="F11" s="299">
        <f ca="1">_xlfn.IFNA(VLOOKUP(B11,Worksheet!$C$3:$G$46,5,FALSE),F11)</f>
        <v>271</v>
      </c>
      <c r="G11" s="205" t="s">
        <v>150</v>
      </c>
    </row>
    <row r="12" spans="1:7" ht="45" hidden="1" customHeight="1" x14ac:dyDescent="0.25">
      <c r="A12" s="224"/>
      <c r="B12" s="236">
        <v>1115</v>
      </c>
      <c r="C12" s="240" t="s">
        <v>3805</v>
      </c>
      <c r="D12" s="299">
        <f ca="1">_xlfn.IFNA(VLOOKUP(B12,Worksheet!$C$3:$G$46,3,FALSE),D12)</f>
        <v>35</v>
      </c>
      <c r="E12" s="299">
        <f ca="1">_xlfn.IFNA(VLOOKUP(B12,Worksheet!$C$3:$G$46,4,FALSE),E12)</f>
        <v>35</v>
      </c>
      <c r="F12" s="299">
        <f ca="1">_xlfn.IFNA(VLOOKUP(B12,Worksheet!$C$3:$G$46,5,FALSE),F12)</f>
        <v>35</v>
      </c>
      <c r="G12" s="205" t="s">
        <v>150</v>
      </c>
    </row>
    <row r="13" spans="1:7" ht="45" hidden="1" customHeight="1" x14ac:dyDescent="0.25">
      <c r="A13" s="224" t="s">
        <v>3806</v>
      </c>
      <c r="B13" s="236">
        <v>1116</v>
      </c>
      <c r="C13" s="240" t="s">
        <v>3807</v>
      </c>
      <c r="D13" s="299">
        <f ca="1">_xlfn.IFNA(VLOOKUP(B13,Worksheet!$C$3:$G$46,3,FALSE),D13)</f>
        <v>35</v>
      </c>
      <c r="E13" s="299">
        <f ca="1">_xlfn.IFNA(VLOOKUP(B13,Worksheet!$C$3:$G$46,4,FALSE),E13)</f>
        <v>34</v>
      </c>
      <c r="F13" s="299">
        <f ca="1">_xlfn.IFNA(VLOOKUP(B13,Worksheet!$C$3:$G$46,5,FALSE),F13)</f>
        <v>35</v>
      </c>
      <c r="G13" s="205" t="s">
        <v>150</v>
      </c>
    </row>
    <row r="14" spans="1:7" ht="45" hidden="1" customHeight="1" x14ac:dyDescent="0.25">
      <c r="A14" s="224"/>
      <c r="B14" s="236">
        <v>1117</v>
      </c>
      <c r="C14" s="240" t="s">
        <v>3808</v>
      </c>
      <c r="D14" s="299">
        <f ca="1">_xlfn.IFNA(VLOOKUP(B14,Worksheet!$C$3:$G$46,3,FALSE),D14)</f>
        <v>35</v>
      </c>
      <c r="E14" s="299">
        <f ca="1">_xlfn.IFNA(VLOOKUP(B14,Worksheet!$C$3:$G$46,4,FALSE),E14)</f>
        <v>34</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35</v>
      </c>
      <c r="E15" s="300">
        <f t="shared" ref="E15:F15" ca="1" si="0">E13</f>
        <v>34</v>
      </c>
      <c r="F15" s="300">
        <f t="shared" ca="1" si="0"/>
        <v>35</v>
      </c>
      <c r="G15" s="205"/>
    </row>
    <row r="16" spans="1:7" ht="45" hidden="1" customHeight="1" x14ac:dyDescent="0.25">
      <c r="A16" s="224"/>
      <c r="B16" s="236">
        <v>1122</v>
      </c>
      <c r="C16" s="241" t="s">
        <v>3809</v>
      </c>
      <c r="D16" s="299">
        <f ca="1">_xlfn.IFNA(VLOOKUP(B16,Worksheet!$C$3:$G$46,3,FALSE),D16)</f>
        <v>35</v>
      </c>
      <c r="E16" s="299">
        <f ca="1">_xlfn.IFNA(VLOOKUP(B16,Worksheet!$C$3:$G$46,4,FALSE),E16)</f>
        <v>34</v>
      </c>
      <c r="F16" s="299">
        <f ca="1">_xlfn.IFNA(VLOOKUP(B16,Worksheet!$C$3:$G$46,5,FALSE),F16)</f>
        <v>35</v>
      </c>
      <c r="G16" s="205" t="s">
        <v>150</v>
      </c>
    </row>
    <row r="17" spans="1:7" ht="45" hidden="1" customHeight="1" x14ac:dyDescent="0.25">
      <c r="A17" s="224"/>
      <c r="B17" s="236">
        <v>1123</v>
      </c>
      <c r="C17" s="240" t="s">
        <v>3810</v>
      </c>
      <c r="D17" s="299">
        <f ca="1">_xlfn.IFNA(VLOOKUP(B17,Worksheet!$C$3:$G$46,3,FALSE),D17)</f>
        <v>35</v>
      </c>
      <c r="E17" s="299">
        <f ca="1">_xlfn.IFNA(VLOOKUP(B17,Worksheet!$C$3:$G$46,4,FALSE),E17)</f>
        <v>34</v>
      </c>
      <c r="F17" s="299">
        <f ca="1">_xlfn.IFNA(VLOOKUP(B17,Worksheet!$C$3:$G$46,5,FALSE),F17)</f>
        <v>35</v>
      </c>
      <c r="G17" s="205" t="s">
        <v>150</v>
      </c>
    </row>
    <row r="18" spans="1:7" ht="45" hidden="1" customHeight="1" x14ac:dyDescent="0.25">
      <c r="A18" s="224"/>
      <c r="B18" s="236">
        <v>1124</v>
      </c>
      <c r="C18" s="240" t="s">
        <v>3811</v>
      </c>
      <c r="D18" s="299">
        <f ca="1">_xlfn.IFNA(VLOOKUP(B18,Worksheet!$C$3:$G$46,3,FALSE),D18)</f>
        <v>35</v>
      </c>
      <c r="E18" s="299">
        <f ca="1">_xlfn.IFNA(VLOOKUP(B18,Worksheet!$C$3:$G$46,4,FALSE),E18)</f>
        <v>34</v>
      </c>
      <c r="F18" s="299">
        <f ca="1">_xlfn.IFNA(VLOOKUP(B18,Worksheet!$C$3:$G$46,5,FALSE),F18)</f>
        <v>35</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35</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127</v>
      </c>
      <c r="E23" s="299">
        <f ca="1">_xlfn.IFNA(VLOOKUP(B23,Worksheet!$C$3:$G$46,4,FALSE),E23)</f>
        <v>148</v>
      </c>
      <c r="F23" s="299">
        <f ca="1">_xlfn.IFNA(VLOOKUP(B23,Worksheet!$C$3:$G$46,5,FALSE),F23)</f>
        <v>129</v>
      </c>
      <c r="G23" s="205" t="s">
        <v>150</v>
      </c>
    </row>
    <row r="24" spans="1:7" ht="45" hidden="1" customHeight="1" x14ac:dyDescent="0.25">
      <c r="A24" s="224"/>
      <c r="B24" s="236">
        <v>1132</v>
      </c>
      <c r="C24" s="240" t="s">
        <v>3816</v>
      </c>
      <c r="D24" s="299">
        <f ca="1">_xlfn.IFNA(VLOOKUP(B24,Worksheet!$C$3:$G$46,3,FALSE),D24)</f>
        <v>134</v>
      </c>
      <c r="E24" s="299">
        <f ca="1">_xlfn.IFNA(VLOOKUP(B24,Worksheet!$C$3:$G$46,4,FALSE),E24)</f>
        <v>130</v>
      </c>
      <c r="F24" s="299">
        <f ca="1">_xlfn.IFNA(VLOOKUP(B24,Worksheet!$C$3:$G$46,5,FALSE),F24)</f>
        <v>130</v>
      </c>
      <c r="G24" s="205" t="s">
        <v>150</v>
      </c>
    </row>
    <row r="25" spans="1:7" ht="45" hidden="1" customHeight="1" x14ac:dyDescent="0.25">
      <c r="A25" s="224"/>
      <c r="B25" s="236">
        <v>1133</v>
      </c>
      <c r="C25" s="240" t="s">
        <v>3817</v>
      </c>
      <c r="D25" s="299">
        <f ca="1">_xlfn.IFNA(VLOOKUP(B25,Worksheet!$C$3:$G$46,3,FALSE),D25)</f>
        <v>230</v>
      </c>
      <c r="E25" s="299">
        <f ca="1">_xlfn.IFNA(VLOOKUP(B25,Worksheet!$C$3:$G$46,4,FALSE),E25)</f>
        <v>236</v>
      </c>
      <c r="F25" s="299">
        <f ca="1">_xlfn.IFNA(VLOOKUP(B25,Worksheet!$C$3:$G$46,5,FALSE),F25)</f>
        <v>235</v>
      </c>
      <c r="G25" s="205" t="s">
        <v>150</v>
      </c>
    </row>
    <row r="26" spans="1:7" ht="45" hidden="1" customHeight="1" x14ac:dyDescent="0.25">
      <c r="A26" s="224"/>
      <c r="B26" s="236">
        <v>1134</v>
      </c>
      <c r="C26" s="240" t="s">
        <v>3818</v>
      </c>
      <c r="D26" s="299">
        <f ca="1">_xlfn.IFNA(VLOOKUP(B26,Worksheet!$C$3:$G$46,3,FALSE),D26)</f>
        <v>30</v>
      </c>
      <c r="E26" s="299">
        <f ca="1">_xlfn.IFNA(VLOOKUP(B26,Worksheet!$C$3:$G$46,4,FALSE),E26)</f>
        <v>35</v>
      </c>
      <c r="F26" s="299">
        <f ca="1">_xlfn.IFNA(VLOOKUP(B26,Worksheet!$C$3:$G$46,5,FALSE),F26)</f>
        <v>24</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4</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255</v>
      </c>
      <c r="G30" s="205" t="s">
        <v>150</v>
      </c>
    </row>
    <row r="31" spans="1:7" ht="45" hidden="1" customHeight="1" x14ac:dyDescent="0.25">
      <c r="A31" s="224">
        <v>1116</v>
      </c>
      <c r="B31" s="236">
        <v>1141</v>
      </c>
      <c r="C31" s="240" t="s">
        <v>3823</v>
      </c>
      <c r="D31" s="300">
        <f ca="1">D13</f>
        <v>35</v>
      </c>
      <c r="E31" s="300">
        <f ca="1">E13</f>
        <v>34</v>
      </c>
      <c r="F31" s="300">
        <f ca="1">F13</f>
        <v>35</v>
      </c>
      <c r="G31" s="205"/>
    </row>
    <row r="32" spans="1:7" ht="45" hidden="1" customHeight="1" x14ac:dyDescent="0.25">
      <c r="A32" s="224"/>
      <c r="B32" s="236">
        <v>1142</v>
      </c>
      <c r="C32" s="241" t="s">
        <v>3824</v>
      </c>
      <c r="D32" s="300">
        <f ca="1">D18</f>
        <v>35</v>
      </c>
      <c r="E32" s="300">
        <f ca="1">E18</f>
        <v>34</v>
      </c>
      <c r="F32" s="300">
        <f ca="1">F18</f>
        <v>35</v>
      </c>
      <c r="G32" s="205"/>
    </row>
    <row r="33" spans="1:7" ht="45" hidden="1" customHeight="1" x14ac:dyDescent="0.25">
      <c r="A33" s="224"/>
      <c r="B33" s="236">
        <v>1143</v>
      </c>
      <c r="C33" s="240" t="s">
        <v>3825</v>
      </c>
      <c r="D33" s="299">
        <f ca="1">_xlfn.IFNA(VLOOKUP(B33,Worksheet!$C$3:$G$46,3,FALSE),D33)</f>
        <v>261</v>
      </c>
      <c r="E33" s="299">
        <f ca="1">_xlfn.IFNA(VLOOKUP(B33,Worksheet!$C$3:$G$46,4,FALSE),E33)</f>
        <v>271</v>
      </c>
      <c r="F33" s="299">
        <f ca="1">_xlfn.IFNA(VLOOKUP(B33,Worksheet!$C$3:$G$46,5,FALSE),F33)</f>
        <v>259</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322</v>
      </c>
      <c r="G34" s="205" t="s">
        <v>150</v>
      </c>
    </row>
    <row r="35" spans="1:7" ht="45" hidden="1" customHeight="1" x14ac:dyDescent="0.25">
      <c r="A35" s="224"/>
      <c r="B35" s="236">
        <v>1145</v>
      </c>
      <c r="C35" s="240" t="s">
        <v>3827</v>
      </c>
      <c r="D35" s="299">
        <f ca="1">_xlfn.IFNA(VLOOKUP(B35,Worksheet!$C$3:$G$46,3,FALSE),D35)</f>
        <v>261</v>
      </c>
      <c r="E35" s="299">
        <f ca="1">_xlfn.IFNA(VLOOKUP(B35,Worksheet!$C$3:$G$46,4,FALSE),E35)</f>
        <v>271</v>
      </c>
      <c r="F35" s="299">
        <f ca="1">_xlfn.IFNA(VLOOKUP(B35,Worksheet!$C$3:$G$46,5,FALSE),F35)</f>
        <v>259</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230</v>
      </c>
      <c r="E37" s="299">
        <f ca="1">_xlfn.IFNA(VLOOKUP(B37,Worksheet!$C$3:$G$46,4,FALSE),E37)</f>
        <v>236</v>
      </c>
      <c r="F37" s="299">
        <f ca="1">_xlfn.IFNA(VLOOKUP(B37,Worksheet!$C$3:$G$46,5,FALSE),F37)</f>
        <v>235</v>
      </c>
      <c r="G37" s="205" t="s">
        <v>150</v>
      </c>
    </row>
    <row r="38" spans="1:7" ht="45" hidden="1" customHeight="1" x14ac:dyDescent="0.25">
      <c r="A38" s="224"/>
      <c r="B38" s="236">
        <v>1153</v>
      </c>
      <c r="C38" s="240" t="s">
        <v>3830</v>
      </c>
      <c r="D38" s="299">
        <f ca="1">_xlfn.IFNA(VLOOKUP(B38,Worksheet!$C$3:$G$46,3,FALSE),D38)</f>
        <v>230</v>
      </c>
      <c r="E38" s="299">
        <f ca="1">_xlfn.IFNA(VLOOKUP(B38,Worksheet!$C$3:$G$46,4,FALSE),E38)</f>
        <v>236</v>
      </c>
      <c r="F38" s="299">
        <f ca="1">_xlfn.IFNA(VLOOKUP(B38,Worksheet!$C$3:$G$46,5,FALSE),F38)</f>
        <v>235</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230</v>
      </c>
      <c r="E40" s="299">
        <f ca="1">_xlfn.IFNA(VLOOKUP(B40,Worksheet!$C$3:$G$46,4,FALSE),E40)</f>
        <v>236</v>
      </c>
      <c r="F40" s="299">
        <f ca="1">_xlfn.IFNA(VLOOKUP(B40,Worksheet!$C$3:$G$46,5,FALSE),F40)</f>
        <v>235</v>
      </c>
      <c r="G40" s="205" t="s">
        <v>150</v>
      </c>
    </row>
    <row r="41" spans="1:7" ht="45" hidden="1" customHeight="1" x14ac:dyDescent="0.25">
      <c r="A41" s="224"/>
      <c r="B41" s="236">
        <v>1156</v>
      </c>
      <c r="C41" s="240" t="s">
        <v>3832</v>
      </c>
      <c r="D41" s="299">
        <f ca="1">_xlfn.IFNA(VLOOKUP(B41,Worksheet!$C$3:$G$46,3,FALSE),D41)</f>
        <v>230</v>
      </c>
      <c r="E41" s="299">
        <f ca="1">_xlfn.IFNA(VLOOKUP(B41,Worksheet!$C$3:$G$46,4,FALSE),E41)</f>
        <v>236</v>
      </c>
      <c r="F41" s="299">
        <f ca="1">_xlfn.IFNA(VLOOKUP(B41,Worksheet!$C$3:$G$46,5,FALSE),F41)</f>
        <v>235</v>
      </c>
      <c r="G41" s="205" t="s">
        <v>150</v>
      </c>
    </row>
    <row r="42" spans="1:7" ht="45" hidden="1" customHeight="1" x14ac:dyDescent="0.25">
      <c r="A42" s="224"/>
      <c r="B42" s="236">
        <v>1157</v>
      </c>
      <c r="C42" s="246" t="s">
        <v>3833</v>
      </c>
      <c r="D42" s="247" t="e">
        <f ca="1">D43/D44</f>
        <v>#DIV/0!</v>
      </c>
      <c r="E42" s="247">
        <f t="shared" ref="E42:F42" ca="1" si="3">E43/E44</f>
        <v>1</v>
      </c>
      <c r="F42" s="247">
        <f t="shared" ca="1" si="3"/>
        <v>0</v>
      </c>
      <c r="G42" s="205"/>
    </row>
    <row r="43" spans="1:7" ht="45" hidden="1" customHeight="1" x14ac:dyDescent="0.25">
      <c r="A43" s="224"/>
      <c r="B43" s="236">
        <v>1158</v>
      </c>
      <c r="C43" s="240" t="s">
        <v>3834</v>
      </c>
      <c r="D43" s="299">
        <f ca="1">_xlfn.IFNA(VLOOKUP(B43,Worksheet!$C$3:$G$46,3,FALSE),D43)</f>
        <v>1</v>
      </c>
      <c r="E43" s="299">
        <f ca="1">_xlfn.IFNA(VLOOKUP(B43,Worksheet!$C$3:$G$46,4,FALSE),E43)</f>
        <v>2</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2</v>
      </c>
      <c r="F44" s="299">
        <f ca="1">_xlfn.IFNA(VLOOKUP(B44,Worksheet!$C$3:$G$46,5,FALSE),F44)</f>
        <v>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0</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3841</v>
      </c>
      <c r="D53" s="299">
        <f ca="1">_xlfn.IFNA(VLOOKUP(B53,Worksheet!$C$3:$G$46,3,FALSE),D53)</f>
        <v>33</v>
      </c>
      <c r="E53" s="299">
        <f ca="1">_xlfn.IFNA(VLOOKUP(B53,Worksheet!$C$3:$G$46,4,FALSE),E53)</f>
        <v>31</v>
      </c>
      <c r="F53" s="299">
        <f ca="1">_xlfn.IFNA(VLOOKUP(B53,Worksheet!$C$3:$G$46,5,FALSE),F53)</f>
        <v>30</v>
      </c>
      <c r="G53" s="205" t="s">
        <v>83</v>
      </c>
    </row>
    <row r="54" spans="1:7" ht="45" hidden="1" customHeight="1" x14ac:dyDescent="0.25">
      <c r="A54" s="224"/>
      <c r="B54" s="236">
        <v>1214</v>
      </c>
      <c r="C54" s="262" t="s">
        <v>3842</v>
      </c>
      <c r="D54" s="299">
        <f ca="1">_xlfn.IFNA(VLOOKUP(B54,Worksheet!$C$3:$G$46,3,FALSE),D54)</f>
        <v>33</v>
      </c>
      <c r="E54" s="299">
        <f ca="1">_xlfn.IFNA(VLOOKUP(B54,Worksheet!$C$3:$G$46,4,FALSE),E54)</f>
        <v>31</v>
      </c>
      <c r="F54" s="299">
        <f ca="1">_xlfn.IFNA(VLOOKUP(B54,Worksheet!$C$3:$G$46,5,FALSE),F54)</f>
        <v>30</v>
      </c>
      <c r="G54" s="205" t="s">
        <v>83</v>
      </c>
    </row>
    <row r="55" spans="1:7" ht="45" hidden="1" customHeight="1" x14ac:dyDescent="0.25">
      <c r="A55" s="224"/>
      <c r="B55" s="236">
        <v>1215</v>
      </c>
      <c r="C55" s="240" t="s">
        <v>3843</v>
      </c>
      <c r="D55" s="299">
        <f ca="1">_xlfn.IFNA(VLOOKUP(B55,Worksheet!$C$3:$G$46,3,FALSE),D55)</f>
        <v>33</v>
      </c>
      <c r="E55" s="299">
        <f ca="1">_xlfn.IFNA(VLOOKUP(B55,Worksheet!$C$3:$G$46,4,FALSE),E55)</f>
        <v>31</v>
      </c>
      <c r="F55" s="299">
        <f ca="1">_xlfn.IFNA(VLOOKUP(B55,Worksheet!$C$3:$G$46,5,FALSE),F55)</f>
        <v>30</v>
      </c>
      <c r="G55" s="205" t="s">
        <v>83</v>
      </c>
    </row>
    <row r="56" spans="1:7" ht="45" hidden="1" customHeight="1" x14ac:dyDescent="0.25">
      <c r="A56" s="224"/>
      <c r="B56" s="236">
        <v>1216</v>
      </c>
      <c r="C56" s="241" t="s">
        <v>3844</v>
      </c>
      <c r="D56" s="299">
        <f ca="1">_xlfn.IFNA(VLOOKUP(B56,Worksheet!$C$3:$G$46,3,FALSE),D56)</f>
        <v>33</v>
      </c>
      <c r="E56" s="299">
        <f ca="1">_xlfn.IFNA(VLOOKUP(B56,Worksheet!$C$3:$G$46,4,FALSE),E56)</f>
        <v>31</v>
      </c>
      <c r="F56" s="299">
        <f ca="1">_xlfn.IFNA(VLOOKUP(B56,Worksheet!$C$3:$G$46,5,FALSE),F56)</f>
        <v>29</v>
      </c>
      <c r="G56" s="205" t="s">
        <v>83</v>
      </c>
    </row>
    <row r="57" spans="1:7" ht="45" hidden="1" customHeight="1" x14ac:dyDescent="0.25">
      <c r="A57" s="224"/>
      <c r="B57" s="236">
        <v>1217</v>
      </c>
      <c r="C57" s="241" t="s">
        <v>3845</v>
      </c>
      <c r="D57" s="299">
        <f ca="1">_xlfn.IFNA(VLOOKUP(B57,Worksheet!$C$3:$G$46,3,FALSE),D57)</f>
        <v>2</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33</v>
      </c>
      <c r="E59" s="299">
        <f ca="1">_xlfn.IFNA(VLOOKUP(B59,Worksheet!$C$3:$G$46,4,FALSE),E59)</f>
        <v>31</v>
      </c>
      <c r="F59" s="299">
        <f ca="1">_xlfn.IFNA(VLOOKUP(B59,Worksheet!$C$3:$G$46,5,FALSE),F59)</f>
        <v>30</v>
      </c>
      <c r="G59" s="205" t="s">
        <v>83</v>
      </c>
    </row>
    <row r="60" spans="1:7" ht="45" hidden="1" customHeight="1" x14ac:dyDescent="0.25">
      <c r="A60" s="224"/>
      <c r="B60" s="236">
        <v>1222</v>
      </c>
      <c r="C60" s="262" t="s">
        <v>3848</v>
      </c>
      <c r="D60" s="299">
        <f ca="1">_xlfn.IFNA(VLOOKUP(B60,Worksheet!$C$3:$G$46,3,FALSE),D60)</f>
        <v>31</v>
      </c>
      <c r="E60" s="299">
        <f ca="1">_xlfn.IFNA(VLOOKUP(B60,Worksheet!$C$3:$G$46,4,FALSE),E60)</f>
        <v>30</v>
      </c>
      <c r="F60" s="299">
        <f ca="1">_xlfn.IFNA(VLOOKUP(B60,Worksheet!$C$3:$G$46,5,FALSE),F60)</f>
        <v>29</v>
      </c>
      <c r="G60" s="205" t="s">
        <v>83</v>
      </c>
    </row>
    <row r="61" spans="1:7" ht="45" hidden="1" customHeight="1" x14ac:dyDescent="0.25">
      <c r="A61" s="224"/>
      <c r="B61" s="236">
        <v>1223</v>
      </c>
      <c r="C61" s="262" t="s">
        <v>3849</v>
      </c>
      <c r="D61" s="299">
        <f ca="1">_xlfn.IFNA(VLOOKUP(B61,Worksheet!$C$3:$G$46,3,FALSE),D61)</f>
        <v>31</v>
      </c>
      <c r="E61" s="299">
        <f ca="1">_xlfn.IFNA(VLOOKUP(B61,Worksheet!$C$3:$G$46,4,FALSE),E61)</f>
        <v>30</v>
      </c>
      <c r="F61" s="299">
        <f ca="1">_xlfn.IFNA(VLOOKUP(B61,Worksheet!$C$3:$G$46,5,FALSE),F61)</f>
        <v>29</v>
      </c>
      <c r="G61" s="205" t="s">
        <v>83</v>
      </c>
    </row>
    <row r="62" spans="1:7" ht="54.6" hidden="1" customHeight="1" x14ac:dyDescent="0.25">
      <c r="A62" s="224"/>
      <c r="B62" s="236">
        <v>1224</v>
      </c>
      <c r="C62" s="262" t="s">
        <v>3850</v>
      </c>
      <c r="D62" s="299">
        <f ca="1">_xlfn.IFNA(VLOOKUP(B62,Worksheet!$C$3:$G$46,3,FALSE),D62)</f>
        <v>31</v>
      </c>
      <c r="E62" s="299">
        <f ca="1">_xlfn.IFNA(VLOOKUP(B62,Worksheet!$C$3:$G$46,4,FALSE),E62)</f>
        <v>30</v>
      </c>
      <c r="F62" s="299">
        <f ca="1">_xlfn.IFNA(VLOOKUP(B62,Worksheet!$C$3:$G$46,5,FALSE),F62)</f>
        <v>29</v>
      </c>
      <c r="G62" s="205" t="s">
        <v>83</v>
      </c>
    </row>
    <row r="63" spans="1:7" ht="66.599999999999994" hidden="1" customHeight="1" x14ac:dyDescent="0.25">
      <c r="A63" s="224"/>
      <c r="B63" s="236">
        <v>1225</v>
      </c>
      <c r="C63" s="262" t="s">
        <v>3851</v>
      </c>
      <c r="D63" s="299">
        <f ca="1">_xlfn.IFNA(VLOOKUP(B63,Worksheet!$C$3:$G$46,3,FALSE),D63)</f>
        <v>31</v>
      </c>
      <c r="E63" s="299">
        <f ca="1">_xlfn.IFNA(VLOOKUP(B63,Worksheet!$C$3:$G$46,4,FALSE),E63)</f>
        <v>30</v>
      </c>
      <c r="F63" s="299">
        <f ca="1">_xlfn.IFNA(VLOOKUP(B63,Worksheet!$C$3:$G$46,5,FALSE),F63)</f>
        <v>29</v>
      </c>
      <c r="G63" s="205" t="s">
        <v>83</v>
      </c>
    </row>
    <row r="64" spans="1:7" ht="45" hidden="1" customHeight="1" x14ac:dyDescent="0.25">
      <c r="A64" s="224"/>
      <c r="B64" s="236">
        <v>1226</v>
      </c>
      <c r="C64" s="262" t="s">
        <v>3852</v>
      </c>
      <c r="D64" s="299">
        <f ca="1">_xlfn.IFNA(VLOOKUP(B64,Worksheet!$C$3:$G$46,3,FALSE),D64)</f>
        <v>2</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28</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33</v>
      </c>
      <c r="E73" s="299">
        <f ca="1">_xlfn.IFNA(VLOOKUP(B73,Worksheet!$C$3:$G$46,4,FALSE),E73)</f>
        <v>31</v>
      </c>
      <c r="F73" s="299">
        <f ca="1">_xlfn.IFNA(VLOOKUP(B73,Worksheet!$C$3:$G$46,5,FALSE),F73)</f>
        <v>29</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1</v>
      </c>
      <c r="G74" s="205" t="s">
        <v>83</v>
      </c>
    </row>
    <row r="75" spans="1:7" ht="45" hidden="1" customHeight="1" x14ac:dyDescent="0.25">
      <c r="A75" s="224"/>
      <c r="B75" s="236">
        <v>1243</v>
      </c>
      <c r="C75" s="241" t="s">
        <v>3862</v>
      </c>
      <c r="D75" s="299">
        <f ca="1">_xlfn.IFNA(VLOOKUP(B75,Worksheet!$C$3:$G$46,3,FALSE),D75)</f>
        <v>33</v>
      </c>
      <c r="E75" s="299">
        <f ca="1">_xlfn.IFNA(VLOOKUP(B75,Worksheet!$C$3:$G$46,4,FALSE),E75)</f>
        <v>31</v>
      </c>
      <c r="F75" s="299">
        <f ca="1">_xlfn.IFNA(VLOOKUP(B75,Worksheet!$C$3:$G$46,5,FALSE),F75)</f>
        <v>29</v>
      </c>
      <c r="G75" s="205" t="s">
        <v>83</v>
      </c>
    </row>
    <row r="76" spans="1:7" ht="45" hidden="1" customHeight="1" x14ac:dyDescent="0.25">
      <c r="A76" s="224"/>
      <c r="B76" s="236">
        <v>1244</v>
      </c>
      <c r="C76" s="241" t="s">
        <v>3863</v>
      </c>
      <c r="D76" s="299">
        <f ca="1">_xlfn.IFNA(VLOOKUP(B76,Worksheet!$C$3:$G$46,3,FALSE),D76)</f>
        <v>2</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28</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33</v>
      </c>
      <c r="E79" s="299">
        <f ca="1">_xlfn.IFNA(VLOOKUP(B79,Worksheet!$C$3:$G$46,4,FALSE),E79)</f>
        <v>31</v>
      </c>
      <c r="F79" s="299">
        <f ca="1">_xlfn.IFNA(VLOOKUP(B79,Worksheet!$C$3:$G$46,5,FALSE),F79)</f>
        <v>30</v>
      </c>
      <c r="G79" s="205" t="s">
        <v>83</v>
      </c>
    </row>
    <row r="80" spans="1:7" ht="45" hidden="1" customHeight="1" x14ac:dyDescent="0.25">
      <c r="A80" s="224"/>
      <c r="B80" s="236">
        <v>1248</v>
      </c>
      <c r="C80" s="240" t="s">
        <v>3867</v>
      </c>
      <c r="D80" s="299">
        <f ca="1">_xlfn.IFNA(VLOOKUP(B80,Worksheet!$C$3:$G$46,3,FALSE),D80)</f>
        <v>1</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33</v>
      </c>
      <c r="E81" s="263">
        <f t="shared" ref="E81:F81" ca="1" si="4">E82</f>
        <v>31</v>
      </c>
      <c r="F81" s="263">
        <f t="shared" ca="1" si="4"/>
        <v>29</v>
      </c>
      <c r="G81" s="205"/>
    </row>
    <row r="82" spans="1:7" ht="45" hidden="1" customHeight="1" x14ac:dyDescent="0.25">
      <c r="A82" s="224"/>
      <c r="B82" s="236">
        <v>1252</v>
      </c>
      <c r="C82" s="240" t="s">
        <v>3869</v>
      </c>
      <c r="D82" s="299">
        <f ca="1">_xlfn.IFNA(VLOOKUP(B82,Worksheet!$C$3:$G$46,3,FALSE),D82)</f>
        <v>33</v>
      </c>
      <c r="E82" s="299">
        <f ca="1">_xlfn.IFNA(VLOOKUP(B82,Worksheet!$C$3:$G$46,4,FALSE),E82)</f>
        <v>31</v>
      </c>
      <c r="F82" s="299">
        <f ca="1">_xlfn.IFNA(VLOOKUP(B82,Worksheet!$C$3:$G$46,5,FALSE),F82)</f>
        <v>29</v>
      </c>
      <c r="G82" s="205" t="s">
        <v>83</v>
      </c>
    </row>
    <row r="83" spans="1:7" ht="45" hidden="1" customHeight="1" x14ac:dyDescent="0.25">
      <c r="A83" s="224"/>
      <c r="B83" s="236">
        <v>1253</v>
      </c>
      <c r="C83" s="240" t="s">
        <v>3870</v>
      </c>
      <c r="D83" s="299">
        <f ca="1">_xlfn.IFNA(VLOOKUP(B83,Worksheet!$C$3:$G$46,3,FALSE),D83)</f>
        <v>60</v>
      </c>
      <c r="E83" s="299">
        <f ca="1">_xlfn.IFNA(VLOOKUP(B83,Worksheet!$C$3:$G$46,4,FALSE),E83)</f>
        <v>52</v>
      </c>
      <c r="F83" s="299">
        <f ca="1">_xlfn.IFNA(VLOOKUP(B83,Worksheet!$C$3:$G$46,5,FALSE),F83)</f>
        <v>38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3</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3</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3</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3</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3</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3</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3988</v>
      </c>
      <c r="D117" s="226"/>
      <c r="E117" s="229"/>
      <c r="F117" s="298">
        <f ca="1">_xlfn.IFNA(VLOOKUP(B117,Worksheet!$C$3:$G$46,5,FALSE),F117)</f>
        <v>0</v>
      </c>
      <c r="G117" s="205" t="s">
        <v>86</v>
      </c>
    </row>
    <row r="118" spans="1:7" s="268" customFormat="1" ht="45" customHeight="1" x14ac:dyDescent="0.25">
      <c r="A118" s="224"/>
      <c r="B118" s="272"/>
      <c r="C118" s="260" t="s">
        <v>3900</v>
      </c>
      <c r="D118" s="238" t="s">
        <v>76</v>
      </c>
      <c r="E118" s="239" t="s">
        <v>77</v>
      </c>
      <c r="F118" s="239" t="s">
        <v>78</v>
      </c>
      <c r="G118" s="205" t="s">
        <v>86</v>
      </c>
    </row>
    <row r="119" spans="1:7" s="268" customFormat="1" ht="45" customHeight="1" x14ac:dyDescent="0.25">
      <c r="A119" s="224"/>
      <c r="B119" s="236">
        <v>1413</v>
      </c>
      <c r="C119" s="240" t="s">
        <v>3901</v>
      </c>
      <c r="D119" s="299">
        <f>_xlfn.IFNA(VLOOKUP(B119,Worksheet!$C$3:$G$46,3,FALSE),D119)</f>
        <v>1</v>
      </c>
      <c r="E119" s="299">
        <f ca="1">_xlfn.IFNA(VLOOKUP(B119,Worksheet!$C$3:$G$46,4,FALSE),E119)</f>
        <v>0</v>
      </c>
      <c r="F119" s="299">
        <f ca="1">_xlfn.IFNA(VLOOKUP(B119,Worksheet!$C$3:$G$46,5,FALSE),F119)</f>
        <v>0</v>
      </c>
      <c r="G119" s="205" t="s">
        <v>86</v>
      </c>
    </row>
    <row r="120" spans="1:7" s="268" customFormat="1" ht="45"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hhdBeCPMrbBAm4fDzzkEbVFsATtNBK9YPB9lnSpDTZokf9IlnJW2d2wlcKLdGyg9V0XzSUIWYK+zv03lTj19xQ==" saltValue="+kgtvWQfnYrqm9qRqxAdGQ=="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Kayode</cp:lastModifiedBy>
  <cp:lastPrinted>2017-01-11T15:12:50Z</cp:lastPrinted>
  <dcterms:created xsi:type="dcterms:W3CDTF">2017-01-08T13:42:03Z</dcterms:created>
  <dcterms:modified xsi:type="dcterms:W3CDTF">2017-02-24T08:04:29Z</dcterms:modified>
</cp:coreProperties>
</file>