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ocuments\DQA SITE VISITS Q1\"/>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904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3" i="11"/>
  <c r="F23" i="11"/>
  <c r="G23" i="11"/>
  <c r="E24" i="11"/>
  <c r="F24" i="11"/>
  <c r="G24" i="11"/>
</calcChain>
</file>

<file path=xl/sharedStrings.xml><?xml version="1.0" encoding="utf-8"?>
<sst xmlns="http://schemas.openxmlformats.org/spreadsheetml/2006/main" count="27077" uniqueCount="4025">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</sst>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28.462499999999999</c:v>
                </c:pt>
                <c:pt idx="1">
                  <c:v>31.86904761904762</c:v>
                </c:pt>
                <c:pt idx="2">
                  <c:v>53.696969696969703</c:v>
                </c:pt>
                <c:pt idx="3">
                  <c:v>43.6</c:v>
                </c:pt>
                <c:pt idx="4">
                  <c:v>80.222222222222229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14.824999999999999</c:v>
                </c:pt>
                <c:pt idx="1">
                  <c:v>20.880952380952383</c:v>
                </c:pt>
                <c:pt idx="2">
                  <c:v>23.575757575757578</c:v>
                </c:pt>
                <c:pt idx="3">
                  <c:v>20.8</c:v>
                </c:pt>
                <c:pt idx="4">
                  <c:v>36.222222222222221</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39.287500000000001</c:v>
                </c:pt>
                <c:pt idx="1">
                  <c:v>48.142857142857146</c:v>
                </c:pt>
                <c:pt idx="2">
                  <c:v>76.818181818181813</c:v>
                </c:pt>
                <c:pt idx="3">
                  <c:v>62.85</c:v>
                </c:pt>
                <c:pt idx="4">
                  <c:v>115.77777777777777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614467712"/>
        <c:axId val="614466928"/>
      </c:radarChart>
      <c:catAx>
        <c:axId val="614467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14466928"/>
        <c:crosses val="autoZero"/>
        <c:auto val="1"/>
        <c:lblAlgn val="ctr"/>
        <c:lblOffset val="100"/>
        <c:noMultiLvlLbl val="0"/>
      </c:catAx>
      <c:valAx>
        <c:axId val="614466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46771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Imo</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im Owerri North</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Akwakuma Health Center</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113.35</v>
      </c>
      <c r="E8" s="152">
        <f ca="1">SUM('All Questions'!D15:D21)/7+E12</f>
        <v>126.97619047619047</v>
      </c>
      <c r="F8" s="152">
        <f ca="1">SUM('All Questions'!D23:D30)/4+F12</f>
        <v>293.33333333333337</v>
      </c>
      <c r="G8" s="152">
        <f ca="1">SUM('All Questions'!D31:D35)/5+G12</f>
        <v>173.9</v>
      </c>
      <c r="H8" s="153">
        <f ca="1">SUM('All Questions'!D37,'All Questions'!D40)/2+'All Questions'!D26+H12</f>
        <v>360</v>
      </c>
      <c r="I8" s="154">
        <f ca="1">(SUM('All Questions'!E10:E14)/5)+I12</f>
        <v>59.3</v>
      </c>
      <c r="J8" s="152">
        <f ca="1">SUM('All Questions'!E15:E21)/7+J12</f>
        <v>83.523809523809533</v>
      </c>
      <c r="K8" s="152">
        <f ca="1">SUM('All Questions'!E23:E30)/4+K12</f>
        <v>129.66666666666669</v>
      </c>
      <c r="L8" s="152">
        <f ca="1">SUM('All Questions'!E31:E35)/5+L12</f>
        <v>83.2</v>
      </c>
      <c r="M8" s="153">
        <f ca="1">('All Questions'!E37+'All Questions'!E40)/2+'All Questions'!E26+M12</f>
        <v>163</v>
      </c>
      <c r="N8" s="154">
        <f ca="1">(SUM('All Questions'!F10:F14)/5)+N12</f>
        <v>156.65</v>
      </c>
      <c r="O8" s="152">
        <f ca="1">SUM('All Questions'!F15:F21)/7+O12</f>
        <v>192.07142857142858</v>
      </c>
      <c r="P8" s="152">
        <f ca="1">SUM('All Questions'!F23:F30)/4+P12</f>
        <v>420</v>
      </c>
      <c r="Q8" s="152">
        <f ca="1">SUM('All Questions'!F31:F35)/5+Q12</f>
        <v>250.9</v>
      </c>
      <c r="R8" s="153">
        <f ca="1">('All Questions'!F37+'All Questions'!F40)/2+'All Questions'!F26+R12</f>
        <v>520</v>
      </c>
      <c r="S8" s="138">
        <f ca="1">'All Questions'!F2</f>
        <v>1053</v>
      </c>
      <c r="T8" s="139">
        <f t="shared" ref="T8:T17" ca="1" si="0">(((SUM(D8:H8)/5)+(SUM(I8:M8)/5)+(SUM(N8:R8)/5)))/S8</f>
        <v>0.59370777370777372</v>
      </c>
    </row>
    <row r="9" spans="1:20" ht="72.599999999999994" customHeight="1" thickBot="1" x14ac:dyDescent="0.3">
      <c r="A9" s="105">
        <v>1.1000000000000001</v>
      </c>
      <c r="B9" s="106" t="s">
        <v>89</v>
      </c>
      <c r="C9" s="107" t="s">
        <v>3971</v>
      </c>
      <c r="D9" s="155"/>
      <c r="E9" s="155"/>
      <c r="F9" s="156">
        <f ca="1">'All Questions'!D29</f>
        <v>1</v>
      </c>
      <c r="G9" s="155"/>
      <c r="H9" s="157"/>
      <c r="I9" s="158"/>
      <c r="J9" s="155"/>
      <c r="K9" s="156">
        <f ca="1">'All Questions'!E29</f>
        <v>0</v>
      </c>
      <c r="L9" s="155"/>
      <c r="M9" s="157"/>
      <c r="N9" s="158"/>
      <c r="O9" s="155"/>
      <c r="P9" s="156">
        <f ca="1">'All Questions'!F29</f>
        <v>1</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97.6</v>
      </c>
      <c r="E10" s="156">
        <f ca="1">SUM('All Questions'!D15:D21)/7</f>
        <v>6.1428571428571432</v>
      </c>
      <c r="F10" s="156">
        <f ca="1">(SUM('All Questions'!D23:D24)+SUM('All Questions'!D25:D26)+SUM('All Questions'!D27:D28)+SUM('All Questions'!D29:D30))/4</f>
        <v>160</v>
      </c>
      <c r="G10" s="156">
        <f ca="1">SUM('All Questions'!D31:D35)/5</f>
        <v>73.400000000000006</v>
      </c>
      <c r="H10" s="159">
        <f ca="1">('All Questions'!D37+'All Questions'!D40)/2+'All Questions'!D26</f>
        <v>160</v>
      </c>
      <c r="I10" s="160">
        <f ca="1">(SUM('All Questions'!E10:E14)/5)</f>
        <v>43.8</v>
      </c>
      <c r="J10" s="161">
        <f ca="1">SUM('All Questions'!E15:E21)/7</f>
        <v>12.857142857142858</v>
      </c>
      <c r="K10" s="161">
        <f ca="1">(SUM('All Questions'!E23:E24)+SUM('All Questions'!E25:E26)+SUM('All Questions'!E27:E28)+SUM('All Questions'!E29:E30))/4</f>
        <v>63</v>
      </c>
      <c r="L10" s="161">
        <f ca="1">SUM('All Questions'!E31:E35)/5</f>
        <v>33.200000000000003</v>
      </c>
      <c r="M10" s="162">
        <f ca="1">('All Questions'!E37+'All Questions'!E40)/2+'All Questions'!E26</f>
        <v>63</v>
      </c>
      <c r="N10" s="163">
        <f ca="1">(SUM('All Questions'!F10:F14)/5)</f>
        <v>140.4</v>
      </c>
      <c r="O10" s="161">
        <f ca="1">SUM('All Questions'!F15:F21)/7</f>
        <v>20.571428571428573</v>
      </c>
      <c r="P10" s="161">
        <f ca="1">(SUM('All Questions'!F23:F24)+SUM('All Questions'!F25:F26)+SUM('All Questions'!F27:F28)+SUM('All Questions'!F29:F30))/4</f>
        <v>220</v>
      </c>
      <c r="Q10" s="161">
        <f ca="1">SUM('All Questions'!F31:F35)/5</f>
        <v>100.4</v>
      </c>
      <c r="R10" s="162">
        <f ca="1">('All Questions'!F37+'All Questions'!F40)/2+'All Questions'!F26</f>
        <v>220</v>
      </c>
      <c r="S10" s="138">
        <f ca="1">'All Questions'!F4</f>
        <v>438</v>
      </c>
      <c r="T10" s="140">
        <f t="shared" ca="1" si="0"/>
        <v>0.64583170254403144</v>
      </c>
    </row>
    <row r="11" spans="1:20" ht="72.599999999999994" customHeight="1" thickBot="1" x14ac:dyDescent="0.3">
      <c r="A11" s="108" t="s">
        <v>3973</v>
      </c>
      <c r="B11" s="109" t="s">
        <v>79</v>
      </c>
      <c r="C11" s="110" t="s">
        <v>88</v>
      </c>
      <c r="D11" s="164"/>
      <c r="E11" s="164"/>
      <c r="F11" s="165">
        <f ca="1">'All Questions'!D29</f>
        <v>1</v>
      </c>
      <c r="G11" s="164"/>
      <c r="H11" s="166"/>
      <c r="I11" s="167"/>
      <c r="J11" s="164"/>
      <c r="K11" s="168">
        <f ca="1">'All Questions'!E29</f>
        <v>0</v>
      </c>
      <c r="L11" s="164"/>
      <c r="M11" s="166"/>
      <c r="N11" s="167"/>
      <c r="O11" s="164"/>
      <c r="P11" s="168">
        <f ca="1">'All Questions'!F29</f>
        <v>1</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15.75</v>
      </c>
      <c r="E12" s="170">
        <f ca="1">SUM('All Questions'!D60:D75)/6</f>
        <v>120.83333333333333</v>
      </c>
      <c r="F12" s="170">
        <f ca="1">SUM('All Questions'!D67:D72)/3</f>
        <v>133.33333333333334</v>
      </c>
      <c r="G12" s="170">
        <f ca="1">SUM('All Questions'!D73:D80)/4</f>
        <v>100.5</v>
      </c>
      <c r="H12" s="171">
        <f ca="1">SUM('All Questions'!D82:D83)/2</f>
        <v>200</v>
      </c>
      <c r="I12" s="172">
        <f ca="1">SUM('All Questions'!E55:E58)/4</f>
        <v>15.5</v>
      </c>
      <c r="J12" s="173">
        <f ca="1">SUM('All Questions'!E60:E75)/6</f>
        <v>70.666666666666671</v>
      </c>
      <c r="K12" s="173">
        <f ca="1">SUM('All Questions'!E67:E72)/3</f>
        <v>66.666666666666671</v>
      </c>
      <c r="L12" s="173">
        <f ca="1">SUM('All Questions'!E73:E80)/4</f>
        <v>50</v>
      </c>
      <c r="M12" s="174">
        <f ca="1">SUM('All Questions'!E82:E83)/2</f>
        <v>100</v>
      </c>
      <c r="N12" s="175">
        <f ca="1">SUM('All Questions'!F55:F58)/4</f>
        <v>16.25</v>
      </c>
      <c r="O12" s="173">
        <f ca="1">SUM('All Questions'!F60:F75)/6</f>
        <v>171.5</v>
      </c>
      <c r="P12" s="173">
        <f ca="1">SUM('All Questions'!F67:F72)/3</f>
        <v>200</v>
      </c>
      <c r="Q12" s="173">
        <f ca="1">SUM('All Questions'!F73:F80)/4</f>
        <v>150.5</v>
      </c>
      <c r="R12" s="174">
        <f ca="1">SUM('All Questions'!F82:F83)/2</f>
        <v>300</v>
      </c>
      <c r="S12" s="142">
        <f ca="1">'All Questions'!F46</f>
        <v>615</v>
      </c>
      <c r="T12" s="143">
        <f t="shared" ca="1" si="0"/>
        <v>0.55658536585365859</v>
      </c>
    </row>
    <row r="13" spans="1:20" ht="72.599999999999994" customHeight="1" x14ac:dyDescent="0.25">
      <c r="A13" s="105">
        <v>2.1</v>
      </c>
      <c r="B13" s="106" t="s">
        <v>83</v>
      </c>
      <c r="C13" s="114" t="s">
        <v>3975</v>
      </c>
      <c r="D13" s="158"/>
      <c r="E13" s="155"/>
      <c r="F13" s="176">
        <f ca="1">'All Questions'!D72</f>
        <v>1</v>
      </c>
      <c r="G13" s="155"/>
      <c r="H13" s="177">
        <f ca="1">SUM('All Questions'!D85:D86)/2</f>
        <v>1</v>
      </c>
      <c r="I13" s="178"/>
      <c r="J13" s="179"/>
      <c r="K13" s="180">
        <f ca="1">'All Questions'!E72</f>
        <v>0</v>
      </c>
      <c r="L13" s="179"/>
      <c r="M13" s="181">
        <f ca="1">SUM('All Questions'!E85:E86)/2</f>
        <v>0</v>
      </c>
      <c r="N13" s="182"/>
      <c r="O13" s="179"/>
      <c r="P13" s="180">
        <f ca="1">'All Questions'!F72</f>
        <v>1</v>
      </c>
      <c r="Q13" s="179"/>
      <c r="R13" s="181">
        <f ca="1">SUM('All Questions'!F85:F86)/2</f>
        <v>1</v>
      </c>
      <c r="S13" s="142">
        <f ca="1">'All Questions'!F47</f>
        <v>2</v>
      </c>
      <c r="T13" s="144">
        <f t="shared" ca="1" si="0"/>
        <v>0.4</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1</v>
      </c>
      <c r="G16" s="188">
        <f ca="1">SUM('All Questions'!D106:D108)/3</f>
        <v>1</v>
      </c>
      <c r="H16" s="189">
        <f ca="1">SUM('All Questions'!D111+'All Questions'!D112+'All Questions'!D114+'All Questions'!D115)/4</f>
        <v>1</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1</v>
      </c>
      <c r="O16" s="191">
        <f ca="1">SUM('All Questions'!F97:F100)/4</f>
        <v>1</v>
      </c>
      <c r="P16" s="191">
        <f ca="1">SUM('All Questions'!F101:F105)/2</f>
        <v>1</v>
      </c>
      <c r="Q16" s="191">
        <f ca="1">SUM('All Questions'!F106:F108)/3</f>
        <v>1</v>
      </c>
      <c r="R16" s="192">
        <f ca="1">SUM('All Questions'!F111+'All Questions'!F112+'All Questions'!F114+'All Questions'!F115)/4</f>
        <v>1</v>
      </c>
      <c r="S16" s="146">
        <f ca="1">'All Questions'!F91</f>
        <v>1</v>
      </c>
      <c r="T16" s="147">
        <f t="shared" ca="1" si="0"/>
        <v>2</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AB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155</v>
      </c>
      <c r="N2" s="331" t="s">
        <v>158</v>
      </c>
      <c r="O2" s="331"/>
      <c r="P2" s="66" t="s">
        <v>143</v>
      </c>
      <c r="Q2" s="303" t="s">
        <v>1</v>
      </c>
      <c r="R2" s="66" t="s">
        <v>177</v>
      </c>
      <c r="S2" s="303" t="s">
        <v>3</v>
      </c>
      <c r="T2" s="66" t="s">
        <v>674</v>
      </c>
      <c r="U2" s="67" t="s">
        <v>159</v>
      </c>
      <c r="V2" s="66" t="s">
        <v>1641</v>
      </c>
      <c r="W2" s="66"/>
      <c r="X2" s="67" t="s">
        <v>160</v>
      </c>
      <c r="Y2" s="66" t="s">
        <v>149</v>
      </c>
      <c r="Z2" s="96" t="s">
        <v>3803</v>
      </c>
      <c r="AA2" s="68" t="str">
        <f>VLOOKUP(V2,[2]Data_donotedit!AY2:AZ1504,2,FALSE)</f>
        <v>iNAUwryamCV</v>
      </c>
      <c r="AB2" s="68"/>
      <c r="AC2" s="68"/>
      <c r="AD2" s="68"/>
    </row>
    <row r="3" spans="1:30" ht="40.15" customHeight="1" x14ac:dyDescent="0.25">
      <c r="A3" s="63"/>
      <c r="B3" s="224"/>
      <c r="C3" s="218" t="s">
        <v>155</v>
      </c>
      <c r="D3" s="258" t="s">
        <v>3990</v>
      </c>
      <c r="E3" s="226"/>
      <c r="F3" s="229"/>
      <c r="G3" s="478">
        <f ca="1">_xlfn.IFNA(VLOOKUP(C3,Worksheet!$C$3:$G$46,5,FALSE),G3)</f>
        <v>1</v>
      </c>
      <c r="H3" s="264" t="s">
        <v>155</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36"/>
      <c r="D4" s="260" t="s">
        <v>3881</v>
      </c>
      <c r="E4" s="265" t="s">
        <v>3991</v>
      </c>
      <c r="F4" s="266" t="s">
        <v>77</v>
      </c>
      <c r="G4" s="266" t="s">
        <v>78</v>
      </c>
      <c r="H4" s="264" t="s">
        <v>155</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36">
        <v>1313</v>
      </c>
      <c r="D5" s="240" t="s">
        <v>3882</v>
      </c>
      <c r="E5" s="479">
        <f ca="1">_xlfn.IFNA(VLOOKUP(C5,Worksheet!$C$3:$G$46,3,FALSE),E5)</f>
        <v>1</v>
      </c>
      <c r="F5" s="479">
        <f ca="1">_xlfn.IFNA(VLOOKUP(C5,Worksheet!$C$3:$G$46,4,FALSE),F5)</f>
        <v>0</v>
      </c>
      <c r="G5" s="479">
        <f ca="1">_xlfn.IFNA(VLOOKUP(C5,Worksheet!$C$3:$G$46,5,FALSE),G5)</f>
        <v>1</v>
      </c>
      <c r="H5" s="264" t="s">
        <v>155</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1314</v>
      </c>
      <c r="D6" s="267" t="s">
        <v>3883</v>
      </c>
      <c r="E6" s="479">
        <f ca="1">_xlfn.IFNA(VLOOKUP(C6,Worksheet!$C$3:$G$46,3,FALSE),E6)</f>
        <v>1</v>
      </c>
      <c r="F6" s="479">
        <f ca="1">_xlfn.IFNA(VLOOKUP(C6,Worksheet!$C$3:$G$46,4,FALSE),F6)</f>
        <v>0</v>
      </c>
      <c r="G6" s="479">
        <f ca="1">_xlfn.IFNA(VLOOKUP(C6,Worksheet!$C$3:$G$46,5,FALSE),G6)</f>
        <v>1</v>
      </c>
      <c r="H6" s="264" t="s">
        <v>155</v>
      </c>
      <c r="I6" s="63"/>
      <c r="J6" s="63"/>
      <c r="K6" s="132" t="s">
        <v>89</v>
      </c>
      <c r="L6" s="339" t="s">
        <v>3970</v>
      </c>
      <c r="M6" s="340"/>
      <c r="N6" s="71">
        <v>113.35</v>
      </c>
      <c r="O6" s="71">
        <v>126.97619047619047</v>
      </c>
      <c r="P6" s="71">
        <v>293.33333333333337</v>
      </c>
      <c r="Q6" s="71">
        <v>173.9</v>
      </c>
      <c r="R6" s="72">
        <v>360</v>
      </c>
      <c r="S6" s="71">
        <v>59.3</v>
      </c>
      <c r="T6" s="71">
        <v>83.523809523809533</v>
      </c>
      <c r="U6" s="71">
        <v>129.66666666666669</v>
      </c>
      <c r="V6" s="71">
        <v>83.2</v>
      </c>
      <c r="W6" s="72">
        <v>163</v>
      </c>
      <c r="X6" s="71">
        <v>156.65</v>
      </c>
      <c r="Y6" s="71">
        <v>192.07142857142858</v>
      </c>
      <c r="Z6" s="71">
        <v>420</v>
      </c>
      <c r="AA6" s="71">
        <v>250.9</v>
      </c>
      <c r="AB6" s="71">
        <v>520</v>
      </c>
      <c r="AC6" s="73">
        <v>1053</v>
      </c>
      <c r="AD6" s="74">
        <v>0.59370777370777372</v>
      </c>
    </row>
    <row r="7" spans="1:30" ht="40.15" customHeight="1" x14ac:dyDescent="0.25">
      <c r="A7" s="63"/>
      <c r="B7" s="224"/>
      <c r="C7" s="236">
        <v>1315</v>
      </c>
      <c r="D7" s="241" t="s">
        <v>3884</v>
      </c>
      <c r="E7" s="479">
        <f ca="1">_xlfn.IFNA(VLOOKUP(C7,Worksheet!$C$3:$G$46,3,FALSE),E7)</f>
        <v>1</v>
      </c>
      <c r="F7" s="479">
        <f ca="1">_xlfn.IFNA(VLOOKUP(C7,Worksheet!$C$3:$G$46,4,FALSE),F7)</f>
        <v>0</v>
      </c>
      <c r="G7" s="479">
        <f ca="1">_xlfn.IFNA(VLOOKUP(C7,Worksheet!$C$3:$G$46,5,FALSE),G7)</f>
        <v>1</v>
      </c>
      <c r="H7" s="264" t="s">
        <v>155</v>
      </c>
      <c r="I7" s="63"/>
      <c r="J7" s="65"/>
      <c r="K7" s="59" t="s">
        <v>89</v>
      </c>
      <c r="L7" s="341" t="s">
        <v>3971</v>
      </c>
      <c r="M7" s="342"/>
      <c r="N7" s="133"/>
      <c r="O7" s="133"/>
      <c r="P7" s="78">
        <v>1</v>
      </c>
      <c r="Q7" s="133"/>
      <c r="R7" s="134"/>
      <c r="S7" s="133"/>
      <c r="T7" s="133"/>
      <c r="U7" s="78">
        <v>0</v>
      </c>
      <c r="V7" s="133"/>
      <c r="W7" s="134"/>
      <c r="X7" s="133"/>
      <c r="Y7" s="133"/>
      <c r="Z7" s="78">
        <v>1</v>
      </c>
      <c r="AA7" s="133"/>
      <c r="AB7" s="133"/>
      <c r="AC7" s="80">
        <v>0</v>
      </c>
      <c r="AD7" s="81" t="e">
        <v>#DIV/0!</v>
      </c>
    </row>
    <row r="8" spans="1:30" ht="40.15" customHeight="1" x14ac:dyDescent="0.25">
      <c r="A8" s="63"/>
      <c r="B8" s="224"/>
      <c r="C8" s="236">
        <v>1316</v>
      </c>
      <c r="D8" s="241" t="s">
        <v>3885</v>
      </c>
      <c r="E8" s="479">
        <f ca="1">_xlfn.IFNA(VLOOKUP(C8,Worksheet!$C$3:$G$46,3,FALSE),E8)</f>
        <v>1</v>
      </c>
      <c r="F8" s="479">
        <f ca="1">_xlfn.IFNA(VLOOKUP(C8,Worksheet!$C$3:$G$46,4,FALSE),F8)</f>
        <v>0</v>
      </c>
      <c r="G8" s="479">
        <f ca="1">_xlfn.IFNA(VLOOKUP(C8,Worksheet!$C$3:$G$46,5,FALSE),G8)</f>
        <v>1</v>
      </c>
      <c r="H8" s="264" t="s">
        <v>155</v>
      </c>
      <c r="I8" s="63"/>
      <c r="J8" s="70"/>
      <c r="K8" s="58" t="s">
        <v>79</v>
      </c>
      <c r="L8" s="354" t="s">
        <v>3972</v>
      </c>
      <c r="M8" s="355"/>
      <c r="N8" s="71">
        <v>97.6</v>
      </c>
      <c r="O8" s="71">
        <v>6.1428571428571432</v>
      </c>
      <c r="P8" s="71">
        <v>160</v>
      </c>
      <c r="Q8" s="71">
        <v>73.400000000000006</v>
      </c>
      <c r="R8" s="72">
        <v>160</v>
      </c>
      <c r="S8" s="71">
        <v>43.8</v>
      </c>
      <c r="T8" s="71">
        <v>12.857142857142858</v>
      </c>
      <c r="U8" s="71">
        <v>63</v>
      </c>
      <c r="V8" s="71">
        <v>33.200000000000003</v>
      </c>
      <c r="W8" s="72">
        <v>63</v>
      </c>
      <c r="X8" s="71">
        <v>140.4</v>
      </c>
      <c r="Y8" s="71">
        <v>20.571428571428573</v>
      </c>
      <c r="Z8" s="71">
        <v>220</v>
      </c>
      <c r="AA8" s="71">
        <v>100.4</v>
      </c>
      <c r="AB8" s="71">
        <v>220</v>
      </c>
      <c r="AC8" s="75">
        <v>438</v>
      </c>
      <c r="AD8" s="76">
        <v>0.64583170254403144</v>
      </c>
    </row>
    <row r="9" spans="1:30" ht="40.15" customHeight="1" x14ac:dyDescent="0.25">
      <c r="A9" s="63"/>
      <c r="B9" s="224"/>
      <c r="C9" s="236">
        <v>1321</v>
      </c>
      <c r="D9" s="240" t="s">
        <v>3886</v>
      </c>
      <c r="E9" s="479">
        <f ca="1">_xlfn.IFNA(VLOOKUP(C9,Worksheet!$C$3:$G$46,3,FALSE),E9)</f>
        <v>1</v>
      </c>
      <c r="F9" s="479">
        <f ca="1">_xlfn.IFNA(VLOOKUP(C9,Worksheet!$C$3:$G$46,4,FALSE),F9)</f>
        <v>0</v>
      </c>
      <c r="G9" s="479">
        <f ca="1">_xlfn.IFNA(VLOOKUP(C9,Worksheet!$C$3:$G$46,5,FALSE),G9)</f>
        <v>1</v>
      </c>
      <c r="H9" s="264" t="s">
        <v>155</v>
      </c>
      <c r="I9" s="63"/>
      <c r="J9" s="70"/>
      <c r="K9" s="59" t="s">
        <v>79</v>
      </c>
      <c r="L9" s="341" t="s">
        <v>88</v>
      </c>
      <c r="M9" s="342"/>
      <c r="N9" s="133"/>
      <c r="O9" s="133"/>
      <c r="P9" s="78">
        <v>1</v>
      </c>
      <c r="Q9" s="133"/>
      <c r="R9" s="134"/>
      <c r="S9" s="133"/>
      <c r="T9" s="133"/>
      <c r="U9" s="78">
        <v>0</v>
      </c>
      <c r="V9" s="133"/>
      <c r="W9" s="134"/>
      <c r="X9" s="133"/>
      <c r="Y9" s="133"/>
      <c r="Z9" s="78">
        <v>1</v>
      </c>
      <c r="AA9" s="133"/>
      <c r="AB9" s="133"/>
      <c r="AC9" s="80">
        <v>0</v>
      </c>
      <c r="AD9" s="81" t="e">
        <v>#DIV/0!</v>
      </c>
    </row>
    <row r="10" spans="1:30" ht="40.15" customHeight="1" x14ac:dyDescent="0.25">
      <c r="A10" s="63"/>
      <c r="B10" s="224"/>
      <c r="C10" s="236">
        <v>1322</v>
      </c>
      <c r="D10" s="240" t="s">
        <v>3887</v>
      </c>
      <c r="E10" s="479">
        <f ca="1">_xlfn.IFNA(VLOOKUP(C10,Worksheet!$C$3:$G$46,3,FALSE),E10)</f>
        <v>1</v>
      </c>
      <c r="F10" s="479">
        <f ca="1">_xlfn.IFNA(VLOOKUP(C10,Worksheet!$C$3:$G$46,4,FALSE),F10)</f>
        <v>0</v>
      </c>
      <c r="G10" s="479">
        <f ca="1">_xlfn.IFNA(VLOOKUP(C10,Worksheet!$C$3:$G$46,5,FALSE),G10)</f>
        <v>1</v>
      </c>
      <c r="H10" s="264" t="s">
        <v>155</v>
      </c>
      <c r="I10" s="63"/>
      <c r="J10" s="70"/>
      <c r="K10" s="121" t="s">
        <v>83</v>
      </c>
      <c r="L10" s="356" t="s">
        <v>3974</v>
      </c>
      <c r="M10" s="357"/>
      <c r="N10" s="122">
        <v>15.75</v>
      </c>
      <c r="O10" s="71">
        <v>120.83333333333333</v>
      </c>
      <c r="P10" s="71">
        <v>133.33333333333334</v>
      </c>
      <c r="Q10" s="71">
        <v>100.5</v>
      </c>
      <c r="R10" s="71">
        <v>200</v>
      </c>
      <c r="S10" s="122">
        <v>15.5</v>
      </c>
      <c r="T10" s="71">
        <v>70.666666666666671</v>
      </c>
      <c r="U10" s="71">
        <v>66.666666666666671</v>
      </c>
      <c r="V10" s="71">
        <v>50</v>
      </c>
      <c r="W10" s="71">
        <v>100</v>
      </c>
      <c r="X10" s="122">
        <v>16.25</v>
      </c>
      <c r="Y10" s="71">
        <v>171.5</v>
      </c>
      <c r="Z10" s="71">
        <v>200</v>
      </c>
      <c r="AA10" s="71">
        <v>150.5</v>
      </c>
      <c r="AB10" s="71">
        <v>300</v>
      </c>
      <c r="AC10" s="124">
        <v>615</v>
      </c>
      <c r="AD10" s="125">
        <v>0.55658536585365859</v>
      </c>
    </row>
    <row r="11" spans="1:30" ht="50.45" customHeight="1" x14ac:dyDescent="0.25">
      <c r="A11" s="63"/>
      <c r="B11" s="224"/>
      <c r="C11" s="236">
        <v>1323</v>
      </c>
      <c r="D11" s="240" t="s">
        <v>3888</v>
      </c>
      <c r="E11" s="479">
        <f ca="1">_xlfn.IFNA(VLOOKUP(C11,Worksheet!$C$3:$G$46,3,FALSE),E11)</f>
        <v>1</v>
      </c>
      <c r="F11" s="479">
        <f ca="1">_xlfn.IFNA(VLOOKUP(C11,Worksheet!$C$3:$G$46,4,FALSE),F11)</f>
        <v>0</v>
      </c>
      <c r="G11" s="479">
        <f ca="1">_xlfn.IFNA(VLOOKUP(C11,Worksheet!$C$3:$G$46,5,FALSE),G11)</f>
        <v>1</v>
      </c>
      <c r="H11" s="264" t="s">
        <v>155</v>
      </c>
      <c r="I11" s="63"/>
      <c r="J11" s="65"/>
      <c r="K11" s="120" t="s">
        <v>83</v>
      </c>
      <c r="L11" s="358" t="s">
        <v>3975</v>
      </c>
      <c r="M11" s="359"/>
      <c r="N11" s="135"/>
      <c r="O11" s="136"/>
      <c r="P11" s="71">
        <v>1</v>
      </c>
      <c r="Q11" s="136"/>
      <c r="R11" s="71">
        <v>1</v>
      </c>
      <c r="S11" s="135"/>
      <c r="T11" s="136"/>
      <c r="U11" s="71">
        <v>0</v>
      </c>
      <c r="V11" s="136"/>
      <c r="W11" s="71">
        <v>0</v>
      </c>
      <c r="X11" s="135"/>
      <c r="Y11" s="136"/>
      <c r="Z11" s="71">
        <v>1</v>
      </c>
      <c r="AA11" s="136"/>
      <c r="AB11" s="71">
        <v>1</v>
      </c>
      <c r="AC11" s="123">
        <v>2</v>
      </c>
      <c r="AD11" s="126">
        <v>0.4</v>
      </c>
    </row>
    <row r="12" spans="1:30" ht="48.6" customHeight="1" x14ac:dyDescent="0.25">
      <c r="A12" s="63"/>
      <c r="B12" s="224"/>
      <c r="C12" s="236">
        <v>1324</v>
      </c>
      <c r="D12" s="240" t="s">
        <v>3889</v>
      </c>
      <c r="E12" s="479">
        <f ca="1">_xlfn.IFNA(VLOOKUP(C12,Worksheet!$C$3:$G$46,3,FALSE),E12)</f>
        <v>1</v>
      </c>
      <c r="F12" s="479">
        <f ca="1">_xlfn.IFNA(VLOOKUP(C12,Worksheet!$C$3:$G$46,4,FALSE),F12)</f>
        <v>0</v>
      </c>
      <c r="G12" s="479">
        <f ca="1">_xlfn.IFNA(VLOOKUP(C12,Worksheet!$C$3:$G$46,5,FALSE),G12)</f>
        <v>1</v>
      </c>
      <c r="H12" s="264" t="s">
        <v>155</v>
      </c>
      <c r="I12" s="63"/>
      <c r="J12" s="65"/>
      <c r="K12" s="127" t="s">
        <v>83</v>
      </c>
      <c r="L12" s="350" t="s">
        <v>3976</v>
      </c>
      <c r="M12" s="360"/>
      <c r="N12" s="77">
        <v>0</v>
      </c>
      <c r="O12" s="78">
        <v>0</v>
      </c>
      <c r="P12" s="78">
        <v>0</v>
      </c>
      <c r="Q12" s="78">
        <v>0</v>
      </c>
      <c r="R12" s="78">
        <v>0</v>
      </c>
      <c r="S12" s="77">
        <v>0</v>
      </c>
      <c r="T12" s="78">
        <v>0</v>
      </c>
      <c r="U12" s="78">
        <v>0</v>
      </c>
      <c r="V12" s="78">
        <v>0</v>
      </c>
      <c r="W12" s="78">
        <v>0</v>
      </c>
      <c r="X12" s="77">
        <v>0</v>
      </c>
      <c r="Y12" s="78">
        <v>0</v>
      </c>
      <c r="Z12" s="78">
        <v>1</v>
      </c>
      <c r="AA12" s="78">
        <v>0</v>
      </c>
      <c r="AB12" s="78">
        <v>0</v>
      </c>
      <c r="AC12" s="128">
        <v>0</v>
      </c>
      <c r="AD12" s="129" t="e">
        <v>#DIV/0!</v>
      </c>
    </row>
    <row r="13" spans="1:30" ht="48.6" customHeight="1" x14ac:dyDescent="0.25">
      <c r="A13" s="63"/>
      <c r="B13" s="224"/>
      <c r="C13" s="236">
        <v>1331</v>
      </c>
      <c r="D13" s="240" t="s">
        <v>3890</v>
      </c>
      <c r="E13" s="479">
        <f ca="1">_xlfn.IFNA(VLOOKUP(C13,Worksheet!$C$3:$G$46,3,FALSE),E13)</f>
        <v>1</v>
      </c>
      <c r="F13" s="479">
        <f ca="1">_xlfn.IFNA(VLOOKUP(C13,Worksheet!$C$3:$G$46,4,FALSE),F13)</f>
        <v>0</v>
      </c>
      <c r="G13" s="479">
        <f ca="1">_xlfn.IFNA(VLOOKUP(C13,Worksheet!$C$3:$G$46,5,FALSE),G13)</f>
        <v>1</v>
      </c>
      <c r="H13" s="264" t="s">
        <v>155</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1332</v>
      </c>
      <c r="D14" s="240" t="s">
        <v>3891</v>
      </c>
      <c r="E14" s="479">
        <f ca="1">_xlfn.IFNA(VLOOKUP(C14,Worksheet!$C$3:$G$46,3,FALSE),E14)</f>
        <v>0</v>
      </c>
      <c r="F14" s="479">
        <f ca="1">_xlfn.IFNA(VLOOKUP(C14,Worksheet!$C$3:$G$46,4,FALSE),F14)</f>
        <v>0</v>
      </c>
      <c r="G14" s="479">
        <f ca="1">_xlfn.IFNA(VLOOKUP(C14,Worksheet!$C$3:$G$46,5,FALSE),G14)</f>
        <v>0</v>
      </c>
      <c r="H14" s="264" t="s">
        <v>155</v>
      </c>
      <c r="I14" s="63"/>
      <c r="J14" s="70"/>
      <c r="K14" s="59" t="s">
        <v>84</v>
      </c>
      <c r="L14" s="350" t="s">
        <v>85</v>
      </c>
      <c r="M14" s="351"/>
      <c r="N14" s="77">
        <v>1</v>
      </c>
      <c r="O14" s="78">
        <v>1</v>
      </c>
      <c r="P14" s="78">
        <v>1</v>
      </c>
      <c r="Q14" s="78">
        <v>1</v>
      </c>
      <c r="R14" s="79">
        <v>1</v>
      </c>
      <c r="S14" s="78">
        <v>0</v>
      </c>
      <c r="T14" s="78">
        <v>0</v>
      </c>
      <c r="U14" s="78">
        <v>0</v>
      </c>
      <c r="V14" s="78">
        <v>0</v>
      </c>
      <c r="W14" s="79">
        <v>0</v>
      </c>
      <c r="X14" s="78">
        <v>1</v>
      </c>
      <c r="Y14" s="78">
        <v>1</v>
      </c>
      <c r="Z14" s="78">
        <v>1</v>
      </c>
      <c r="AA14" s="78">
        <v>1</v>
      </c>
      <c r="AB14" s="78">
        <v>1</v>
      </c>
      <c r="AC14" s="80">
        <v>1</v>
      </c>
      <c r="AD14" s="81">
        <v>2</v>
      </c>
    </row>
    <row r="15" spans="1:30" ht="47.45" customHeight="1" x14ac:dyDescent="0.25">
      <c r="A15" s="63"/>
      <c r="B15" s="224"/>
      <c r="C15" s="236">
        <v>1333</v>
      </c>
      <c r="D15" s="240" t="s">
        <v>3892</v>
      </c>
      <c r="E15" s="479">
        <f ca="1">_xlfn.IFNA(VLOOKUP(C15,Worksheet!$C$3:$G$46,3,FALSE),E15)</f>
        <v>1</v>
      </c>
      <c r="F15" s="479">
        <f ca="1">_xlfn.IFNA(VLOOKUP(C15,Worksheet!$C$3:$G$46,4,FALSE),F15)</f>
        <v>0</v>
      </c>
      <c r="G15" s="479">
        <f ca="1">_xlfn.IFNA(VLOOKUP(C15,Worksheet!$C$3:$G$46,5,FALSE),G15)</f>
        <v>1</v>
      </c>
      <c r="H15" s="264" t="s">
        <v>155</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1334</v>
      </c>
      <c r="D16" s="240" t="s">
        <v>3893</v>
      </c>
      <c r="E16" s="479">
        <f ca="1">_xlfn.IFNA(VLOOKUP(C16,Worksheet!$C$3:$G$46,3,FALSE),E16)</f>
        <v>0</v>
      </c>
      <c r="F16" s="479">
        <f ca="1">_xlfn.IFNA(VLOOKUP(C16,Worksheet!$C$3:$G$46,4,FALSE),F16)</f>
        <v>0</v>
      </c>
      <c r="G16" s="479">
        <f ca="1">_xlfn.IFNA(VLOOKUP(C16,Worksheet!$C$3:$G$46,5,FALSE),G16)</f>
        <v>0</v>
      </c>
      <c r="H16" s="264" t="s">
        <v>155</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1335</v>
      </c>
      <c r="D17" s="240" t="s">
        <v>3894</v>
      </c>
      <c r="E17" s="479">
        <f ca="1">_xlfn.IFNA(VLOOKUP(C17,Worksheet!$C$3:$G$46,3,FALSE),E17)</f>
        <v>0</v>
      </c>
      <c r="F17" s="479">
        <f ca="1">_xlfn.IFNA(VLOOKUP(C17,Worksheet!$C$3:$G$46,4,FALSE),F17)</f>
        <v>0</v>
      </c>
      <c r="G17" s="479">
        <f ca="1">_xlfn.IFNA(VLOOKUP(C17,Worksheet!$C$3:$G$46,5,FALSE),G17)</f>
        <v>0</v>
      </c>
      <c r="H17" s="264" t="s">
        <v>155</v>
      </c>
      <c r="I17" s="63"/>
      <c r="J17" s="65"/>
      <c r="K17" s="63"/>
      <c r="L17" s="63"/>
      <c r="M17" s="63"/>
      <c r="N17" s="87">
        <f>AVERAGE(N6:N16)</f>
        <v>28.462499999999999</v>
      </c>
      <c r="O17" s="87">
        <f t="shared" ref="O17:AB17" si="0">AVERAGE(O6:O16)</f>
        <v>31.86904761904762</v>
      </c>
      <c r="P17" s="87">
        <f t="shared" si="0"/>
        <v>53.696969696969703</v>
      </c>
      <c r="Q17" s="87">
        <f t="shared" si="0"/>
        <v>43.6</v>
      </c>
      <c r="R17" s="87">
        <f t="shared" si="0"/>
        <v>80.222222222222229</v>
      </c>
      <c r="S17" s="87">
        <f t="shared" si="0"/>
        <v>14.824999999999999</v>
      </c>
      <c r="T17" s="87">
        <f t="shared" si="0"/>
        <v>20.880952380952383</v>
      </c>
      <c r="U17" s="87">
        <f t="shared" si="0"/>
        <v>23.575757575757578</v>
      </c>
      <c r="V17" s="87">
        <f t="shared" si="0"/>
        <v>20.8</v>
      </c>
      <c r="W17" s="87">
        <f t="shared" si="0"/>
        <v>36.222222222222221</v>
      </c>
      <c r="X17" s="87">
        <f t="shared" si="0"/>
        <v>39.287500000000001</v>
      </c>
      <c r="Y17" s="87">
        <f t="shared" si="0"/>
        <v>48.142857142857146</v>
      </c>
      <c r="Z17" s="87">
        <f t="shared" si="0"/>
        <v>76.818181818181813</v>
      </c>
      <c r="AA17" s="87">
        <f t="shared" si="0"/>
        <v>62.85</v>
      </c>
      <c r="AB17" s="87">
        <f t="shared" si="0"/>
        <v>115.77777777777777</v>
      </c>
      <c r="AC17" s="63"/>
      <c r="AD17" s="63"/>
    </row>
    <row r="18" spans="1:30" ht="40.15" customHeight="1" x14ac:dyDescent="0.3">
      <c r="A18" s="63"/>
      <c r="B18" s="224"/>
      <c r="C18" s="236">
        <v>1341</v>
      </c>
      <c r="D18" s="240" t="s">
        <v>3895</v>
      </c>
      <c r="E18" s="479">
        <f ca="1">_xlfn.IFNA(VLOOKUP(C18,Worksheet!$C$3:$G$46,3,FALSE),E18)</f>
        <v>1</v>
      </c>
      <c r="F18" s="479">
        <f ca="1">_xlfn.IFNA(VLOOKUP(C18,Worksheet!$C$3:$G$46,4,FALSE),F18)</f>
        <v>0</v>
      </c>
      <c r="G18" s="479">
        <f ca="1">_xlfn.IFNA(VLOOKUP(C18,Worksheet!$C$3:$G$46,5,FALSE),G18)</f>
        <v>1</v>
      </c>
      <c r="H18" s="264" t="s">
        <v>155</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1343</v>
      </c>
      <c r="D19" s="240" t="s">
        <v>3897</v>
      </c>
      <c r="E19" s="479">
        <f ca="1">_xlfn.IFNA(VLOOKUP(C19,Worksheet!$C$3:$G$46,3,FALSE),E19)</f>
        <v>1</v>
      </c>
      <c r="F19" s="479">
        <f ca="1">_xlfn.IFNA(VLOOKUP(C19,Worksheet!$C$3:$G$46,4,FALSE),F19)</f>
        <v>0</v>
      </c>
      <c r="G19" s="479">
        <f ca="1">_xlfn.IFNA(VLOOKUP(C19,Worksheet!$C$3:$G$46,5,FALSE),G19)</f>
        <v>1</v>
      </c>
      <c r="H19" s="264" t="s">
        <v>155</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1344</v>
      </c>
      <c r="D20" s="240" t="s">
        <v>3898</v>
      </c>
      <c r="E20" s="479">
        <f ca="1">_xlfn.IFNA(VLOOKUP(C20,Worksheet!$C$3:$G$46,3,FALSE),E20)</f>
        <v>1</v>
      </c>
      <c r="F20" s="479">
        <f ca="1">_xlfn.IFNA(VLOOKUP(C20,Worksheet!$C$3:$G$46,4,FALSE),F20)</f>
        <v>0</v>
      </c>
      <c r="G20" s="479">
        <f ca="1">_xlfn.IFNA(VLOOKUP(C20,Worksheet!$C$3:$G$46,5,FALSE),G20)</f>
        <v>1</v>
      </c>
      <c r="H20" s="264" t="s">
        <v>155</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1352</v>
      </c>
      <c r="D21" s="240" t="s">
        <v>3900</v>
      </c>
      <c r="E21" s="479">
        <f ca="1">_xlfn.IFNA(VLOOKUP(C21,Worksheet!$C$3:$G$46,3,FALSE),E21)</f>
        <v>1</v>
      </c>
      <c r="F21" s="479">
        <f ca="1">_xlfn.IFNA(VLOOKUP(C21,Worksheet!$C$3:$G$46,4,FALSE),F21)</f>
        <v>0</v>
      </c>
      <c r="G21" s="479">
        <f ca="1">_xlfn.IFNA(VLOOKUP(C21,Worksheet!$C$3:$G$46,5,FALSE),G21)</f>
        <v>1</v>
      </c>
      <c r="H21" s="264" t="s">
        <v>155</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1353</v>
      </c>
      <c r="D22" s="240" t="s">
        <v>3901</v>
      </c>
      <c r="E22" s="479">
        <f ca="1">_xlfn.IFNA(VLOOKUP(C22,Worksheet!$C$3:$G$46,3,FALSE),E22)</f>
        <v>1</v>
      </c>
      <c r="F22" s="479">
        <f ca="1">_xlfn.IFNA(VLOOKUP(C22,Worksheet!$C$3:$G$46,4,FALSE),F22)</f>
        <v>0</v>
      </c>
      <c r="G22" s="479">
        <f ca="1">_xlfn.IFNA(VLOOKUP(C22,Worksheet!$C$3:$G$46,5,FALSE),G22)</f>
        <v>1</v>
      </c>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1355</v>
      </c>
      <c r="D23" s="240" t="s">
        <v>3900</v>
      </c>
      <c r="E23" s="479">
        <f ca="1">_xlfn.IFNA(VLOOKUP(C23,Worksheet!$C$3:$G$46,3,FALSE),E23)</f>
        <v>1</v>
      </c>
      <c r="F23" s="479">
        <f ca="1">_xlfn.IFNA(VLOOKUP(C23,Worksheet!$C$3:$G$46,4,FALSE),F23)</f>
        <v>0</v>
      </c>
      <c r="G23" s="479">
        <f ca="1">_xlfn.IFNA(VLOOKUP(C23,Worksheet!$C$3:$G$46,5,FALSE),G23)</f>
        <v>1</v>
      </c>
      <c r="H23" s="264" t="s">
        <v>155</v>
      </c>
      <c r="I23" s="63"/>
      <c r="J23" s="65"/>
      <c r="K23" s="63"/>
      <c r="L23" s="63"/>
      <c r="M23" s="63"/>
      <c r="N23" s="63"/>
      <c r="O23" s="91">
        <v>42644</v>
      </c>
      <c r="P23" s="92">
        <f>N17</f>
        <v>28.462499999999999</v>
      </c>
      <c r="Q23" s="93">
        <f>O17</f>
        <v>31.86904761904762</v>
      </c>
      <c r="R23" s="93">
        <f>P17</f>
        <v>53.696969696969703</v>
      </c>
      <c r="S23" s="93">
        <f>Q17</f>
        <v>43.6</v>
      </c>
      <c r="T23" s="93">
        <f>R17</f>
        <v>80.222222222222229</v>
      </c>
      <c r="U23" s="63"/>
      <c r="V23" s="63"/>
      <c r="W23" s="63"/>
      <c r="X23" s="63"/>
      <c r="Y23" s="63"/>
      <c r="Z23" s="63"/>
      <c r="AA23" s="63"/>
      <c r="AB23" s="63"/>
      <c r="AC23" s="63"/>
      <c r="AD23" s="63"/>
    </row>
    <row r="24" spans="1:30" ht="40.15" customHeight="1" x14ac:dyDescent="0.25">
      <c r="A24" s="63"/>
      <c r="B24" s="224"/>
      <c r="C24" s="236">
        <v>1356</v>
      </c>
      <c r="D24" s="240" t="s">
        <v>3903</v>
      </c>
      <c r="E24" s="479">
        <f ca="1">_xlfn.IFNA(VLOOKUP(C24,Worksheet!$C$3:$G$46,3,FALSE),E24)</f>
        <v>1</v>
      </c>
      <c r="F24" s="479">
        <f ca="1">_xlfn.IFNA(VLOOKUP(C24,Worksheet!$C$3:$G$46,4,FALSE),F24)</f>
        <v>0</v>
      </c>
      <c r="G24" s="479">
        <f ca="1">_xlfn.IFNA(VLOOKUP(C24,Worksheet!$C$3:$G$46,5,FALSE),G24)</f>
        <v>1</v>
      </c>
      <c r="H24" s="264" t="s">
        <v>155</v>
      </c>
      <c r="I24" s="63"/>
      <c r="J24" s="65"/>
      <c r="K24" s="63"/>
      <c r="L24" s="63"/>
      <c r="M24" s="63"/>
      <c r="N24" s="63"/>
      <c r="O24" s="91">
        <v>42675</v>
      </c>
      <c r="P24" s="92">
        <f>S17</f>
        <v>14.824999999999999</v>
      </c>
      <c r="Q24" s="93">
        <f>T17</f>
        <v>20.880952380952383</v>
      </c>
      <c r="R24" s="93">
        <f>U17</f>
        <v>23.575757575757578</v>
      </c>
      <c r="S24" s="93">
        <f>V17</f>
        <v>20.8</v>
      </c>
      <c r="T24" s="93">
        <f>W17</f>
        <v>36.222222222222221</v>
      </c>
      <c r="U24" s="63"/>
      <c r="V24" s="63"/>
      <c r="W24" s="63"/>
      <c r="X24" s="63"/>
      <c r="Y24" s="63"/>
      <c r="Z24" s="63"/>
      <c r="AA24" s="63"/>
      <c r="AB24" s="63"/>
      <c r="AC24" s="63"/>
      <c r="AD24" s="63"/>
    </row>
    <row r="25" spans="1:30" ht="40.15" customHeight="1" x14ac:dyDescent="0.25">
      <c r="A25" s="63"/>
      <c r="B25" s="211"/>
      <c r="C25" s="211"/>
      <c r="D25" s="211"/>
      <c r="E25" s="211"/>
      <c r="F25" s="211"/>
      <c r="G25" s="211"/>
      <c r="H25" s="205" t="s">
        <v>150</v>
      </c>
      <c r="I25" s="63"/>
      <c r="J25" s="63"/>
      <c r="K25" s="63"/>
      <c r="L25" s="63"/>
      <c r="M25" s="63"/>
      <c r="N25" s="63"/>
      <c r="O25" s="91">
        <v>42705</v>
      </c>
      <c r="P25" s="92">
        <f>X17</f>
        <v>39.287500000000001</v>
      </c>
      <c r="Q25" s="93">
        <f>Y17</f>
        <v>48.142857142857146</v>
      </c>
      <c r="R25" s="93">
        <f>Z17</f>
        <v>76.818181818181813</v>
      </c>
      <c r="S25" s="93">
        <f>AA17</f>
        <v>62.85</v>
      </c>
      <c r="T25" s="93">
        <f>AB17</f>
        <v>115.77777777777777</v>
      </c>
      <c r="U25" s="63"/>
      <c r="V25" s="63"/>
      <c r="W25" s="63"/>
      <c r="X25" s="63"/>
      <c r="Y25" s="63"/>
      <c r="Z25" s="63"/>
      <c r="AA25" s="63"/>
      <c r="AB25" s="63"/>
      <c r="AC25" s="63"/>
      <c r="AD25" s="63"/>
    </row>
    <row r="26" spans="1:30" ht="40.15" customHeight="1" x14ac:dyDescent="0.25">
      <c r="A26" s="63"/>
      <c r="B26" s="211"/>
      <c r="C26" s="211"/>
      <c r="D26" s="211"/>
      <c r="E26" s="211"/>
      <c r="F26" s="211"/>
      <c r="G26" s="211"/>
      <c r="H26" s="205" t="s">
        <v>150</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OV3Xrk2lrztuRDWgqstzZtVp1oQ1MKL2jIz9CB+vFhm07a78BzClLPmys/mJ2HnRN7PhtFBKnGS7DjP40xcAWg==" saltValue="UTS97Bmuupyf5MPzOfGiG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1053</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438</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105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160</v>
      </c>
      <c r="E10" s="299">
        <f ca="1">_xlfn.IFNA(VLOOKUP(B10,Worksheet!$C$3:$G$46,4,FALSE),E10)</f>
        <v>63</v>
      </c>
      <c r="F10" s="299">
        <f ca="1">_xlfn.IFNA(VLOOKUP(B10,Worksheet!$C$3:$G$46,5,FALSE),F10)</f>
        <v>220</v>
      </c>
      <c r="G10" s="205" t="s">
        <v>150</v>
      </c>
    </row>
    <row r="11" spans="1:7" ht="45" hidden="1" customHeight="1" x14ac:dyDescent="0.25">
      <c r="A11" s="224"/>
      <c r="B11" s="236">
        <v>1114</v>
      </c>
      <c r="C11" s="241" t="s">
        <v>3808</v>
      </c>
      <c r="D11" s="299">
        <f ca="1">_xlfn.IFNA(VLOOKUP(B11,Worksheet!$C$3:$G$46,3,FALSE),D11)</f>
        <v>160</v>
      </c>
      <c r="E11" s="299">
        <f ca="1">_xlfn.IFNA(VLOOKUP(B11,Worksheet!$C$3:$G$46,4,FALSE),E11)</f>
        <v>63</v>
      </c>
      <c r="F11" s="299">
        <f ca="1">_xlfn.IFNA(VLOOKUP(B11,Worksheet!$C$3:$G$46,5,FALSE),F11)</f>
        <v>220</v>
      </c>
      <c r="G11" s="205" t="s">
        <v>150</v>
      </c>
    </row>
    <row r="12" spans="1:7" ht="45" hidden="1" customHeight="1" x14ac:dyDescent="0.25">
      <c r="A12" s="224"/>
      <c r="B12" s="236">
        <v>1115</v>
      </c>
      <c r="C12" s="240" t="s">
        <v>3809</v>
      </c>
      <c r="D12" s="299">
        <f ca="1">_xlfn.IFNA(VLOOKUP(B12,Worksheet!$C$3:$G$46,3,FALSE),D12)</f>
        <v>160</v>
      </c>
      <c r="E12" s="299">
        <f ca="1">_xlfn.IFNA(VLOOKUP(B12,Worksheet!$C$3:$G$46,4,FALSE),E12)</f>
        <v>63</v>
      </c>
      <c r="F12" s="299">
        <f ca="1">_xlfn.IFNA(VLOOKUP(B12,Worksheet!$C$3:$G$46,5,FALSE),F12)</f>
        <v>220</v>
      </c>
      <c r="G12" s="205" t="s">
        <v>150</v>
      </c>
    </row>
    <row r="13" spans="1:7" ht="45" hidden="1" customHeight="1" x14ac:dyDescent="0.25">
      <c r="A13" s="224" t="s">
        <v>3810</v>
      </c>
      <c r="B13" s="236">
        <v>1116</v>
      </c>
      <c r="C13" s="240" t="s">
        <v>3811</v>
      </c>
      <c r="D13" s="299">
        <f ca="1">_xlfn.IFNA(VLOOKUP(B13,Worksheet!$C$3:$G$46,3,FALSE),D13)</f>
        <v>4</v>
      </c>
      <c r="E13" s="299">
        <f ca="1">_xlfn.IFNA(VLOOKUP(B13,Worksheet!$C$3:$G$46,4,FALSE),E13)</f>
        <v>15</v>
      </c>
      <c r="F13" s="299">
        <f ca="1">_xlfn.IFNA(VLOOKUP(B13,Worksheet!$C$3:$G$46,5,FALSE),F13)</f>
        <v>21</v>
      </c>
      <c r="G13" s="205" t="s">
        <v>150</v>
      </c>
    </row>
    <row r="14" spans="1:7" ht="45" hidden="1" customHeight="1" x14ac:dyDescent="0.25">
      <c r="A14" s="224"/>
      <c r="B14" s="236">
        <v>1117</v>
      </c>
      <c r="C14" s="240" t="s">
        <v>3812</v>
      </c>
      <c r="D14" s="299">
        <f ca="1">_xlfn.IFNA(VLOOKUP(B14,Worksheet!$C$3:$G$46,3,FALSE),D14)</f>
        <v>4</v>
      </c>
      <c r="E14" s="299">
        <f ca="1">_xlfn.IFNA(VLOOKUP(B14,Worksheet!$C$3:$G$46,4,FALSE),E14)</f>
        <v>15</v>
      </c>
      <c r="F14" s="299">
        <f ca="1">_xlfn.IFNA(VLOOKUP(B14,Worksheet!$C$3:$G$46,5,FALSE),F14)</f>
        <v>21</v>
      </c>
      <c r="G14" s="205" t="s">
        <v>150</v>
      </c>
    </row>
    <row r="15" spans="1:7" ht="45" hidden="1" customHeight="1" x14ac:dyDescent="0.25">
      <c r="A15" s="224">
        <v>1116</v>
      </c>
      <c r="B15" s="236">
        <v>1121</v>
      </c>
      <c r="C15" s="241" t="str">
        <f>C13</f>
        <v xml:space="preserve">How many HTC clients have a completed Client intake form </v>
      </c>
      <c r="D15" s="300">
        <f ca="1">D13</f>
        <v>4</v>
      </c>
      <c r="E15" s="300">
        <f t="shared" ref="E15:F15" ca="1" si="0">E13</f>
        <v>15</v>
      </c>
      <c r="F15" s="300">
        <f t="shared" ca="1" si="0"/>
        <v>21</v>
      </c>
      <c r="G15" s="205"/>
    </row>
    <row r="16" spans="1:7" ht="45" hidden="1" customHeight="1" x14ac:dyDescent="0.25">
      <c r="A16" s="224"/>
      <c r="B16" s="236">
        <v>1122</v>
      </c>
      <c r="C16" s="241" t="s">
        <v>3813</v>
      </c>
      <c r="D16" s="299">
        <f ca="1">_xlfn.IFNA(VLOOKUP(B16,Worksheet!$C$3:$G$46,3,FALSE),D16)</f>
        <v>4</v>
      </c>
      <c r="E16" s="299">
        <f ca="1">_xlfn.IFNA(VLOOKUP(B16,Worksheet!$C$3:$G$46,4,FALSE),E16)</f>
        <v>15</v>
      </c>
      <c r="F16" s="299">
        <f ca="1">_xlfn.IFNA(VLOOKUP(B16,Worksheet!$C$3:$G$46,5,FALSE),F16)</f>
        <v>21</v>
      </c>
      <c r="G16" s="205" t="s">
        <v>150</v>
      </c>
    </row>
    <row r="17" spans="1:7" ht="45" hidden="1" customHeight="1" x14ac:dyDescent="0.25">
      <c r="A17" s="224"/>
      <c r="B17" s="236">
        <v>1123</v>
      </c>
      <c r="C17" s="240" t="s">
        <v>3814</v>
      </c>
      <c r="D17" s="299">
        <f ca="1">_xlfn.IFNA(VLOOKUP(B17,Worksheet!$C$3:$G$46,3,FALSE),D17)</f>
        <v>4</v>
      </c>
      <c r="E17" s="299">
        <f ca="1">_xlfn.IFNA(VLOOKUP(B17,Worksheet!$C$3:$G$46,4,FALSE),E17)</f>
        <v>15</v>
      </c>
      <c r="F17" s="299">
        <f ca="1">_xlfn.IFNA(VLOOKUP(B17,Worksheet!$C$3:$G$46,5,FALSE),F17)</f>
        <v>21</v>
      </c>
      <c r="G17" s="205" t="s">
        <v>150</v>
      </c>
    </row>
    <row r="18" spans="1:7" ht="45" hidden="1" customHeight="1" x14ac:dyDescent="0.25">
      <c r="A18" s="224"/>
      <c r="B18" s="236">
        <v>1124</v>
      </c>
      <c r="C18" s="240" t="s">
        <v>3815</v>
      </c>
      <c r="D18" s="299">
        <f ca="1">_xlfn.IFNA(VLOOKUP(B18,Worksheet!$C$3:$G$46,3,FALSE),D18)</f>
        <v>4</v>
      </c>
      <c r="E18" s="299">
        <f ca="1">_xlfn.IFNA(VLOOKUP(B18,Worksheet!$C$3:$G$46,4,FALSE),E18)</f>
        <v>15</v>
      </c>
      <c r="F18" s="299">
        <f ca="1">_xlfn.IFNA(VLOOKUP(B18,Worksheet!$C$3:$G$46,5,FALSE),F18)</f>
        <v>21</v>
      </c>
      <c r="G18" s="205" t="s">
        <v>150</v>
      </c>
    </row>
    <row r="19" spans="1:7" ht="45" hidden="1" customHeight="1" x14ac:dyDescent="0.25">
      <c r="A19" s="224"/>
      <c r="B19" s="236">
        <v>1125</v>
      </c>
      <c r="C19" s="240" t="s">
        <v>3816</v>
      </c>
      <c r="D19" s="299">
        <f ca="1">_xlfn.IFNA(VLOOKUP(B19,Worksheet!$C$3:$G$46,3,FALSE),D19)</f>
        <v>9</v>
      </c>
      <c r="E19" s="299">
        <f ca="1">_xlfn.IFNA(VLOOKUP(B19,Worksheet!$C$3:$G$46,4,FALSE),E19)</f>
        <v>10</v>
      </c>
      <c r="F19" s="299">
        <f ca="1">_xlfn.IFNA(VLOOKUP(B19,Worksheet!$C$3:$G$46,5,FALSE),F19)</f>
        <v>20</v>
      </c>
      <c r="G19" s="205" t="s">
        <v>150</v>
      </c>
    </row>
    <row r="20" spans="1:7" ht="45" hidden="1" customHeight="1" x14ac:dyDescent="0.25">
      <c r="A20" s="224"/>
      <c r="B20" s="236">
        <v>1126</v>
      </c>
      <c r="C20" s="240" t="s">
        <v>3817</v>
      </c>
      <c r="D20" s="299">
        <f ca="1">_xlfn.IFNA(VLOOKUP(B20,Worksheet!$C$3:$G$46,3,FALSE),D20)</f>
        <v>9</v>
      </c>
      <c r="E20" s="299">
        <f ca="1">_xlfn.IFNA(VLOOKUP(B20,Worksheet!$C$3:$G$46,4,FALSE),E20)</f>
        <v>10</v>
      </c>
      <c r="F20" s="299">
        <f ca="1">_xlfn.IFNA(VLOOKUP(B20,Worksheet!$C$3:$G$46,5,FALSE),F20)</f>
        <v>20</v>
      </c>
      <c r="G20" s="205" t="s">
        <v>150</v>
      </c>
    </row>
    <row r="21" spans="1:7" ht="45" hidden="1" customHeight="1" x14ac:dyDescent="0.25">
      <c r="A21" s="224"/>
      <c r="B21" s="236">
        <v>1127</v>
      </c>
      <c r="C21" s="240" t="s">
        <v>3818</v>
      </c>
      <c r="D21" s="299">
        <f ca="1">_xlfn.IFNA(VLOOKUP(B21,Worksheet!$C$3:$G$46,3,FALSE),D21)</f>
        <v>9</v>
      </c>
      <c r="E21" s="299">
        <f ca="1">_xlfn.IFNA(VLOOKUP(B21,Worksheet!$C$3:$G$46,4,FALSE),E21)</f>
        <v>10</v>
      </c>
      <c r="F21" s="299">
        <f ca="1">_xlfn.IFNA(VLOOKUP(B21,Worksheet!$C$3:$G$46,5,FALSE),F21)</f>
        <v>20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71</v>
      </c>
      <c r="E23" s="299">
        <f ca="1">_xlfn.IFNA(VLOOKUP(B23,Worksheet!$C$3:$G$46,4,FALSE),E23)</f>
        <v>24</v>
      </c>
      <c r="F23" s="299">
        <f ca="1">_xlfn.IFNA(VLOOKUP(B23,Worksheet!$C$3:$G$46,5,FALSE),F23)</f>
        <v>68</v>
      </c>
      <c r="G23" s="205" t="s">
        <v>150</v>
      </c>
    </row>
    <row r="24" spans="1:7" ht="45" hidden="1" customHeight="1" x14ac:dyDescent="0.25">
      <c r="A24" s="224"/>
      <c r="B24" s="236">
        <v>1132</v>
      </c>
      <c r="C24" s="240" t="s">
        <v>3820</v>
      </c>
      <c r="D24" s="299">
        <f ca="1">_xlfn.IFNA(VLOOKUP(B24,Worksheet!$C$3:$G$46,3,FALSE),D24)</f>
        <v>89</v>
      </c>
      <c r="E24" s="299">
        <f ca="1">_xlfn.IFNA(VLOOKUP(B24,Worksheet!$C$3:$G$46,4,FALSE),E24)</f>
        <v>39</v>
      </c>
      <c r="F24" s="299">
        <f ca="1">_xlfn.IFNA(VLOOKUP(B24,Worksheet!$C$3:$G$46,5,FALSE),F24)</f>
        <v>152</v>
      </c>
      <c r="G24" s="205" t="s">
        <v>150</v>
      </c>
    </row>
    <row r="25" spans="1:7" ht="45" hidden="1" customHeight="1" x14ac:dyDescent="0.25">
      <c r="A25" s="224"/>
      <c r="B25" s="236">
        <v>1133</v>
      </c>
      <c r="C25" s="240" t="s">
        <v>3821</v>
      </c>
      <c r="D25" s="299">
        <f ca="1">_xlfn.IFNA(VLOOKUP(B25,Worksheet!$C$3:$G$46,3,FALSE),D25)</f>
        <v>129</v>
      </c>
      <c r="E25" s="299">
        <f ca="1">_xlfn.IFNA(VLOOKUP(B25,Worksheet!$C$3:$G$46,4,FALSE),E25)</f>
        <v>46</v>
      </c>
      <c r="F25" s="299">
        <f ca="1">_xlfn.IFNA(VLOOKUP(B25,Worksheet!$C$3:$G$46,5,FALSE),F25)</f>
        <v>188</v>
      </c>
      <c r="G25" s="205" t="s">
        <v>150</v>
      </c>
    </row>
    <row r="26" spans="1:7" ht="45" hidden="1" customHeight="1" x14ac:dyDescent="0.25">
      <c r="A26" s="224"/>
      <c r="B26" s="236">
        <v>1134</v>
      </c>
      <c r="C26" s="240" t="s">
        <v>3822</v>
      </c>
      <c r="D26" s="299">
        <f ca="1">_xlfn.IFNA(VLOOKUP(B26,Worksheet!$C$3:$G$46,3,FALSE),D26)</f>
        <v>31</v>
      </c>
      <c r="E26" s="299">
        <f ca="1">_xlfn.IFNA(VLOOKUP(B26,Worksheet!$C$3:$G$46,4,FALSE),E26)</f>
        <v>17</v>
      </c>
      <c r="F26" s="299">
        <f ca="1">_xlfn.IFNA(VLOOKUP(B26,Worksheet!$C$3:$G$46,5,FALSE),F26)</f>
        <v>32</v>
      </c>
      <c r="G26" s="205" t="s">
        <v>150</v>
      </c>
    </row>
    <row r="27" spans="1:7" ht="45" hidden="1" customHeight="1" x14ac:dyDescent="0.25">
      <c r="A27" s="224"/>
      <c r="B27" s="236">
        <v>1135</v>
      </c>
      <c r="C27" s="240" t="s">
        <v>3823</v>
      </c>
      <c r="D27" s="299">
        <f ca="1">_xlfn.IFNA(VLOOKUP(B27,Worksheet!$C$3:$G$46,3,FALSE),D27)</f>
        <v>150</v>
      </c>
      <c r="E27" s="299">
        <f ca="1">_xlfn.IFNA(VLOOKUP(B27,Worksheet!$C$3:$G$46,4,FALSE),E27)</f>
        <v>61</v>
      </c>
      <c r="F27" s="299">
        <f ca="1">_xlfn.IFNA(VLOOKUP(B27,Worksheet!$C$3:$G$46,5,FALSE),F27)</f>
        <v>215</v>
      </c>
      <c r="G27" s="205" t="s">
        <v>150</v>
      </c>
    </row>
    <row r="28" spans="1:7" ht="45" hidden="1" customHeight="1" x14ac:dyDescent="0.25">
      <c r="A28" s="224"/>
      <c r="B28" s="236">
        <v>1136</v>
      </c>
      <c r="C28" s="240" t="s">
        <v>3824</v>
      </c>
      <c r="D28" s="299">
        <f ca="1">_xlfn.IFNA(VLOOKUP(B28,Worksheet!$C$3:$G$46,3,FALSE),D28)</f>
        <v>10</v>
      </c>
      <c r="E28" s="299">
        <f ca="1">_xlfn.IFNA(VLOOKUP(B28,Worksheet!$C$3:$G$46,4,FALSE),E28)</f>
        <v>2</v>
      </c>
      <c r="F28" s="299">
        <f ca="1">_xlfn.IFNA(VLOOKUP(B28,Worksheet!$C$3:$G$46,5,FALSE),F28)</f>
        <v>5</v>
      </c>
      <c r="G28" s="205" t="s">
        <v>150</v>
      </c>
    </row>
    <row r="29" spans="1:7" ht="45" hidden="1" customHeight="1" x14ac:dyDescent="0.25">
      <c r="A29" s="224"/>
      <c r="B29" s="236">
        <v>1137</v>
      </c>
      <c r="C29" s="240" t="s">
        <v>3825</v>
      </c>
      <c r="D29" s="299">
        <f ca="1">_xlfn.IFNA(VLOOKUP(B29,Worksheet!$C$3:$G$46,3,FALSE),D29)</f>
        <v>1</v>
      </c>
      <c r="E29" s="299">
        <f ca="1">_xlfn.IFNA(VLOOKUP(B29,Worksheet!$C$3:$G$46,4,FALSE),E29)</f>
        <v>0</v>
      </c>
      <c r="F29" s="299">
        <f ca="1">_xlfn.IFNA(VLOOKUP(B29,Worksheet!$C$3:$G$46,5,FALSE),F29)</f>
        <v>1</v>
      </c>
      <c r="G29" s="205" t="s">
        <v>150</v>
      </c>
    </row>
    <row r="30" spans="1:7" ht="45" hidden="1" customHeight="1" x14ac:dyDescent="0.25">
      <c r="A30" s="224"/>
      <c r="B30" s="236">
        <v>1138</v>
      </c>
      <c r="C30" s="240" t="s">
        <v>3826</v>
      </c>
      <c r="D30" s="299">
        <f ca="1">_xlfn.IFNA(VLOOKUP(B30,Worksheet!$C$3:$G$46,3,FALSE),D30)</f>
        <v>159</v>
      </c>
      <c r="E30" s="299">
        <f ca="1">_xlfn.IFNA(VLOOKUP(B30,Worksheet!$C$3:$G$46,4,FALSE),E30)</f>
        <v>63</v>
      </c>
      <c r="F30" s="299">
        <f ca="1">_xlfn.IFNA(VLOOKUP(B30,Worksheet!$C$3:$G$46,5,FALSE),F30)</f>
        <v>219</v>
      </c>
      <c r="G30" s="205" t="s">
        <v>150</v>
      </c>
    </row>
    <row r="31" spans="1:7" ht="45" hidden="1" customHeight="1" x14ac:dyDescent="0.25">
      <c r="A31" s="224">
        <v>1116</v>
      </c>
      <c r="B31" s="236">
        <v>1141</v>
      </c>
      <c r="C31" s="240" t="s">
        <v>3827</v>
      </c>
      <c r="D31" s="300">
        <f ca="1">D13</f>
        <v>4</v>
      </c>
      <c r="E31" s="300">
        <f ca="1">E13</f>
        <v>15</v>
      </c>
      <c r="F31" s="300">
        <f ca="1">F13</f>
        <v>21</v>
      </c>
      <c r="G31" s="205"/>
    </row>
    <row r="32" spans="1:7" ht="45" hidden="1" customHeight="1" x14ac:dyDescent="0.25">
      <c r="A32" s="224"/>
      <c r="B32" s="236">
        <v>1142</v>
      </c>
      <c r="C32" s="241" t="s">
        <v>3828</v>
      </c>
      <c r="D32" s="300">
        <f ca="1">D18</f>
        <v>4</v>
      </c>
      <c r="E32" s="300">
        <f ca="1">E18</f>
        <v>15</v>
      </c>
      <c r="F32" s="300">
        <f ca="1">F18</f>
        <v>21</v>
      </c>
      <c r="G32" s="205"/>
    </row>
    <row r="33" spans="1:7" ht="45" hidden="1" customHeight="1" x14ac:dyDescent="0.25">
      <c r="A33" s="224"/>
      <c r="B33" s="236">
        <v>1143</v>
      </c>
      <c r="C33" s="240" t="s">
        <v>3829</v>
      </c>
      <c r="D33" s="299">
        <f ca="1">_xlfn.IFNA(VLOOKUP(B33,Worksheet!$C$3:$G$46,3,FALSE),D33)</f>
        <v>190</v>
      </c>
      <c r="E33" s="299">
        <f ca="1">_xlfn.IFNA(VLOOKUP(B33,Worksheet!$C$3:$G$46,4,FALSE),E33)</f>
        <v>63</v>
      </c>
      <c r="F33" s="299">
        <f ca="1">_xlfn.IFNA(VLOOKUP(B33,Worksheet!$C$3:$G$46,5,FALSE),F33)</f>
        <v>220</v>
      </c>
      <c r="G33" s="205" t="s">
        <v>150</v>
      </c>
    </row>
    <row r="34" spans="1:7" ht="45" hidden="1" customHeight="1" x14ac:dyDescent="0.25">
      <c r="A34" s="224"/>
      <c r="B34" s="236">
        <v>1144</v>
      </c>
      <c r="C34" s="240" t="s">
        <v>3830</v>
      </c>
      <c r="D34" s="299">
        <f ca="1">_xlfn.IFNA(VLOOKUP(B34,Worksheet!$C$3:$G$46,3,FALSE),D34)</f>
        <v>9</v>
      </c>
      <c r="E34" s="299">
        <f ca="1">_xlfn.IFNA(VLOOKUP(B34,Worksheet!$C$3:$G$46,4,FALSE),E34)</f>
        <v>10</v>
      </c>
      <c r="F34" s="299">
        <f ca="1">_xlfn.IFNA(VLOOKUP(B34,Worksheet!$C$3:$G$46,5,FALSE),F34)</f>
        <v>20</v>
      </c>
      <c r="G34" s="205" t="s">
        <v>150</v>
      </c>
    </row>
    <row r="35" spans="1:7" ht="45" hidden="1" customHeight="1" x14ac:dyDescent="0.25">
      <c r="A35" s="224"/>
      <c r="B35" s="236">
        <v>1145</v>
      </c>
      <c r="C35" s="240" t="s">
        <v>3831</v>
      </c>
      <c r="D35" s="299">
        <f ca="1">_xlfn.IFNA(VLOOKUP(B35,Worksheet!$C$3:$G$46,3,FALSE),D35)</f>
        <v>160</v>
      </c>
      <c r="E35" s="299">
        <f ca="1">_xlfn.IFNA(VLOOKUP(B35,Worksheet!$C$3:$G$46,4,FALSE),E35)</f>
        <v>63</v>
      </c>
      <c r="F35" s="299">
        <f ca="1">_xlfn.IFNA(VLOOKUP(B35,Worksheet!$C$3:$G$46,5,FALSE),F35)</f>
        <v>220</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129</v>
      </c>
      <c r="E37" s="299">
        <f ca="1">_xlfn.IFNA(VLOOKUP(B37,Worksheet!$C$3:$G$46,4,FALSE),E37)</f>
        <v>46</v>
      </c>
      <c r="F37" s="299">
        <f ca="1">_xlfn.IFNA(VLOOKUP(B37,Worksheet!$C$3:$G$46,5,FALSE),F37)</f>
        <v>188</v>
      </c>
      <c r="G37" s="205" t="s">
        <v>150</v>
      </c>
    </row>
    <row r="38" spans="1:7" ht="45" hidden="1" customHeight="1" x14ac:dyDescent="0.25">
      <c r="A38" s="224"/>
      <c r="B38" s="236">
        <v>1153</v>
      </c>
      <c r="C38" s="240" t="s">
        <v>3834</v>
      </c>
      <c r="D38" s="299">
        <f ca="1">_xlfn.IFNA(VLOOKUP(B38,Worksheet!$C$3:$G$46,3,FALSE),D38)</f>
        <v>129</v>
      </c>
      <c r="E38" s="299">
        <f ca="1">_xlfn.IFNA(VLOOKUP(B38,Worksheet!$C$3:$G$46,4,FALSE),E38)</f>
        <v>46</v>
      </c>
      <c r="F38" s="299">
        <f ca="1">_xlfn.IFNA(VLOOKUP(B38,Worksheet!$C$3:$G$46,5,FALSE),F38)</f>
        <v>188</v>
      </c>
      <c r="G38" s="205" t="s">
        <v>150</v>
      </c>
    </row>
    <row r="39" spans="1:7" ht="45" hidden="1" customHeight="1" x14ac:dyDescent="0.25">
      <c r="A39" s="224"/>
      <c r="B39" s="236">
        <v>1154</v>
      </c>
      <c r="C39" s="246" t="s">
        <v>3835</v>
      </c>
      <c r="D39" s="247">
        <f ca="1">D40/D41</f>
        <v>1</v>
      </c>
      <c r="E39" s="247">
        <f t="shared" ref="E39:F39" ca="1" si="2">E40/E41</f>
        <v>0.93877551020408168</v>
      </c>
      <c r="F39" s="247">
        <f t="shared" ca="1" si="2"/>
        <v>1</v>
      </c>
      <c r="G39" s="205"/>
    </row>
    <row r="40" spans="1:7" ht="45" hidden="1" customHeight="1" x14ac:dyDescent="0.25">
      <c r="A40" s="224"/>
      <c r="B40" s="236">
        <v>1155</v>
      </c>
      <c r="C40" s="240" t="s">
        <v>3833</v>
      </c>
      <c r="D40" s="299">
        <f ca="1">_xlfn.IFNA(VLOOKUP(B40,Worksheet!$C$3:$G$46,3,FALSE),D40)</f>
        <v>129</v>
      </c>
      <c r="E40" s="299">
        <f ca="1">_xlfn.IFNA(VLOOKUP(B40,Worksheet!$C$3:$G$46,4,FALSE),E40)</f>
        <v>46</v>
      </c>
      <c r="F40" s="299">
        <f ca="1">_xlfn.IFNA(VLOOKUP(B40,Worksheet!$C$3:$G$46,5,FALSE),F40)</f>
        <v>188</v>
      </c>
      <c r="G40" s="205" t="s">
        <v>150</v>
      </c>
    </row>
    <row r="41" spans="1:7" ht="45" hidden="1" customHeight="1" x14ac:dyDescent="0.25">
      <c r="A41" s="224"/>
      <c r="B41" s="236">
        <v>1156</v>
      </c>
      <c r="C41" s="240" t="s">
        <v>3836</v>
      </c>
      <c r="D41" s="299">
        <f ca="1">_xlfn.IFNA(VLOOKUP(B41,Worksheet!$C$3:$G$46,3,FALSE),D41)</f>
        <v>129</v>
      </c>
      <c r="E41" s="299">
        <f ca="1">_xlfn.IFNA(VLOOKUP(B41,Worksheet!$C$3:$G$46,4,FALSE),E41)</f>
        <v>49</v>
      </c>
      <c r="F41" s="299">
        <f ca="1">_xlfn.IFNA(VLOOKUP(B41,Worksheet!$C$3:$G$46,5,FALSE),F41)</f>
        <v>188</v>
      </c>
      <c r="G41" s="205" t="s">
        <v>150</v>
      </c>
    </row>
    <row r="42" spans="1:7" ht="45" hidden="1" customHeight="1" x14ac:dyDescent="0.25">
      <c r="A42" s="224"/>
      <c r="B42" s="236">
        <v>1157</v>
      </c>
      <c r="C42" s="246" t="s">
        <v>3837</v>
      </c>
      <c r="D42" s="247">
        <f ca="1">D43/D44</f>
        <v>1</v>
      </c>
      <c r="E42" s="247" t="e">
        <f t="shared" ref="E42:F42" ca="1" si="3">E43/E44</f>
        <v>#DIV/0!</v>
      </c>
      <c r="F42" s="247">
        <f t="shared" ca="1" si="3"/>
        <v>1</v>
      </c>
      <c r="G42" s="205"/>
    </row>
    <row r="43" spans="1:7" ht="45" hidden="1" customHeight="1" x14ac:dyDescent="0.25">
      <c r="A43" s="224"/>
      <c r="B43" s="236">
        <v>1158</v>
      </c>
      <c r="C43" s="240" t="s">
        <v>3838</v>
      </c>
      <c r="D43" s="299">
        <f ca="1">_xlfn.IFNA(VLOOKUP(B43,Worksheet!$C$3:$G$46,3,FALSE),D43)</f>
        <v>1</v>
      </c>
      <c r="E43" s="299">
        <f ca="1">_xlfn.IFNA(VLOOKUP(B43,Worksheet!$C$3:$G$46,4,FALSE),E43)</f>
        <v>0</v>
      </c>
      <c r="F43" s="299">
        <f ca="1">_xlfn.IFNA(VLOOKUP(B43,Worksheet!$C$3:$G$46,5,FALSE),F43)</f>
        <v>1</v>
      </c>
      <c r="G43" s="205" t="s">
        <v>150</v>
      </c>
    </row>
    <row r="44" spans="1:7" s="248" customFormat="1" ht="45" hidden="1" customHeight="1" x14ac:dyDescent="0.25">
      <c r="A44" s="224"/>
      <c r="B44" s="236">
        <v>1159</v>
      </c>
      <c r="C44" s="240" t="s">
        <v>3839</v>
      </c>
      <c r="D44" s="299">
        <f ca="1">_xlfn.IFNA(VLOOKUP(B44,Worksheet!$C$3:$G$46,3,FALSE),D44)</f>
        <v>1</v>
      </c>
      <c r="E44" s="299">
        <f ca="1">_xlfn.IFNA(VLOOKUP(B44,Worksheet!$C$3:$G$46,4,FALSE),E44)</f>
        <v>0</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615</v>
      </c>
      <c r="G46" s="205" t="s">
        <v>83</v>
      </c>
    </row>
    <row r="47" spans="1:7" s="248" customFormat="1" ht="45" hidden="1" customHeight="1" x14ac:dyDescent="0.25">
      <c r="A47" s="224"/>
      <c r="B47" s="255" t="s">
        <v>4014</v>
      </c>
      <c r="C47" s="226" t="s">
        <v>3975</v>
      </c>
      <c r="D47" s="230"/>
      <c r="E47" s="229"/>
      <c r="F47" s="298">
        <f ca="1">_xlfn.IFNA(VLOOKUP(B47,Worksheet!$C$3:$G$46,5,FALSE),F47)</f>
        <v>2</v>
      </c>
      <c r="G47" s="205" t="s">
        <v>83</v>
      </c>
    </row>
    <row r="48" spans="1:7" ht="45" hidden="1" customHeight="1" x14ac:dyDescent="0.25">
      <c r="A48" s="224"/>
      <c r="B48" s="255" t="s">
        <v>4015</v>
      </c>
      <c r="C48" s="226" t="s">
        <v>3976</v>
      </c>
      <c r="D48" s="226"/>
      <c r="E48" s="256"/>
      <c r="F48" s="298">
        <f ca="1">_xlfn.IFNA(VLOOKUP(B48,Worksheet!$C$3:$G$46,5,FALSE),F48)</f>
        <v>0</v>
      </c>
      <c r="G48" s="205" t="s">
        <v>83</v>
      </c>
    </row>
    <row r="49" spans="1:7" ht="45" hidden="1" customHeight="1" x14ac:dyDescent="0.25">
      <c r="A49" s="224"/>
      <c r="B49" s="257" t="s">
        <v>4016</v>
      </c>
      <c r="C49" s="258" t="s">
        <v>3988</v>
      </c>
      <c r="D49" s="233"/>
      <c r="E49" s="259"/>
      <c r="F49" s="235">
        <f ca="1">_xlfn.IFNA(VLOOKUP(F46,Data_donotedit!$BE$2:$BG$25,3,TRUE),0)</f>
        <v>94</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3845</v>
      </c>
      <c r="D53" s="299">
        <f ca="1">_xlfn.IFNA(VLOOKUP(B53,Worksheet!$C$3:$G$46,3,FALSE),D53)</f>
        <v>200</v>
      </c>
      <c r="E53" s="299">
        <f ca="1">_xlfn.IFNA(VLOOKUP(B53,Worksheet!$C$3:$G$46,4,FALSE),E53)</f>
        <v>100</v>
      </c>
      <c r="F53" s="299">
        <f ca="1">_xlfn.IFNA(VLOOKUP(B53,Worksheet!$C$3:$G$46,5,FALSE),F53)</f>
        <v>300</v>
      </c>
      <c r="G53" s="205" t="s">
        <v>83</v>
      </c>
    </row>
    <row r="54" spans="1:7" ht="45" hidden="1" customHeight="1" x14ac:dyDescent="0.25">
      <c r="A54" s="224"/>
      <c r="B54" s="236">
        <v>1214</v>
      </c>
      <c r="C54" s="262" t="s">
        <v>3846</v>
      </c>
      <c r="D54" s="299">
        <f ca="1">_xlfn.IFNA(VLOOKUP(B54,Worksheet!$C$3:$G$46,3,FALSE),D54)</f>
        <v>31</v>
      </c>
      <c r="E54" s="299">
        <f ca="1">_xlfn.IFNA(VLOOKUP(B54,Worksheet!$C$3:$G$46,4,FALSE),E54)</f>
        <v>31</v>
      </c>
      <c r="F54" s="299">
        <f ca="1">_xlfn.IFNA(VLOOKUP(B54,Worksheet!$C$3:$G$46,5,FALSE),F54)</f>
        <v>32</v>
      </c>
      <c r="G54" s="205" t="s">
        <v>83</v>
      </c>
    </row>
    <row r="55" spans="1:7" ht="45" hidden="1" customHeight="1" x14ac:dyDescent="0.25">
      <c r="A55" s="224"/>
      <c r="B55" s="236">
        <v>1215</v>
      </c>
      <c r="C55" s="240" t="s">
        <v>3847</v>
      </c>
      <c r="D55" s="299">
        <f ca="1">_xlfn.IFNA(VLOOKUP(B55,Worksheet!$C$3:$G$46,3,FALSE),D55)</f>
        <v>31</v>
      </c>
      <c r="E55" s="299">
        <f ca="1">_xlfn.IFNA(VLOOKUP(B55,Worksheet!$C$3:$G$46,4,FALSE),E55)</f>
        <v>31</v>
      </c>
      <c r="F55" s="299">
        <f ca="1">_xlfn.IFNA(VLOOKUP(B55,Worksheet!$C$3:$G$46,5,FALSE),F55)</f>
        <v>32</v>
      </c>
      <c r="G55" s="205" t="s">
        <v>83</v>
      </c>
    </row>
    <row r="56" spans="1:7" ht="45" hidden="1" customHeight="1" x14ac:dyDescent="0.25">
      <c r="A56" s="224"/>
      <c r="B56" s="236">
        <v>1216</v>
      </c>
      <c r="C56" s="241" t="s">
        <v>3848</v>
      </c>
      <c r="D56" s="299">
        <f ca="1">_xlfn.IFNA(VLOOKUP(B56,Worksheet!$C$3:$G$46,3,FALSE),D56)</f>
        <v>31</v>
      </c>
      <c r="E56" s="299">
        <f ca="1">_xlfn.IFNA(VLOOKUP(B56,Worksheet!$C$3:$G$46,4,FALSE),E56)</f>
        <v>31</v>
      </c>
      <c r="F56" s="299">
        <f ca="1">_xlfn.IFNA(VLOOKUP(B56,Worksheet!$C$3:$G$46,5,FALSE),F56)</f>
        <v>32</v>
      </c>
      <c r="G56" s="205" t="s">
        <v>83</v>
      </c>
    </row>
    <row r="57" spans="1:7" ht="45" hidden="1"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3850</v>
      </c>
      <c r="D58" s="299">
        <f ca="1">_xlfn.IFNA(VLOOKUP(B58,Worksheet!$C$3:$G$46,3,FALSE),D58)</f>
        <v>1</v>
      </c>
      <c r="E58" s="299">
        <f ca="1">_xlfn.IFNA(VLOOKUP(B58,Worksheet!$C$3:$G$46,4,FALSE),E58)</f>
        <v>0</v>
      </c>
      <c r="F58" s="299">
        <f ca="1">_xlfn.IFNA(VLOOKUP(B58,Worksheet!$C$3:$G$46,5,FALSE),F58)</f>
        <v>1</v>
      </c>
      <c r="G58" s="205" t="s">
        <v>83</v>
      </c>
    </row>
    <row r="59" spans="1:7" ht="45" hidden="1" customHeight="1" x14ac:dyDescent="0.25">
      <c r="A59" s="224"/>
      <c r="B59" s="236">
        <v>1221</v>
      </c>
      <c r="C59" s="262" t="s">
        <v>3851</v>
      </c>
      <c r="D59" s="299">
        <f ca="1">_xlfn.IFNA(VLOOKUP(B59,Worksheet!$C$3:$G$46,3,FALSE),D59)</f>
        <v>31</v>
      </c>
      <c r="E59" s="299">
        <f ca="1">_xlfn.IFNA(VLOOKUP(B59,Worksheet!$C$3:$G$46,4,FALSE),E59)</f>
        <v>31</v>
      </c>
      <c r="F59" s="299">
        <f ca="1">_xlfn.IFNA(VLOOKUP(B59,Worksheet!$C$3:$G$46,5,FALSE),F59)</f>
        <v>32</v>
      </c>
      <c r="G59" s="205" t="s">
        <v>83</v>
      </c>
    </row>
    <row r="60" spans="1:7" ht="45" hidden="1" customHeight="1" x14ac:dyDescent="0.25">
      <c r="A60" s="224"/>
      <c r="B60" s="236">
        <v>1222</v>
      </c>
      <c r="C60" s="262" t="s">
        <v>3852</v>
      </c>
      <c r="D60" s="299">
        <f ca="1">_xlfn.IFNA(VLOOKUP(B60,Worksheet!$C$3:$G$46,3,FALSE),D60)</f>
        <v>31</v>
      </c>
      <c r="E60" s="299">
        <f ca="1">_xlfn.IFNA(VLOOKUP(B60,Worksheet!$C$3:$G$46,4,FALSE),E60)</f>
        <v>31</v>
      </c>
      <c r="F60" s="299">
        <f ca="1">_xlfn.IFNA(VLOOKUP(B60,Worksheet!$C$3:$G$46,5,FALSE),F60)</f>
        <v>32</v>
      </c>
      <c r="G60" s="205" t="s">
        <v>83</v>
      </c>
    </row>
    <row r="61" spans="1:7" ht="45" hidden="1" customHeight="1" x14ac:dyDescent="0.25">
      <c r="A61" s="224"/>
      <c r="B61" s="236">
        <v>1223</v>
      </c>
      <c r="C61" s="262" t="s">
        <v>3853</v>
      </c>
      <c r="D61" s="299">
        <f ca="1">_xlfn.IFNA(VLOOKUP(B61,Worksheet!$C$3:$G$46,3,FALSE),D61)</f>
        <v>31</v>
      </c>
      <c r="E61" s="299">
        <f ca="1">_xlfn.IFNA(VLOOKUP(B61,Worksheet!$C$3:$G$46,4,FALSE),E61)</f>
        <v>31</v>
      </c>
      <c r="F61" s="299">
        <f ca="1">_xlfn.IFNA(VLOOKUP(B61,Worksheet!$C$3:$G$46,5,FALSE),F61)</f>
        <v>32</v>
      </c>
      <c r="G61" s="205" t="s">
        <v>83</v>
      </c>
    </row>
    <row r="62" spans="1:7" ht="54.6" hidden="1" customHeight="1" x14ac:dyDescent="0.25">
      <c r="A62" s="224"/>
      <c r="B62" s="236">
        <v>1224</v>
      </c>
      <c r="C62" s="262" t="s">
        <v>3854</v>
      </c>
      <c r="D62" s="299">
        <f ca="1">_xlfn.IFNA(VLOOKUP(B62,Worksheet!$C$3:$G$46,3,FALSE),D62)</f>
        <v>31</v>
      </c>
      <c r="E62" s="299">
        <f ca="1">_xlfn.IFNA(VLOOKUP(B62,Worksheet!$C$3:$G$46,4,FALSE),E62)</f>
        <v>31</v>
      </c>
      <c r="F62" s="299">
        <f ca="1">_xlfn.IFNA(VLOOKUP(B62,Worksheet!$C$3:$G$46,5,FALSE),F62)</f>
        <v>32</v>
      </c>
      <c r="G62" s="205" t="s">
        <v>83</v>
      </c>
    </row>
    <row r="63" spans="1:7" ht="66.599999999999994" hidden="1" customHeight="1" x14ac:dyDescent="0.25">
      <c r="A63" s="224"/>
      <c r="B63" s="236">
        <v>1225</v>
      </c>
      <c r="C63" s="262" t="s">
        <v>3855</v>
      </c>
      <c r="D63" s="299">
        <f ca="1">_xlfn.IFNA(VLOOKUP(B63,Worksheet!$C$3:$G$46,3,FALSE),D63)</f>
        <v>31</v>
      </c>
      <c r="E63" s="299">
        <f ca="1">_xlfn.IFNA(VLOOKUP(B63,Worksheet!$C$3:$G$46,4,FALSE),E63)</f>
        <v>31</v>
      </c>
      <c r="F63" s="299">
        <f ca="1">_xlfn.IFNA(VLOOKUP(B63,Worksheet!$C$3:$G$46,5,FALSE),F63)</f>
        <v>32</v>
      </c>
      <c r="G63" s="205" t="s">
        <v>83</v>
      </c>
    </row>
    <row r="64" spans="1:7" ht="45" hidden="1"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200</v>
      </c>
      <c r="E67" s="299">
        <f ca="1">_xlfn.IFNA(VLOOKUP(B67,Worksheet!$C$3:$G$46,4,FALSE),E67)</f>
        <v>100</v>
      </c>
      <c r="F67" s="299">
        <f ca="1">_xlfn.IFNA(VLOOKUP(B67,Worksheet!$C$3:$G$46,5,FALSE),F67)</f>
        <v>300</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199</v>
      </c>
      <c r="E71" s="299">
        <f ca="1">_xlfn.IFNA(VLOOKUP(B71,Worksheet!$C$3:$G$46,4,FALSE),E71)</f>
        <v>100</v>
      </c>
      <c r="F71" s="299">
        <f ca="1">_xlfn.IFNA(VLOOKUP(B71,Worksheet!$C$3:$G$46,5,FALSE),F71)</f>
        <v>299</v>
      </c>
      <c r="G71" s="205" t="s">
        <v>83</v>
      </c>
    </row>
    <row r="72" spans="1:7" ht="45" hidden="1" customHeight="1" x14ac:dyDescent="0.25">
      <c r="A72" s="224"/>
      <c r="B72" s="236">
        <v>1236</v>
      </c>
      <c r="C72" s="240" t="s">
        <v>3863</v>
      </c>
      <c r="D72" s="299">
        <f ca="1">_xlfn.IFNA(VLOOKUP(B72,Worksheet!$C$3:$G$46,3,FALSE),D72)</f>
        <v>1</v>
      </c>
      <c r="E72" s="299">
        <f ca="1">_xlfn.IFNA(VLOOKUP(B72,Worksheet!$C$3:$G$46,4,FALSE),E72)</f>
        <v>0</v>
      </c>
      <c r="F72" s="299">
        <f ca="1">_xlfn.IFNA(VLOOKUP(B72,Worksheet!$C$3:$G$46,5,FALSE),F72)</f>
        <v>1</v>
      </c>
      <c r="G72" s="205" t="s">
        <v>83</v>
      </c>
    </row>
    <row r="73" spans="1:7" ht="45" hidden="1" customHeight="1" x14ac:dyDescent="0.25">
      <c r="A73" s="224"/>
      <c r="B73" s="236">
        <v>1241</v>
      </c>
      <c r="C73" s="240" t="s">
        <v>3864</v>
      </c>
      <c r="D73" s="299">
        <f ca="1">_xlfn.IFNA(VLOOKUP(B73,Worksheet!$C$3:$G$46,3,FALSE),D73)</f>
        <v>200</v>
      </c>
      <c r="E73" s="299">
        <f ca="1">_xlfn.IFNA(VLOOKUP(B73,Worksheet!$C$3:$G$46,4,FALSE),E73)</f>
        <v>100</v>
      </c>
      <c r="F73" s="299">
        <f ca="1">_xlfn.IFNA(VLOOKUP(B73,Worksheet!$C$3:$G$46,5,FALSE),F73)</f>
        <v>300</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1</v>
      </c>
      <c r="E75" s="299">
        <f ca="1">_xlfn.IFNA(VLOOKUP(B75,Worksheet!$C$3:$G$46,4,FALSE),E75)</f>
        <v>0</v>
      </c>
      <c r="F75" s="299">
        <f ca="1">_xlfn.IFNA(VLOOKUP(B75,Worksheet!$C$3:$G$46,5,FALSE),F75)</f>
        <v>1</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3868</v>
      </c>
      <c r="D77" s="299">
        <f ca="1">_xlfn.IFNA(VLOOKUP(B77,Worksheet!$C$3:$G$46,3,FALSE),D77)</f>
        <v>1</v>
      </c>
      <c r="E77" s="299">
        <f ca="1">_xlfn.IFNA(VLOOKUP(B77,Worksheet!$C$3:$G$46,4,FALSE),E77)</f>
        <v>0</v>
      </c>
      <c r="F77" s="299">
        <f ca="1">_xlfn.IFNA(VLOOKUP(B77,Worksheet!$C$3:$G$46,5,FALSE),F77)</f>
        <v>1</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200</v>
      </c>
      <c r="E79" s="299">
        <f ca="1">_xlfn.IFNA(VLOOKUP(B79,Worksheet!$C$3:$G$46,4,FALSE),E79)</f>
        <v>100</v>
      </c>
      <c r="F79" s="299">
        <f ca="1">_xlfn.IFNA(VLOOKUP(B79,Worksheet!$C$3:$G$46,5,FALSE),F79)</f>
        <v>300</v>
      </c>
      <c r="G79" s="205" t="s">
        <v>83</v>
      </c>
    </row>
    <row r="80" spans="1:7" ht="45" hidden="1"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200</v>
      </c>
      <c r="E81" s="263">
        <f t="shared" ref="E81:F81" ca="1" si="4">E82</f>
        <v>100</v>
      </c>
      <c r="F81" s="263">
        <f t="shared" ca="1" si="4"/>
        <v>300</v>
      </c>
      <c r="G81" s="205"/>
    </row>
    <row r="82" spans="1:7" ht="45" hidden="1" customHeight="1" x14ac:dyDescent="0.25">
      <c r="A82" s="224"/>
      <c r="B82" s="236">
        <v>1252</v>
      </c>
      <c r="C82" s="240" t="s">
        <v>3873</v>
      </c>
      <c r="D82" s="299">
        <f ca="1">_xlfn.IFNA(VLOOKUP(B82,Worksheet!$C$3:$G$46,3,FALSE),D82)</f>
        <v>200</v>
      </c>
      <c r="E82" s="299">
        <f ca="1">_xlfn.IFNA(VLOOKUP(B82,Worksheet!$C$3:$G$46,4,FALSE),E82)</f>
        <v>100</v>
      </c>
      <c r="F82" s="299">
        <f ca="1">_xlfn.IFNA(VLOOKUP(B82,Worksheet!$C$3:$G$46,5,FALSE),F82)</f>
        <v>300</v>
      </c>
      <c r="G82" s="205" t="s">
        <v>83</v>
      </c>
    </row>
    <row r="83" spans="1:7" ht="45" hidden="1" customHeight="1" x14ac:dyDescent="0.25">
      <c r="A83" s="224"/>
      <c r="B83" s="236">
        <v>1253</v>
      </c>
      <c r="C83" s="240" t="s">
        <v>3874</v>
      </c>
      <c r="D83" s="299">
        <f ca="1">_xlfn.IFNA(VLOOKUP(B83,Worksheet!$C$3:$G$46,3,FALSE),D83)</f>
        <v>200</v>
      </c>
      <c r="E83" s="299">
        <f ca="1">_xlfn.IFNA(VLOOKUP(B83,Worksheet!$C$3:$G$46,4,FALSE),E83)</f>
        <v>100</v>
      </c>
      <c r="F83" s="299">
        <f ca="1">_xlfn.IFNA(VLOOKUP(B83,Worksheet!$C$3:$G$46,5,FALSE),F83)</f>
        <v>300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1</v>
      </c>
      <c r="E85" s="299">
        <f ca="1">_xlfn.IFNA(VLOOKUP(B85,Worksheet!$C$3:$G$46,4,FALSE),E85)</f>
        <v>0</v>
      </c>
      <c r="F85" s="299">
        <f ca="1">_xlfn.IFNA(VLOOKUP(B85,Worksheet!$C$3:$G$46,5,FALSE),F85)</f>
        <v>1</v>
      </c>
      <c r="G85" s="205" t="s">
        <v>83</v>
      </c>
    </row>
    <row r="86" spans="1:7" ht="45" hidden="1" customHeight="1" x14ac:dyDescent="0.25">
      <c r="A86" s="224"/>
      <c r="B86" s="236">
        <v>1256</v>
      </c>
      <c r="C86" s="240" t="s">
        <v>3877</v>
      </c>
      <c r="D86" s="299">
        <f ca="1">_xlfn.IFNA(VLOOKUP(B86,Worksheet!$C$3:$G$46,3,FALSE),D86)</f>
        <v>1</v>
      </c>
      <c r="E86" s="299">
        <f ca="1">_xlfn.IFNA(VLOOKUP(B86,Worksheet!$C$3:$G$46,4,FALSE),E86)</f>
        <v>0</v>
      </c>
      <c r="F86" s="299">
        <f ca="1">_xlfn.IFNA(VLOOKUP(B86,Worksheet!$C$3:$G$46,5,FALSE),F86)</f>
        <v>1</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customHeight="1" x14ac:dyDescent="0.25">
      <c r="A91" s="224"/>
      <c r="B91" s="218" t="s">
        <v>155</v>
      </c>
      <c r="C91" s="258" t="s">
        <v>3990</v>
      </c>
      <c r="D91" s="226"/>
      <c r="E91" s="229"/>
      <c r="F91" s="298">
        <f ca="1">_xlfn.IFNA(VLOOKUP(B91,Worksheet!$C$3:$G$46,5,FALSE),F91)</f>
        <v>1</v>
      </c>
      <c r="G91" s="264" t="s">
        <v>155</v>
      </c>
    </row>
    <row r="92" spans="1:7" ht="45" customHeight="1" x14ac:dyDescent="0.25">
      <c r="A92" s="224"/>
      <c r="B92" s="236"/>
      <c r="C92" s="260" t="s">
        <v>3881</v>
      </c>
      <c r="D92" s="265" t="s">
        <v>3991</v>
      </c>
      <c r="E92" s="266" t="s">
        <v>77</v>
      </c>
      <c r="F92" s="266" t="s">
        <v>78</v>
      </c>
      <c r="G92" s="264" t="s">
        <v>155</v>
      </c>
    </row>
    <row r="93" spans="1:7" ht="45" customHeight="1" x14ac:dyDescent="0.25">
      <c r="A93" s="224"/>
      <c r="B93" s="236">
        <v>1313</v>
      </c>
      <c r="C93" s="240" t="s">
        <v>3882</v>
      </c>
      <c r="D93" s="299">
        <f ca="1">_xlfn.IFNA(VLOOKUP(B93,Worksheet!$C$3:$G$46,3,FALSE),D93)</f>
        <v>1</v>
      </c>
      <c r="E93" s="299">
        <f ca="1">_xlfn.IFNA(VLOOKUP(B93,Worksheet!$C$3:$G$46,4,FALSE),E93)</f>
        <v>0</v>
      </c>
      <c r="F93" s="299">
        <f ca="1">_xlfn.IFNA(VLOOKUP(B93,Worksheet!$C$3:$G$46,5,FALSE),F93)</f>
        <v>1</v>
      </c>
      <c r="G93" s="264" t="s">
        <v>155</v>
      </c>
    </row>
    <row r="94" spans="1:7" ht="45" customHeight="1" x14ac:dyDescent="0.25">
      <c r="A94" s="224"/>
      <c r="B94" s="236">
        <v>1314</v>
      </c>
      <c r="C94" s="267" t="s">
        <v>3883</v>
      </c>
      <c r="D94" s="299">
        <f ca="1">_xlfn.IFNA(VLOOKUP(B94,Worksheet!$C$3:$G$46,3,FALSE),D94)</f>
        <v>1</v>
      </c>
      <c r="E94" s="299">
        <f ca="1">_xlfn.IFNA(VLOOKUP(B94,Worksheet!$C$3:$G$46,4,FALSE),E94)</f>
        <v>0</v>
      </c>
      <c r="F94" s="299">
        <f ca="1">_xlfn.IFNA(VLOOKUP(B94,Worksheet!$C$3:$G$46,5,FALSE),F94)</f>
        <v>1</v>
      </c>
      <c r="G94" s="264" t="s">
        <v>155</v>
      </c>
    </row>
    <row r="95" spans="1:7" ht="45" customHeight="1" x14ac:dyDescent="0.25">
      <c r="A95" s="224"/>
      <c r="B95" s="236">
        <v>1315</v>
      </c>
      <c r="C95" s="241" t="s">
        <v>3884</v>
      </c>
      <c r="D95" s="299">
        <f ca="1">_xlfn.IFNA(VLOOKUP(B95,Worksheet!$C$3:$G$46,3,FALSE),D95)</f>
        <v>1</v>
      </c>
      <c r="E95" s="299">
        <f ca="1">_xlfn.IFNA(VLOOKUP(B95,Worksheet!$C$3:$G$46,4,FALSE),E95)</f>
        <v>0</v>
      </c>
      <c r="F95" s="299">
        <f ca="1">_xlfn.IFNA(VLOOKUP(B95,Worksheet!$C$3:$G$46,5,FALSE),F95)</f>
        <v>1</v>
      </c>
      <c r="G95" s="264" t="s">
        <v>155</v>
      </c>
    </row>
    <row r="96" spans="1:7" s="268" customFormat="1" ht="45" customHeight="1" x14ac:dyDescent="0.25">
      <c r="A96" s="224"/>
      <c r="B96" s="236">
        <v>1316</v>
      </c>
      <c r="C96" s="241" t="s">
        <v>3885</v>
      </c>
      <c r="D96" s="299">
        <f ca="1">_xlfn.IFNA(VLOOKUP(B96,Worksheet!$C$3:$G$46,3,FALSE),D96)</f>
        <v>1</v>
      </c>
      <c r="E96" s="299">
        <f ca="1">_xlfn.IFNA(VLOOKUP(B96,Worksheet!$C$3:$G$46,4,FALSE),E96)</f>
        <v>0</v>
      </c>
      <c r="F96" s="299">
        <f ca="1">_xlfn.IFNA(VLOOKUP(B96,Worksheet!$C$3:$G$46,5,FALSE),F96)</f>
        <v>1</v>
      </c>
      <c r="G96" s="264" t="s">
        <v>155</v>
      </c>
    </row>
    <row r="97" spans="1:7" s="268" customFormat="1" ht="45" customHeight="1" x14ac:dyDescent="0.25">
      <c r="A97" s="224"/>
      <c r="B97" s="236">
        <v>1321</v>
      </c>
      <c r="C97" s="240" t="s">
        <v>3886</v>
      </c>
      <c r="D97" s="299">
        <f ca="1">_xlfn.IFNA(VLOOKUP(B97,Worksheet!$C$3:$G$46,3,FALSE),D97)</f>
        <v>1</v>
      </c>
      <c r="E97" s="299">
        <f ca="1">_xlfn.IFNA(VLOOKUP(B97,Worksheet!$C$3:$G$46,4,FALSE),E97)</f>
        <v>0</v>
      </c>
      <c r="F97" s="299">
        <f ca="1">_xlfn.IFNA(VLOOKUP(B97,Worksheet!$C$3:$G$46,5,FALSE),F97)</f>
        <v>1</v>
      </c>
      <c r="G97" s="264" t="s">
        <v>155</v>
      </c>
    </row>
    <row r="98" spans="1:7" s="268" customFormat="1" ht="45" customHeight="1" x14ac:dyDescent="0.25">
      <c r="A98" s="224"/>
      <c r="B98" s="236">
        <v>1322</v>
      </c>
      <c r="C98" s="240" t="s">
        <v>3887</v>
      </c>
      <c r="D98" s="299">
        <f ca="1">_xlfn.IFNA(VLOOKUP(B98,Worksheet!$C$3:$G$46,3,FALSE),D98)</f>
        <v>1</v>
      </c>
      <c r="E98" s="299">
        <f ca="1">_xlfn.IFNA(VLOOKUP(B98,Worksheet!$C$3:$G$46,4,FALSE),E98)</f>
        <v>0</v>
      </c>
      <c r="F98" s="299">
        <f ca="1">_xlfn.IFNA(VLOOKUP(B98,Worksheet!$C$3:$G$46,5,FALSE),F98)</f>
        <v>1</v>
      </c>
      <c r="G98" s="264" t="s">
        <v>155</v>
      </c>
    </row>
    <row r="99" spans="1:7" s="268" customFormat="1" ht="45" customHeight="1" x14ac:dyDescent="0.25">
      <c r="A99" s="224"/>
      <c r="B99" s="236">
        <v>1323</v>
      </c>
      <c r="C99" s="240" t="s">
        <v>3888</v>
      </c>
      <c r="D99" s="299">
        <f ca="1">_xlfn.IFNA(VLOOKUP(B99,Worksheet!$C$3:$G$46,3,FALSE),D99)</f>
        <v>1</v>
      </c>
      <c r="E99" s="299">
        <f ca="1">_xlfn.IFNA(VLOOKUP(B99,Worksheet!$C$3:$G$46,4,FALSE),E99)</f>
        <v>0</v>
      </c>
      <c r="F99" s="299">
        <f ca="1">_xlfn.IFNA(VLOOKUP(B99,Worksheet!$C$3:$G$46,5,FALSE),F99)</f>
        <v>1</v>
      </c>
      <c r="G99" s="264" t="s">
        <v>155</v>
      </c>
    </row>
    <row r="100" spans="1:7" s="268" customFormat="1" ht="45" customHeight="1" x14ac:dyDescent="0.25">
      <c r="A100" s="224"/>
      <c r="B100" s="236">
        <v>1324</v>
      </c>
      <c r="C100" s="240" t="s">
        <v>3889</v>
      </c>
      <c r="D100" s="299">
        <f ca="1">_xlfn.IFNA(VLOOKUP(B100,Worksheet!$C$3:$G$46,3,FALSE),D100)</f>
        <v>1</v>
      </c>
      <c r="E100" s="299">
        <f ca="1">_xlfn.IFNA(VLOOKUP(B100,Worksheet!$C$3:$G$46,4,FALSE),E100)</f>
        <v>0</v>
      </c>
      <c r="F100" s="299">
        <f ca="1">_xlfn.IFNA(VLOOKUP(B100,Worksheet!$C$3:$G$46,5,FALSE),F100)</f>
        <v>1</v>
      </c>
      <c r="G100" s="264" t="s">
        <v>155</v>
      </c>
    </row>
    <row r="101" spans="1:7" s="268" customFormat="1" ht="45" customHeight="1" x14ac:dyDescent="0.25">
      <c r="A101" s="224"/>
      <c r="B101" s="236">
        <v>1331</v>
      </c>
      <c r="C101" s="240" t="s">
        <v>3890</v>
      </c>
      <c r="D101" s="299">
        <f ca="1">_xlfn.IFNA(VLOOKUP(B101,Worksheet!$C$3:$G$46,3,FALSE),D101)</f>
        <v>1</v>
      </c>
      <c r="E101" s="299">
        <f ca="1">_xlfn.IFNA(VLOOKUP(B101,Worksheet!$C$3:$G$46,4,FALSE),E101)</f>
        <v>0</v>
      </c>
      <c r="F101" s="299">
        <f ca="1">_xlfn.IFNA(VLOOKUP(B101,Worksheet!$C$3:$G$46,5,FALSE),F101)</f>
        <v>1</v>
      </c>
      <c r="G101" s="264" t="s">
        <v>155</v>
      </c>
    </row>
    <row r="102" spans="1:7" s="268" customFormat="1" ht="45"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customHeight="1" x14ac:dyDescent="0.25">
      <c r="A103" s="224"/>
      <c r="B103" s="236">
        <v>1333</v>
      </c>
      <c r="C103" s="240" t="s">
        <v>3892</v>
      </c>
      <c r="D103" s="299">
        <f ca="1">_xlfn.IFNA(VLOOKUP(B103,Worksheet!$C$3:$G$46,3,FALSE),D103)</f>
        <v>1</v>
      </c>
      <c r="E103" s="299">
        <f ca="1">_xlfn.IFNA(VLOOKUP(B103,Worksheet!$C$3:$G$46,4,FALSE),E103)</f>
        <v>0</v>
      </c>
      <c r="F103" s="299">
        <f ca="1">_xlfn.IFNA(VLOOKUP(B103,Worksheet!$C$3:$G$46,5,FALSE),F103)</f>
        <v>1</v>
      </c>
      <c r="G103" s="264" t="s">
        <v>155</v>
      </c>
    </row>
    <row r="104" spans="1:7" s="268" customFormat="1" ht="45"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customHeight="1" x14ac:dyDescent="0.25">
      <c r="A106" s="224"/>
      <c r="B106" s="236">
        <v>1341</v>
      </c>
      <c r="C106" s="240" t="s">
        <v>3895</v>
      </c>
      <c r="D106" s="299">
        <f ca="1">_xlfn.IFNA(VLOOKUP(B106,Worksheet!$C$3:$G$46,3,FALSE),D106)</f>
        <v>1</v>
      </c>
      <c r="E106" s="299">
        <f ca="1">_xlfn.IFNA(VLOOKUP(B106,Worksheet!$C$3:$G$46,4,FALSE),E106)</f>
        <v>0</v>
      </c>
      <c r="F106" s="299">
        <f ca="1">_xlfn.IFNA(VLOOKUP(B106,Worksheet!$C$3:$G$46,5,FALSE),F106)</f>
        <v>1</v>
      </c>
      <c r="G106" s="264" t="s">
        <v>155</v>
      </c>
    </row>
    <row r="107" spans="1:7" s="268" customFormat="1" ht="45" hidden="1" customHeight="1" x14ac:dyDescent="0.25">
      <c r="A107" s="224"/>
      <c r="B107" s="236">
        <v>1342</v>
      </c>
      <c r="C107" s="240" t="s">
        <v>3896</v>
      </c>
      <c r="D107" s="269">
        <f ca="1">D94</f>
        <v>1</v>
      </c>
      <c r="E107" s="269">
        <f ca="1">E94</f>
        <v>0</v>
      </c>
      <c r="F107" s="269">
        <f ca="1">F94</f>
        <v>1</v>
      </c>
      <c r="G107" s="264"/>
    </row>
    <row r="108" spans="1:7" s="268" customFormat="1" ht="45" customHeight="1" x14ac:dyDescent="0.25">
      <c r="A108" s="224"/>
      <c r="B108" s="236">
        <v>1343</v>
      </c>
      <c r="C108" s="240" t="s">
        <v>3897</v>
      </c>
      <c r="D108" s="299">
        <f ca="1">_xlfn.IFNA(VLOOKUP(B108,Worksheet!$C$3:$G$46,3,FALSE),D108)</f>
        <v>1</v>
      </c>
      <c r="E108" s="299">
        <f ca="1">_xlfn.IFNA(VLOOKUP(B108,Worksheet!$C$3:$G$46,4,FALSE),E108)</f>
        <v>0</v>
      </c>
      <c r="F108" s="299">
        <f ca="1">_xlfn.IFNA(VLOOKUP(B108,Worksheet!$C$3:$G$46,5,FALSE),F108)</f>
        <v>1</v>
      </c>
      <c r="G108" s="264" t="s">
        <v>155</v>
      </c>
    </row>
    <row r="109" spans="1:7" s="268" customFormat="1" ht="45" customHeight="1" x14ac:dyDescent="0.25">
      <c r="A109" s="224"/>
      <c r="B109" s="236">
        <v>1344</v>
      </c>
      <c r="C109" s="240" t="s">
        <v>3898</v>
      </c>
      <c r="D109" s="299">
        <f ca="1">_xlfn.IFNA(VLOOKUP(B109,Worksheet!$C$3:$G$46,3,FALSE),D109)</f>
        <v>1</v>
      </c>
      <c r="E109" s="299">
        <f ca="1">_xlfn.IFNA(VLOOKUP(B109,Worksheet!$C$3:$G$46,4,FALSE),E109)</f>
        <v>0</v>
      </c>
      <c r="F109" s="299">
        <f ca="1">_xlfn.IFNA(VLOOKUP(B109,Worksheet!$C$3:$G$46,5,FALSE),F109)</f>
        <v>1</v>
      </c>
      <c r="G109" s="264" t="s">
        <v>155</v>
      </c>
    </row>
    <row r="110" spans="1:7" s="268" customFormat="1" ht="45" hidden="1" customHeight="1" x14ac:dyDescent="0.25">
      <c r="A110" s="224"/>
      <c r="B110" s="236">
        <v>1351</v>
      </c>
      <c r="C110" s="219" t="s">
        <v>3899</v>
      </c>
      <c r="D110" s="263">
        <f ca="1">D111</f>
        <v>1</v>
      </c>
      <c r="E110" s="263">
        <f t="shared" ref="E110:F110" ca="1" si="5">E111</f>
        <v>0</v>
      </c>
      <c r="F110" s="263">
        <f t="shared" ca="1" si="5"/>
        <v>1</v>
      </c>
      <c r="G110" s="264"/>
    </row>
    <row r="111" spans="1:7" s="268" customFormat="1" ht="45" customHeight="1" x14ac:dyDescent="0.25">
      <c r="A111" s="224"/>
      <c r="B111" s="236">
        <v>1352</v>
      </c>
      <c r="C111" s="240" t="s">
        <v>3900</v>
      </c>
      <c r="D111" s="299">
        <f ca="1">_xlfn.IFNA(VLOOKUP(B111,Worksheet!$C$3:$G$46,3,FALSE),D111)</f>
        <v>1</v>
      </c>
      <c r="E111" s="299">
        <f ca="1">_xlfn.IFNA(VLOOKUP(B111,Worksheet!$C$3:$G$46,4,FALSE),E111)</f>
        <v>0</v>
      </c>
      <c r="F111" s="299">
        <f ca="1">_xlfn.IFNA(VLOOKUP(B111,Worksheet!$C$3:$G$46,5,FALSE),F111)</f>
        <v>1</v>
      </c>
      <c r="G111" s="264" t="s">
        <v>155</v>
      </c>
    </row>
    <row r="112" spans="1:7" s="268" customFormat="1" ht="45" customHeight="1" x14ac:dyDescent="0.25">
      <c r="A112" s="224"/>
      <c r="B112" s="236">
        <v>1353</v>
      </c>
      <c r="C112" s="240" t="s">
        <v>3901</v>
      </c>
      <c r="D112" s="299">
        <f ca="1">_xlfn.IFNA(VLOOKUP(B112,Worksheet!$C$3:$G$46,3,FALSE),D112)</f>
        <v>1</v>
      </c>
      <c r="E112" s="299">
        <f ca="1">_xlfn.IFNA(VLOOKUP(B112,Worksheet!$C$3:$G$46,4,FALSE),E112)</f>
        <v>0</v>
      </c>
      <c r="F112" s="299">
        <f ca="1">_xlfn.IFNA(VLOOKUP(B112,Worksheet!$C$3:$G$46,5,FALSE),F112)</f>
        <v>1</v>
      </c>
      <c r="G112" s="264" t="s">
        <v>155</v>
      </c>
    </row>
    <row r="113" spans="1:7" s="268" customFormat="1" ht="45" hidden="1" customHeight="1" x14ac:dyDescent="0.25">
      <c r="A113" s="224"/>
      <c r="B113" s="236">
        <v>1354</v>
      </c>
      <c r="C113" s="219" t="s">
        <v>3902</v>
      </c>
      <c r="D113" s="263">
        <f ca="1">D114</f>
        <v>1</v>
      </c>
      <c r="E113" s="263">
        <f t="shared" ref="E113:F113" ca="1" si="6">E114</f>
        <v>0</v>
      </c>
      <c r="F113" s="263">
        <f t="shared" ca="1" si="6"/>
        <v>1</v>
      </c>
      <c r="G113" s="264"/>
    </row>
    <row r="114" spans="1:7" s="268" customFormat="1" ht="45" customHeight="1" x14ac:dyDescent="0.25">
      <c r="A114" s="224"/>
      <c r="B114" s="236">
        <v>1355</v>
      </c>
      <c r="C114" s="240" t="s">
        <v>3900</v>
      </c>
      <c r="D114" s="299">
        <f ca="1">_xlfn.IFNA(VLOOKUP(B114,Worksheet!$C$3:$G$46,3,FALSE),D114)</f>
        <v>1</v>
      </c>
      <c r="E114" s="299">
        <f ca="1">_xlfn.IFNA(VLOOKUP(B114,Worksheet!$C$3:$G$46,4,FALSE),E114)</f>
        <v>0</v>
      </c>
      <c r="F114" s="299">
        <f ca="1">_xlfn.IFNA(VLOOKUP(B114,Worksheet!$C$3:$G$46,5,FALSE),F114)</f>
        <v>1</v>
      </c>
      <c r="G114" s="264" t="s">
        <v>155</v>
      </c>
    </row>
    <row r="115" spans="1:7" s="268" customFormat="1" ht="45" customHeight="1" x14ac:dyDescent="0.25">
      <c r="A115" s="224"/>
      <c r="B115" s="236">
        <v>1356</v>
      </c>
      <c r="C115" s="240" t="s">
        <v>3903</v>
      </c>
      <c r="D115" s="299">
        <f ca="1">_xlfn.IFNA(VLOOKUP(B115,Worksheet!$C$3:$G$46,3,FALSE),D115)</f>
        <v>1</v>
      </c>
      <c r="E115" s="299">
        <f ca="1">_xlfn.IFNA(VLOOKUP(B115,Worksheet!$C$3:$G$46,4,FALSE),E115)</f>
        <v>0</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yN5ToAUiPZD18HFysXTrsYiKvkrZT4wbOOJLkNEfLH7wSeVywQCwzUwMPvqP3QxFbo3qeVdS4NqZW1tYGPvquQ==" saltValue="kpU0V0JyurefinQNMrq7e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2017-02-23T12:33:40Z</dcterms:modified>
</cp:coreProperties>
</file>