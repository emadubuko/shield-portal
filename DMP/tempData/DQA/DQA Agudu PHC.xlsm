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<sst xmlns="http://schemas.openxmlformats.org/spreadsheetml/2006/main" count="27099" uniqueCount="4025">
  <si>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</si>
  <si>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</si>
  <si>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</si>
  <si>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</si>
  <si>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</si>
  <si>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</si>
  <si>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</si>
  <si>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</si>
  <si>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</si>
  <si>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</si>
  <si>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</si>
  <si>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</si>
  <si>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</si>
  <si>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</si>
  <si>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</si>
  <si>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</si>
  <si>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</si>
  <si>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</si>
  <si>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</si>
  <si>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</si>
  <si>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</si>
  <si>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</si>
  <si>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</si>
  <si>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</si>
  <si>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</si>
  <si>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</si>
  <si>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</si>
  <si>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</si>
  <si>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</si>
  <si>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</si>
  <si>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</si>
  <si>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</si>
  <si>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</si>
  <si>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</si>
  <si>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</si>
  <si>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</si>
  <si>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</si>
  <si>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</si>
  <si>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</si>
  <si>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</si>
  <si>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</si>
  <si>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</si>
  <si>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</si>
  <si>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</si>
  <si>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</si>
  <si>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</si>
  <si>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</si>
  <si>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</si>
  <si>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</si>
  <si>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</si>
  <si>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</si>
  <si>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</si>
  <si>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</si>
  <si>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</si>
  <si>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</si>
  <si>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</si>
  <si>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</si>
  <si>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</si>
  <si>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</si>
  <si>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</si>
  <si>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</si>
  <si>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</si>
  <si>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</si>
  <si>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</si>
  <si>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</si>
  <si>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</si>
  <si>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</si>
  <si>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</si>
  <si>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</si>
  <si>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</si>
  <si>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</si>
  <si>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</si>
  <si>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</si>
  <si>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</si>
  <si>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</si>
  <si>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</si>
  <si>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</si>
  <si>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</si>
  <si>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</si>
  <si>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</si>
  <si>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</si>
  <si>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</si>
  <si>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</si>
  <si>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</si>
  <si>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</si>
  <si>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</si>
  <si>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</si>
  <si>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</si>
  <si>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</si>
  <si>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</si>
  <si>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</si>
  <si>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</si>
  <si>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</si>
  <si>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</si>
  <si>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</si>
  <si>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</si>
  <si>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</si>
  <si>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</si>
  <si>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</si>
  <si>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</si>
  <si>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</si>
  <si>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</si>
  <si>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</si>
  <si>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</si>
  <si>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</si>
  <si>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</si>
  <si>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</si>
  <si>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</si>
  <si>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</si>
  <si>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</si>
  <si>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</si>
  <si>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</si>
  <si>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</si>
  <si>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</si>
  <si>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</si>
  <si>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</si>
  <si>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</si>
  <si>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</si>
  <si>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</si>
  <si>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</si>
  <si>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</si>
  <si>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</si>
  <si>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</si>
  <si>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</si>
  <si>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</si>
  <si>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</si>
  <si>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</si>
  <si>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</si>
  <si>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</si>
  <si>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</si>
  <si>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</si>
  <si>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</si>
  <si>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</si>
  <si>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</si>
  <si>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</si>
  <si>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</si>
  <si>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</si>
  <si>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</si>
  <si>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</si>
  <si>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</si>
  <si>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</si>
  <si>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</si>
  <si>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</si>
  <si>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</si>
  <si>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</si>
  <si>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</si>
  <si>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</si>
  <si>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</si>
  <si>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</si>
  <si>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</si>
  <si>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</si>
  <si>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</si>
  <si>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</si>
  <si>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</si>
  <si>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</si>
  <si>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</si>
  <si>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</si>
  <si>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</si>
  <si>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</si>
  <si>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</si>
  <si>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</si>
  <si>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</si>
  <si>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</si>
  <si>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</si>
  <si>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</si>
  <si>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</si>
  <si>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</si>
  <si>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</si>
  <si>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</si>
  <si>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</si>
  <si>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</si>
  <si>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</si>
  <si>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</si>
  <si>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</si>
  <si>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</si>
  <si>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</si>
  <si>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</si>
  <si>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</si>
  <si>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</si>
  <si>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</si>
  <si>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</si>
  <si>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</si>
  <si>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</si>
  <si>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</si>
  <si>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</si>
  <si>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</si>
  <si>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</si>
  <si>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</si>
  <si>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</si>
  <si>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</si>
  <si>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</si>
  <si>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</si>
  <si>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</si>
  <si>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</si>
  <si>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</si>
  <si>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</si>
  <si>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</si>
  <si>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</si>
  <si>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</si>
  <si>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</si>
  <si>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</si>
  <si>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</si>
  <si>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</si>
  <si>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</si>
  <si>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</si>
  <si>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</si>
  <si>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</si>
  <si>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</si>
  <si>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</si>
  <si>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</si>
  <si>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</si>
  <si>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</si>
  <si>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</si>
  <si>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</si>
  <si>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</si>
  <si>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</si>
  <si>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</si>
  <si>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</si>
  <si>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</si>
  <si>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</si>
  <si>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</si>
  <si>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</si>
  <si>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</si>
  <si>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</si>
  <si>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</si>
  <si>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</si>
  <si>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</si>
  <si>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</si>
  <si>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</si>
  <si>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</si>
  <si>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</si>
  <si>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</si>
  <si>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</si>
  <si>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</si>
  <si>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</si>
  <si>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</si>
  <si>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</si>
  <si>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</si>
  <si>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</si>
  <si>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</si>
  <si>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</si>
  <si>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</si>
  <si>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</si>
  <si>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</si>
  <si>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</si>
  <si>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</si>
  <si>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</si>
  <si>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</si>
  <si>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</si>
  <si>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</si>
  <si>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</si>
  <si>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</si>
  <si>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</si>
  <si>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</si>
  <si>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</si>
  <si>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</si>
  <si>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</si>
  <si>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</si>
  <si>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</si>
  <si>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</si>
  <si>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</si>
  <si>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</si>
  <si>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</si>
  <si>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</si>
  <si>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</si>
  <si>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</si>
  <si>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</si>
  <si>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</si>
  <si>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</si>
  <si>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</si>
  <si>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</si>
  <si>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</si>
  <si>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</si>
  <si>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</si>
  <si>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</si>
  <si>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</si>
  <si>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</si>
  <si>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</si>
  <si>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</si>
  <si>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</si>
  <si>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</si>
  <si>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</si>
  <si>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</si>
  <si>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</si>
  <si>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</si>
  <si>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</si>
  <si>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</si>
  <si>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</si>
  <si>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</si>
  <si>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</si>
  <si>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</si>
  <si>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</si>
  <si>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</si>
  <si>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</si>
  <si>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</si>
  <si>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</si>
  <si>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</si>
  <si>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</si>
  <si>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</si>
  <si>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</si>
  <si>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</si>
  <si>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</si>
  <si>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</si>
  <si>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</si>
  <si>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</si>
  <si>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</si>
  <si>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</si>
  <si>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</si>
  <si>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</si>
  <si>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</si>
  <si>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</si>
  <si>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</si>
  <si>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</si>
  <si>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</si>
  <si>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</si>
  <si>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</si>
  <si>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</si>
  <si>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</si>
  <si>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</si>
  <si>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</si>
  <si>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</si>
  <si>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</si>
  <si>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</si>
  <si>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</si>
  <si>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</si>
  <si>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</si>
  <si>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</si>
  <si>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</si>
  <si>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</si>
  <si>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</si>
  <si>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</si>
  <si>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</si>
  <si>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</si>
  <si>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</si>
  <si>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</si>
  <si>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</si>
  <si>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</si>
  <si>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</si>
  <si>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</si>
  <si>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</si>
  <si>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</si>
  <si>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</si>
  <si>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</si>
  <si>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</si>
  <si>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</si>
  <si>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</si>
  <si>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</si>
  <si>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</si>
  <si>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</si>
  <si>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</si>
  <si>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</si>
  <si>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</si>
  <si>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</si>
  <si>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</si>
  <si>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</si>
  <si>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</si>
  <si>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</si>
  <si>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</si>
  <si>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</si>
  <si>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</si>
  <si>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</si>
  <si>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</si>
  <si>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</si>
  <si>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</si>
  <si>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</si>
  <si>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</si>
  <si>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</si>
  <si>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</si>
  <si>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</si>
  <si>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</si>
  <si>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</si>
  <si>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</si>
  <si>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</si>
  <si>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</si>
  <si>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</si>
  <si>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</si>
  <si>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</si>
  <si>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</si>
  <si>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</si>
  <si>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</si>
  <si>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</si>
  <si>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</si>
  <si>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</si>
  <si>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</si>
  <si>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</si>
  <si>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</si>
  <si>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</si>
  <si>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</si>
  <si>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</si>
  <si>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</si>
  <si>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</si>
  <si>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</si>
  <si>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</si>
  <si>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</si>
  <si>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</si>
  <si>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</si>
  <si>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</si>
  <si>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</si>
  <si>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</si>
  <si>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</si>
  <si>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</si>
  <si>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</si>
  <si>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</si>
  <si>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</si>
  <si>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</si>
  <si>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</si>
  <si>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</si>
  <si>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</si>
  <si>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</si>
  <si>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</si>
  <si>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</si>
  <si>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</si>
  <si>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</si>
  <si>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</si>
  <si>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</si>
  <si>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</si>
  <si>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</si>
  <si>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</si>
  <si>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</si>
  <si>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</si>
  <si>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</si>
  <si>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</si>
  <si>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</si>
  <si>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</si>
  <si>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</si>
  <si>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</si>
  <si>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</si>
  <si>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</si>
  <si>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</si>
  <si>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</si>
  <si>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</si>
  <si>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</si>
  <si>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</si>
  <si>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</si>
  <si>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</si>
  <si>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</si>
  <si>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</si>
  <si>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</si>
  <si>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</si>
  <si>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</si>
  <si>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</si>
  <si>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</si>
  <si>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</si>
  <si>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</si>
  <si>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</si>
  <si>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</si>
  <si>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</si>
  <si>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</si>
  <si>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</si>
  <si>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</si>
  <si>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</si>
  <si>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</si>
  <si>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</si>
  <si>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</si>
  <si>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</si>
  <si>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</si>
  <si>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</si>
  <si>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</si>
  <si>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</si>
  <si>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</si>
  <si>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</si>
  <si>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</si>
  <si>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</si>
  <si>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</si>
  <si>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</si>
  <si>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</si>
  <si>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</si>
  <si>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</si>
  <si>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</si>
  <si>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</si>
  <si>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</si>
  <si>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</si>
  <si>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</si>
  <si>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</si>
  <si>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</si>
  <si>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</si>
  <si>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</si>
  <si>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</si>
  <si>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</si>
  <si>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</si>
  <si>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</si>
  <si>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</si>
  <si>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</si>
  <si>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</si>
  <si>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</si>
  <si>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</si>
  <si>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</si>
  <si>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</si>
  <si>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</si>
  <si>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</si>
  <si>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</si>
  <si>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</si>
  <si>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</si>
  <si>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</si>
  <si>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</si>
  <si>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</si>
  <si>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</si>
  <si>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</si>
  <si>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</si>
  <si>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</si>
  <si>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</si>
  <si>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</si>
  <si>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</si>
  <si>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</si>
  <si>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</si>
  <si>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</si>
  <si>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</si>
  <si>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</si>
  <si>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</si>
  <si>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</si>
  <si>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</si>
  <si>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</si>
  <si>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</si>
  <si>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</si>
  <si>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</si>
  <si>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</si>
  <si>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</si>
  <si>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</si>
  <si>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</si>
  <si>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</si>
  <si>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</si>
  <si>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</si>
  <si>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</si>
  <si>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</si>
  <si>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</si>
  <si>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</si>
  <si>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</si>
  <si>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</si>
  <si>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</si>
  <si>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</si>
  <si>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</si>
  <si>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</si>
  <si>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</si>
  <si>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</si>
  <si>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</si>
  <si>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</si>
  <si>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</si>
  <si>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</si>
  <si>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</si>
  <si>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</si>
  <si>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</si>
  <si>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</si>
  <si>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</si>
  <si>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</si>
  <si>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</si>
  <si>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</si>
  <si>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</si>
  <si>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</si>
  <si>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</si>
  <si>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</si>
  <si>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</si>
  <si>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</si>
  <si>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</si>
  <si>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</si>
  <si>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</si>
  <si>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</si>
  <si>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</si>
  <si>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</si>
  <si>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</si>
  <si>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</si>
  <si>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</si>
  <si>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</si>
  <si>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</si>
  <si>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</si>
  <si>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</si>
  <si>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</si>
  <si>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</si>
  <si>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</si>
  <si>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</si>
  <si>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</si>
  <si>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</si>
  <si>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</si>
  <si>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</si>
  <si>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</si>
  <si>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</si>
  <si>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</si>
  <si>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</si>
  <si>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</si>
  <si>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</si>
  <si>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</si>
  <si>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</si>
  <si>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</si>
  <si>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</si>
  <si>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</si>
  <si>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</si>
  <si>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</si>
  <si>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</si>
  <si>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</si>
  <si>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</si>
  <si>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</si>
  <si>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</si>
  <si>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</si>
  <si>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</si>
  <si>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</si>
  <si>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</si>
  <si>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</si>
  <si>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</si>
  <si>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</si>
  <si>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</si>
  <si>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</si>
  <si>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</si>
  <si>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</si>
  <si>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</si>
  <si>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</si>
  <si>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</si>
  <si>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</si>
  <si>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</si>
  <si>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</si>
  <si>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</si>
  <si>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</si>
  <si>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</si>
  <si>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</si>
  <si>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</si>
  <si>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</si>
  <si>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</si>
  <si>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</si>
  <si>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</si>
  <si>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</si>
  <si>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</si>
  <si>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</si>
  <si>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</si>
  <si>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</si>
  <si>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</si>
  <si>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</si>
  <si>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</si>
  <si>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</si>
  <si>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</si>
  <si>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</si>
  <si>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</si>
  <si>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</si>
  <si>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</si>
  <si>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</si>
  <si>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</si>
  <si>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</si>
  <si>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</si>
  <si>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</si>
  <si>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</si>
  <si>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</si>
  <si>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</si>
  <si>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</si>
  <si>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</si>
  <si>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</si>
  <si>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</si>
  <si>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</si>
  <si>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</si>
  <si>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</si>
  <si>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</si>
  <si>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</si>
  <si>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</si>
  <si>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</si>
  <si>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</si>
  <si>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</si>
  <si>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</si>
  <si>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</si>
  <si>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</si>
  <si>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</si>
  <si>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</si>
  <si>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</si>
  <si>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</si>
  <si>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</si>
  <si>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</si>
  <si>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</si>
  <si>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</si>
  <si>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</si>
  <si>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</si>
  <si>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</si>
  <si>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</si>
  <si>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</si>
  <si>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</si>
  <si>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</si>
  <si>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</si>
  <si>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</si>
  <si>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</si>
  <si>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</si>
  <si>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</si>
  <si>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</si>
  <si>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</si>
  <si>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</si>
  <si>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</si>
  <si>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</si>
  <si>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</si>
  <si>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</si>
  <si>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</si>
  <si>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</si>
  <si>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</si>
  <si>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</si>
  <si>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</si>
  <si>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</si>
  <si>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</si>
  <si>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</si>
  <si>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</si>
  <si>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</si>
  <si>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</si>
  <si>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</si>
  <si>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</si>
  <si>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</si>
  <si>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</si>
  <si>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</si>
  <si>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</si>
  <si>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</si>
  <si>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</si>
  <si>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</si>
  <si>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</si>
  <si>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</si>
  <si>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</si>
  <si>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</si>
  <si>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</si>
  <si>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</si>
  <si>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</si>
  <si>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</si>
  <si>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</si>
  <si>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</si>
  <si>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</si>
  <si>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</si>
  <si>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</si>
  <si>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</si>
  <si>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</si>
  <si>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</si>
  <si>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</si>
  <si>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</si>
  <si>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</si>
  <si>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</si>
  <si>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</si>
  <si>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</si>
  <si>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</si>
  <si>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</si>
  <si>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</si>
  <si>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</si>
  <si>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</si>
  <si>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</si>
  <si>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</si>
  <si>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</si>
  <si>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</si>
  <si>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</si>
  <si>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</si>
  <si>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</si>
  <si>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</si>
  <si>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</si>
  <si>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</si>
  <si>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</si>
  <si>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</si>
  <si>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</si>
  <si>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</si>
  <si>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</si>
  <si>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</si>
  <si>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</si>
  <si>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</si>
  <si>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</si>
  <si>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</si>
  <si>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</si>
  <si>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</si>
  <si>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</si>
  <si>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</si>
  <si>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</si>
  <si>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</si>
  <si>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</si>
  <si>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</si>
  <si>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</si>
  <si>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</si>
  <si>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</si>
  <si>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</si>
  <si>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</si>
  <si>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</si>
  <si>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</si>
  <si>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</si>
  <si>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</si>
  <si>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</si>
  <si>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</si>
  <si>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</si>
  <si>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</si>
  <si>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</si>
  <si>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</si>
  <si>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</si>
  <si>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</si>
  <si>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</si>
  <si>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</si>
  <si>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</si>
  <si>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</si>
  <si>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</si>
  <si>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</si>
  <si>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</si>
  <si>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</si>
  <si>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</si>
  <si>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</si>
  <si>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</si>
  <si>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</si>
  <si>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</si>
  <si>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</si>
  <si>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</si>
  <si>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</si>
  <si>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</si>
  <si>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</si>
  <si>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</si>
  <si>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</si>
  <si>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</si>
  <si>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</si>
  <si>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</si>
  <si>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</si>
  <si>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</si>
  <si>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</si>
  <si>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</si>
  <si>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</si>
  <si>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</si>
  <si>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</si>
  <si>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</si>
  <si>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</si>
  <si>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</si>
  <si>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</si>
  <si>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</si>
  <si>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</si>
  <si>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</si>
  <si>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</si>
  <si>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</si>
  <si>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</si>
  <si>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</si>
  <si>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</si>
  <si>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</si>
  <si>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</si>
  <si>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</si>
  <si>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</si>
  <si>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</si>
  <si>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</si>
  <si>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</si>
  <si>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</si>
  <si>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</si>
  <si>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</si>
  <si>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</si>
  <si>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</si>
  <si>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</si>
  <si>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</si>
  <si>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</si>
  <si>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</si>
  <si>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</si>
  <si>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</si>
  <si>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</si>
  <si>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</si>
  <si>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</si>
  <si>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</si>
  <si>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</si>
  <si>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</si>
  <si>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</si>
  <si>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</si>
  <si>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</si>
  <si>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</si>
  <si>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</si>
  <si>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</si>
  <si>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</si>
  <si>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</si>
  <si>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</si>
  <si>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</si>
  <si>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</si>
  <si>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</si>
  <si>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</si>
  <si>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</si>
  <si>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</si>
  <si>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</si>
  <si>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</si>
  <si>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</si>
  <si>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</si>
  <si>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</si>
  <si>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</si>
  <si>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</si>
  <si>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</si>
  <si>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</si>
  <si>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</si>
  <si>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</si>
  <si>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</si>
  <si>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</si>
  <si>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</si>
  <si>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</si>
  <si>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</si>
  <si>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</si>
  <si>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</si>
  <si>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</si>
  <si>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</si>
  <si>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</si>
  <si>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</si>
  <si>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</si>
  <si>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</si>
  <si>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</si>
  <si>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</si>
  <si>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</si>
  <si>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</si>
  <si>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</si>
  <si>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</si>
  <si>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</si>
  <si>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</si>
  <si>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</si>
  <si>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</si>
  <si>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</si>
  <si>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</si>
  <si>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</si>
  <si>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</si>
  <si>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</si>
  <si>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</si>
  <si>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</si>
  <si>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</si>
  <si>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</si>
  <si>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</si>
  <si>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</si>
  <si>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</si>
  <si>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</si>
  <si>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</si>
  <si>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</si>
  <si>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</si>
  <si>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</si>
  <si>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</si>
  <si>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</si>
  <si>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</si>
  <si>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</si>
  <si>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</si>
  <si>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</si>
  <si>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</si>
  <si>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</si>
  <si>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</si>
  <si>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</si>
  <si>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</si>
  <si>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</si>
  <si>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</si>
  <si>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</si>
  <si>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</si>
  <si>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</si>
  <si>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</si>
  <si>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</si>
  <si>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</si>
  <si>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</si>
  <si>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</si>
  <si>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</si>
  <si>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</si>
  <si>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</si>
  <si>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</si>
  <si>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</si>
  <si>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</si>
  <si>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</si>
  <si>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</si>
  <si>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</si>
  <si>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</si>
  <si>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</si>
  <si>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</si>
  <si>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</si>
  <si>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</si>
  <si>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</si>
  <si>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</si>
  <si>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</si>
  <si>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</si>
  <si>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</si>
  <si>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</si>
  <si>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</si>
  <si>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</si>
  <si>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</si>
  <si>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</si>
  <si>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</si>
  <si>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</si>
  <si>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</si>
  <si>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</si>
  <si>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</si>
  <si>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</si>
  <si>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</si>
  <si>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</si>
  <si>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</si>
  <si>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</si>
  <si>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</si>
  <si>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</si>
  <si>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</si>
  <si>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</si>
  <si>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</si>
  <si>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</si>
  <si>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</si>
  <si>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</si>
  <si>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</si>
  <si>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</si>
  <si>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</si>
  <si>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</si>
  <si>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</si>
  <si>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</si>
  <si>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</si>
  <si>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</si>
  <si>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</si>
  <si>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</si>
  <si>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</si>
  <si>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</si>
  <si>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</si>
  <si>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</si>
  <si>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</si>
  <si>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</si>
  <si>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</si>
  <si>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</si>
  <si>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</si>
  <si>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</si>
  <si>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</si>
  <si>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</si>
  <si>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</si>
  <si>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</si>
  <si>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</si>
  <si>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</si>
  <si>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</si>
  <si>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</si>
  <si>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</si>
  <si>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</si>
  <si>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</si>
  <si>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</si>
  <si>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</si>
  <si>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</si>
  <si>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</si>
  <si>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</si>
  <si>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</si>
  <si>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</si>
  <si>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</si>
  <si>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</si>
  <si>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</si>
  <si>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</si>
  <si>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</si>
  <si>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</si>
  <si>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</si>
  <si>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</si>
  <si>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</si>
  <si>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</si>
  <si>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</si>
  <si>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</si>
  <si>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</si>
  <si>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</si>
  <si>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</si>
  <si>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</si>
  <si>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</si>
  <si>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</si>
  <si>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</si>
  <si>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</si>
  <si>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</si>
  <si>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</si>
  <si>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</si>
  <si>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</si>
  <si>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</si>
  <si>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</si>
  <si>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</si>
  <si>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</si>
  <si>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</si>
  <si>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</si>
  <si>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</si>
  <si>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</si>
  <si>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</si>
  <si>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</si>
  <si>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</si>
  <si>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</si>
  <si>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</si>
  <si>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</si>
  <si>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</si>
  <si>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</si>
  <si>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</si>
  <si>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</si>
  <si>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</si>
  <si>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</si>
  <si>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</si>
  <si>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</si>
  <si>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</si>
  <si>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</si>
  <si>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</si>
  <si>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</si>
  <si>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</si>
  <si>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</si>
  <si>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</si>
  <si>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</si>
  <si>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</si>
  <si>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</si>
  <si>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</si>
  <si>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</si>
  <si>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</si>
  <si>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</si>
  <si>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</si>
  <si>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</si>
  <si>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</si>
  <si>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</si>
  <si>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</si>
  <si>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</si>
  <si>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</si>
  <si>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</si>
  <si>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</si>
  <si>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</si>
  <si>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</si>
  <si>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</si>
  <si>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</si>
  <si>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</si>
  <si>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</si>
  <si>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</si>
  <si>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</si>
  <si>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</si>
  <si>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</si>
  <si>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</si>
  <si>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</si>
  <si>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</si>
  <si>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</si>
  <si>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</si>
  <si>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</si>
  <si>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</si>
  <si>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</si>
  <si>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</si>
  <si>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</si>
  <si>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</si>
  <si>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</si>
  <si>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</si>
  <si>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</si>
  <si>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</si>
  <si>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</si>
  <si>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</si>
  <si>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</si>
  <si>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</si>
  <si>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</si>
  <si>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</si>
  <si>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</si>
  <si>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</si>
  <si>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</si>
  <si>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</si>
  <si>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</si>
  <si>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</si>
  <si>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</si>
  <si>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</si>
  <si>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</si>
  <si>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</si>
  <si>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</si>
  <si>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</si>
  <si>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</si>
  <si>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</si>
  <si>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</si>
  <si>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</si>
  <si>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</si>
  <si>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</si>
  <si>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</si>
  <si>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</si>
  <si>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</si>
  <si>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</si>
  <si>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</si>
  <si>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</si>
  <si>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</si>
  <si>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</si>
  <si>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</si>
  <si>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</si>
  <si>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</si>
  <si>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</si>
  <si>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</si>
  <si>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</si>
  <si>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</si>
  <si>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</si>
  <si>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</si>
  <si>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</si>
  <si>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</si>
  <si>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</si>
  <si>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</si>
  <si>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</si>
  <si>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</si>
  <si>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</si>
  <si>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</si>
  <si>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</si>
  <si>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</si>
  <si>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</si>
  <si>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</si>
  <si>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</si>
  <si>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</si>
  <si>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</si>
  <si>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</si>
  <si>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</si>
  <si>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</si>
  <si>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</si>
  <si>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</si>
  <si>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</si>
  <si>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</si>
  <si>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</si>
  <si>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</si>
  <si>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</si>
  <si>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</si>
  <si>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</si>
  <si>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</si>
  <si>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</si>
  <si>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</si>
  <si>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</si>
  <si>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</si>
  <si>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</si>
  <si>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</si>
  <si>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</si>
  <si>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</si>
  <si>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</si>
  <si>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</si>
  <si>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</si>
  <si>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</si>
  <si>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</si>
  <si>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</si>
  <si>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</si>
  <si>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</si>
  <si>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</si>
  <si>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</si>
  <si>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</si>
  <si>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</si>
  <si>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</si>
  <si>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</si>
  <si>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</si>
  <si>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</si>
  <si>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</si>
  <si>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</si>
  <si>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</si>
  <si>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</si>
  <si>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</si>
  <si>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</si>
  <si>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</si>
  <si>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</si>
  <si>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</si>
  <si>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</si>
  <si>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</si>
  <si>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</si>
  <si>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</si>
  <si>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</si>
  <si>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</si>
  <si>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</si>
  <si>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</si>
  <si>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</si>
  <si>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</si>
  <si>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</si>
  <si>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</si>
  <si>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</si>
  <si>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</si>
  <si>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</si>
  <si>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</si>
  <si>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</si>
  <si>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</si>
  <si>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</si>
  <si>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</si>
  <si>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</si>
  <si>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</si>
  <si>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</si>
  <si>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</si>
  <si>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</si>
  <si>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</si>
  <si>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</si>
  <si>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</si>
  <si>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</si>
  <si>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</si>
  <si>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</si>
  <si>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</si>
  <si>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</si>
  <si>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</si>
  <si>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</si>
  <si>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</si>
  <si>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</si>
  <si>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</si>
  <si>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</si>
  <si>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</si>
  <si>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</si>
  <si>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</si>
  <si>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</si>
  <si>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</si>
  <si>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</si>
  <si>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</si>
  <si>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</si>
  <si>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</si>
  <si>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</si>
  <si>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</si>
  <si>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</si>
  <si>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</si>
  <si>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</si>
  <si>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</si>
  <si>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</si>
  <si>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</si>
  <si>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</si>
  <si>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</si>
  <si>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</si>
  <si>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</si>
  <si>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</si>
  <si>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</si>
  <si>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</si>
  <si>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</si>
  <si>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</si>
  <si>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</si>
  <si>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</si>
  <si>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</si>
  <si>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</si>
  <si>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</si>
  <si>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</si>
  <si>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</si>
  <si>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</si>
  <si>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</si>
  <si>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</si>
  <si>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</si>
  <si>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</si>
  <si>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</si>
  <si>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</si>
  <si>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</si>
  <si>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</si>
  <si>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</si>
  <si>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</si>
  <si>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</si>
  <si>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</si>
  <si>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</si>
  <si>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</si>
  <si>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</si>
  <si>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</si>
  <si>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</si>
  <si>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</si>
  <si>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</si>
  <si>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</si>
  <si>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</si>
  <si>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</si>
  <si>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</si>
  <si>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</si>
  <si>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</si>
  <si>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</si>
  <si>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</si>
  <si>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</si>
  <si>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</si>
  <si>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</si>
  <si>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</si>
  <si>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</si>
  <si>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</si>
  <si>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</si>
  <si>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</si>
  <si>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</si>
  <si>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</si>
  <si>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</si>
  <si>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</si>
  <si>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</si>
  <si>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</si>
  <si>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</si>
  <si>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</si>
  <si>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</si>
  <si>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</si>
  <si>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</si>
  <si>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</si>
  <si>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</si>
  <si>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</si>
  <si>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</si>
  <si>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</si>
  <si>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</si>
  <si>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</si>
  <si>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</si>
  <si>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</si>
  <si>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</si>
  <si>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</si>
  <si>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</si>
  <si>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</si>
  <si>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</si>
  <si>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</si>
  <si>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</si>
  <si>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</si>
  <si>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</si>
  <si>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</si>
  <si>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</si>
  <si>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</si>
  <si>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</si>
  <si>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</si>
  <si>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</si>
  <si>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</si>
  <si>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</si>
  <si>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</si>
  <si>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</si>
  <si>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</si>
  <si>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</si>
  <si>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</si>
  <si>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</si>
  <si>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</si>
  <si>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</si>
  <si>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</si>
  <si>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</si>
  <si>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</si>
  <si>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</si>
  <si>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</si>
  <si>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</si>
  <si>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</si>
  <si>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</si>
  <si>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</si>
  <si>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</si>
  <si>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</si>
  <si>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</si>
  <si>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</si>
  <si>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</si>
  <si>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</si>
  <si>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</si>
  <si>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</si>
  <si>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</si>
  <si>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</si>
  <si>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</si>
  <si>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</si>
  <si>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</si>
  <si>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</si>
  <si>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</si>
  <si>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</si>
  <si>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</si>
  <si>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</si>
  <si>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</si>
  <si>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</si>
  <si>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</si>
  <si>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</si>
  <si>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</si>
  <si>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</si>
  <si>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</si>
  <si>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</si>
  <si>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</si>
  <si>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</si>
  <si>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</si>
  <si>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</si>
  <si>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</si>
  <si>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</si>
  <si>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</si>
  <si>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</si>
  <si>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</si>
  <si>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</si>
  <si>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</si>
  <si>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</si>
  <si>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</si>
  <si>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</si>
  <si>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</si>
  <si>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</si>
  <si>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</si>
  <si>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</si>
  <si>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</si>
  <si>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</si>
  <si>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</si>
  <si>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</si>
  <si>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</si>
  <si>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</si>
  <si>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</si>
  <si>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</si>
  <si>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</si>
  <si>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</si>
  <si>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</si>
  <si>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</si>
  <si>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</si>
  <si>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</si>
  <si>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</si>
  <si>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</si>
  <si>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</si>
  <si>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</si>
  <si>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</si>
  <si>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</si>
  <si>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</si>
  <si>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</si>
  <si>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</si>
  <si>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</si>
  <si>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</si>
  <si>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</si>
  <si>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</si>
  <si>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</si>
  <si>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</si>
  <si>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</si>
  <si>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</si>
  <si>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</si>
  <si>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</si>
  <si>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</si>
  <si>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</si>
  <si>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</si>
  <si>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</si>
  <si>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</si>
  <si>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</si>
  <si>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</si>
  <si>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</si>
  <si>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</si>
  <si>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</si>
  <si>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</si>
  <si>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</si>
  <si>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</si>
  <si>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</si>
  <si>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</si>
  <si>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</si>
  <si>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</si>
  <si>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</si>
  <si>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</si>
  <si>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</si>
  <si>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</si>
  <si>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</si>
  <si>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</si>
  <si>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</si>
  <si>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</si>
  <si>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</si>
  <si>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</si>
  <si>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</si>
  <si>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</si>
  <si>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</si>
  <si>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</si>
  <si>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</si>
  <si>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</si>
  <si>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</si>
  <si>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</si>
  <si>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</si>
  <si>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</si>
  <si>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</si>
  <si>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</si>
  <si>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</si>
  <si>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</si>
  <si>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</si>
  <si>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</si>
  <si>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</si>
  <si>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</si>
  <si>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</si>
  <si>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</si>
  <si>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</si>
  <si>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</si>
  <si>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</si>
  <si>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</si>
  <si>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</si>
  <si>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</si>
  <si>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</si>
  <si>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</si>
  <si>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</si>
  <si>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</si>
  <si>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</si>
  <si>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</si>
  <si>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</si>
  <si>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</si>
  <si>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</si>
  <si>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</si>
  <si>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</si>
  <si>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</si>
  <si>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</si>
  <si>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</si>
  <si>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</si>
  <si>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</si>
  <si>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</si>
  <si>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</si>
  <si>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</si>
  <si>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</si>
  <si>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</si>
  <si>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</si>
  <si>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</si>
  <si>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</si>
  <si>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</si>
  <si>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</si>
  <si>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</si>
  <si>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</si>
  <si>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</si>
  <si>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</si>
  <si>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</si>
  <si>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</si>
  <si>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</si>
  <si>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</si>
  <si>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</si>
  <si>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</si>
  <si>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</si>
  <si>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</si>
  <si>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</si>
  <si>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</si>
  <si>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</si>
  <si>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</si>
  <si>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</si>
  <si>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</si>
  <si>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</si>
  <si>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</si>
  <si>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</si>
  <si>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</si>
  <si>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</si>
  <si>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</si>
  <si>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</si>
  <si>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</si>
  <si>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</si>
  <si>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</si>
  <si>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</si>
  <si>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</si>
  <si>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</si>
  <si>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</si>
  <si>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</si>
  <si>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</si>
  <si>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</si>
  <si>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</si>
  <si>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</si>
  <si>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</si>
  <si>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</si>
  <si>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</si>
  <si>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</si>
  <si>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</si>
  <si>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</si>
  <si>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</si>
  <si>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</si>
  <si>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</si>
  <si>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</si>
  <si>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</si>
  <si>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</si>
  <si>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</si>
  <si>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</si>
  <si>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</si>
  <si>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</si>
  <si>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</si>
  <si>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</si>
  <si>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</si>
  <si>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</si>
  <si>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</si>
  <si>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</si>
  <si>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</si>
  <si>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</si>
  <si>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</si>
  <si>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</si>
  <si>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</si>
  <si>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</si>
  <si>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</si>
  <si>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</si>
  <si>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</si>
  <si>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</si>
  <si>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</si>
  <si>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</si>
  <si>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</si>
  <si>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</si>
  <si>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</si>
  <si>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</si>
  <si>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</si>
  <si>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</si>
  <si>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</si>
  <si>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</si>
  <si>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</si>
  <si>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</si>
  <si>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</si>
  <si>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</si>
  <si>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</si>
  <si>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</si>
  <si>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</si>
  <si>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</si>
  <si>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</si>
  <si>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</si>
  <si>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</si>
  <si>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</si>
  <si>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</si>
  <si>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</si>
  <si>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</si>
  <si>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</si>
  <si>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</si>
  <si>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</si>
  <si>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</si>
  <si>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</si>
  <si>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</si>
  <si>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</si>
  <si>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</si>
  <si>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</si>
  <si>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</si>
  <si>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</si>
  <si>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</si>
  <si>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</si>
  <si>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</si>
  <si>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</si>
  <si>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</si>
  <si>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</si>
  <si>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</si>
  <si>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</si>
  <si>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</si>
  <si>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</si>
  <si>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</si>
  <si>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</si>
  <si>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</si>
  <si>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</si>
  <si>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</si>
  <si>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</si>
  <si>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</si>
  <si>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</si>
  <si>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</si>
  <si>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</si>
  <si>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</si>
  <si>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</si>
  <si>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</si>
  <si>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</si>
  <si>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</si>
  <si>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</si>
  <si>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</si>
  <si>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</si>
  <si>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</si>
  <si>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</si>
  <si>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</si>
  <si>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</si>
  <si>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</si>
  <si>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</si>
  <si>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</si>
  <si>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</si>
  <si>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</si>
  <si>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</si>
  <si>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</si>
  <si>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</si>
  <si>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</si>
  <si>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</si>
  <si>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</si>
  <si>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</si>
  <si>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</si>
  <si>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</si>
  <si>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</si>
  <si>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</si>
  <si>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</si>
  <si>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</si>
  <si>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</si>
  <si>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</si>
  <si>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</si>
  <si>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</si>
  <si>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</si>
  <si>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</si>
  <si>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</si>
  <si>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</si>
  <si>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</si>
  <si>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</si>
  <si>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</si>
  <si>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</si>
  <si>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</si>
  <si>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</si>
  <si>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</si>
  <si>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</si>
  <si>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</si>
  <si>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</si>
  <si>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</si>
  <si>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</si>
  <si>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</si>
  <si>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</si>
  <si>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</si>
  <si>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</si>
  <si>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</si>
  <si>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</si>
  <si>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</si>
  <si>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</si>
  <si>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</si>
  <si>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</si>
  <si>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</si>
  <si>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</si>
  <si>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</si>
  <si>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</si>
  <si>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</si>
  <si>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</si>
  <si>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</si>
  <si>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</si>
  <si>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</si>
  <si>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</si>
  <si>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</si>
  <si>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</si>
  <si>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</si>
  <si>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</si>
  <si>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</si>
  <si>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</si>
  <si>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</si>
  <si>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</si>
  <si>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</si>
  <si>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</si>
  <si>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</si>
  <si>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</si>
  <si>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</si>
  <si>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</si>
  <si>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</si>
  <si>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</si>
  <si>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</si>
  <si>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</si>
  <si>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</si>
  <si>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</si>
  <si>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</si>
  <si>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</si>
  <si>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</si>
  <si>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</si>
  <si>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</si>
  <si>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</si>
  <si>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</si>
  <si>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</si>
  <si>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</si>
  <si>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</si>
  <si>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</si>
  <si>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</si>
  <si>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</si>
  <si>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</si>
  <si>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</si>
  <si>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</si>
  <si>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</si>
  <si>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</si>
  <si>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</si>
  <si>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</si>
  <si>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</si>
  <si>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</si>
  <si>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</si>
  <si>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</si>
  <si>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</si>
  <si>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</si>
  <si>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</si>
  <si>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</si>
  <si>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</si>
  <si>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</si>
  <si>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</si>
  <si>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</si>
  <si>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</si>
  <si>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</si>
  <si>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</si>
  <si>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</si>
  <si>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</si>
  <si>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</si>
  <si>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</si>
  <si>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</si>
  <si>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</si>
  <si>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</si>
  <si>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</si>
  <si>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</si>
  <si>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</si>
  <si>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</si>
  <si>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</si>
  <si>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</si>
  <si>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</si>
  <si>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</si>
  <si>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</si>
  <si>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</si>
  <si>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</si>
  <si>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</si>
  <si>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</si>
  <si>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</si>
  <si>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</si>
  <si>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</si>
  <si>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</si>
  <si>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</si>
  <si>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</si>
  <si>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</si>
  <si>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</si>
  <si>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</si>
  <si>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</si>
  <si>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</si>
  <si>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</si>
  <si>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</si>
  <si>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</si>
  <si>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</si>
  <si>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</si>
  <si>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</si>
  <si>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</si>
  <si>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</si>
  <si>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</si>
  <si>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</si>
  <si>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</si>
  <si>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</si>
  <si>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</si>
  <si>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</si>
  <si>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</si>
  <si>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</si>
  <si>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</si>
  <si>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</si>
  <si>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</si>
  <si>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</si>
  <si>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</si>
  <si>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</si>
  <si>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</si>
  <si>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</si>
  <si>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</si>
  <si>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</si>
  <si>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</si>
  <si>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</si>
  <si>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</si>
  <si>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</si>
  <si>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</si>
  <si>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</si>
  <si>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</si>
  <si>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</si>
  <si>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</si>
  <si>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</si>
  <si>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</si>
  <si>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</si>
  <si>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</si>
  <si>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</si>
  <si>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</si>
  <si>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</si>
  <si>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</si>
  <si>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</si>
  <si>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</si>
  <si>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</si>
  <si>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</si>
  <si>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</si>
  <si>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</si>
  <si>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</si>
  <si>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</si>
  <si>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</si>
  <si>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</si>
  <si>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</si>
  <si>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</si>
  <si>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</si>
  <si>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</si>
  <si>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</si>
  <si>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</si>
  <si>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</si>
  <si>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</si>
  <si>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</si>
  <si>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</si>
  <si>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</si>
  <si>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</si>
  <si>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</si>
  <si>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</si>
  <si>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</si>
  <si>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</si>
  <si>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</si>
  <si>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</si>
  <si>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</si>
  <si>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</si>
  <si>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</si>
  <si>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</si>
  <si>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</si>
  <si>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</si>
  <si>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</si>
  <si>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</si>
  <si>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</si>
  <si>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</si>
  <si>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</si>
  <si>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</si>
  <si>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</si>
  <si>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</si>
  <si>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</si>
  <si>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</si>
  <si>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</si>
  <si>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</si>
  <si>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</si>
  <si>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</si>
  <si>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</si>
  <si>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</si>
  <si>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</si>
  <si>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</si>
  <si>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</si>
  <si>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</si>
  <si>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</si>
  <si>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</si>
  <si>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</si>
  <si>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</si>
  <si>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</si>
  <si>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</si>
  <si>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</si>
  <si>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</si>
  <si>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</si>
  <si>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</si>
  <si>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</si>
  <si>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</si>
  <si>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</si>
  <si>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</si>
  <si>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</si>
  <si>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</si>
  <si>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</si>
  <si>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</si>
  <si>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</si>
  <si>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</si>
  <si>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</si>
  <si>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</si>
  <si>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</si>
  <si>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</si>
  <si>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</si>
  <si>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</si>
  <si>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</si>
  <si>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</si>
  <si>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</si>
  <si>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</si>
  <si>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</si>
  <si>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</si>
  <si>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</si>
  <si>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</si>
  <si>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</si>
  <si>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</si>
  <si>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</si>
  <si>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</si>
  <si>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</si>
  <si>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</si>
  <si>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</si>
  <si>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</si>
  <si>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</si>
  <si>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</si>
  <si>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</si>
  <si>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</si>
  <si>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</si>
  <si>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</si>
  <si>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</si>
  <si>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</si>
  <si>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</si>
  <si>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</si>
  <si>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</si>
  <si>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</si>
  <si>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</si>
  <si>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</si>
  <si>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</si>
  <si>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</si>
  <si>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</si>
  <si>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</si>
  <si>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</si>
  <si>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</si>
  <si>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</si>
  <si>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</si>
  <si>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</si>
  <si>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</si>
  <si>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</si>
  <si>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</si>
  <si>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</si>
  <si>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</si>
  <si>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</si>
  <si>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</si>
  <si>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</si>
  <si>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</si>
  <si>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</si>
  <si>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</si>
  <si>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</si>
  <si>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</si>
  <si>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</si>
  <si>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</si>
  <si>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</si>
  <si>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</si>
  <si>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</si>
  <si>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</si>
  <si>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</si>
  <si>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</si>
  <si>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</si>
  <si>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</si>
  <si>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</si>
  <si>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</si>
  <si>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</si>
  <si>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</si>
  <si>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</si>
  <si>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</si>
  <si>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</si>
  <si>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</si>
  <si>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</si>
  <si>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</si>
  <si>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</si>
  <si>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</si>
  <si>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</si>
  <si>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</si>
  <si>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</si>
  <si>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</si>
  <si>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</si>
  <si>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</si>
  <si>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</si>
  <si>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</si>
  <si>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</si>
  <si>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</si>
  <si>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</si>
  <si>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</si>
  <si>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</si>
  <si>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</si>
  <si>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</si>
  <si>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</si>
  <si>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</si>
  <si>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</si>
  <si>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</si>
  <si>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</si>
  <si>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</si>
  <si>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</si>
  <si>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</si>
  <si>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</si>
  <si>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</si>
  <si>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</si>
  <si>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</si>
  <si>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</si>
  <si>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</si>
  <si>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</si>
  <si>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</si>
  <si>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</si>
  <si>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</si>
  <si>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</si>
  <si>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</si>
  <si>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</si>
  <si>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</si>
  <si>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</si>
  <si>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</si>
  <si>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</si>
  <si>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</si>
  <si>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</si>
  <si>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</si>
  <si>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</si>
  <si>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</si>
  <si>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</si>
  <si>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</si>
  <si>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</si>
  <si>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</si>
  <si>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</si>
  <si>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</si>
  <si>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</si>
  <si>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</si>
  <si>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</si>
  <si>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</si>
  <si>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</si>
  <si>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</si>
  <si>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</si>
  <si>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</si>
  <si>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</si>
  <si>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</si>
  <si>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</si>
  <si>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</si>
  <si>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</si>
  <si>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</si>
  <si>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</si>
  <si>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</si>
  <si>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</si>
  <si>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</si>
  <si>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</si>
  <si>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</si>
  <si>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</si>
  <si>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</si>
  <si>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</si>
  <si>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</si>
  <si>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</si>
  <si>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</si>
  <si>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</si>
  <si>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</si>
  <si>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</si>
  <si>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</si>
  <si>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</si>
  <si>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</si>
  <si>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</si>
  <si>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</si>
  <si>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</si>
  <si>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</si>
  <si>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</si>
  <si>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</si>
  <si>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</si>
  <si>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</si>
  <si>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</si>
  <si>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</si>
  <si>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</si>
  <si>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</si>
  <si>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</si>
  <si>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</si>
  <si>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</si>
  <si>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</si>
  <si>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</si>
  <si>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</si>
  <si>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</si>
  <si>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</si>
  <si>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</si>
  <si>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</si>
  <si>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</si>
  <si>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</si>
  <si>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</si>
  <si>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</si>
  <si>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</si>
  <si>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</si>
  <si>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</si>
  <si>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</si>
  <si>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</si>
  <si>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</si>
  <si>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</si>
  <si>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</si>
  <si>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</si>
  <si>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</si>
  <si>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</si>
  <si>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</si>
  <si>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</si>
  <si>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</si>
  <si>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</si>
  <si>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</si>
  <si>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</si>
  <si>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</si>
  <si>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</si>
  <si>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</si>
  <si>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</si>
  <si>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</si>
  <si>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</si>
  <si>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</si>
  <si>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</si>
  <si>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</si>
  <si>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</si>
  <si>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</si>
  <si>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</si>
  <si>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</si>
  <si>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</si>
  <si>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</si>
  <si>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</si>
  <si>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</si>
  <si>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</si>
  <si>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</si>
  <si>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</si>
  <si>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</si>
  <si>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</si>
  <si>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</si>
  <si>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</si>
  <si>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</si>
  <si>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</si>
  <si>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</si>
  <si>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</si>
  <si>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</si>
  <si>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</si>
  <si>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</si>
  <si>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</si>
  <si>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</si>
  <si>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</si>
  <si>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</si>
  <si>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</si>
  <si>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</si>
  <si>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</si>
  <si>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</si>
  <si>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</si>
  <si>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</si>
  <si>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</si>
  <si>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</si>
  <si>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</si>
  <si>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</si>
  <si>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</si>
  <si>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</si>
  <si>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</si>
  <si>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</si>
  <si>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</si>
  <si>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</si>
  <si>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</si>
  <si>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</si>
  <si>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</si>
  <si>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</si>
  <si>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</si>
  <si>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</si>
  <si>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</si>
  <si>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</si>
  <si>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</si>
  <si>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</si>
  <si>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</si>
  <si>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</si>
  <si>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</si>
  <si>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</si>
  <si>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</si>
  <si>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</si>
  <si>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</si>
  <si>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</si>
  <si>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</si>
  <si>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</si>
  <si>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</si>
  <si>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</si>
  <si>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</si>
  <si>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</si>
  <si>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</si>
  <si>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</si>
  <si>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</si>
  <si>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</si>
  <si>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</si>
  <si>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</si>
  <si>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</si>
  <si>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</si>
  <si>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</si>
  <si>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</si>
  <si>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</si>
  <si>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</si>
  <si>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</si>
  <si>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</si>
  <si>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</si>
  <si>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</si>
  <si>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</si>
  <si>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</si>
  <si>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</si>
  <si>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</si>
  <si>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</si>
  <si>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</si>
  <si>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</si>
  <si>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</si>
  <si>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</si>
  <si>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</si>
  <si>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</si>
  <si>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</si>
  <si>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</si>
  <si>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</si>
  <si>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</si>
  <si>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</si>
  <si>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</si>
  <si>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</si>
  <si>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</si>
  <si>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</si>
  <si>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</si>
  <si>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</si>
  <si>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</si>
  <si>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</si>
  <si>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</si>
  <si>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</si>
  <si>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</si>
  <si>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</si>
  <si>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</si>
  <si>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</si>
  <si>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</si>
  <si>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</si>
  <si>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</si>
  <si>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</si>
  <si>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</si>
  <si>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</si>
  <si>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</si>
  <si>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</si>
  <si>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</si>
  <si>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</si>
  <si>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</si>
  <si>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</si>
  <si>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</si>
  <si>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</si>
  <si>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</si>
  <si>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</si>
  <si>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</si>
  <si>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</si>
  <si>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</si>
  <si>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</si>
  <si>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</si>
  <si>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</si>
  <si>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</si>
  <si>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</si>
  <si>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</si>
  <si>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</si>
  <si>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</si>
  <si>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</si>
  <si>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</si>
  <si>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</si>
  <si>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</si>
  <si>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</si>
  <si>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</si>
  <si>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</si>
  <si>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</si>
  <si>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</si>
  <si>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</si>
  <si>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</si>
  <si>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</si>
  <si>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</si>
  <si>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</si>
  <si>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</si>
  <si>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</si>
  <si>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</si>
  <si>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</si>
  <si>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</si>
  <si>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</si>
  <si>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</si>
  <si>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</si>
  <si>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</si>
  <si>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</si>
  <si>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</si>
  <si>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</si>
  <si>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</si>
  <si>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</si>
  <si>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</si>
  <si>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</si>
  <si>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</si>
  <si>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</si>
  <si>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</si>
  <si>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</si>
  <si>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</si>
  <si>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</si>
  <si>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</si>
  <si>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</si>
  <si>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</si>
  <si>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</si>
  <si>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</si>
  <si>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</si>
  <si>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</si>
  <si>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</si>
  <si>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</si>
  <si>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</si>
  <si>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</si>
  <si>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</si>
  <si>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</si>
  <si>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</si>
  <si>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</si>
  <si>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</si>
  <si>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</si>
  <si>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</si>
  <si>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</si>
  <si>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</si>
  <si>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</si>
  <si>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</si>
  <si>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</si>
  <si>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</si>
  <si>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</si>
  <si>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</si>
  <si>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</si>
  <si>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</si>
  <si>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</si>
  <si>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</si>
  <si>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</si>
  <si>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</si>
  <si>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</si>
  <si>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</si>
  <si>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</si>
  <si>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</si>
  <si>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</si>
  <si>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</si>
  <si>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</si>
  <si>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</si>
  <si>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</si>
  <si>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</si>
  <si>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</si>
  <si>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</si>
  <si>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</si>
  <si>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</si>
  <si>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</si>
  <si>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</si>
  <si>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</si>
  <si>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</si>
  <si>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</si>
  <si>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</si>
  <si>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</si>
  <si>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</si>
  <si>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</si>
  <si>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</si>
  <si>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</si>
  <si>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</si>
  <si>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</si>
  <si>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</si>
  <si>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</si>
  <si>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</si>
  <si>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</si>
  <si>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</si>
  <si>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</si>
  <si>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</si>
  <si>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</si>
  <si>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</si>
  <si>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</si>
  <si>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</si>
  <si>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</si>
  <si>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</si>
  <si>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</si>
  <si>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</si>
  <si>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</si>
  <si>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</si>
  <si>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</si>
  <si>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</si>
  <si>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</si>
  <si>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</si>
  <si>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</si>
  <si>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</si>
  <si>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</si>
  <si>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</si>
  <si>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</si>
  <si>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</si>
  <si>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</si>
  <si>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</si>
  <si>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</si>
  <si>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</si>
  <si>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</si>
  <si>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</si>
  <si>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</si>
  <si>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</si>
  <si>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</si>
  <si>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</si>
  <si>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</si>
  <si>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</si>
  <si>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</si>
  <si>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</si>
  <si>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</si>
  <si>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</si>
  <si>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</si>
  <si>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</si>
  <si>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</si>
  <si>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</si>
  <si>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</si>
  <si>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</si>
  <si>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</si>
  <si>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</si>
  <si>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</si>
  <si>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</si>
  <si>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</si>
  <si>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</si>
  <si>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</si>
  <si>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</si>
  <si>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</si>
  <si>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</si>
  <si>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</si>
  <si>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</si>
  <si>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</si>
  <si>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</si>
  <si>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</si>
  <si>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</si>
  <si>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</si>
  <si>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</si>
  <si>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</si>
  <si>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</si>
  <si>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</si>
  <si>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</si>
  <si>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</si>
  <si>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</si>
  <si>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</si>
  <si>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</si>
  <si>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</si>
  <si>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</si>
  <si>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</si>
  <si>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</si>
  <si>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</si>
  <si>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</si>
  <si>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</si>
  <si>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</si>
  <si>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</si>
  <si>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</si>
  <si>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</si>
  <si>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</si>
  <si>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</si>
  <si>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</si>
  <si>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</si>
  <si>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</si>
  <si>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</si>
  <si>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</si>
  <si>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</si>
  <si>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</si>
  <si>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</si>
  <si>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</si>
  <si>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</si>
  <si>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</si>
  <si>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</si>
  <si>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</si>
  <si>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</si>
  <si>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</si>
  <si>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</si>
  <si>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</si>
  <si>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</si>
  <si>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</si>
  <si>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</si>
  <si>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</si>
  <si>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</si>
  <si>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</si>
  <si>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</si>
  <si>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</si>
  <si>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</si>
  <si>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</si>
  <si>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</si>
  <si>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</si>
  <si>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</si>
  <si>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</si>
  <si>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</si>
  <si>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</si>
  <si>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</si>
  <si>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</si>
  <si>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</si>
  <si>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</si>
  <si>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</si>
  <si>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</si>
  <si>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</si>
  <si>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</si>
  <si>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</si>
  <si>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</si>
  <si>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</si>
  <si>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</si>
  <si>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</si>
  <si>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</si>
  <si>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</si>
  <si>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</si>
  <si>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</si>
  <si>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</si>
  <si>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</si>
  <si>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</si>
  <si>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</si>
  <si>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</si>
  <si>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</si>
  <si>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</si>
  <si>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</si>
  <si>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</si>
  <si>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</si>
  <si>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</si>
  <si>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</si>
  <si>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</si>
  <si>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</si>
  <si>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</si>
  <si>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</si>
  <si>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</si>
  <si>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</si>
  <si>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</si>
  <si>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</si>
  <si>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</si>
  <si>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</si>
  <si>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</si>
  <si>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</si>
  <si>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</si>
  <si>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</si>
  <si>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</si>
  <si>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</si>
  <si>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</si>
  <si>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</si>
  <si>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</si>
  <si>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</si>
  <si>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</si>
  <si>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</si>
  <si>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</si>
  <si>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</si>
  <si>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</si>
  <si>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</si>
  <si>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</si>
  <si>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</si>
  <si>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</si>
  <si>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</si>
  <si>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</si>
  <si>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</si>
  <si>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</si>
  <si>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</si>
  <si>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</si>
  <si>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</si>
  <si>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</si>
  <si>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</si>
  <si>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</si>
  <si>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</si>
  <si>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</si>
  <si>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</si>
  <si>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</si>
  <si>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</si>
  <si>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</si>
  <si>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</si>
  <si>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</si>
  <si>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</si>
  <si>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</si>
  <si>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</si>
  <si>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</si>
  <si>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</si>
  <si>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</si>
  <si>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</si>
  <si>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</si>
  <si>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</si>
  <si>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</si>
  <si>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</si>
  <si>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</si>
  <si>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</si>
  <si>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</si>
  <si>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</si>
  <si>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</si>
  <si>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</si>
  <si>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</si>
  <si>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</si>
  <si>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</si>
  <si>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</si>
  <si>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</si>
  <si>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</si>
  <si>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</si>
  <si>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</si>
  <si>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</si>
  <si>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</si>
  <si>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</si>
  <si>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</si>
  <si>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</si>
  <si>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</si>
  <si>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</si>
  <si>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</si>
  <si>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</si>
  <si>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</si>
  <si>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</si>
  <si>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</si>
  <si>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</si>
  <si>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</si>
  <si>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</si>
  <si>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</si>
  <si>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</si>
  <si>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</si>
  <si>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</si>
  <si>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</si>
  <si>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</si>
  <si>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</si>
  <si>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</si>
  <si>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</si>
  <si>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</si>
  <si>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</si>
  <si>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</si>
  <si>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</si>
  <si>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</si>
  <si>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</si>
  <si>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</si>
  <si>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</si>
  <si>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</si>
  <si>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</si>
  <si>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</si>
  <si>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</si>
  <si>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</si>
  <si>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</si>
  <si>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</si>
  <si>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</si>
  <si>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</si>
  <si>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</si>
  <si>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</si>
  <si>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</si>
  <si>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</si>
  <si>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</si>
  <si>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</si>
  <si>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</si>
  <si>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</si>
  <si>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</si>
  <si>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</si>
  <si>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</si>
  <si>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</si>
  <si>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</si>
  <si>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</si>
  <si>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</si>
  <si>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</si>
  <si>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</si>
  <si>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</si>
  <si>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</si>
  <si>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</si>
  <si>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</si>
  <si>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</si>
  <si>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</si>
  <si>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</si>
  <si>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</si>
  <si>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</si>
  <si>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</si>
  <si>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</si>
  <si>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</si>
  <si>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</si>
  <si>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</si>
  <si>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</si>
  <si>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</si>
  <si>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</si>
  <si>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</si>
  <si>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</si>
  <si>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</si>
  <si>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</si>
  <si>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</si>
  <si>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</si>
  <si>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</si>
  <si>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</si>
  <si>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</si>
  <si>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</si>
  <si>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</si>
  <si>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</si>
  <si>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</si>
  <si>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</si>
  <si>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</si>
  <si>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</si>
  <si>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</si>
  <si>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</si>
  <si>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</si>
  <si>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</si>
  <si>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</si>
  <si>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</si>
  <si>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</si>
  <si>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</si>
  <si>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</si>
  <si>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</si>
  <si>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</si>
  <si>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</si>
  <si>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</si>
  <si>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</si>
  <si>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</si>
  <si>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</si>
  <si>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</si>
  <si>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</si>
  <si>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</si>
  <si>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</si>
  <si>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</si>
  <si>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</si>
  <si>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</si>
  <si>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</si>
  <si>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</si>
  <si>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</si>
  <si>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</si>
  <si>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</si>
  <si>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</si>
  <si>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</si>
  <si>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</si>
  <si>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</si>
  <si>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</si>
  <si>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</si>
  <si>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</si>
  <si>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</si>
  <si>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</si>
  <si>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</si>
  <si>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</si>
  <si>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</si>
  <si>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</si>
  <si>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</si>
  <si>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</si>
  <si>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</si>
  <si>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</si>
  <si>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</si>
  <si>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</si>
  <si>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</si>
  <si>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</si>
  <si>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</si>
  <si>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</si>
  <si>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</si>
  <si>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</si>
  <si>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</si>
  <si>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</si>
  <si>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</si>
  <si>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</si>
  <si>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</si>
  <si>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</si>
  <si>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</si>
  <si>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</si>
  <si>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</si>
  <si>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</si>
  <si>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</si>
  <si>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</si>
  <si>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</si>
  <si>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</si>
  <si>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</si>
  <si>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</si>
  <si>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</si>
  <si>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</si>
  <si>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</si>
  <si>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</si>
  <si>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</si>
  <si>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</si>
  <si>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</si>
  <si>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</si>
  <si>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</si>
  <si>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</si>
  <si>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</si>
  <si>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</si>
  <si>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</si>
  <si>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</si>
  <si>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</si>
  <si>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</si>
  <si>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</si>
  <si>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</si>
  <si>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</si>
  <si>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</si>
  <si>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</si>
  <si>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</si>
  <si>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</si>
  <si>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</si>
  <si>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</si>
  <si>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</si>
  <si>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</si>
  <si>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</si>
  <si>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</si>
  <si>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</si>
  <si>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</si>
  <si>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</si>
  <si>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</si>
  <si>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</si>
  <si>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</si>
  <si>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</si>
  <si>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</si>
  <si>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</si>
  <si>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</si>
  <si>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</si>
  <si>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</si>
  <si>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</si>
  <si>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</si>
  <si>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</si>
  <si>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</si>
  <si>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</si>
  <si>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</si>
  <si>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</si>
  <si>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</si>
  <si>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</si>
  <si>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</si>
  <si>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</si>
  <si>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</si>
  <si>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</si>
  <si>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</si>
  <si>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</si>
  <si>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</si>
  <si>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</si>
  <si>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</si>
  <si>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</si>
  <si>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</si>
  <si>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</si>
  <si>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</si>
  <si>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</si>
  <si>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</si>
  <si>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</si>
  <si>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</si>
  <si>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</si>
  <si>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</si>
  <si>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</si>
  <si>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</si>
  <si>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</si>
  <si>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</si>
  <si>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</si>
  <si>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</si>
  <si>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</si>
  <si>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</si>
  <si>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</si>
  <si>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</si>
  <si>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</si>
  <si>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</si>
  <si>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</si>
  <si>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</si>
  <si>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</si>
  <si>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</si>
  <si>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</si>
  <si>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</si>
  <si>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</si>
  <si>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</si>
  <si>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</si>
  <si>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</si>
  <si>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</si>
  <si>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</si>
  <si>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</si>
  <si>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</si>
  <si>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</si>
  <si>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</si>
  <si>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</si>
  <si>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</si>
  <si>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</si>
  <si>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</si>
  <si>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</si>
  <si>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</si>
  <si>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</si>
  <si>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</si>
  <si>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</si>
  <si>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</si>
  <si>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</si>
  <si>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</si>
  <si>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</si>
  <si>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</si>
  <si>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</si>
  <si>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</si>
  <si>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</si>
  <si>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</si>
  <si>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</si>
  <si>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</si>
  <si>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</si>
  <si>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</si>
  <si>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</si>
  <si>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</si>
  <si>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</si>
  <si>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</si>
  <si>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</si>
  <si>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</si>
  <si>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</si>
  <si>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</si>
  <si>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</si>
  <si>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</si>
  <si>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</si>
  <si>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</si>
  <si>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</si>
  <si>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</si>
  <si>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</si>
  <si>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</si>
  <si>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</si>
  <si>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</si>
  <si>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</si>
  <si>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</si>
  <si>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</si>
  <si>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</si>
  <si>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</si>
  <si>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</si>
  <si>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</si>
  <si>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</si>
  <si>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</si>
  <si>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</si>
  <si>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</si>
  <si>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</si>
  <si>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</si>
  <si>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</si>
  <si>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</si>
  <si>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</si>
  <si>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</si>
  <si>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</si>
  <si>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</si>
  <si>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</si>
  <si>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</si>
  <si>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</si>
  <si>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</si>
  <si>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</si>
  <si>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</si>
  <si>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</si>
  <si>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</si>
  <si>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</si>
  <si>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</si>
  <si>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</si>
  <si>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</si>
  <si>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</si>
  <si>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</si>
  <si>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</si>
  <si>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</si>
  <si>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</si>
  <si>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</si>
  <si>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</si>
  <si>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</si>
  <si>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</si>
  <si>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</si>
  <si>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</si>
  <si>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</si>
  <si>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</si>
  <si>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</si>
  <si>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</si>
  <si>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</si>
  <si>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</si>
  <si>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</si>
  <si>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</si>
  <si>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</si>
  <si>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</si>
  <si>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</si>
  <si>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</si>
  <si>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</si>
  <si>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</si>
  <si>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</si>
  <si>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</si>
  <si>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</si>
  <si>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</si>
  <si>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</si>
  <si>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</si>
  <si>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</si>
  <si>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</si>
  <si>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</si>
  <si>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</si>
  <si>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</si>
  <si>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</si>
  <si>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</si>
  <si>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</si>
  <si>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</si>
  <si>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</si>
  <si>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</si>
  <si>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</si>
  <si>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</si>
  <si>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</si>
  <si>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</si>
  <si>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</si>
  <si>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</si>
  <si>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</si>
  <si>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</si>
  <si>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</si>
  <si>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</si>
  <si>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</si>
  <si>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</si>
  <si>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</si>
  <si>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</si>
  <si>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</si>
  <si>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</si>
  <si>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</si>
  <si>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</si>
  <si>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</si>
  <si>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</si>
  <si>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</si>
  <si>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</si>
  <si>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</si>
  <si>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</si>
  <si>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</si>
  <si>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</si>
  <si>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</si>
  <si>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</si>
  <si>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</si>
  <si>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</si>
  <si>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</si>
  <si>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</si>
  <si>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</si>
  <si>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</si>
  <si>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</si>
  <si>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</si>
  <si>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</si>
  <si>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</si>
  <si>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</si>
  <si>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</si>
  <si>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</si>
  <si>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</si>
  <si>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</si>
  <si>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</si>
  <si>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</si>
  <si>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</si>
  <si>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</si>
  <si>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</si>
  <si>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</si>
  <si>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</si>
  <si>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</si>
  <si>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</si>
  <si>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</si>
  <si>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</si>
  <si>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</si>
  <si>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</si>
  <si>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</si>
  <si>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</si>
  <si>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</si>
  <si>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</si>
  <si>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</si>
  <si>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</si>
  <si>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</si>
  <si>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</si>
  <si>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</si>
  <si>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</si>
  <si>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</si>
  <si>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</si>
  <si>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</si>
  <si>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</si>
  <si>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</si>
  <si>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</si>
  <si>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</si>
  <si>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</si>
  <si>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</si>
  <si>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</si>
  <si>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</si>
  <si>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</si>
  <si>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</si>
  <si>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</si>
  <si>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</si>
  <si>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</si>
  <si>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</si>
  <si>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</si>
  <si>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</si>
  <si>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</si>
  <si>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</si>
  <si>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</si>
  <si>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</si>
  <si>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</si>
  <si>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</si>
  <si>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</si>
  <si>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</si>
  <si>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</si>
  <si>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</si>
  <si>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</si>
  <si>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</si>
  <si>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</si>
  <si>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</si>
  <si>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</si>
  <si>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</si>
  <si>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</si>
  <si>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</si>
  <si>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</si>
  <si>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</si>
  <si>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</si>
  <si>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</si>
  <si>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</si>
  <si>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</si>
  <si>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</si>
  <si>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</si>
  <si>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</si>
  <si>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</si>
  <si>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</si>
  <si>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</si>
  <si>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</si>
  <si>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</si>
  <si>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</si>
  <si>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</si>
  <si>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</si>
  <si>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</si>
  <si>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</si>
  <si>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</si>
  <si>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</si>
  <si>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</si>
  <si>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</si>
  <si>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</si>
  <si>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</si>
  <si>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</si>
  <si>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</si>
  <si>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</si>
  <si>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</si>
  <si>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</si>
  <si>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</si>
  <si>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</si>
  <si>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</si>
  <si>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</si>
  <si>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</si>
  <si>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</si>
  <si>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</si>
  <si>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</si>
  <si>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</si>
  <si>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</si>
  <si>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</si>
  <si>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</si>
  <si>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</si>
  <si>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</si>
  <si>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</si>
  <si>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</si>
  <si>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</si>
  <si>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</si>
  <si>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</si>
  <si>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</si>
  <si>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</si>
  <si>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</si>
  <si>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</si>
  <si>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</si>
  <si>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</si>
  <si>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</si>
  <si>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</si>
  <si>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</si>
  <si>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</si>
  <si>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</si>
  <si>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</si>
  <si>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</si>
  <si>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</si>
  <si>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</si>
  <si>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</si>
  <si>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</si>
  <si>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</si>
  <si>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</si>
  <si>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</si>
  <si>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</si>
  <si>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</si>
  <si>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</si>
  <si>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</si>
  <si>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</si>
  <si>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</si>
  <si>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</si>
  <si>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</si>
  <si>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</si>
  <si>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</si>
  <si>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</si>
  <si>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</si>
  <si>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</si>
  <si>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</si>
  <si>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</si>
  <si>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</si>
  <si>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</si>
  <si>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</si>
  <si>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</si>
  <si>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</si>
  <si>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</si>
  <si>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</si>
  <si>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</si>
  <si>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</si>
  <si>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</si>
  <si>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</si>
  <si>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</si>
  <si>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</si>
  <si>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</si>
  <si>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</si>
  <si>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</si>
  <si>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</si>
  <si>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</si>
  <si>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</si>
  <si>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</si>
  <si>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</si>
  <si>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</si>
  <si>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</si>
  <si>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</si>
  <si>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</si>
  <si>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</si>
  <si>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</si>
  <si>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</si>
  <si>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</si>
  <si>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</si>
  <si>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</si>
  <si>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</si>
  <si>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</si>
  <si>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</si>
  <si>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</si>
  <si>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</si>
  <si>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</si>
  <si>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</si>
  <si>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</si>
  <si>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</si>
  <si>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</si>
  <si>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</si>
  <si>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</si>
  <si>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</si>
  <si>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</si>
  <si>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</si>
  <si>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</si>
  <si>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</si>
  <si>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</si>
  <si>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</si>
  <si>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</si>
  <si>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</si>
  <si>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</si>
  <si>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</si>
  <si>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</si>
  <si>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</si>
  <si>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</si>
  <si>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</si>
  <si>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</si>
  <si>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</si>
  <si>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</si>
  <si>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</si>
  <si>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</si>
  <si>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</si>
  <si>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</si>
  <si>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</si>
  <si>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</si>
  <si>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</si>
  <si>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</si>
  <si>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</si>
  <si>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</si>
  <si>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</si>
  <si>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</si>
  <si>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</si>
  <si>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</si>
  <si>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</si>
  <si>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</si>
  <si>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</si>
  <si>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</si>
  <si>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</si>
  <si>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</si>
  <si>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</si>
  <si>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</si>
  <si>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</si>
  <si>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</si>
  <si>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</si>
  <si>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</si>
  <si>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</si>
  <si>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</si>
  <si>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</si>
  <si>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</si>
  <si>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</si>
  <si>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</si>
  <si>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</si>
  <si>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</si>
  <si>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</si>
  <si>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</si>
  <si>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</si>
  <si>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</si>
  <si>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</si>
  <si>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</si>
  <si>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</si>
  <si>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</si>
  <si>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</si>
  <si>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</si>
  <si>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</si>
  <si>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</si>
  <si>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</si>
  <si>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</si>
  <si>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</si>
  <si>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</si>
  <si>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</si>
  <si>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</si>
  <si>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</si>
  <si>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</si>
  <si>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</si>
  <si>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</si>
  <si>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</si>
  <si>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</si>
  <si>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</si>
  <si>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</si>
  <si>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</si>
  <si>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</si>
  <si>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</si>
  <si>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</si>
  <si>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</si>
  <si>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</si>
  <si>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</si>
  <si>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</si>
  <si>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</si>
  <si>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</si>
  <si>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</si>
  <si>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</si>
  <si>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</si>
  <si>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</si>
  <si>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</si>
  <si>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</si>
  <si>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</si>
  <si>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</si>
  <si>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</si>
  <si>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</si>
  <si>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</si>
  <si>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</si>
  <si>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</si>
  <si>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</si>
  <si>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</si>
  <si>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</si>
  <si>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</si>
  <si>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</si>
  <si>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</si>
  <si>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</si>
  <si>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</si>
  <si>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</si>
  <si>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</si>
  <si>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</si>
  <si>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</si>
  <si>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</si>
  <si>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</si>
  <si>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</si>
  <si>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</si>
  <si>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</si>
  <si>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</si>
  <si>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</si>
  <si>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</si>
  <si>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</si>
  <si>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</si>
  <si>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</si>
  <si>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</si>
  <si>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</si>
  <si>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</si>
  <si>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</si>
  <si>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</si>
  <si>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</si>
  <si>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</si>
  <si>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</si>
  <si>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</si>
  <si>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</si>
  <si>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</si>
  <si>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</si>
  <si>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</si>
  <si>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</si>
  <si>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</si>
  <si>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</si>
  <si>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</si>
  <si>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</si>
  <si>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</si>
  <si>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</si>
  <si>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</si>
  <si>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</si>
  <si>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</si>
  <si>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</si>
  <si>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</si>
  <si>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</si>
  <si>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</si>
  <si>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</si>
  <si>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</si>
  <si>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</si>
  <si>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</si>
  <si>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</si>
  <si>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</si>
  <si>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</si>
  <si>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</si>
  <si>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</si>
  <si>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</si>
  <si>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</si>
  <si>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</si>
  <si>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</si>
  <si>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</si>
  <si>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</si>
  <si>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</si>
  <si>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</si>
  <si>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</si>
  <si>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</si>
  <si>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</si>
  <si>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</si>
  <si>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</si>
  <si>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</si>
  <si>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</si>
  <si>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</si>
  <si>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</si>
  <si>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</si>
  <si>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</si>
  <si>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</si>
  <si>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</si>
  <si>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</si>
  <si>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</si>
  <si>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</si>
  <si>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</si>
  <si>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</si>
  <si>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</si>
  <si>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</si>
  <si>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</si>
  <si>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</si>
  <si>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</si>
  <si>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</si>
  <si>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</si>
  <si>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</si>
  <si>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</si>
  <si>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</si>
  <si>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</si>
  <si>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</si>
  <si>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</si>
  <si>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</si>
  <si>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</si>
  <si>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</si>
  <si>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</si>
  <si>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</si>
  <si>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</si>
  <si>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</si>
  <si>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</si>
  <si>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</si>
  <si>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</si>
  <si>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</si>
  <si>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</si>
  <si>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</si>
  <si>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</si>
  <si>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</si>
  <si>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</si>
  <si>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</si>
  <si>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</si>
  <si>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</si>
  <si>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</si>
  <si>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</si>
  <si>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</si>
  <si>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</si>
  <si>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</si>
  <si>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</si>
  <si>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</si>
  <si>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</si>
  <si>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</si>
  <si>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</si>
  <si>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</si>
  <si>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</si>
  <si>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</si>
  <si>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</si>
  <si>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</si>
  <si>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</si>
  <si>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</si>
  <si>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</si>
  <si>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</si>
  <si>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</si>
  <si>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</si>
  <si>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</si>
  <si>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</si>
  <si>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</si>
  <si>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</si>
  <si>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</si>
  <si>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</si>
  <si>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</si>
  <si>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</si>
  <si>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</si>
  <si>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</si>
  <si>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</si>
  <si>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</si>
  <si>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</si>
  <si>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</si>
  <si>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</si>
  <si>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</si>
  <si>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</si>
  <si>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</si>
  <si>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</si>
  <si>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</si>
  <si>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</si>
  <si>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</si>
  <si>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</si>
  <si>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</si>
  <si>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</si>
  <si>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</si>
  <si>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</si>
  <si>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</si>
  <si>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</si>
  <si>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</si>
  <si>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</si>
  <si>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</si>
  <si>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</si>
  <si>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</si>
  <si>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</si>
  <si>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</si>
  <si>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</si>
  <si>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</si>
  <si>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</si>
  <si>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</si>
  <si>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</si>
  <si>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</si>
  <si>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</si>
  <si>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</si>
  <si>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</si>
  <si>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</si>
  <si>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</si>
  <si>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</si>
  <si>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</si>
  <si>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</si>
  <si>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</si>
  <si>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</si>
  <si>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</si>
  <si>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</si>
  <si>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</si>
  <si>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</si>
  <si>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</si>
  <si>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</si>
  <si>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</si>
  <si>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</si>
  <si>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</si>
  <si>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</si>
  <si>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</si>
  <si>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</si>
  <si>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</si>
  <si>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</si>
  <si>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</si>
  <si>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</si>
  <si>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</si>
  <si>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</si>
  <si>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</si>
  <si>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</si>
  <si>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</si>
  <si>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</si>
  <si>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</si>
  <si>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</si>
  <si>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</si>
  <si>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</si>
  <si>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</si>
  <si>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</si>
  <si>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</si>
  <si>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</si>
  <si>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</si>
  <si>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</si>
  <si>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</si>
  <si>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</si>
  <si>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</si>
  <si>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</si>
  <si>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</si>
  <si>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</si>
  <si>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</si>
  <si>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</si>
  <si>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</si>
  <si>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</si>
  <si>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</si>
  <si>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</si>
  <si>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</si>
  <si>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</si>
  <si>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</si>
  <si>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</si>
  <si>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</si>
  <si>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</si>
  <si>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</si>
  <si>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</si>
  <si>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</si>
  <si>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</si>
  <si>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</si>
  <si>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</si>
  <si>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</si>
  <si>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</si>
  <si>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</si>
  <si>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</si>
  <si>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</si>
  <si>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</si>
  <si>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</si>
  <si>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</si>
  <si>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</si>
  <si>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</si>
  <si>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</si>
  <si>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</si>
  <si>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</si>
  <si>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</si>
  <si>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</si>
  <si>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</si>
  <si>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</si>
  <si>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</si>
  <si>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</si>
  <si>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</si>
  <si>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</si>
  <si>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</si>
  <si>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</si>
  <si>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</si>
  <si>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</si>
  <si>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</si>
  <si>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</si>
  <si>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</si>
  <si>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</si>
  <si>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</si>
  <si>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</si>
  <si>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</si>
  <si>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</si>
  <si>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</si>
  <si>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</si>
  <si>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</si>
  <si>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</si>
  <si>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</si>
  <si>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</si>
  <si>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</si>
  <si>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</si>
  <si>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</si>
  <si>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</si>
  <si>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</si>
  <si>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</si>
  <si>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</si>
  <si>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</si>
  <si>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</si>
  <si>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</si>
  <si>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</si>
  <si>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</si>
  <si>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</si>
  <si>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</si>
  <si>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</si>
  <si>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</si>
  <si>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</si>
  <si>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</si>
  <si>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</si>
  <si>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</si>
  <si>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</si>
  <si>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</si>
  <si>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</si>
  <si>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</si>
  <si>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</si>
  <si>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</si>
  <si>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</si>
  <si>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</si>
  <si>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</si>
  <si>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</si>
  <si>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</si>
  <si>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</si>
  <si>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</si>
  <si>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</si>
  <si>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</si>
  <si>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</si>
  <si>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</si>
  <si>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</si>
  <si>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</si>
  <si>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</si>
  <si>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</si>
  <si>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</si>
  <si>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</si>
  <si>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</si>
  <si>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</si>
  <si>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</si>
  <si>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</si>
  <si>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</si>
  <si>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</si>
  <si>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</si>
  <si>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</si>
  <si>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</si>
  <si>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</si>
  <si>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</si>
  <si>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</si>
  <si>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</si>
  <si>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</si>
  <si>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</si>
  <si>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</si>
  <si>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</si>
  <si>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</si>
  <si>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</si>
  <si>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</si>
  <si>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</si>
  <si>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</si>
  <si>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</si>
  <si>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</si>
  <si>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</si>
  <si>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</si>
  <si>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</si>
  <si>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</si>
  <si>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</si>
  <si>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</si>
  <si>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</si>
  <si>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</si>
  <si>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</si>
  <si>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</si>
  <si>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</si>
  <si>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</si>
  <si>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</si>
  <si>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</si>
  <si>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</si>
  <si>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</si>
  <si>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</si>
  <si>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</si>
  <si>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</si>
  <si>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</si>
  <si>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</si>
  <si>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</si>
  <si>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</si>
  <si>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</si>
  <si>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</si>
  <si>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</si>
  <si>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</si>
  <si>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</si>
  <si>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</si>
  <si>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</si>
  <si>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</si>
  <si>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</si>
  <si>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</si>
  <si>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</si>
  <si>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</si>
  <si>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</si>
  <si>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</si>
  <si>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</si>
  <si>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</si>
  <si>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</si>
  <si>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</si>
  <si>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</si>
  <si>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</si>
  <si>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</si>
  <si>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</si>
  <si>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</si>
  <si>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</si>
  <si>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</si>
  <si>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</si>
  <si>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</si>
  <si>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</si>
  <si>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</si>
  <si>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</si>
  <si>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</si>
  <si>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</si>
  <si>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</si>
  <si>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</si>
  <si>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</si>
  <si>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</si>
  <si>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</si>
  <si>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</si>
  <si>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</si>
  <si>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</si>
  <si>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</si>
  <si>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</si>
  <si>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</si>
  <si>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</si>
  <si>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</si>
  <si>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</si>
  <si>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</si>
  <si>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</si>
  <si>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</si>
  <si>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</si>
  <si>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</si>
  <si>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</si>
  <si>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</si>
  <si>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</si>
  <si>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</si>
  <si>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</si>
  <si>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</si>
  <si>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</si>
  <si>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</si>
  <si>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</si>
  <si>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</si>
  <si>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</si>
  <si>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</si>
  <si>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</si>
  <si>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</si>
  <si>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</si>
  <si>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</si>
  <si>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</si>
  <si>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</si>
  <si>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</si>
  <si>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</si>
  <si>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</si>
  <si>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</si>
  <si>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</si>
  <si>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</si>
  <si>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</si>
  <si>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</si>
  <si>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</si>
  <si>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</si>
  <si>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</si>
  <si>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</si>
  <si>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</si>
  <si>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</si>
  <si>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</si>
  <si>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</si>
  <si>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</si>
  <si>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</si>
  <si>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</si>
  <si>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</si>
  <si>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</si>
  <si>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</si>
  <si>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</si>
  <si>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</si>
  <si>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</si>
  <si>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</si>
  <si>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</si>
  <si>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</si>
  <si>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</si>
  <si>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</si>
  <si>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</si>
  <si>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</si>
  <si>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</si>
  <si>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</si>
  <si>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</si>
  <si>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</si>
  <si>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</si>
  <si>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</si>
  <si>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</si>
  <si>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</si>
  <si>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</si>
  <si>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</si>
  <si>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</si>
  <si>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</si>
  <si>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</si>
  <si>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</si>
  <si>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</si>
  <si>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</si>
  <si>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</si>
  <si>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</si>
  <si>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</si>
  <si>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</si>
  <si>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</si>
  <si>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</si>
  <si>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</si>
  <si>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</si>
  <si>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</si>
  <si>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</si>
  <si>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</si>
  <si>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</si>
  <si>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</si>
  <si>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</si>
  <si>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</si>
  <si>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</si>
  <si>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</si>
  <si>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</si>
  <si>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</si>
  <si>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</si>
  <si>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</si>
  <si>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</si>
  <si>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</si>
  <si>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</si>
  <si>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</si>
  <si>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</si>
  <si>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</si>
  <si>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</si>
  <si>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</si>
  <si>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</si>
  <si>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</si>
  <si>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</si>
  <si>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</si>
  <si>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</si>
  <si>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</si>
  <si>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</si>
  <si>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</si>
  <si>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</si>
  <si>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</si>
  <si>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</si>
  <si>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</si>
  <si>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</si>
  <si>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</si>
  <si>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</si>
  <si>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</si>
  <si>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</si>
  <si>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</si>
  <si>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</si>
  <si>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</si>
  <si>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</si>
  <si>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</si>
  <si>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</si>
  <si>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</si>
  <si>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</si>
  <si>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</si>
  <si>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</si>
  <si>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</si>
  <si>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</si>
  <si>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</si>
  <si>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</si>
  <si>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</si>
  <si>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</si>
  <si>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</si>
  <si>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</si>
  <si>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</si>
  <si>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</si>
  <si>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</si>
  <si>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</si>
  <si>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</si>
  <si>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</si>
  <si>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</si>
  <si>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</si>
  <si>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</si>
  <si>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</si>
  <si>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</si>
  <si>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</si>
  <si>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</si>
  <si>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</si>
  <si>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</si>
  <si>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</si>
  <si>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</si>
  <si>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</si>
  <si>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</si>
  <si>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</si>
  <si>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</si>
  <si>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</si>
  <si>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</si>
  <si>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</si>
  <si>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</si>
  <si>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</si>
  <si>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</si>
  <si>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</si>
  <si>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</si>
  <si>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</si>
  <si>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</si>
  <si>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</si>
  <si>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</si>
  <si>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</si>
  <si>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</si>
  <si>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</si>
  <si>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</si>
  <si>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</si>
  <si>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</si>
  <si>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</si>
  <si>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</si>
  <si>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</si>
  <si>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</si>
  <si>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</si>
  <si>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</si>
  <si>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</si>
  <si>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</si>
  <si>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</si>
  <si>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</si>
  <si>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</si>
  <si>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</si>
  <si>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</si>
  <si>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</si>
  <si>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</si>
  <si>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</si>
  <si>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</si>
  <si>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</si>
  <si>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</si>
  <si>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</si>
  <si>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</si>
  <si>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</si>
  <si>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</si>
  <si>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</si>
  <si>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</si>
  <si>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</si>
  <si>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</si>
  <si>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</si>
  <si>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</si>
  <si>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</si>
  <si>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</si>
  <si>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</si>
  <si>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</si>
  <si>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</si>
  <si>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</si>
  <si>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</si>
  <si>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</si>
  <si>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</si>
  <si>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</si>
  <si>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</si>
  <si>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</si>
  <si>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</si>
  <si>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</si>
  <si>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</si>
  <si>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</si>
  <si>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</si>
  <si>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</si>
  <si>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</si>
  <si>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</si>
  <si>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</si>
  <si>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</si>
  <si>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</si>
  <si>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</si>
  <si>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</si>
  <si>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</si>
  <si>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</si>
  <si>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</si>
  <si>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</si>
  <si>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</si>
  <si>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</si>
  <si>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</si>
  <si>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</si>
  <si>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</si>
  <si>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</si>
  <si>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</si>
  <si>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</si>
  <si>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</si>
  <si>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</si>
  <si>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</si>
  <si>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</si>
  <si>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</si>
  <si>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</si>
  <si>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</si>
  <si>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</si>
  <si>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</si>
  <si>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</si>
  <si>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</si>
  <si>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</si>
  <si>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</si>
  <si>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</si>
  <si>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</si>
  <si>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</si>
  <si>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</si>
  <si>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</si>
  <si>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</si>
  <si>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</si>
  <si>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</si>
  <si>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</si>
  <si>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</si>
  <si>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</si>
  <si>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</si>
  <si>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</si>
  <si>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</si>
  <si>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</si>
  <si>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</si>
  <si>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</si>
  <si>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</si>
  <si>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</si>
  <si>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</si>
  <si>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</si>
  <si>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</si>
  <si>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</si>
  <si>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</si>
  <si>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</si>
  <si>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</si>
  <si>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</si>
  <si>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</si>
  <si>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</si>
  <si>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</si>
  <si>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</si>
  <si>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</si>
  <si>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</si>
  <si>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</si>
  <si>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</si>
  <si>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</si>
  <si>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</si>
  <si>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</si>
  <si>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</si>
  <si>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</si>
  <si>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</si>
  <si>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</si>
  <si>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</si>
  <si>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</si>
  <si>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</si>
  <si>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</si>
  <si>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</si>
  <si>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</si>
  <si>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</si>
  <si>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</si>
  <si>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</si>
  <si>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</si>
  <si>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</si>
  <si>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</si>
  <si>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</si>
  <si>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</si>
  <si>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(Public Health Specialist) University of Maryland Baltimore</t>
  </si>
  <si>
    <t>Anthonia James</t>
  </si>
  <si>
    <t>Ramat Ibrahim</t>
  </si>
  <si>
    <t>21st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</si>
</sst>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14.625</c:v>
                </c:pt>
                <c:pt idx="1">
                  <c:v>0.25</c:v>
                </c:pt>
                <c:pt idx="2">
                  <c:v>9.287878787878789</c:v>
                </c:pt>
                <c:pt idx="3">
                  <c:v>14.7</c:v>
                </c:pt>
                <c:pt idx="4">
                  <c:v>21.333333333333332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6.9375</c:v>
                </c:pt>
                <c:pt idx="1">
                  <c:v>0.25</c:v>
                </c:pt>
                <c:pt idx="2">
                  <c:v>4.333333333333333</c:v>
                </c:pt>
                <c:pt idx="3">
                  <c:v>7</c:v>
                </c:pt>
                <c:pt idx="4">
                  <c:v>10.444444444444445</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7.8125</c:v>
                </c:pt>
                <c:pt idx="1">
                  <c:v>0.125</c:v>
                </c:pt>
                <c:pt idx="2">
                  <c:v>4.8484848484848486</c:v>
                </c:pt>
                <c:pt idx="3">
                  <c:v>8.0749999999999993</c:v>
                </c:pt>
                <c:pt idx="4">
                  <c:v>11.222222222222221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76724192"/>
        <c:axId val="-1376725280"/>
      </c:radarChart>
      <c:catAx>
        <c:axId val="-137672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6725280"/>
        <c:crosses val="autoZero"/>
        <c:auto val="1"/>
        <c:lblAlgn val="ctr"/>
        <c:lblOffset val="100"/>
        <c:noMultiLvlLbl val="0"/>
      </c:catAx>
      <c:valAx>
        <c:axId val="-13767252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7241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IHVN</v>
      </c>
      <c r="E2" s="322"/>
      <c r="F2" s="322"/>
      <c r="G2" s="322"/>
      <c r="H2" s="322"/>
      <c r="I2" s="322"/>
      <c r="J2" s="323"/>
      <c r="K2" s="324" t="s">
        <v>4018</v>
      </c>
      <c r="L2" s="325"/>
      <c r="M2" s="325"/>
      <c r="N2" s="325"/>
      <c r="O2" s="326" t="str">
        <f>Worksheet!M18</f>
        <v>Ramat Ibrahim (Public Health Specialist) University of Maryland Baltimore</v>
      </c>
      <c r="P2" s="327"/>
      <c r="Q2" s="327"/>
      <c r="R2" s="327"/>
      <c r="S2" s="327"/>
      <c r="T2" s="328"/>
    </row>
    <row r="3" spans="1:20" ht="24" thickBot="1" x14ac:dyDescent="0.4">
      <c r="A3" s="318" t="s">
        <v>94</v>
      </c>
      <c r="B3" s="319" t="s">
        <v>1</v>
      </c>
      <c r="C3" s="320"/>
      <c r="D3" s="321" t="str">
        <f>Worksheet!R2</f>
        <v>Nasarawa</v>
      </c>
      <c r="E3" s="322"/>
      <c r="F3" s="322"/>
      <c r="G3" s="322"/>
      <c r="H3" s="322"/>
      <c r="I3" s="322"/>
      <c r="J3" s="323"/>
      <c r="K3" s="324" t="s">
        <v>3965</v>
      </c>
      <c r="L3" s="325"/>
      <c r="M3" s="325"/>
      <c r="N3" s="325"/>
      <c r="O3" s="326" t="str">
        <f>Worksheet!W18</f>
        <v>21st Feb 2017</v>
      </c>
      <c r="P3" s="327"/>
      <c r="Q3" s="327"/>
      <c r="R3" s="327"/>
      <c r="S3" s="327"/>
      <c r="T3" s="328"/>
    </row>
    <row r="4" spans="1:20" ht="24" thickBot="1" x14ac:dyDescent="0.4">
      <c r="A4" s="318" t="s">
        <v>93</v>
      </c>
      <c r="B4" s="319"/>
      <c r="C4" s="320" t="s">
        <v>3</v>
      </c>
      <c r="D4" s="321" t="str">
        <f>Worksheet!T2</f>
        <v>na Lafia</v>
      </c>
      <c r="E4" s="322"/>
      <c r="F4" s="322"/>
      <c r="G4" s="322"/>
      <c r="H4" s="322"/>
      <c r="I4" s="322"/>
      <c r="J4" s="323"/>
      <c r="K4" s="324" t="s">
        <v>4019</v>
      </c>
      <c r="L4" s="325"/>
      <c r="M4" s="325"/>
      <c r="N4" s="325"/>
      <c r="O4" s="326" t="str">
        <f>Worksheet!M19</f>
        <v>Anthonia James</v>
      </c>
      <c r="P4" s="327"/>
      <c r="Q4" s="327"/>
      <c r="R4" s="327"/>
      <c r="S4" s="327"/>
      <c r="T4" s="328"/>
    </row>
    <row r="5" spans="1:20" ht="24" thickBot="1" x14ac:dyDescent="0.4">
      <c r="A5" s="318" t="s">
        <v>92</v>
      </c>
      <c r="B5" s="319"/>
      <c r="C5" s="320" t="s">
        <v>6</v>
      </c>
      <c r="D5" s="321" t="str">
        <f>Worksheet!V2</f>
        <v>Agudu Primary Health center</v>
      </c>
      <c r="E5" s="322"/>
      <c r="F5" s="322"/>
      <c r="G5" s="322"/>
      <c r="H5" s="322"/>
      <c r="I5" s="322"/>
      <c r="J5" s="323"/>
      <c r="K5" s="324" t="s">
        <v>3965</v>
      </c>
      <c r="L5" s="325"/>
      <c r="M5" s="325"/>
      <c r="N5" s="325"/>
      <c r="O5" s="326" t="str">
        <f>Worksheet!W19</f>
        <v>21st Feb 2017</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3966</v>
      </c>
      <c r="D8" s="152">
        <f ca="1">(SUM('All Questions'!D10:D14)/5)+D12</f>
        <v>58.5</v>
      </c>
      <c r="E8" s="152">
        <f ca="1">SUM('All Questions'!D15:D21)/7+E12</f>
        <v>1</v>
      </c>
      <c r="F8" s="152">
        <f ca="1">SUM('All Questions'!D23:D30)/4+F12</f>
        <v>49.083333333333336</v>
      </c>
      <c r="G8" s="152">
        <f ca="1">SUM('All Questions'!D31:D35)/5+G12</f>
        <v>58.8</v>
      </c>
      <c r="H8" s="153">
        <f ca="1">SUM('All Questions'!D37,'All Questions'!D40)/2+'All Questions'!D26+H12</f>
        <v>96</v>
      </c>
      <c r="I8" s="154">
        <f ca="1">(SUM('All Questions'!E10:E14)/5)+I12</f>
        <v>27.75</v>
      </c>
      <c r="J8" s="152">
        <f ca="1">SUM('All Questions'!E15:E21)/7+J12</f>
        <v>1</v>
      </c>
      <c r="K8" s="152">
        <f ca="1">SUM('All Questions'!E23:E30)/4+K12</f>
        <v>23.833333333333332</v>
      </c>
      <c r="L8" s="152">
        <f ca="1">SUM('All Questions'!E31:E35)/5+L12</f>
        <v>28</v>
      </c>
      <c r="M8" s="153">
        <f ca="1">('All Questions'!E37+'All Questions'!E40)/2+'All Questions'!E26+M12</f>
        <v>47</v>
      </c>
      <c r="N8" s="154">
        <f ca="1">(SUM('All Questions'!F10:F14)/5)+N12</f>
        <v>31.25</v>
      </c>
      <c r="O8" s="152">
        <f ca="1">SUM('All Questions'!F15:F21)/7+O12</f>
        <v>0.5</v>
      </c>
      <c r="P8" s="152">
        <f ca="1">SUM('All Questions'!F23:F30)/4+P12</f>
        <v>25.666666666666668</v>
      </c>
      <c r="Q8" s="152">
        <f ca="1">SUM('All Questions'!F31:F35)/5+Q12</f>
        <v>32.299999999999997</v>
      </c>
      <c r="R8" s="153">
        <f ca="1">('All Questions'!F37+'All Questions'!F40)/2+'All Questions'!F26+R12</f>
        <v>50.5</v>
      </c>
      <c r="S8" s="138">
        <f ca="1">'All Questions'!F2</f>
        <v>196</v>
      </c>
      <c r="T8" s="139">
        <f t="shared" ref="T8:T17" ca="1" si="0">(((SUM(D8:H8)/5)+(SUM(I8:M8)/5)+(SUM(N8:R8)/5)))/S8</f>
        <v>0.54202380952380946</v>
      </c>
    </row>
    <row r="9" spans="1:20" ht="72.599999999999994" customHeight="1" thickBot="1" x14ac:dyDescent="0.3">
      <c r="A9" s="105">
        <v>1.1000000000000001</v>
      </c>
      <c r="B9" s="106" t="s">
        <v>89</v>
      </c>
      <c r="C9" s="107" t="s">
        <v>3967</v>
      </c>
      <c r="D9" s="155"/>
      <c r="E9" s="155"/>
      <c r="F9" s="156">
        <f ca="1">'All Questions'!D29</f>
        <v>2</v>
      </c>
      <c r="G9" s="155"/>
      <c r="H9" s="157"/>
      <c r="I9" s="158"/>
      <c r="J9" s="155"/>
      <c r="K9" s="156">
        <f ca="1">'All Questions'!E29</f>
        <v>0</v>
      </c>
      <c r="L9" s="155"/>
      <c r="M9" s="157"/>
      <c r="N9" s="158"/>
      <c r="O9" s="155"/>
      <c r="P9" s="156">
        <f ca="1">'All Questions'!F29</f>
        <v>1</v>
      </c>
      <c r="Q9" s="155"/>
      <c r="R9" s="157"/>
      <c r="S9" s="138">
        <f ca="1">'All Questions'!F3</f>
        <v>3</v>
      </c>
      <c r="T9" s="140">
        <f t="shared" ca="1" si="0"/>
        <v>0.20000000000000004</v>
      </c>
    </row>
    <row r="10" spans="1:20" ht="72.599999999999994" customHeight="1" thickBot="1" x14ac:dyDescent="0.3">
      <c r="A10" s="105" t="s">
        <v>141</v>
      </c>
      <c r="B10" s="106" t="s">
        <v>79</v>
      </c>
      <c r="C10" s="107" t="s">
        <v>3968</v>
      </c>
      <c r="D10" s="156">
        <f ca="1">(SUM('All Questions'!D10:D14)/5)</f>
        <v>58</v>
      </c>
      <c r="E10" s="156">
        <f ca="1">SUM('All Questions'!D15:D21)/7</f>
        <v>0</v>
      </c>
      <c r="F10" s="156">
        <f ca="1">(SUM('All Questions'!D23:D24)+SUM('All Questions'!D25:D26)+SUM('All Questions'!D27:D28)+SUM('All Questions'!D29:D30))/4</f>
        <v>47.75</v>
      </c>
      <c r="G10" s="156">
        <f ca="1">SUM('All Questions'!D31:D35)/5</f>
        <v>57.8</v>
      </c>
      <c r="H10" s="159">
        <f ca="1">('All Questions'!D37+'All Questions'!D40)/2+'All Questions'!D26</f>
        <v>94</v>
      </c>
      <c r="I10" s="160">
        <f ca="1">(SUM('All Questions'!E10:E14)/5)</f>
        <v>27</v>
      </c>
      <c r="J10" s="161">
        <f ca="1">SUM('All Questions'!E15:E21)/7</f>
        <v>0</v>
      </c>
      <c r="K10" s="161">
        <f ca="1">(SUM('All Questions'!E23:E24)+SUM('All Questions'!E25:E26)+SUM('All Questions'!E27:E28)+SUM('All Questions'!E29:E30))/4</f>
        <v>22.5</v>
      </c>
      <c r="L10" s="161">
        <f ca="1">SUM('All Questions'!E31:E35)/5</f>
        <v>27</v>
      </c>
      <c r="M10" s="162">
        <f ca="1">('All Questions'!E37+'All Questions'!E40)/2+'All Questions'!E26</f>
        <v>45</v>
      </c>
      <c r="N10" s="163">
        <f ca="1">(SUM('All Questions'!F10:F14)/5)</f>
        <v>30</v>
      </c>
      <c r="O10" s="161">
        <f ca="1">SUM('All Questions'!F15:F21)/7</f>
        <v>0</v>
      </c>
      <c r="P10" s="161">
        <f ca="1">(SUM('All Questions'!F23:F24)+SUM('All Questions'!F25:F26)+SUM('All Questions'!F27:F28)+SUM('All Questions'!F29:F30))/4</f>
        <v>25</v>
      </c>
      <c r="Q10" s="161">
        <f ca="1">SUM('All Questions'!F31:F35)/5</f>
        <v>31.8</v>
      </c>
      <c r="R10" s="162">
        <f ca="1">('All Questions'!F37+'All Questions'!F40)/2+'All Questions'!F26</f>
        <v>50</v>
      </c>
      <c r="S10" s="138">
        <f ca="1">'All Questions'!F4</f>
        <v>191</v>
      </c>
      <c r="T10" s="140">
        <f t="shared" ca="1" si="0"/>
        <v>0.54015706806282726</v>
      </c>
    </row>
    <row r="11" spans="1:20" ht="72.599999999999994" customHeight="1" thickBot="1" x14ac:dyDescent="0.3">
      <c r="A11" s="108" t="s">
        <v>3969</v>
      </c>
      <c r="B11" s="109" t="s">
        <v>79</v>
      </c>
      <c r="C11" s="110" t="s">
        <v>88</v>
      </c>
      <c r="D11" s="164"/>
      <c r="E11" s="164"/>
      <c r="F11" s="165">
        <f ca="1">'All Questions'!D29</f>
        <v>2</v>
      </c>
      <c r="G11" s="164"/>
      <c r="H11" s="166"/>
      <c r="I11" s="167"/>
      <c r="J11" s="164"/>
      <c r="K11" s="168">
        <f ca="1">'All Questions'!E29</f>
        <v>0</v>
      </c>
      <c r="L11" s="164"/>
      <c r="M11" s="166"/>
      <c r="N11" s="167"/>
      <c r="O11" s="164"/>
      <c r="P11" s="168">
        <f ca="1">'All Questions'!F29</f>
        <v>1</v>
      </c>
      <c r="Q11" s="164"/>
      <c r="R11" s="166"/>
      <c r="S11" s="138">
        <f ca="1">'All Questions'!F5</f>
        <v>3</v>
      </c>
      <c r="T11" s="141">
        <f t="shared" ca="1" si="0"/>
        <v>0.20000000000000004</v>
      </c>
    </row>
    <row r="12" spans="1:20" ht="72.599999999999994" customHeight="1" x14ac:dyDescent="0.25">
      <c r="A12" s="111">
        <v>2</v>
      </c>
      <c r="B12" s="112" t="s">
        <v>83</v>
      </c>
      <c r="C12" s="113" t="s">
        <v>3970</v>
      </c>
      <c r="D12" s="169">
        <f ca="1">SUM('All Questions'!D55:D58)/4</f>
        <v>0.5</v>
      </c>
      <c r="E12" s="170">
        <f ca="1">SUM('All Questions'!D60:D75)/6</f>
        <v>1</v>
      </c>
      <c r="F12" s="170">
        <f ca="1">SUM('All Questions'!D67:D72)/3</f>
        <v>1.3333333333333333</v>
      </c>
      <c r="G12" s="170">
        <f ca="1">SUM('All Questions'!D73:D80)/4</f>
        <v>1</v>
      </c>
      <c r="H12" s="171">
        <f ca="1">SUM('All Questions'!D82:D83)/2</f>
        <v>2</v>
      </c>
      <c r="I12" s="172">
        <f ca="1">SUM('All Questions'!E55:E58)/4</f>
        <v>0.75</v>
      </c>
      <c r="J12" s="173">
        <f ca="1">SUM('All Questions'!E60:E75)/6</f>
        <v>1</v>
      </c>
      <c r="K12" s="173">
        <f ca="1">SUM('All Questions'!E67:E72)/3</f>
        <v>1.3333333333333333</v>
      </c>
      <c r="L12" s="173">
        <f ca="1">SUM('All Questions'!E73:E80)/4</f>
        <v>1</v>
      </c>
      <c r="M12" s="174">
        <f ca="1">SUM('All Questions'!E82:E83)/2</f>
        <v>2</v>
      </c>
      <c r="N12" s="175">
        <f ca="1">SUM('All Questions'!F55:F58)/4</f>
        <v>1.25</v>
      </c>
      <c r="O12" s="173">
        <f ca="1">SUM('All Questions'!F60:F75)/6</f>
        <v>0.5</v>
      </c>
      <c r="P12" s="173">
        <f ca="1">SUM('All Questions'!F67:F72)/3</f>
        <v>0.66666666666666663</v>
      </c>
      <c r="Q12" s="173">
        <f ca="1">SUM('All Questions'!F73:F80)/4</f>
        <v>0.5</v>
      </c>
      <c r="R12" s="174">
        <f ca="1">SUM('All Questions'!F82:F83)/2</f>
        <v>0.5</v>
      </c>
      <c r="S12" s="142">
        <f ca="1">'All Questions'!F46</f>
        <v>5</v>
      </c>
      <c r="T12" s="143">
        <f t="shared" ca="1" si="0"/>
        <v>0.61333333333333329</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2"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6">
        <v>20170218</v>
      </c>
      <c r="G1" s="357"/>
      <c r="H1" s="63"/>
      <c r="I1" s="63"/>
      <c r="J1" s="63"/>
      <c r="K1" s="359" t="s">
        <v>4020</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3800</v>
      </c>
      <c r="C2" s="218" t="s">
        <v>4004</v>
      </c>
      <c r="D2" s="219" t="s">
        <v>3974</v>
      </c>
      <c r="E2" s="220"/>
      <c r="F2" s="221" t="s">
        <v>4005</v>
      </c>
      <c r="G2" s="222"/>
      <c r="H2" s="223"/>
      <c r="I2" s="63"/>
      <c r="J2" s="63"/>
      <c r="K2" s="358" t="s">
        <v>157</v>
      </c>
      <c r="L2" s="358"/>
      <c r="M2" s="66" t="s">
        <v>150</v>
      </c>
      <c r="N2" s="358" t="s">
        <v>158</v>
      </c>
      <c r="O2" s="358"/>
      <c r="P2" s="66" t="s">
        <v>156</v>
      </c>
      <c r="Q2" s="303" t="s">
        <v>1</v>
      </c>
      <c r="R2" s="66" t="s">
        <v>186</v>
      </c>
      <c r="S2" s="303" t="s">
        <v>3</v>
      </c>
      <c r="T2" s="66" t="s">
        <v>736</v>
      </c>
      <c r="U2" s="67" t="s">
        <v>159</v>
      </c>
      <c r="V2" s="66" t="s">
        <v>3519</v>
      </c>
      <c r="W2" s="66"/>
      <c r="X2" s="67" t="s">
        <v>160</v>
      </c>
      <c r="Y2" s="66" t="s">
        <v>146</v>
      </c>
      <c r="Z2" s="96" t="s">
        <v>3799</v>
      </c>
      <c r="AA2" s="68" t="str">
        <f>VLOOKUP(V2,[2]Data_donotedit!AY2:AZ1504,2,FALSE)</f>
        <v>vmFu5pzEpEb</v>
      </c>
      <c r="AB2" s="68"/>
      <c r="AC2" s="68"/>
      <c r="AD2" s="68"/>
    </row>
    <row r="3" spans="1:30" ht="40.15" customHeight="1" x14ac:dyDescent="0.25">
      <c r="A3" s="63"/>
      <c r="B3" s="224"/>
      <c r="C3" s="225" t="s">
        <v>150</v>
      </c>
      <c r="D3" s="226" t="s">
        <v>3975</v>
      </c>
      <c r="E3" s="226"/>
      <c r="F3" s="227"/>
      <c r="G3" s="304">
        <f ca="1">_xlfn.IFNA(VLOOKUP(C3,Worksheet!$C$3:$G$46,5,FALSE),G3)</f>
        <v>196</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3</v>
      </c>
      <c r="H4" s="205" t="s">
        <v>150</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28" t="s">
        <v>4007</v>
      </c>
      <c r="D5" s="226" t="s">
        <v>3977</v>
      </c>
      <c r="E5" s="230"/>
      <c r="F5" s="229"/>
      <c r="G5" s="304">
        <f ca="1">_xlfn.IFNA(VLOOKUP(C5,Worksheet!$C$3:$G$46,5,FALSE),G5)</f>
        <v>191</v>
      </c>
      <c r="H5" s="205" t="s">
        <v>150</v>
      </c>
      <c r="I5" s="63"/>
      <c r="J5" s="63"/>
      <c r="K5" s="363"/>
      <c r="L5" s="354" t="s">
        <v>82</v>
      </c>
      <c r="M5" s="355"/>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28" t="s">
        <v>4008</v>
      </c>
      <c r="D6" s="226" t="s">
        <v>3978</v>
      </c>
      <c r="E6" s="226"/>
      <c r="F6" s="229"/>
      <c r="G6" s="304">
        <f ca="1">_xlfn.IFNA(VLOOKUP(C6,Worksheet!$C$3:$G$46,5,FALSE),G6)</f>
        <v>3</v>
      </c>
      <c r="H6" s="205" t="s">
        <v>150</v>
      </c>
      <c r="I6" s="63"/>
      <c r="J6" s="63"/>
      <c r="K6" s="132" t="s">
        <v>89</v>
      </c>
      <c r="L6" s="349" t="s">
        <v>3966</v>
      </c>
      <c r="M6" s="350"/>
      <c r="N6" s="71">
        <v>58.5</v>
      </c>
      <c r="O6" s="71">
        <v>1</v>
      </c>
      <c r="P6" s="71">
        <v>49.083333333333336</v>
      </c>
      <c r="Q6" s="71">
        <v>58.8</v>
      </c>
      <c r="R6" s="72">
        <v>96</v>
      </c>
      <c r="S6" s="71">
        <v>27.75</v>
      </c>
      <c r="T6" s="71">
        <v>1</v>
      </c>
      <c r="U6" s="71">
        <v>23.833333333333332</v>
      </c>
      <c r="V6" s="71">
        <v>28</v>
      </c>
      <c r="W6" s="72">
        <v>47</v>
      </c>
      <c r="X6" s="71">
        <v>31.25</v>
      </c>
      <c r="Y6" s="71">
        <v>0.5</v>
      </c>
      <c r="Z6" s="71">
        <v>25.666666666666668</v>
      </c>
      <c r="AA6" s="71">
        <v>32.299999999999997</v>
      </c>
      <c r="AB6" s="71">
        <v>50.5</v>
      </c>
      <c r="AC6" s="73">
        <v>196</v>
      </c>
      <c r="AD6" s="74">
        <v>0.54202380952380946</v>
      </c>
    </row>
    <row r="7" spans="1:30" ht="40.15" customHeight="1" x14ac:dyDescent="0.25">
      <c r="A7" s="63"/>
      <c r="B7" s="224"/>
      <c r="C7" s="231" t="s">
        <v>4009</v>
      </c>
      <c r="D7" s="232" t="s">
        <v>3979</v>
      </c>
      <c r="E7" s="233"/>
      <c r="F7" s="234"/>
      <c r="G7" s="235">
        <f ca="1">_xlfn.IFNA(VLOOKUP(G3,Data_donotedit!$BE$2:$BG$25,3,TRUE),0)</f>
        <v>70</v>
      </c>
      <c r="H7" s="205" t="s">
        <v>150</v>
      </c>
      <c r="I7" s="63"/>
      <c r="J7" s="65"/>
      <c r="K7" s="59" t="s">
        <v>89</v>
      </c>
      <c r="L7" s="336" t="s">
        <v>3967</v>
      </c>
      <c r="M7" s="337"/>
      <c r="N7" s="133"/>
      <c r="O7" s="133"/>
      <c r="P7" s="78">
        <v>2</v>
      </c>
      <c r="Q7" s="133"/>
      <c r="R7" s="134"/>
      <c r="S7" s="133"/>
      <c r="T7" s="133"/>
      <c r="U7" s="78">
        <v>0</v>
      </c>
      <c r="V7" s="133"/>
      <c r="W7" s="134"/>
      <c r="X7" s="133"/>
      <c r="Y7" s="133"/>
      <c r="Z7" s="78">
        <v>1</v>
      </c>
      <c r="AA7" s="133"/>
      <c r="AB7" s="133"/>
      <c r="AC7" s="80">
        <v>3</v>
      </c>
      <c r="AD7" s="81">
        <v>0.20000000000000004</v>
      </c>
    </row>
    <row r="8" spans="1:30" ht="40.15" customHeight="1" x14ac:dyDescent="0.25">
      <c r="A8" s="63"/>
      <c r="B8" s="224"/>
      <c r="C8" s="236"/>
      <c r="D8" s="237" t="s">
        <v>3980</v>
      </c>
      <c r="E8" s="238" t="s">
        <v>3981</v>
      </c>
      <c r="F8" s="238" t="s">
        <v>77</v>
      </c>
      <c r="G8" s="239" t="s">
        <v>78</v>
      </c>
      <c r="H8" s="205" t="s">
        <v>150</v>
      </c>
      <c r="I8" s="63"/>
      <c r="J8" s="70"/>
      <c r="K8" s="58" t="s">
        <v>79</v>
      </c>
      <c r="L8" s="334" t="s">
        <v>3968</v>
      </c>
      <c r="M8" s="335"/>
      <c r="N8" s="71">
        <v>58</v>
      </c>
      <c r="O8" s="71">
        <v>0</v>
      </c>
      <c r="P8" s="71">
        <v>47.75</v>
      </c>
      <c r="Q8" s="71">
        <v>57.8</v>
      </c>
      <c r="R8" s="72">
        <v>94</v>
      </c>
      <c r="S8" s="71">
        <v>27</v>
      </c>
      <c r="T8" s="71">
        <v>0</v>
      </c>
      <c r="U8" s="71">
        <v>22.5</v>
      </c>
      <c r="V8" s="71">
        <v>27</v>
      </c>
      <c r="W8" s="72">
        <v>45</v>
      </c>
      <c r="X8" s="71">
        <v>30</v>
      </c>
      <c r="Y8" s="71">
        <v>0</v>
      </c>
      <c r="Z8" s="71">
        <v>25</v>
      </c>
      <c r="AA8" s="71">
        <v>31.8</v>
      </c>
      <c r="AB8" s="71">
        <v>50</v>
      </c>
      <c r="AC8" s="75">
        <v>191</v>
      </c>
      <c r="AD8" s="76">
        <v>0.54015706806282726</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36" t="s">
        <v>88</v>
      </c>
      <c r="M9" s="337"/>
      <c r="N9" s="133"/>
      <c r="O9" s="133"/>
      <c r="P9" s="78">
        <v>2</v>
      </c>
      <c r="Q9" s="133"/>
      <c r="R9" s="134"/>
      <c r="S9" s="133"/>
      <c r="T9" s="133"/>
      <c r="U9" s="78">
        <v>0</v>
      </c>
      <c r="V9" s="133"/>
      <c r="W9" s="134"/>
      <c r="X9" s="133"/>
      <c r="Y9" s="133"/>
      <c r="Z9" s="78">
        <v>1</v>
      </c>
      <c r="AA9" s="133"/>
      <c r="AB9" s="133"/>
      <c r="AC9" s="80">
        <v>3</v>
      </c>
      <c r="AD9" s="81">
        <v>0.20000000000000004</v>
      </c>
    </row>
    <row r="10" spans="1:30" ht="40.15" customHeight="1" x14ac:dyDescent="0.25">
      <c r="A10" s="63"/>
      <c r="B10" s="224"/>
      <c r="C10" s="236">
        <v>1112</v>
      </c>
      <c r="D10" s="240" t="s">
        <v>3802</v>
      </c>
      <c r="E10" s="305">
        <f ca="1">_xlfn.IFNA(VLOOKUP(C10,Worksheet!$C$3:$G$46,3,FALSE),E10)</f>
        <v>352</v>
      </c>
      <c r="F10" s="305">
        <f ca="1">_xlfn.IFNA(VLOOKUP(C10,Worksheet!$C$3:$G$46,4,FALSE),F10)</f>
        <v>53</v>
      </c>
      <c r="G10" s="305">
        <f ca="1">_xlfn.IFNA(VLOOKUP(C10,Worksheet!$C$3:$G$46,5,FALSE),G10)</f>
        <v>78</v>
      </c>
      <c r="H10" s="205" t="s">
        <v>150</v>
      </c>
      <c r="I10" s="63"/>
      <c r="J10" s="70"/>
      <c r="K10" s="121" t="s">
        <v>83</v>
      </c>
      <c r="L10" s="338" t="s">
        <v>3970</v>
      </c>
      <c r="M10" s="339"/>
      <c r="N10" s="122">
        <v>0.5</v>
      </c>
      <c r="O10" s="71">
        <v>1</v>
      </c>
      <c r="P10" s="71">
        <v>1.3333333333333333</v>
      </c>
      <c r="Q10" s="71">
        <v>1</v>
      </c>
      <c r="R10" s="71">
        <v>2</v>
      </c>
      <c r="S10" s="122">
        <v>0.75</v>
      </c>
      <c r="T10" s="71">
        <v>1</v>
      </c>
      <c r="U10" s="71">
        <v>1.3333333333333333</v>
      </c>
      <c r="V10" s="71">
        <v>1</v>
      </c>
      <c r="W10" s="71">
        <v>2</v>
      </c>
      <c r="X10" s="122">
        <v>1.25</v>
      </c>
      <c r="Y10" s="71">
        <v>0.5</v>
      </c>
      <c r="Z10" s="71">
        <v>0.66666666666666663</v>
      </c>
      <c r="AA10" s="71">
        <v>0.5</v>
      </c>
      <c r="AB10" s="71">
        <v>0.5</v>
      </c>
      <c r="AC10" s="124">
        <v>5</v>
      </c>
      <c r="AD10" s="125">
        <v>0.61333333333333329</v>
      </c>
    </row>
    <row r="11" spans="1:30" ht="50.45" customHeight="1" x14ac:dyDescent="0.25">
      <c r="A11" s="63"/>
      <c r="B11" s="224"/>
      <c r="C11" s="236">
        <v>1113</v>
      </c>
      <c r="D11" s="240" t="s">
        <v>3803</v>
      </c>
      <c r="E11" s="305">
        <f ca="1">_xlfn.IFNA(VLOOKUP(C11,Worksheet!$C$3:$G$46,3,FALSE),E11)</f>
        <v>97</v>
      </c>
      <c r="F11" s="305">
        <f ca="1">_xlfn.IFNA(VLOOKUP(C11,Worksheet!$C$3:$G$46,4,FALSE),F11)</f>
        <v>45</v>
      </c>
      <c r="G11" s="305">
        <f ca="1">_xlfn.IFNA(VLOOKUP(C11,Worksheet!$C$3:$G$46,5,FALSE),G11)</f>
        <v>50</v>
      </c>
      <c r="H11" s="205" t="s">
        <v>150</v>
      </c>
      <c r="I11" s="63"/>
      <c r="J11" s="65"/>
      <c r="K11" s="120" t="s">
        <v>83</v>
      </c>
      <c r="L11" s="340" t="s">
        <v>3971</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305">
        <f ca="1">_xlfn.IFNA(VLOOKUP(C12,Worksheet!$C$3:$G$46,3,FALSE),E12)</f>
        <v>97</v>
      </c>
      <c r="F12" s="305">
        <f ca="1">_xlfn.IFNA(VLOOKUP(C12,Worksheet!$C$3:$G$46,4,FALSE),F12)</f>
        <v>45</v>
      </c>
      <c r="G12" s="305">
        <f ca="1">_xlfn.IFNA(VLOOKUP(C12,Worksheet!$C$3:$G$46,5,FALSE),G12)</f>
        <v>50</v>
      </c>
      <c r="H12" s="205" t="s">
        <v>150</v>
      </c>
      <c r="I12" s="63"/>
      <c r="J12" s="65"/>
      <c r="K12" s="127" t="s">
        <v>83</v>
      </c>
      <c r="L12" s="342" t="s">
        <v>3972</v>
      </c>
      <c r="M12" s="343"/>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1115</v>
      </c>
      <c r="D13" s="240" t="s">
        <v>3805</v>
      </c>
      <c r="E13" s="305">
        <f ca="1">_xlfn.IFNA(VLOOKUP(C13,Worksheet!$C$3:$G$46,3,FALSE),E13)</f>
        <v>96</v>
      </c>
      <c r="F13" s="305">
        <f ca="1">_xlfn.IFNA(VLOOKUP(C13,Worksheet!$C$3:$G$46,4,FALSE),F13)</f>
        <v>45</v>
      </c>
      <c r="G13" s="305">
        <f ca="1">_xlfn.IFNA(VLOOKUP(C13,Worksheet!$C$3:$G$46,5,FALSE),G13)</f>
        <v>50</v>
      </c>
      <c r="H13" s="205" t="s">
        <v>150</v>
      </c>
      <c r="I13" s="63"/>
      <c r="J13" s="65"/>
      <c r="K13" s="60" t="s">
        <v>86</v>
      </c>
      <c r="L13" s="332" t="s">
        <v>87</v>
      </c>
      <c r="M13" s="33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305">
        <f ca="1">_xlfn.IFNA(VLOOKUP(C14,Worksheet!$C$3:$G$46,3,FALSE),E14)</f>
        <v>0</v>
      </c>
      <c r="F14" s="305">
        <f ca="1">_xlfn.IFNA(VLOOKUP(C14,Worksheet!$C$3:$G$46,4,FALSE),F14)</f>
        <v>0</v>
      </c>
      <c r="G14" s="305">
        <f ca="1">_xlfn.IFNA(VLOOKUP(C14,Worksheet!$C$3:$G$46,5,FALSE),G14)</f>
        <v>0</v>
      </c>
      <c r="H14" s="205" t="s">
        <v>150</v>
      </c>
      <c r="I14" s="63"/>
      <c r="J14" s="70"/>
      <c r="K14" s="59" t="s">
        <v>84</v>
      </c>
      <c r="L14" s="342" t="s">
        <v>85</v>
      </c>
      <c r="M14" s="347"/>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305">
        <f ca="1">_xlfn.IFNA(VLOOKUP(C15,Worksheet!$C$3:$G$46,3,FALSE),E15)</f>
        <v>0</v>
      </c>
      <c r="F15" s="305">
        <f ca="1">_xlfn.IFNA(VLOOKUP(C15,Worksheet!$C$3:$G$46,4,FALSE),F15)</f>
        <v>0</v>
      </c>
      <c r="G15" s="305">
        <f ca="1">_xlfn.IFNA(VLOOKUP(C15,Worksheet!$C$3:$G$46,5,FALSE),G15)</f>
        <v>0</v>
      </c>
      <c r="H15" s="205" t="s">
        <v>150</v>
      </c>
      <c r="I15" s="63"/>
      <c r="J15" s="70"/>
      <c r="K15" s="60" t="s">
        <v>90</v>
      </c>
      <c r="L15" s="332" t="s">
        <v>74</v>
      </c>
      <c r="M15" s="346"/>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305">
        <f ca="1">_xlfn.IFNA(VLOOKUP(C16,Worksheet!$C$3:$G$46,3,FALSE),E16)</f>
        <v>0</v>
      </c>
      <c r="F16" s="305">
        <f ca="1">_xlfn.IFNA(VLOOKUP(C16,Worksheet!$C$3:$G$46,4,FALSE),F16)</f>
        <v>0</v>
      </c>
      <c r="G16" s="305">
        <f ca="1">_xlfn.IFNA(VLOOKUP(C16,Worksheet!$C$3:$G$46,5,FALSE),G16)</f>
        <v>0</v>
      </c>
      <c r="H16" s="205" t="s">
        <v>150</v>
      </c>
      <c r="I16" s="63"/>
      <c r="J16" s="70"/>
      <c r="K16" s="60" t="s">
        <v>91</v>
      </c>
      <c r="L16" s="332" t="s">
        <v>75</v>
      </c>
      <c r="M16" s="346"/>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305">
        <f ca="1">_xlfn.IFNA(VLOOKUP(C17,Worksheet!$C$3:$G$46,3,FALSE),E17)</f>
        <v>0</v>
      </c>
      <c r="F17" s="305">
        <f ca="1">_xlfn.IFNA(VLOOKUP(C17,Worksheet!$C$3:$G$46,4,FALSE),F17)</f>
        <v>0</v>
      </c>
      <c r="G17" s="305">
        <f ca="1">_xlfn.IFNA(VLOOKUP(C17,Worksheet!$C$3:$G$46,5,FALSE),G17)</f>
        <v>0</v>
      </c>
      <c r="H17" s="205" t="s">
        <v>150</v>
      </c>
      <c r="I17" s="63"/>
      <c r="J17" s="65"/>
      <c r="K17" s="63"/>
      <c r="L17" s="63"/>
      <c r="M17" s="63"/>
      <c r="N17" s="87">
        <f>AVERAGE(N6:N16)</f>
        <v>14.625</v>
      </c>
      <c r="O17" s="87">
        <f t="shared" ref="O17:AB17" si="0">AVERAGE(O6:O16)</f>
        <v>0.25</v>
      </c>
      <c r="P17" s="87">
        <f t="shared" si="0"/>
        <v>9.287878787878789</v>
      </c>
      <c r="Q17" s="87">
        <f t="shared" si="0"/>
        <v>14.7</v>
      </c>
      <c r="R17" s="87">
        <f t="shared" si="0"/>
        <v>21.333333333333332</v>
      </c>
      <c r="S17" s="87">
        <f t="shared" si="0"/>
        <v>6.9375</v>
      </c>
      <c r="T17" s="87">
        <f t="shared" si="0"/>
        <v>0.25</v>
      </c>
      <c r="U17" s="87">
        <f t="shared" si="0"/>
        <v>4.333333333333333</v>
      </c>
      <c r="V17" s="87">
        <f t="shared" si="0"/>
        <v>7</v>
      </c>
      <c r="W17" s="87">
        <f t="shared" si="0"/>
        <v>10.444444444444445</v>
      </c>
      <c r="X17" s="87">
        <f t="shared" si="0"/>
        <v>7.8125</v>
      </c>
      <c r="Y17" s="87">
        <f t="shared" si="0"/>
        <v>0.125</v>
      </c>
      <c r="Z17" s="87">
        <f t="shared" si="0"/>
        <v>4.8484848484848486</v>
      </c>
      <c r="AA17" s="87">
        <f t="shared" si="0"/>
        <v>8.0749999999999993</v>
      </c>
      <c r="AB17" s="87">
        <f t="shared" si="0"/>
        <v>11.222222222222221</v>
      </c>
      <c r="AC17" s="63"/>
      <c r="AD17" s="63"/>
    </row>
    <row r="18" spans="1:30" ht="40.15" customHeight="1" x14ac:dyDescent="0.3">
      <c r="A18" s="63"/>
      <c r="B18" s="224"/>
      <c r="C18" s="236">
        <v>1124</v>
      </c>
      <c r="D18" s="240" t="s">
        <v>3811</v>
      </c>
      <c r="E18" s="305">
        <f ca="1">_xlfn.IFNA(VLOOKUP(C18,Worksheet!$C$3:$G$46,3,FALSE),E18)</f>
        <v>0</v>
      </c>
      <c r="F18" s="305">
        <f ca="1">_xlfn.IFNA(VLOOKUP(C18,Worksheet!$C$3:$G$46,4,FALSE),F18)</f>
        <v>0</v>
      </c>
      <c r="G18" s="305">
        <f ca="1">_xlfn.IFNA(VLOOKUP(C18,Worksheet!$C$3:$G$46,5,FALSE),G18)</f>
        <v>0</v>
      </c>
      <c r="H18" s="205" t="s">
        <v>150</v>
      </c>
      <c r="I18" s="63"/>
      <c r="J18" s="65"/>
      <c r="K18" s="348" t="s">
        <v>563</v>
      </c>
      <c r="L18" s="348"/>
      <c r="M18" s="206" t="s">
        <v>4021</v>
      </c>
      <c r="N18" s="207"/>
      <c r="O18" s="208"/>
      <c r="P18" s="208"/>
      <c r="Q18" s="208"/>
      <c r="R18" s="301" t="s">
        <v>561</v>
      </c>
      <c r="S18" s="306" t="s">
        <v>4023</v>
      </c>
      <c r="T18" s="209"/>
      <c r="U18" s="345" t="s">
        <v>562</v>
      </c>
      <c r="V18" s="345"/>
      <c r="W18" s="210" t="s">
        <v>4024</v>
      </c>
      <c r="X18" s="210"/>
      <c r="Y18" s="88"/>
      <c r="Z18" s="88"/>
      <c r="AA18" s="88"/>
      <c r="AB18" s="88"/>
      <c r="AC18" s="63"/>
      <c r="AD18" s="63"/>
    </row>
    <row r="19" spans="1:30" ht="40.15" customHeight="1" x14ac:dyDescent="0.3">
      <c r="A19" s="63"/>
      <c r="B19" s="224"/>
      <c r="C19" s="236">
        <v>1125</v>
      </c>
      <c r="D19" s="240" t="s">
        <v>3812</v>
      </c>
      <c r="E19" s="305">
        <f ca="1">_xlfn.IFNA(VLOOKUP(C19,Worksheet!$C$3:$G$46,3,FALSE),E19)</f>
        <v>0</v>
      </c>
      <c r="F19" s="305">
        <f ca="1">_xlfn.IFNA(VLOOKUP(C19,Worksheet!$C$3:$G$46,4,FALSE),F19)</f>
        <v>0</v>
      </c>
      <c r="G19" s="305">
        <f ca="1">_xlfn.IFNA(VLOOKUP(C19,Worksheet!$C$3:$G$46,5,FALSE),G19)</f>
        <v>0</v>
      </c>
      <c r="H19" s="205" t="s">
        <v>150</v>
      </c>
      <c r="I19" s="63"/>
      <c r="J19" s="65"/>
      <c r="K19" s="344" t="s">
        <v>61</v>
      </c>
      <c r="L19" s="344"/>
      <c r="M19" s="206" t="s">
        <v>4022</v>
      </c>
      <c r="N19" s="206"/>
      <c r="O19" s="206"/>
      <c r="P19" s="206"/>
      <c r="Q19" s="206"/>
      <c r="R19" s="301" t="s">
        <v>561</v>
      </c>
      <c r="S19" s="209" t="s">
        <v>4022</v>
      </c>
      <c r="T19" s="209"/>
      <c r="U19" s="345" t="s">
        <v>562</v>
      </c>
      <c r="V19" s="345"/>
      <c r="W19" s="210" t="s">
        <v>4024</v>
      </c>
      <c r="X19" s="210"/>
      <c r="Y19" s="63"/>
      <c r="Z19" s="63"/>
      <c r="AA19" s="63"/>
      <c r="AB19" s="63"/>
      <c r="AC19" s="63"/>
      <c r="AD19" s="63"/>
    </row>
    <row r="20" spans="1:30" ht="40.15" customHeight="1" x14ac:dyDescent="0.25">
      <c r="A20" s="63"/>
      <c r="B20" s="224"/>
      <c r="C20" s="236">
        <v>1126</v>
      </c>
      <c r="D20" s="240" t="s">
        <v>3813</v>
      </c>
      <c r="E20" s="305">
        <f ca="1">_xlfn.IFNA(VLOOKUP(C20,Worksheet!$C$3:$G$46,3,FALSE),E20)</f>
        <v>0</v>
      </c>
      <c r="F20" s="305">
        <f ca="1">_xlfn.IFNA(VLOOKUP(C20,Worksheet!$C$3:$G$46,4,FALSE),F20)</f>
        <v>0</v>
      </c>
      <c r="G20" s="305">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0</v>
      </c>
      <c r="F21" s="305">
        <f ca="1">_xlfn.IFNA(VLOOKUP(C21,Worksheet!$C$3:$G$46,4,FALSE),F21)</f>
        <v>0</v>
      </c>
      <c r="G21" s="305">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0</v>
      </c>
      <c r="F23" s="305">
        <f ca="1">_xlfn.IFNA(VLOOKUP(C23,Worksheet!$C$3:$G$46,4,FALSE),F23)</f>
        <v>0</v>
      </c>
      <c r="G23" s="305">
        <f ca="1">_xlfn.IFNA(VLOOKUP(C23,Worksheet!$C$3:$G$46,5,FALSE),G23)</f>
        <v>0</v>
      </c>
      <c r="H23" s="205" t="s">
        <v>150</v>
      </c>
      <c r="I23" s="63"/>
      <c r="J23" s="65"/>
      <c r="K23" s="63"/>
      <c r="L23" s="63"/>
      <c r="M23" s="63"/>
      <c r="N23" s="63"/>
      <c r="O23" s="91">
        <v>42644</v>
      </c>
      <c r="P23" s="92">
        <f>N17</f>
        <v>14.625</v>
      </c>
      <c r="Q23" s="93">
        <f>O17</f>
        <v>0.25</v>
      </c>
      <c r="R23" s="93">
        <f>P17</f>
        <v>9.287878787878789</v>
      </c>
      <c r="S23" s="93">
        <f>Q17</f>
        <v>14.7</v>
      </c>
      <c r="T23" s="93">
        <f>R17</f>
        <v>21.333333333333332</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0</v>
      </c>
      <c r="F24" s="305">
        <f ca="1">_xlfn.IFNA(VLOOKUP(C24,Worksheet!$C$3:$G$46,4,FALSE),F24)</f>
        <v>0</v>
      </c>
      <c r="G24" s="305">
        <f ca="1">_xlfn.IFNA(VLOOKUP(C24,Worksheet!$C$3:$G$46,5,FALSE),G24)</f>
        <v>0</v>
      </c>
      <c r="H24" s="205" t="s">
        <v>150</v>
      </c>
      <c r="I24" s="63"/>
      <c r="J24" s="65"/>
      <c r="K24" s="63"/>
      <c r="L24" s="63"/>
      <c r="M24" s="63"/>
      <c r="N24" s="63"/>
      <c r="O24" s="91">
        <v>42675</v>
      </c>
      <c r="P24" s="92">
        <f>S17</f>
        <v>6.9375</v>
      </c>
      <c r="Q24" s="93">
        <f>T17</f>
        <v>0.25</v>
      </c>
      <c r="R24" s="93">
        <f>U17</f>
        <v>4.333333333333333</v>
      </c>
      <c r="S24" s="93">
        <f>V17</f>
        <v>7</v>
      </c>
      <c r="T24" s="93">
        <f>W17</f>
        <v>10.444444444444445</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47</v>
      </c>
      <c r="F25" s="305">
        <f ca="1">_xlfn.IFNA(VLOOKUP(C25,Worksheet!$C$3:$G$46,4,FALSE),F25)</f>
        <v>34</v>
      </c>
      <c r="G25" s="305">
        <f ca="1">_xlfn.IFNA(VLOOKUP(C25,Worksheet!$C$3:$G$46,5,FALSE),G25)</f>
        <v>35</v>
      </c>
      <c r="H25" s="205" t="s">
        <v>150</v>
      </c>
      <c r="I25" s="63"/>
      <c r="J25" s="63"/>
      <c r="K25" s="63"/>
      <c r="L25" s="63"/>
      <c r="M25" s="63"/>
      <c r="N25" s="63"/>
      <c r="O25" s="91">
        <v>42705</v>
      </c>
      <c r="P25" s="92">
        <f>X17</f>
        <v>7.8125</v>
      </c>
      <c r="Q25" s="93">
        <f>Y17</f>
        <v>0.125</v>
      </c>
      <c r="R25" s="93">
        <f>Z17</f>
        <v>4.8484848484848486</v>
      </c>
      <c r="S25" s="93">
        <f>AA17</f>
        <v>8.0749999999999993</v>
      </c>
      <c r="T25" s="93">
        <f>AB17</f>
        <v>11.222222222222221</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47</v>
      </c>
      <c r="F26" s="305">
        <f ca="1">_xlfn.IFNA(VLOOKUP(C26,Worksheet!$C$3:$G$46,4,FALSE),F26)</f>
        <v>11</v>
      </c>
      <c r="G26" s="305">
        <f ca="1">_xlfn.IFNA(VLOOKUP(C26,Worksheet!$C$3:$G$46,5,FALSE),G26)</f>
        <v>15</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0</v>
      </c>
      <c r="F27" s="305">
        <f ca="1">_xlfn.IFNA(VLOOKUP(C27,Worksheet!$C$3:$G$46,4,FALSE),F27)</f>
        <v>0</v>
      </c>
      <c r="G27" s="305">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0</v>
      </c>
      <c r="F28" s="305">
        <f ca="1">_xlfn.IFNA(VLOOKUP(C28,Worksheet!$C$3:$G$46,4,FALSE),F28)</f>
        <v>0</v>
      </c>
      <c r="G28" s="305">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2</v>
      </c>
      <c r="F29" s="305">
        <f ca="1">_xlfn.IFNA(VLOOKUP(C29,Worksheet!$C$3:$G$46,4,FALSE),F29)</f>
        <v>0</v>
      </c>
      <c r="G29" s="305">
        <f ca="1">_xlfn.IFNA(VLOOKUP(C29,Worksheet!$C$3:$G$46,5,FALSE),G29)</f>
        <v>1</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95</v>
      </c>
      <c r="F30" s="305">
        <f ca="1">_xlfn.IFNA(VLOOKUP(C30,Worksheet!$C$3:$G$46,4,FALSE),F30)</f>
        <v>45</v>
      </c>
      <c r="G30" s="305">
        <f ca="1">_xlfn.IFNA(VLOOKUP(C30,Worksheet!$C$3:$G$46,5,FALSE),G30)</f>
        <v>49</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96</v>
      </c>
      <c r="F31" s="305">
        <f ca="1">_xlfn.IFNA(VLOOKUP(C31,Worksheet!$C$3:$G$46,4,FALSE),F31)</f>
        <v>45</v>
      </c>
      <c r="G31" s="305">
        <f ca="1">_xlfn.IFNA(VLOOKUP(C31,Worksheet!$C$3:$G$46,5,FALSE),G31)</f>
        <v>60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97</v>
      </c>
      <c r="F32" s="305">
        <f ca="1">_xlfn.IFNA(VLOOKUP(C32,Worksheet!$C$3:$G$46,4,FALSE),F32)</f>
        <v>45</v>
      </c>
      <c r="G32" s="305">
        <f ca="1">_xlfn.IFNA(VLOOKUP(C32,Worksheet!$C$3:$G$46,5,FALSE),G32)</f>
        <v>50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96</v>
      </c>
      <c r="F33" s="305">
        <f ca="1">_xlfn.IFNA(VLOOKUP(C33,Worksheet!$C$3:$G$46,4,FALSE),F33)</f>
        <v>45</v>
      </c>
      <c r="G33" s="305">
        <f ca="1">_xlfn.IFNA(VLOOKUP(C33,Worksheet!$C$3:$G$46,5,FALSE),G33)</f>
        <v>49</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47</v>
      </c>
      <c r="F34" s="305">
        <f ca="1">_xlfn.IFNA(VLOOKUP(C34,Worksheet!$C$3:$G$46,4,FALSE),F34)</f>
        <v>34</v>
      </c>
      <c r="G34" s="305">
        <f ca="1">_xlfn.IFNA(VLOOKUP(C34,Worksheet!$C$3:$G$46,5,FALSE),G34)</f>
        <v>35</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47</v>
      </c>
      <c r="F35" s="305">
        <f ca="1">_xlfn.IFNA(VLOOKUP(C35,Worksheet!$C$3:$G$46,4,FALSE),F35)</f>
        <v>34</v>
      </c>
      <c r="G35" s="305">
        <f ca="1">_xlfn.IFNA(VLOOKUP(C35,Worksheet!$C$3:$G$46,5,FALSE),G35)</f>
        <v>34</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47</v>
      </c>
      <c r="F36" s="305">
        <f ca="1">_xlfn.IFNA(VLOOKUP(C36,Worksheet!$C$3:$G$46,4,FALSE),F36)</f>
        <v>34</v>
      </c>
      <c r="G36" s="305">
        <f ca="1">_xlfn.IFNA(VLOOKUP(C36,Worksheet!$C$3:$G$46,5,FALSE),G36)</f>
        <v>35</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47</v>
      </c>
      <c r="F37" s="305">
        <f ca="1">_xlfn.IFNA(VLOOKUP(C37,Worksheet!$C$3:$G$46,4,FALSE),F37)</f>
        <v>34</v>
      </c>
      <c r="G37" s="305">
        <f ca="1">_xlfn.IFNA(VLOOKUP(C37,Worksheet!$C$3:$G$46,5,FALSE),G37)</f>
        <v>33</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2</v>
      </c>
      <c r="F38" s="305">
        <f ca="1">_xlfn.IFNA(VLOOKUP(C38,Worksheet!$C$3:$G$46,4,FALSE),F38)</f>
        <v>0</v>
      </c>
      <c r="G38" s="305">
        <f ca="1">_xlfn.IFNA(VLOOKUP(C38,Worksheet!$C$3:$G$46,5,FALSE),G38)</f>
        <v>1</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2</v>
      </c>
      <c r="F39" s="305">
        <f ca="1">_xlfn.IFNA(VLOOKUP(C39,Worksheet!$C$3:$G$46,4,FALSE),F39)</f>
        <v>0</v>
      </c>
      <c r="G39" s="305">
        <f ca="1">_xlfn.IFNA(VLOOKUP(C39,Worksheet!$C$3:$G$46,5,FALSE),G39)</f>
        <v>1</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okhRUsVqgpgY5grGNcBkIm32nNPcQazXWWZEKSZwsJoGyLx7gKuPgyVDY7Rbg3omQaI8HcKMmTi1UFUyM+kbYA==" saltValue="rOAVjO/aeANhlhT2SwMnH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196</v>
      </c>
      <c r="G2" s="205" t="s">
        <v>150</v>
      </c>
    </row>
    <row r="3" spans="1:7" ht="45" customHeight="1" x14ac:dyDescent="0.25">
      <c r="A3" s="224"/>
      <c r="B3" s="228" t="s">
        <v>4006</v>
      </c>
      <c r="C3" s="226" t="s">
        <v>3976</v>
      </c>
      <c r="D3" s="226"/>
      <c r="E3" s="229"/>
      <c r="F3" s="298">
        <f ca="1">_xlfn.IFNA(VLOOKUP(B3,Worksheet!$C$3:$G$46,5,FALSE),F3)</f>
        <v>3</v>
      </c>
      <c r="G3" s="205" t="s">
        <v>150</v>
      </c>
    </row>
    <row r="4" spans="1:7" ht="45" customHeight="1" x14ac:dyDescent="0.25">
      <c r="A4" s="224"/>
      <c r="B4" s="228" t="s">
        <v>4007</v>
      </c>
      <c r="C4" s="226" t="s">
        <v>3977</v>
      </c>
      <c r="D4" s="230"/>
      <c r="E4" s="229"/>
      <c r="F4" s="298">
        <f ca="1">_xlfn.IFNA(VLOOKUP(B4,Worksheet!$C$3:$G$46,5,FALSE),F4)</f>
        <v>191</v>
      </c>
      <c r="G4" s="205" t="s">
        <v>150</v>
      </c>
    </row>
    <row r="5" spans="1:7" ht="45" customHeight="1" x14ac:dyDescent="0.25">
      <c r="A5" s="224"/>
      <c r="B5" s="228" t="s">
        <v>4008</v>
      </c>
      <c r="C5" s="226" t="s">
        <v>3978</v>
      </c>
      <c r="D5" s="226"/>
      <c r="E5" s="229"/>
      <c r="F5" s="298">
        <f ca="1">_xlfn.IFNA(VLOOKUP(B5,Worksheet!$C$3:$G$46,5,FALSE),F5)</f>
        <v>3</v>
      </c>
      <c r="G5" s="205" t="s">
        <v>150</v>
      </c>
    </row>
    <row r="6" spans="1:7" ht="45" customHeight="1" x14ac:dyDescent="0.25">
      <c r="A6" s="224"/>
      <c r="B6" s="231" t="s">
        <v>4009</v>
      </c>
      <c r="C6" s="232" t="s">
        <v>3979</v>
      </c>
      <c r="D6" s="233"/>
      <c r="E6" s="234"/>
      <c r="F6" s="235">
        <f ca="1">_xlfn.IFNA(VLOOKUP(F2,Data_donotedit!$BE$2:$BG$25,3,TRUE),0)</f>
        <v>70</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352</v>
      </c>
      <c r="E9" s="299">
        <f ca="1">_xlfn.IFNA(VLOOKUP(B9,Worksheet!$C$3:$G$46,4,FALSE),E9)</f>
        <v>53</v>
      </c>
      <c r="F9" s="299">
        <f ca="1">_xlfn.IFNA(VLOOKUP(B9,Worksheet!$C$3:$G$46,5,FALSE),F9)</f>
        <v>78</v>
      </c>
      <c r="G9" s="205" t="s">
        <v>150</v>
      </c>
    </row>
    <row r="10" spans="1:7" ht="45" customHeight="1" x14ac:dyDescent="0.25">
      <c r="A10" s="224"/>
      <c r="B10" s="236">
        <v>1113</v>
      </c>
      <c r="C10" s="240" t="s">
        <v>3803</v>
      </c>
      <c r="D10" s="299">
        <f ca="1">_xlfn.IFNA(VLOOKUP(B10,Worksheet!$C$3:$G$46,3,FALSE),D10)</f>
        <v>97</v>
      </c>
      <c r="E10" s="299">
        <f ca="1">_xlfn.IFNA(VLOOKUP(B10,Worksheet!$C$3:$G$46,4,FALSE),E10)</f>
        <v>45</v>
      </c>
      <c r="F10" s="299">
        <f ca="1">_xlfn.IFNA(VLOOKUP(B10,Worksheet!$C$3:$G$46,5,FALSE),F10)</f>
        <v>50</v>
      </c>
      <c r="G10" s="205" t="s">
        <v>150</v>
      </c>
    </row>
    <row r="11" spans="1:7" ht="45" customHeight="1" x14ac:dyDescent="0.25">
      <c r="A11" s="224"/>
      <c r="B11" s="236">
        <v>1114</v>
      </c>
      <c r="C11" s="241" t="s">
        <v>3804</v>
      </c>
      <c r="D11" s="299">
        <f ca="1">_xlfn.IFNA(VLOOKUP(B11,Worksheet!$C$3:$G$46,3,FALSE),D11)</f>
        <v>97</v>
      </c>
      <c r="E11" s="299">
        <f ca="1">_xlfn.IFNA(VLOOKUP(B11,Worksheet!$C$3:$G$46,4,FALSE),E11)</f>
        <v>45</v>
      </c>
      <c r="F11" s="299">
        <f ca="1">_xlfn.IFNA(VLOOKUP(B11,Worksheet!$C$3:$G$46,5,FALSE),F11)</f>
        <v>50</v>
      </c>
      <c r="G11" s="205" t="s">
        <v>150</v>
      </c>
    </row>
    <row r="12" spans="1:7" ht="45" customHeight="1" x14ac:dyDescent="0.25">
      <c r="A12" s="224"/>
      <c r="B12" s="236">
        <v>1115</v>
      </c>
      <c r="C12" s="240" t="s">
        <v>3805</v>
      </c>
      <c r="D12" s="299">
        <f ca="1">_xlfn.IFNA(VLOOKUP(B12,Worksheet!$C$3:$G$46,3,FALSE),D12)</f>
        <v>96</v>
      </c>
      <c r="E12" s="299">
        <f ca="1">_xlfn.IFNA(VLOOKUP(B12,Worksheet!$C$3:$G$46,4,FALSE),E12)</f>
        <v>45</v>
      </c>
      <c r="F12" s="299">
        <f ca="1">_xlfn.IFNA(VLOOKUP(B12,Worksheet!$C$3:$G$46,5,FALSE),F12)</f>
        <v>50</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47</v>
      </c>
      <c r="E25" s="299">
        <f ca="1">_xlfn.IFNA(VLOOKUP(B25,Worksheet!$C$3:$G$46,4,FALSE),E25)</f>
        <v>34</v>
      </c>
      <c r="F25" s="299">
        <f ca="1">_xlfn.IFNA(VLOOKUP(B25,Worksheet!$C$3:$G$46,5,FALSE),F25)</f>
        <v>35</v>
      </c>
      <c r="G25" s="205" t="s">
        <v>150</v>
      </c>
    </row>
    <row r="26" spans="1:7" ht="45" customHeight="1" x14ac:dyDescent="0.25">
      <c r="A26" s="224"/>
      <c r="B26" s="236">
        <v>1134</v>
      </c>
      <c r="C26" s="240" t="s">
        <v>3818</v>
      </c>
      <c r="D26" s="299">
        <f ca="1">_xlfn.IFNA(VLOOKUP(B26,Worksheet!$C$3:$G$46,3,FALSE),D26)</f>
        <v>47</v>
      </c>
      <c r="E26" s="299">
        <f ca="1">_xlfn.IFNA(VLOOKUP(B26,Worksheet!$C$3:$G$46,4,FALSE),E26)</f>
        <v>11</v>
      </c>
      <c r="F26" s="299">
        <f ca="1">_xlfn.IFNA(VLOOKUP(B26,Worksheet!$C$3:$G$46,5,FALSE),F26)</f>
        <v>15</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2</v>
      </c>
      <c r="E29" s="299">
        <f ca="1">_xlfn.IFNA(VLOOKUP(B29,Worksheet!$C$3:$G$46,4,FALSE),E29)</f>
        <v>0</v>
      </c>
      <c r="F29" s="299">
        <f ca="1">_xlfn.IFNA(VLOOKUP(B29,Worksheet!$C$3:$G$46,5,FALSE),F29)</f>
        <v>1</v>
      </c>
      <c r="G29" s="205" t="s">
        <v>150</v>
      </c>
    </row>
    <row r="30" spans="1:7" ht="45" customHeight="1" x14ac:dyDescent="0.25">
      <c r="A30" s="224"/>
      <c r="B30" s="236">
        <v>1138</v>
      </c>
      <c r="C30" s="240" t="s">
        <v>3822</v>
      </c>
      <c r="D30" s="299">
        <f ca="1">_xlfn.IFNA(VLOOKUP(B30,Worksheet!$C$3:$G$46,3,FALSE),D30)</f>
        <v>95</v>
      </c>
      <c r="E30" s="299">
        <f ca="1">_xlfn.IFNA(VLOOKUP(B30,Worksheet!$C$3:$G$46,4,FALSE),E30)</f>
        <v>45</v>
      </c>
      <c r="F30" s="299">
        <f ca="1">_xlfn.IFNA(VLOOKUP(B30,Worksheet!$C$3:$G$46,5,FALSE),F30)</f>
        <v>49</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96</v>
      </c>
      <c r="E33" s="299">
        <f ca="1">_xlfn.IFNA(VLOOKUP(B33,Worksheet!$C$3:$G$46,4,FALSE),E33)</f>
        <v>45</v>
      </c>
      <c r="F33" s="299">
        <f ca="1">_xlfn.IFNA(VLOOKUP(B33,Worksheet!$C$3:$G$46,5,FALSE),F33)</f>
        <v>60</v>
      </c>
      <c r="G33" s="205" t="s">
        <v>150</v>
      </c>
    </row>
    <row r="34" spans="1:7" ht="45" customHeight="1" x14ac:dyDescent="0.25">
      <c r="A34" s="224"/>
      <c r="B34" s="236">
        <v>1144</v>
      </c>
      <c r="C34" s="240" t="s">
        <v>3826</v>
      </c>
      <c r="D34" s="299">
        <f ca="1">_xlfn.IFNA(VLOOKUP(B34,Worksheet!$C$3:$G$46,3,FALSE),D34)</f>
        <v>97</v>
      </c>
      <c r="E34" s="299">
        <f ca="1">_xlfn.IFNA(VLOOKUP(B34,Worksheet!$C$3:$G$46,4,FALSE),E34)</f>
        <v>45</v>
      </c>
      <c r="F34" s="299">
        <f ca="1">_xlfn.IFNA(VLOOKUP(B34,Worksheet!$C$3:$G$46,5,FALSE),F34)</f>
        <v>50</v>
      </c>
      <c r="G34" s="205" t="s">
        <v>150</v>
      </c>
    </row>
    <row r="35" spans="1:7" ht="45" customHeight="1" x14ac:dyDescent="0.25">
      <c r="A35" s="224"/>
      <c r="B35" s="236">
        <v>1145</v>
      </c>
      <c r="C35" s="240" t="s">
        <v>3827</v>
      </c>
      <c r="D35" s="299">
        <f ca="1">_xlfn.IFNA(VLOOKUP(B35,Worksheet!$C$3:$G$46,3,FALSE),D35)</f>
        <v>96</v>
      </c>
      <c r="E35" s="299">
        <f ca="1">_xlfn.IFNA(VLOOKUP(B35,Worksheet!$C$3:$G$46,4,FALSE),E35)</f>
        <v>45</v>
      </c>
      <c r="F35" s="299">
        <f ca="1">_xlfn.IFNA(VLOOKUP(B35,Worksheet!$C$3:$G$46,5,FALSE),F35)</f>
        <v>49</v>
      </c>
      <c r="G35" s="205" t="s">
        <v>150</v>
      </c>
    </row>
    <row r="36" spans="1:7" ht="45" hidden="1" customHeight="1" x14ac:dyDescent="0.25">
      <c r="A36" s="224"/>
      <c r="B36" s="236">
        <v>1151</v>
      </c>
      <c r="C36" s="246" t="s">
        <v>3828</v>
      </c>
      <c r="D36" s="247">
        <f ca="1">D37/D38</f>
        <v>1</v>
      </c>
      <c r="E36" s="247">
        <f t="shared" ref="E36:F36" ca="1" si="1">E37/E38</f>
        <v>1</v>
      </c>
      <c r="F36" s="247">
        <f t="shared" ca="1" si="1"/>
        <v>1.0294117647058822</v>
      </c>
      <c r="G36" s="205"/>
    </row>
    <row r="37" spans="1:7" ht="45" customHeight="1" x14ac:dyDescent="0.25">
      <c r="A37" s="224"/>
      <c r="B37" s="236">
        <v>1152</v>
      </c>
      <c r="C37" s="240" t="s">
        <v>3829</v>
      </c>
      <c r="D37" s="299">
        <f ca="1">_xlfn.IFNA(VLOOKUP(B37,Worksheet!$C$3:$G$46,3,FALSE),D37)</f>
        <v>47</v>
      </c>
      <c r="E37" s="299">
        <f ca="1">_xlfn.IFNA(VLOOKUP(B37,Worksheet!$C$3:$G$46,4,FALSE),E37)</f>
        <v>34</v>
      </c>
      <c r="F37" s="299">
        <f ca="1">_xlfn.IFNA(VLOOKUP(B37,Worksheet!$C$3:$G$46,5,FALSE),F37)</f>
        <v>35</v>
      </c>
      <c r="G37" s="205" t="s">
        <v>150</v>
      </c>
    </row>
    <row r="38" spans="1:7" ht="45" customHeight="1" x14ac:dyDescent="0.25">
      <c r="A38" s="224"/>
      <c r="B38" s="236">
        <v>1153</v>
      </c>
      <c r="C38" s="240" t="s">
        <v>3830</v>
      </c>
      <c r="D38" s="299">
        <f ca="1">_xlfn.IFNA(VLOOKUP(B38,Worksheet!$C$3:$G$46,3,FALSE),D38)</f>
        <v>47</v>
      </c>
      <c r="E38" s="299">
        <f ca="1">_xlfn.IFNA(VLOOKUP(B38,Worksheet!$C$3:$G$46,4,FALSE),E38)</f>
        <v>34</v>
      </c>
      <c r="F38" s="299">
        <f ca="1">_xlfn.IFNA(VLOOKUP(B38,Worksheet!$C$3:$G$46,5,FALSE),F38)</f>
        <v>34</v>
      </c>
      <c r="G38" s="205" t="s">
        <v>150</v>
      </c>
    </row>
    <row r="39" spans="1:7" ht="45" hidden="1" customHeight="1" x14ac:dyDescent="0.25">
      <c r="A39" s="224"/>
      <c r="B39" s="236">
        <v>1154</v>
      </c>
      <c r="C39" s="246" t="s">
        <v>3831</v>
      </c>
      <c r="D39" s="247">
        <f ca="1">D40/D41</f>
        <v>1</v>
      </c>
      <c r="E39" s="247">
        <f t="shared" ref="E39:F39" ca="1" si="2">E40/E41</f>
        <v>1</v>
      </c>
      <c r="F39" s="247">
        <f t="shared" ca="1" si="2"/>
        <v>1.0606060606060606</v>
      </c>
      <c r="G39" s="205"/>
    </row>
    <row r="40" spans="1:7" ht="45" customHeight="1" x14ac:dyDescent="0.25">
      <c r="A40" s="224"/>
      <c r="B40" s="236">
        <v>1155</v>
      </c>
      <c r="C40" s="240" t="s">
        <v>3829</v>
      </c>
      <c r="D40" s="299">
        <f ca="1">_xlfn.IFNA(VLOOKUP(B40,Worksheet!$C$3:$G$46,3,FALSE),D40)</f>
        <v>47</v>
      </c>
      <c r="E40" s="299">
        <f ca="1">_xlfn.IFNA(VLOOKUP(B40,Worksheet!$C$3:$G$46,4,FALSE),E40)</f>
        <v>34</v>
      </c>
      <c r="F40" s="299">
        <f ca="1">_xlfn.IFNA(VLOOKUP(B40,Worksheet!$C$3:$G$46,5,FALSE),F40)</f>
        <v>35</v>
      </c>
      <c r="G40" s="205" t="s">
        <v>150</v>
      </c>
    </row>
    <row r="41" spans="1:7" ht="45" customHeight="1" x14ac:dyDescent="0.25">
      <c r="A41" s="224"/>
      <c r="B41" s="236">
        <v>1156</v>
      </c>
      <c r="C41" s="240" t="s">
        <v>3832</v>
      </c>
      <c r="D41" s="299">
        <f ca="1">_xlfn.IFNA(VLOOKUP(B41,Worksheet!$C$3:$G$46,3,FALSE),D41)</f>
        <v>47</v>
      </c>
      <c r="E41" s="299">
        <f ca="1">_xlfn.IFNA(VLOOKUP(B41,Worksheet!$C$3:$G$46,4,FALSE),E41)</f>
        <v>34</v>
      </c>
      <c r="F41" s="299">
        <f ca="1">_xlfn.IFNA(VLOOKUP(B41,Worksheet!$C$3:$G$46,5,FALSE),F41)</f>
        <v>33</v>
      </c>
      <c r="G41" s="205" t="s">
        <v>150</v>
      </c>
    </row>
    <row r="42" spans="1:7" ht="45" hidden="1" customHeight="1" x14ac:dyDescent="0.25">
      <c r="A42" s="224"/>
      <c r="B42" s="236">
        <v>1157</v>
      </c>
      <c r="C42" s="246" t="s">
        <v>3833</v>
      </c>
      <c r="D42" s="247">
        <f ca="1">D43/D44</f>
        <v>1</v>
      </c>
      <c r="E42" s="247" t="e">
        <f t="shared" ref="E42:F42" ca="1" si="3">E43/E44</f>
        <v>#DIV/0!</v>
      </c>
      <c r="F42" s="247">
        <f t="shared" ca="1" si="3"/>
        <v>1</v>
      </c>
      <c r="G42" s="205"/>
    </row>
    <row r="43" spans="1:7" ht="45" customHeight="1" x14ac:dyDescent="0.25">
      <c r="A43" s="224"/>
      <c r="B43" s="236">
        <v>1158</v>
      </c>
      <c r="C43" s="240" t="s">
        <v>3834</v>
      </c>
      <c r="D43" s="299">
        <f ca="1">_xlfn.IFNA(VLOOKUP(B43,Worksheet!$C$3:$G$46,3,FALSE),D43)</f>
        <v>2</v>
      </c>
      <c r="E43" s="299">
        <f ca="1">_xlfn.IFNA(VLOOKUP(B43,Worksheet!$C$3:$G$46,4,FALSE),E43)</f>
        <v>0</v>
      </c>
      <c r="F43" s="299">
        <f ca="1">_xlfn.IFNA(VLOOKUP(B43,Worksheet!$C$3:$G$46,5,FALSE),F43)</f>
        <v>1</v>
      </c>
      <c r="G43" s="205" t="s">
        <v>150</v>
      </c>
    </row>
    <row r="44" spans="1:7" s="248" customFormat="1" ht="45" customHeight="1" x14ac:dyDescent="0.25">
      <c r="A44" s="224"/>
      <c r="B44" s="236">
        <v>1159</v>
      </c>
      <c r="C44" s="240" t="s">
        <v>3835</v>
      </c>
      <c r="D44" s="299">
        <f ca="1">_xlfn.IFNA(VLOOKUP(B44,Worksheet!$C$3:$G$46,3,FALSE),D44)</f>
        <v>2</v>
      </c>
      <c r="E44" s="299">
        <f ca="1">_xlfn.IFNA(VLOOKUP(B44,Worksheet!$C$3:$G$46,4,FALSE),E44)</f>
        <v>0</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5</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50</v>
      </c>
      <c r="E52" s="299">
        <f ca="1">_xlfn.IFNA(VLOOKUP(B52,Worksheet!$C$3:$G$46,4,FALSE),E52)</f>
        <v>83</v>
      </c>
      <c r="F52" s="299">
        <f ca="1">_xlfn.IFNA(VLOOKUP(B52,Worksheet!$C$3:$G$46,5,FALSE),F52)</f>
        <v>85</v>
      </c>
      <c r="G52" s="205" t="s">
        <v>83</v>
      </c>
    </row>
    <row r="53" spans="1:7" ht="45" hidden="1" customHeight="1" x14ac:dyDescent="0.25">
      <c r="A53" s="224"/>
      <c r="B53" s="236">
        <v>1213</v>
      </c>
      <c r="C53" s="240" t="s">
        <v>3841</v>
      </c>
      <c r="D53" s="299">
        <f ca="1">_xlfn.IFNA(VLOOKUP(B53,Worksheet!$C$3:$G$46,3,FALSE),D53)</f>
        <v>2</v>
      </c>
      <c r="E53" s="299">
        <f ca="1">_xlfn.IFNA(VLOOKUP(B53,Worksheet!$C$3:$G$46,4,FALSE),E53)</f>
        <v>3</v>
      </c>
      <c r="F53" s="299">
        <f ca="1">_xlfn.IFNA(VLOOKUP(B53,Worksheet!$C$3:$G$46,5,FALSE),F53)</f>
        <v>0</v>
      </c>
      <c r="G53" s="205" t="s">
        <v>83</v>
      </c>
    </row>
    <row r="54" spans="1:7" ht="45" hidden="1" customHeight="1" x14ac:dyDescent="0.25">
      <c r="A54" s="224"/>
      <c r="B54" s="236">
        <v>1214</v>
      </c>
      <c r="C54" s="262" t="s">
        <v>3842</v>
      </c>
      <c r="D54" s="299">
        <f ca="1">_xlfn.IFNA(VLOOKUP(B54,Worksheet!$C$3:$G$46,3,FALSE),D54)</f>
        <v>2</v>
      </c>
      <c r="E54" s="299">
        <f ca="1">_xlfn.IFNA(VLOOKUP(B54,Worksheet!$C$3:$G$46,4,FALSE),E54)</f>
        <v>3</v>
      </c>
      <c r="F54" s="299">
        <f ca="1">_xlfn.IFNA(VLOOKUP(B54,Worksheet!$C$3:$G$46,5,FALSE),F54)</f>
        <v>5</v>
      </c>
      <c r="G54" s="205" t="s">
        <v>83</v>
      </c>
    </row>
    <row r="55" spans="1:7" ht="45" hidden="1" customHeight="1" x14ac:dyDescent="0.25">
      <c r="A55" s="224"/>
      <c r="B55" s="236">
        <v>1215</v>
      </c>
      <c r="C55" s="240" t="s">
        <v>3843</v>
      </c>
      <c r="D55" s="299">
        <f ca="1">_xlfn.IFNA(VLOOKUP(B55,Worksheet!$C$3:$G$46,3,FALSE),D55)</f>
        <v>0</v>
      </c>
      <c r="E55" s="299">
        <f ca="1">_xlfn.IFNA(VLOOKUP(B55,Worksheet!$C$3:$G$46,4,FALSE),E55)</f>
        <v>0</v>
      </c>
      <c r="F55" s="299">
        <f ca="1">_xlfn.IFNA(VLOOKUP(B55,Worksheet!$C$3:$G$46,5,FALSE),F55)</f>
        <v>0</v>
      </c>
      <c r="G55" s="205" t="s">
        <v>83</v>
      </c>
    </row>
    <row r="56" spans="1:7" ht="45" hidden="1" customHeight="1" x14ac:dyDescent="0.25">
      <c r="A56" s="224"/>
      <c r="B56" s="236">
        <v>1216</v>
      </c>
      <c r="C56" s="241" t="s">
        <v>3844</v>
      </c>
      <c r="D56" s="299">
        <f ca="1">_xlfn.IFNA(VLOOKUP(B56,Worksheet!$C$3:$G$46,3,FALSE),D56)</f>
        <v>2</v>
      </c>
      <c r="E56" s="299">
        <f ca="1">_xlfn.IFNA(VLOOKUP(B56,Worksheet!$C$3:$G$46,4,FALSE),E56)</f>
        <v>3</v>
      </c>
      <c r="F56" s="299">
        <f ca="1">_xlfn.IFNA(VLOOKUP(B56,Worksheet!$C$3:$G$46,5,FALSE),F56)</f>
        <v>5</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v>
      </c>
      <c r="E67" s="299">
        <f ca="1">_xlfn.IFNA(VLOOKUP(B67,Worksheet!$C$3:$G$46,4,FALSE),E67)</f>
        <v>2</v>
      </c>
      <c r="F67" s="299">
        <f ca="1">_xlfn.IFNA(VLOOKUP(B67,Worksheet!$C$3:$G$46,5,FALSE),F67)</f>
        <v>1</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2</v>
      </c>
      <c r="E71" s="299">
        <f ca="1">_xlfn.IFNA(VLOOKUP(B71,Worksheet!$C$3:$G$46,4,FALSE),E71)</f>
        <v>2</v>
      </c>
      <c r="F71" s="299">
        <f ca="1">_xlfn.IFNA(VLOOKUP(B71,Worksheet!$C$3:$G$46,5,FALSE),F71)</f>
        <v>1</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2</v>
      </c>
      <c r="E73" s="299">
        <f ca="1">_xlfn.IFNA(VLOOKUP(B73,Worksheet!$C$3:$G$46,4,FALSE),E73)</f>
        <v>2</v>
      </c>
      <c r="F73" s="299">
        <f ca="1">_xlfn.IFNA(VLOOKUP(B73,Worksheet!$C$3:$G$46,5,FALSE),F73)</f>
        <v>1</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0</v>
      </c>
      <c r="E75" s="299">
        <f ca="1">_xlfn.IFNA(VLOOKUP(B75,Worksheet!$C$3:$G$46,4,FALSE),E75)</f>
        <v>0</v>
      </c>
      <c r="F75" s="299">
        <f ca="1">_xlfn.IFNA(VLOOKUP(B75,Worksheet!$C$3:$G$46,5,FALSE),F75)</f>
        <v>0</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2</v>
      </c>
      <c r="E79" s="299">
        <f ca="1">_xlfn.IFNA(VLOOKUP(B79,Worksheet!$C$3:$G$46,4,FALSE),E79)</f>
        <v>2</v>
      </c>
      <c r="F79" s="299">
        <f ca="1">_xlfn.IFNA(VLOOKUP(B79,Worksheet!$C$3:$G$46,5,FALSE),F79)</f>
        <v>1</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2</v>
      </c>
      <c r="E81" s="263">
        <f t="shared" ref="E81:F81" ca="1" si="4">E82</f>
        <v>2</v>
      </c>
      <c r="F81" s="263">
        <f t="shared" ca="1" si="4"/>
        <v>1</v>
      </c>
      <c r="G81" s="205"/>
    </row>
    <row r="82" spans="1:7" ht="45" hidden="1" customHeight="1" x14ac:dyDescent="0.25">
      <c r="A82" s="224"/>
      <c r="B82" s="236">
        <v>1252</v>
      </c>
      <c r="C82" s="240" t="s">
        <v>3869</v>
      </c>
      <c r="D82" s="299">
        <f ca="1">_xlfn.IFNA(VLOOKUP(B82,Worksheet!$C$3:$G$46,3,FALSE),D82)</f>
        <v>2</v>
      </c>
      <c r="E82" s="299">
        <f ca="1">_xlfn.IFNA(VLOOKUP(B82,Worksheet!$C$3:$G$46,4,FALSE),E82)</f>
        <v>2</v>
      </c>
      <c r="F82" s="299">
        <f ca="1">_xlfn.IFNA(VLOOKUP(B82,Worksheet!$C$3:$G$46,5,FALSE),F82)</f>
        <v>1</v>
      </c>
      <c r="G82" s="205" t="s">
        <v>83</v>
      </c>
    </row>
    <row r="83" spans="1:7" ht="45" hidden="1" customHeight="1" x14ac:dyDescent="0.25">
      <c r="A83" s="224"/>
      <c r="B83" s="236">
        <v>1253</v>
      </c>
      <c r="C83" s="240" t="s">
        <v>3870</v>
      </c>
      <c r="D83" s="299">
        <f ca="1">_xlfn.IFNA(VLOOKUP(B83,Worksheet!$C$3:$G$46,3,FALSE),D83)</f>
        <v>2</v>
      </c>
      <c r="E83" s="299">
        <f ca="1">_xlfn.IFNA(VLOOKUP(B83,Worksheet!$C$3:$G$46,4,FALSE),E83)</f>
        <v>2</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XDR4G7atYudcjSbQqmf4h1mbbE5CbtfIIXJ5Ua9rp+wTj4EcyJIWSKBF2dnZPv3e60WJEHqOv2m/QVsLlY113A==" saltValue="SA/cvzAsHM90uWE8bp5u1A=="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2017-02-25T01:07:39Z</dcterms:modified>
</cp:coreProperties>
</file>