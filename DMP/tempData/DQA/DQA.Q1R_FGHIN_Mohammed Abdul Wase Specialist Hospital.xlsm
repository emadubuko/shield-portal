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Kayode\Desktop\MGIC\SHIELD\DQA\RE__RE__Instruction_on_how_to_use_DQA_tool\"/>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<sst xmlns="http://schemas.openxmlformats.org/spreadsheetml/2006/main" count="27099" uniqueCount="4025">
  <si>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</si>
  <si>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</si>
  <si>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</si>
  <si>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</si>
  <si>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</si>
  <si>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</si>
  <si>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</si>
  <si>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</si>
  <si>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</si>
  <si>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</si>
  <si>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</si>
  <si>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</si>
  <si>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</si>
  <si>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</si>
  <si>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</si>
  <si>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</si>
  <si>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</si>
  <si>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</si>
  <si>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</si>
  <si>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</si>
  <si>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</si>
  <si>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</si>
  <si>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</si>
  <si>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</si>
  <si>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</si>
  <si>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</si>
  <si>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</si>
  <si>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</si>
  <si>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</si>
  <si>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</si>
  <si>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</si>
  <si>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</si>
  <si>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</si>
  <si>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</si>
  <si>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</si>
  <si>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</si>
  <si>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</si>
  <si>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</si>
  <si>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</si>
  <si>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</si>
  <si>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</si>
  <si>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</si>
  <si>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</si>
  <si>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</si>
  <si>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</si>
  <si>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</si>
  <si>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</si>
  <si>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</si>
  <si>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</si>
  <si>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</si>
  <si>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</si>
  <si>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</si>
  <si>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</si>
  <si>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</si>
  <si>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</si>
  <si>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</si>
  <si>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</si>
  <si>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</si>
  <si>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</si>
  <si>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</si>
  <si>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</si>
  <si>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</si>
  <si>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</si>
  <si>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</si>
  <si>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</si>
  <si>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</si>
  <si>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</si>
  <si>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</si>
  <si>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</si>
  <si>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</si>
  <si>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</si>
  <si>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</si>
  <si>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</si>
  <si>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</si>
  <si>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</si>
  <si>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</si>
  <si>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</si>
  <si>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</si>
  <si>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</si>
  <si>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</si>
  <si>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</si>
  <si>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</si>
  <si>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</si>
  <si>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</si>
  <si>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</si>
  <si>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</si>
  <si>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</si>
  <si>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</si>
  <si>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</si>
  <si>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</si>
  <si>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</si>
  <si>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</si>
  <si>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</si>
  <si>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</si>
  <si>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</si>
  <si>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</si>
  <si>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</si>
  <si>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</si>
  <si>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</si>
  <si>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</si>
  <si>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</si>
  <si>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</si>
  <si>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</si>
  <si>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</si>
  <si>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</si>
  <si>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</si>
  <si>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</si>
  <si>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</si>
  <si>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</si>
  <si>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</si>
  <si>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</si>
  <si>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</si>
  <si>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</si>
  <si>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</si>
  <si>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</si>
  <si>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</si>
  <si>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</si>
  <si>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</si>
  <si>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</si>
  <si>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</si>
  <si>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</si>
  <si>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</si>
  <si>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</si>
  <si>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</si>
  <si>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</si>
  <si>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</si>
  <si>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</si>
  <si>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</si>
  <si>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</si>
  <si>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</si>
  <si>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</si>
  <si>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</si>
  <si>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</si>
  <si>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</si>
  <si>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</si>
  <si>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</si>
  <si>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</si>
  <si>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</si>
  <si>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</si>
  <si>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</si>
  <si>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</si>
  <si>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</si>
  <si>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</si>
  <si>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</si>
  <si>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</si>
  <si>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</si>
  <si>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</si>
  <si>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</si>
  <si>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</si>
  <si>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</si>
  <si>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</si>
  <si>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</si>
  <si>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</si>
  <si>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</si>
  <si>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</si>
  <si>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</si>
  <si>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</si>
  <si>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</si>
  <si>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</si>
  <si>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</si>
  <si>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</si>
  <si>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</si>
  <si>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</si>
  <si>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</si>
  <si>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</si>
  <si>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</si>
  <si>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</si>
  <si>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</si>
  <si>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</si>
  <si>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</si>
  <si>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</si>
  <si>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</si>
  <si>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</si>
  <si>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</si>
  <si>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</si>
  <si>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</si>
  <si>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</si>
  <si>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</si>
  <si>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</si>
  <si>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</si>
  <si>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</si>
  <si>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</si>
  <si>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</si>
  <si>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</si>
  <si>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</si>
  <si>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</si>
  <si>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</si>
  <si>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</si>
  <si>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</si>
  <si>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</si>
  <si>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</si>
  <si>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</si>
  <si>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</si>
  <si>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</si>
  <si>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</si>
  <si>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</si>
  <si>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</si>
  <si>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</si>
  <si>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</si>
  <si>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</si>
  <si>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</si>
  <si>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</si>
  <si>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</si>
  <si>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</si>
  <si>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</si>
  <si>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</si>
  <si>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</si>
  <si>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</si>
  <si>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</si>
  <si>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</si>
  <si>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</si>
  <si>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</si>
  <si>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</si>
  <si>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</si>
  <si>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</si>
  <si>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</si>
  <si>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</si>
  <si>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</si>
  <si>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</si>
  <si>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</si>
  <si>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</si>
  <si>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</si>
  <si>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</si>
  <si>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</si>
  <si>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</si>
  <si>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</si>
  <si>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</si>
  <si>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</si>
  <si>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</si>
  <si>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</si>
  <si>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</si>
  <si>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</si>
  <si>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</si>
  <si>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</si>
  <si>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</si>
  <si>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</si>
  <si>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</si>
  <si>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</si>
  <si>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</si>
  <si>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</si>
  <si>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</si>
  <si>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</si>
  <si>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</si>
  <si>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</si>
  <si>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</si>
  <si>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</si>
  <si>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</si>
  <si>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</si>
  <si>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</si>
  <si>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</si>
  <si>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</si>
  <si>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</si>
  <si>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</si>
  <si>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</si>
  <si>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</si>
  <si>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</si>
  <si>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</si>
  <si>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</si>
  <si>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</si>
  <si>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</si>
  <si>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</si>
  <si>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</si>
  <si>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</si>
  <si>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</si>
  <si>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</si>
  <si>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</si>
  <si>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</si>
  <si>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</si>
  <si>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</si>
  <si>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</si>
  <si>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</si>
  <si>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</si>
  <si>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</si>
  <si>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</si>
  <si>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</si>
  <si>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</si>
  <si>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</si>
  <si>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</si>
  <si>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</si>
  <si>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</si>
  <si>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</si>
  <si>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</si>
  <si>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</si>
  <si>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</si>
  <si>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</si>
  <si>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</si>
  <si>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</si>
  <si>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</si>
  <si>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</si>
  <si>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</si>
  <si>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</si>
  <si>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</si>
  <si>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</si>
  <si>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</si>
  <si>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</si>
  <si>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</si>
  <si>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</si>
  <si>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</si>
  <si>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</si>
  <si>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</si>
  <si>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</si>
  <si>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</si>
  <si>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</si>
  <si>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</si>
  <si>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</si>
  <si>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</si>
  <si>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</si>
  <si>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</si>
  <si>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</si>
  <si>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</si>
  <si>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</si>
  <si>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</si>
  <si>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</si>
  <si>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</si>
  <si>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</si>
  <si>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</si>
  <si>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</si>
  <si>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</si>
  <si>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</si>
  <si>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</si>
  <si>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</si>
  <si>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</si>
  <si>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</si>
  <si>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</si>
  <si>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</si>
  <si>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</si>
  <si>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</si>
  <si>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</si>
  <si>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</si>
  <si>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</si>
  <si>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</si>
  <si>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</si>
  <si>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</si>
  <si>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</si>
  <si>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</si>
  <si>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</si>
  <si>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</si>
  <si>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</si>
  <si>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</si>
  <si>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</si>
  <si>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</si>
  <si>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</si>
  <si>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</si>
  <si>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</si>
  <si>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</si>
  <si>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</si>
  <si>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</si>
  <si>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</si>
  <si>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</si>
  <si>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</si>
  <si>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</si>
  <si>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</si>
  <si>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</si>
  <si>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</si>
  <si>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</si>
  <si>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</si>
  <si>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</si>
  <si>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</si>
  <si>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</si>
  <si>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</si>
  <si>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</si>
  <si>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</si>
  <si>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</si>
  <si>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</si>
  <si>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</si>
  <si>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</si>
  <si>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</si>
  <si>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</si>
  <si>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</si>
  <si>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</si>
  <si>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</si>
  <si>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</si>
  <si>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</si>
  <si>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</si>
  <si>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</si>
  <si>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</si>
  <si>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</si>
  <si>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</si>
  <si>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</si>
  <si>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</si>
  <si>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</si>
  <si>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</si>
  <si>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</si>
  <si>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</si>
  <si>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</si>
  <si>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</si>
  <si>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</si>
  <si>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</si>
  <si>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</si>
  <si>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</si>
  <si>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</si>
  <si>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</si>
  <si>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</si>
  <si>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</si>
  <si>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</si>
  <si>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</si>
  <si>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</si>
  <si>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</si>
  <si>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</si>
  <si>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</si>
  <si>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</si>
  <si>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</si>
  <si>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</si>
  <si>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</si>
  <si>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</si>
  <si>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</si>
  <si>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</si>
  <si>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</si>
  <si>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</si>
  <si>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</si>
  <si>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</si>
  <si>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</si>
  <si>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</si>
  <si>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</si>
  <si>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</si>
  <si>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</si>
  <si>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</si>
  <si>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</si>
  <si>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</si>
  <si>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</si>
  <si>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</si>
  <si>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</si>
  <si>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</si>
  <si>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</si>
  <si>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</si>
  <si>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</si>
  <si>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</si>
  <si>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</si>
  <si>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</si>
  <si>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</si>
  <si>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</si>
  <si>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</si>
  <si>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</si>
  <si>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</si>
  <si>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</si>
  <si>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</si>
  <si>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</si>
  <si>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</si>
  <si>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</si>
  <si>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</si>
  <si>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</si>
  <si>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</si>
  <si>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</si>
  <si>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</si>
  <si>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</si>
  <si>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</si>
  <si>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</si>
  <si>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</si>
  <si>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</si>
  <si>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</si>
  <si>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</si>
  <si>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</si>
  <si>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</si>
  <si>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</si>
  <si>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</si>
  <si>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</si>
  <si>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</si>
  <si>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</si>
  <si>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</si>
  <si>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</si>
  <si>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</si>
  <si>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</si>
  <si>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</si>
  <si>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</si>
  <si>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</si>
  <si>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</si>
  <si>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</si>
  <si>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</si>
  <si>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</si>
  <si>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</si>
  <si>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</si>
  <si>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</si>
  <si>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</si>
  <si>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</si>
  <si>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</si>
  <si>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</si>
  <si>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</si>
  <si>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</si>
  <si>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</si>
  <si>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</si>
  <si>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</si>
  <si>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</si>
  <si>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</si>
  <si>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</si>
  <si>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</si>
  <si>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</si>
  <si>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</si>
  <si>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</si>
  <si>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</si>
  <si>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</si>
  <si>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</si>
  <si>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</si>
  <si>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</si>
  <si>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</si>
  <si>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</si>
  <si>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</si>
  <si>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</si>
  <si>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</si>
  <si>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</si>
  <si>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</si>
  <si>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</si>
  <si>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</si>
  <si>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</si>
  <si>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</si>
  <si>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</si>
  <si>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</si>
  <si>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</si>
  <si>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</si>
  <si>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</si>
  <si>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</si>
  <si>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</si>
  <si>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</si>
  <si>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</si>
  <si>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</si>
  <si>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</si>
  <si>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</si>
  <si>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</si>
  <si>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</si>
  <si>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</si>
  <si>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</si>
  <si>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</si>
  <si>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</si>
  <si>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</si>
  <si>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</si>
  <si>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</si>
  <si>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</si>
  <si>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</si>
  <si>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</si>
  <si>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</si>
  <si>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</si>
  <si>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</si>
  <si>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</si>
  <si>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</si>
  <si>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</si>
  <si>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</si>
  <si>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</si>
  <si>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</si>
  <si>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</si>
  <si>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</si>
  <si>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</si>
  <si>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</si>
  <si>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</si>
  <si>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</si>
  <si>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</si>
  <si>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</si>
  <si>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</si>
  <si>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</si>
  <si>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</si>
  <si>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</si>
  <si>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</si>
  <si>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</si>
  <si>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</si>
  <si>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</si>
  <si>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</si>
  <si>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</si>
  <si>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</si>
  <si>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</si>
  <si>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</si>
  <si>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</si>
  <si>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</si>
  <si>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</si>
  <si>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</si>
  <si>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</si>
  <si>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</si>
  <si>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</si>
  <si>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</si>
  <si>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</si>
  <si>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</si>
  <si>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</si>
  <si>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</si>
  <si>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</si>
  <si>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</si>
  <si>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</si>
  <si>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</si>
  <si>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</si>
  <si>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</si>
  <si>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</si>
  <si>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</si>
  <si>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</si>
  <si>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</si>
  <si>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</si>
  <si>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</si>
  <si>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</si>
  <si>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</si>
  <si>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</si>
  <si>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</si>
  <si>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</si>
  <si>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</si>
  <si>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</si>
  <si>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</si>
  <si>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</si>
  <si>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</si>
  <si>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</si>
  <si>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</si>
  <si>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</si>
  <si>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</si>
  <si>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</si>
  <si>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</si>
  <si>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</si>
  <si>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</si>
  <si>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</si>
  <si>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</si>
  <si>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</si>
  <si>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</si>
  <si>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</si>
  <si>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</si>
  <si>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</si>
  <si>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</si>
  <si>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</si>
  <si>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</si>
  <si>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</si>
  <si>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</si>
  <si>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</si>
  <si>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</si>
  <si>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</si>
  <si>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</si>
  <si>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</si>
  <si>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</si>
  <si>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</si>
  <si>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</si>
  <si>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</si>
  <si>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</si>
  <si>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</si>
  <si>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</si>
  <si>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</si>
  <si>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</si>
  <si>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</si>
  <si>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</si>
  <si>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</si>
  <si>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</si>
  <si>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</si>
  <si>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</si>
  <si>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</si>
  <si>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</si>
  <si>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</si>
  <si>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</si>
  <si>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</si>
  <si>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</si>
  <si>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</si>
  <si>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</si>
  <si>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</si>
  <si>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</si>
  <si>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</si>
  <si>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</si>
  <si>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</si>
  <si>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</si>
  <si>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</si>
  <si>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</si>
  <si>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</si>
  <si>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</si>
  <si>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</si>
  <si>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</si>
  <si>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</si>
  <si>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</si>
  <si>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</si>
  <si>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</si>
  <si>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</si>
  <si>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</si>
  <si>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</si>
  <si>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</si>
  <si>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</si>
  <si>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</si>
  <si>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</si>
  <si>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</si>
  <si>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</si>
  <si>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</si>
  <si>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</si>
  <si>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</si>
  <si>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</si>
  <si>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</si>
  <si>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</si>
  <si>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</si>
  <si>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</si>
  <si>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</si>
  <si>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</si>
  <si>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</si>
  <si>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</si>
  <si>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</si>
  <si>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</si>
  <si>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</si>
  <si>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</si>
  <si>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</si>
  <si>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</si>
  <si>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</si>
  <si>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</si>
  <si>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</si>
  <si>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</si>
  <si>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</si>
  <si>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</si>
  <si>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</si>
  <si>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</si>
  <si>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</si>
  <si>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</si>
  <si>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</si>
  <si>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</si>
  <si>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</si>
  <si>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</si>
  <si>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</si>
  <si>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</si>
  <si>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</si>
  <si>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</si>
  <si>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</si>
  <si>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</si>
  <si>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</si>
  <si>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</si>
  <si>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</si>
  <si>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</si>
  <si>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</si>
  <si>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</si>
  <si>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</si>
  <si>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</si>
  <si>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</si>
  <si>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</si>
  <si>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</si>
  <si>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</si>
  <si>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</si>
  <si>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</si>
  <si>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</si>
  <si>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</si>
  <si>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</si>
  <si>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</si>
  <si>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</si>
  <si>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</si>
  <si>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</si>
  <si>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</si>
  <si>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</si>
  <si>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</si>
  <si>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</si>
  <si>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</si>
  <si>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</si>
  <si>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</si>
  <si>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</si>
  <si>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</si>
  <si>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</si>
  <si>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</si>
  <si>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</si>
  <si>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</si>
  <si>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</si>
  <si>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</si>
  <si>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</si>
  <si>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</si>
  <si>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</si>
  <si>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</si>
  <si>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</si>
  <si>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</si>
  <si>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</si>
  <si>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</si>
  <si>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</si>
  <si>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</si>
  <si>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</si>
  <si>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</si>
  <si>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</si>
  <si>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</si>
  <si>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</si>
  <si>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</si>
  <si>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</si>
  <si>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</si>
  <si>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</si>
  <si>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</si>
  <si>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</si>
  <si>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</si>
  <si>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</si>
  <si>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</si>
  <si>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</si>
  <si>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</si>
  <si>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</si>
  <si>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</si>
  <si>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</si>
  <si>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</si>
  <si>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</si>
  <si>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</si>
  <si>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</si>
  <si>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</si>
  <si>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</si>
  <si>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</si>
  <si>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</si>
  <si>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</si>
  <si>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</si>
  <si>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</si>
  <si>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</si>
  <si>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</si>
  <si>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</si>
  <si>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</si>
  <si>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</si>
  <si>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</si>
  <si>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</si>
  <si>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</si>
  <si>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</si>
  <si>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</si>
  <si>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</si>
  <si>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</si>
  <si>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</si>
  <si>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</si>
  <si>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</si>
  <si>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</si>
  <si>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</si>
  <si>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</si>
  <si>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</si>
  <si>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</si>
  <si>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</si>
  <si>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</si>
  <si>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</si>
  <si>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</si>
  <si>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</si>
  <si>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</si>
  <si>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</si>
  <si>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</si>
  <si>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</si>
  <si>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</si>
  <si>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</si>
  <si>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</si>
  <si>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</si>
  <si>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</si>
  <si>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</si>
  <si>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</si>
  <si>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</si>
  <si>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</si>
  <si>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</si>
  <si>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</si>
  <si>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</si>
  <si>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</si>
  <si>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</si>
  <si>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</si>
  <si>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</si>
  <si>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</si>
  <si>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</si>
  <si>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</si>
  <si>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</si>
  <si>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</si>
  <si>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</si>
  <si>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</si>
  <si>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</si>
  <si>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</si>
  <si>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</si>
  <si>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</si>
  <si>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</si>
  <si>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</si>
  <si>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</si>
  <si>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</si>
  <si>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</si>
  <si>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</si>
  <si>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</si>
  <si>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</si>
  <si>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</si>
  <si>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</si>
  <si>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</si>
  <si>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</si>
  <si>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</si>
  <si>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</si>
  <si>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</si>
  <si>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</si>
  <si>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</si>
  <si>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</si>
  <si>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</si>
  <si>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</si>
  <si>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</si>
  <si>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</si>
  <si>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</si>
  <si>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</si>
  <si>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</si>
  <si>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</si>
  <si>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</si>
  <si>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</si>
  <si>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</si>
  <si>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</si>
  <si>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</si>
  <si>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</si>
  <si>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</si>
  <si>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</si>
  <si>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</si>
  <si>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</si>
  <si>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</si>
  <si>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</si>
  <si>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</si>
  <si>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</si>
  <si>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</si>
  <si>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</si>
  <si>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</si>
  <si>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</si>
  <si>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</si>
  <si>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</si>
  <si>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</si>
  <si>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</si>
  <si>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</si>
  <si>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</si>
  <si>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</si>
  <si>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</si>
  <si>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</si>
  <si>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</si>
  <si>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</si>
  <si>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</si>
  <si>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</si>
  <si>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</si>
  <si>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</si>
  <si>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</si>
  <si>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</si>
  <si>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</si>
  <si>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</si>
  <si>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</si>
  <si>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</si>
  <si>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</si>
  <si>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</si>
  <si>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</si>
  <si>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</si>
  <si>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</si>
  <si>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</si>
  <si>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</si>
  <si>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</si>
  <si>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</si>
  <si>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</si>
  <si>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</si>
  <si>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</si>
  <si>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</si>
  <si>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</si>
  <si>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</si>
  <si>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</si>
  <si>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</si>
  <si>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</si>
  <si>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</si>
  <si>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</si>
  <si>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</si>
  <si>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</si>
  <si>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</si>
  <si>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</si>
  <si>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</si>
  <si>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</si>
  <si>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</si>
  <si>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</si>
  <si>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</si>
  <si>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</si>
  <si>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</si>
  <si>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</si>
  <si>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</si>
  <si>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</si>
  <si>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</si>
  <si>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</si>
  <si>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</si>
  <si>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</si>
  <si>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</si>
  <si>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</si>
  <si>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</si>
  <si>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</si>
  <si>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</si>
  <si>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</si>
  <si>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</si>
  <si>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</si>
  <si>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</si>
  <si>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</si>
  <si>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</si>
  <si>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</si>
  <si>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</si>
  <si>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</si>
  <si>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</si>
  <si>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</si>
  <si>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</si>
  <si>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</si>
  <si>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</si>
  <si>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</si>
  <si>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</si>
  <si>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</si>
  <si>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</si>
  <si>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</si>
  <si>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</si>
  <si>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</si>
  <si>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</si>
  <si>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</si>
  <si>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</si>
  <si>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</si>
  <si>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</si>
  <si>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</si>
  <si>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</si>
  <si>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</si>
  <si>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</si>
  <si>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</si>
  <si>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</si>
  <si>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</si>
  <si>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</si>
  <si>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</si>
  <si>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</si>
  <si>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</si>
  <si>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</si>
  <si>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</si>
  <si>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</si>
  <si>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</si>
  <si>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</si>
  <si>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</si>
  <si>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</si>
  <si>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</si>
  <si>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</si>
  <si>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</si>
  <si>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</si>
  <si>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</si>
  <si>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</si>
  <si>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</si>
  <si>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</si>
  <si>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</si>
  <si>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</si>
  <si>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</si>
  <si>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</si>
  <si>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</si>
  <si>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</si>
  <si>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</si>
  <si>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</si>
  <si>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</si>
  <si>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</si>
  <si>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</si>
  <si>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</si>
  <si>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</si>
  <si>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</si>
  <si>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</si>
  <si>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</si>
  <si>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</si>
  <si>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</si>
  <si>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</si>
  <si>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</si>
  <si>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</si>
  <si>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</si>
  <si>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</si>
  <si>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</si>
  <si>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</si>
  <si>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</si>
  <si>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</si>
  <si>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</si>
  <si>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</si>
  <si>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</si>
  <si>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</si>
  <si>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</si>
  <si>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</si>
  <si>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</si>
  <si>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</si>
  <si>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</si>
  <si>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</si>
  <si>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</si>
  <si>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</si>
  <si>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</si>
  <si>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</si>
  <si>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</si>
  <si>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</si>
  <si>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</si>
  <si>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</si>
  <si>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</si>
  <si>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</si>
  <si>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</si>
  <si>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</si>
  <si>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</si>
  <si>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</si>
  <si>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</si>
  <si>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</si>
  <si>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</si>
  <si>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</si>
  <si>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</si>
  <si>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</si>
  <si>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</si>
  <si>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</si>
  <si>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</si>
  <si>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</si>
  <si>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</si>
  <si>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</si>
  <si>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</si>
  <si>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</si>
  <si>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</si>
  <si>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</si>
  <si>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</si>
  <si>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</si>
  <si>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</si>
  <si>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</si>
  <si>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</si>
  <si>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</si>
  <si>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</si>
  <si>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</si>
  <si>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</si>
  <si>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</si>
  <si>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</si>
  <si>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</si>
  <si>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</si>
  <si>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</si>
  <si>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</si>
  <si>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</si>
  <si>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</si>
  <si>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</si>
  <si>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</si>
  <si>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</si>
  <si>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</si>
  <si>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</si>
  <si>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</si>
  <si>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</si>
  <si>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</si>
  <si>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</si>
  <si>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</si>
  <si>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</si>
  <si>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</si>
  <si>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</si>
  <si>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</si>
  <si>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</si>
  <si>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</si>
  <si>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</si>
  <si>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</si>
  <si>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</si>
  <si>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</si>
  <si>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</si>
  <si>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</si>
  <si>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</si>
  <si>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</si>
  <si>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</si>
  <si>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</si>
  <si>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</si>
  <si>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</si>
  <si>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</si>
  <si>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</si>
  <si>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</si>
  <si>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</si>
  <si>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</si>
  <si>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</si>
  <si>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</si>
  <si>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</si>
  <si>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</si>
  <si>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</si>
  <si>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</si>
  <si>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</si>
  <si>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</si>
  <si>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</si>
  <si>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</si>
  <si>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</si>
  <si>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</si>
  <si>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</si>
  <si>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</si>
  <si>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</si>
  <si>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</si>
  <si>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</si>
  <si>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</si>
  <si>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</si>
  <si>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</si>
  <si>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</si>
  <si>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</si>
  <si>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</si>
  <si>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</si>
  <si>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</si>
  <si>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</si>
  <si>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</si>
  <si>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</si>
  <si>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</si>
  <si>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</si>
  <si>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</si>
  <si>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</si>
  <si>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</si>
  <si>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</si>
  <si>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</si>
  <si>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</si>
  <si>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</si>
  <si>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</si>
  <si>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</si>
  <si>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</si>
  <si>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</si>
  <si>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</si>
  <si>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</si>
  <si>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</si>
  <si>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</si>
  <si>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</si>
  <si>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</si>
  <si>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</si>
  <si>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</si>
  <si>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</si>
  <si>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</si>
  <si>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</si>
  <si>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</si>
  <si>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</si>
  <si>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</si>
  <si>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</si>
  <si>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</si>
  <si>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</si>
  <si>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</si>
  <si>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</si>
  <si>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</si>
  <si>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</si>
  <si>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</si>
  <si>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</si>
  <si>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</si>
  <si>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</si>
  <si>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</si>
  <si>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</si>
  <si>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</si>
  <si>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</si>
  <si>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</si>
  <si>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</si>
  <si>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</si>
  <si>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</si>
  <si>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</si>
  <si>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</si>
  <si>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</si>
  <si>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</si>
  <si>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</si>
  <si>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</si>
  <si>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</si>
  <si>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</si>
  <si>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</si>
  <si>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</si>
  <si>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</si>
  <si>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</si>
  <si>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</si>
  <si>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</si>
  <si>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</si>
  <si>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</si>
  <si>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</si>
  <si>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</si>
  <si>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</si>
  <si>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</si>
  <si>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</si>
  <si>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</si>
  <si>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</si>
  <si>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</si>
  <si>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</si>
  <si>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</si>
  <si>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</si>
  <si>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</si>
  <si>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</si>
  <si>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</si>
  <si>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</si>
  <si>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</si>
  <si>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</si>
  <si>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</si>
  <si>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</si>
  <si>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</si>
  <si>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</si>
  <si>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</si>
  <si>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</si>
  <si>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</si>
  <si>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</si>
  <si>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</si>
  <si>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</si>
  <si>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</si>
  <si>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</si>
  <si>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</si>
  <si>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</si>
  <si>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</si>
  <si>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</si>
  <si>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</si>
  <si>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</si>
  <si>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</si>
  <si>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</si>
  <si>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</si>
  <si>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</si>
  <si>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</si>
  <si>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</si>
  <si>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</si>
  <si>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</si>
  <si>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</si>
  <si>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</si>
  <si>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</si>
  <si>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</si>
  <si>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</si>
  <si>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</si>
  <si>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</si>
  <si>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</si>
  <si>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</si>
  <si>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</si>
  <si>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</si>
  <si>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</si>
  <si>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</si>
  <si>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</si>
  <si>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</si>
  <si>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</si>
  <si>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</si>
  <si>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</si>
  <si>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</si>
  <si>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</si>
  <si>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</si>
  <si>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</si>
  <si>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</si>
  <si>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</si>
  <si>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</si>
  <si>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</si>
  <si>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</si>
  <si>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</si>
  <si>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</si>
  <si>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</si>
  <si>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</si>
  <si>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</si>
  <si>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</si>
  <si>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</si>
  <si>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</si>
  <si>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</si>
  <si>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</si>
  <si>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</si>
  <si>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</si>
  <si>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</si>
  <si>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</si>
  <si>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</si>
  <si>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</si>
  <si>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</si>
  <si>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</si>
  <si>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</si>
  <si>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</si>
  <si>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</si>
  <si>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</si>
  <si>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</si>
  <si>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</si>
  <si>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</si>
  <si>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</si>
  <si>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</si>
  <si>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</si>
  <si>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</si>
  <si>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</si>
  <si>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</si>
  <si>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</si>
  <si>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</si>
  <si>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</si>
  <si>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</si>
  <si>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</si>
  <si>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</si>
  <si>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</si>
  <si>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</si>
  <si>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</si>
  <si>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</si>
  <si>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</si>
  <si>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</si>
  <si>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</si>
  <si>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</si>
  <si>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</si>
  <si>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</si>
  <si>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</si>
  <si>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</si>
  <si>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</si>
  <si>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</si>
  <si>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</si>
  <si>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</si>
  <si>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</si>
  <si>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</si>
  <si>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</si>
  <si>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</si>
  <si>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</si>
  <si>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</si>
  <si>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</si>
  <si>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</si>
  <si>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</si>
  <si>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</si>
  <si>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</si>
  <si>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</si>
  <si>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</si>
  <si>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</si>
  <si>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</si>
  <si>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</si>
  <si>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</si>
  <si>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</si>
  <si>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</si>
  <si>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</si>
  <si>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</si>
  <si>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</si>
  <si>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</si>
  <si>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</si>
  <si>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</si>
  <si>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</si>
  <si>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</si>
  <si>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</si>
  <si>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</si>
  <si>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</si>
  <si>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</si>
  <si>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</si>
  <si>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</si>
  <si>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</si>
  <si>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</si>
  <si>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</si>
  <si>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</si>
  <si>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</si>
  <si>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</si>
  <si>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</si>
  <si>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</si>
  <si>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</si>
  <si>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</si>
  <si>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</si>
  <si>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</si>
  <si>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</si>
  <si>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</si>
  <si>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</si>
  <si>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</si>
  <si>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</si>
  <si>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</si>
  <si>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</si>
  <si>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</si>
  <si>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</si>
  <si>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</si>
  <si>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</si>
  <si>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</si>
  <si>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</si>
  <si>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</si>
  <si>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</si>
  <si>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</si>
  <si>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</si>
  <si>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</si>
  <si>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</si>
  <si>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</si>
  <si>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</si>
  <si>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</si>
  <si>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</si>
  <si>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</si>
  <si>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</si>
  <si>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</si>
  <si>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</si>
  <si>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</si>
  <si>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</si>
  <si>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</si>
  <si>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</si>
  <si>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</si>
  <si>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</si>
  <si>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</si>
  <si>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</si>
  <si>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</si>
  <si>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</si>
  <si>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</si>
  <si>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</si>
  <si>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</si>
  <si>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</si>
  <si>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</si>
  <si>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</si>
  <si>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</si>
  <si>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</si>
  <si>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</si>
  <si>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</si>
  <si>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</si>
  <si>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</si>
  <si>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</si>
  <si>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</si>
  <si>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</si>
  <si>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</si>
  <si>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</si>
  <si>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</si>
  <si>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</si>
  <si>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</si>
  <si>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</si>
  <si>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</si>
  <si>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</si>
  <si>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</si>
  <si>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</si>
  <si>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</si>
  <si>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</si>
  <si>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</si>
  <si>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</si>
  <si>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</si>
  <si>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</si>
  <si>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</si>
  <si>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</si>
  <si>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</si>
  <si>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</si>
  <si>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</si>
  <si>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</si>
  <si>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</si>
  <si>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</si>
  <si>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</si>
  <si>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</si>
  <si>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</si>
  <si>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</si>
  <si>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</si>
  <si>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</si>
  <si>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</si>
  <si>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</si>
  <si>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</si>
  <si>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</si>
  <si>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</si>
  <si>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</si>
  <si>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</si>
  <si>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</si>
  <si>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</si>
  <si>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</si>
  <si>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</si>
  <si>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</si>
  <si>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</si>
  <si>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</si>
  <si>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</si>
  <si>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</si>
  <si>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</si>
  <si>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</si>
  <si>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</si>
  <si>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</si>
  <si>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</si>
  <si>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</si>
  <si>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</si>
  <si>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</si>
  <si>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</si>
  <si>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</si>
  <si>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</si>
  <si>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</si>
  <si>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</si>
  <si>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</si>
  <si>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</si>
  <si>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</si>
  <si>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</si>
  <si>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</si>
  <si>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</si>
  <si>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</si>
  <si>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</si>
  <si>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</si>
  <si>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</si>
  <si>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</si>
  <si>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</si>
  <si>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</si>
  <si>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</si>
  <si>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</si>
  <si>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</si>
  <si>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</si>
  <si>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</si>
  <si>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</si>
  <si>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</si>
  <si>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</si>
  <si>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</si>
  <si>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</si>
  <si>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</si>
  <si>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</si>
  <si>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</si>
  <si>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</si>
  <si>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</si>
  <si>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</si>
  <si>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</si>
  <si>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</si>
  <si>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</si>
  <si>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</si>
  <si>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</si>
  <si>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</si>
  <si>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</si>
  <si>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</si>
  <si>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</si>
  <si>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</si>
  <si>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</si>
  <si>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</si>
  <si>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</si>
  <si>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</si>
  <si>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</si>
  <si>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</si>
  <si>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</si>
  <si>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</si>
  <si>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</si>
  <si>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</si>
  <si>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</si>
  <si>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</si>
  <si>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</si>
  <si>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</si>
  <si>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</si>
  <si>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</si>
  <si>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</si>
  <si>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</si>
  <si>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</si>
  <si>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</si>
  <si>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</si>
  <si>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</si>
  <si>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</si>
  <si>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</si>
  <si>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</si>
  <si>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</si>
  <si>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</si>
  <si>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</si>
  <si>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</si>
  <si>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</si>
  <si>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</si>
  <si>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</si>
  <si>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</si>
  <si>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</si>
  <si>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</si>
  <si>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</si>
  <si>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</si>
  <si>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</si>
  <si>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</si>
  <si>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</si>
  <si>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</si>
  <si>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</si>
  <si>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</si>
  <si>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</si>
  <si>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</si>
  <si>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</si>
  <si>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</si>
  <si>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</si>
  <si>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</si>
  <si>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</si>
  <si>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</si>
  <si>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</si>
  <si>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</si>
  <si>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</si>
  <si>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</si>
  <si>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</si>
  <si>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</si>
  <si>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</si>
  <si>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</si>
  <si>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</si>
  <si>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</si>
  <si>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</si>
  <si>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</si>
  <si>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</si>
  <si>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</si>
  <si>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</si>
  <si>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</si>
  <si>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</si>
  <si>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</si>
  <si>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</si>
  <si>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</si>
  <si>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</si>
  <si>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</si>
  <si>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</si>
  <si>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</si>
  <si>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</si>
  <si>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</si>
  <si>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</si>
  <si>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</si>
  <si>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</si>
  <si>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</si>
  <si>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</si>
  <si>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</si>
  <si>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</si>
  <si>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</si>
  <si>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</si>
  <si>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</si>
  <si>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</si>
  <si>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</si>
  <si>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</si>
  <si>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</si>
  <si>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</si>
  <si>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</si>
  <si>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</si>
  <si>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</si>
  <si>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</si>
  <si>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</si>
  <si>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</si>
  <si>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</si>
  <si>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</si>
  <si>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</si>
  <si>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</si>
  <si>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</si>
  <si>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</si>
  <si>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</si>
  <si>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</si>
  <si>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</si>
  <si>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</si>
  <si>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</si>
  <si>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</si>
  <si>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</si>
  <si>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</si>
  <si>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</si>
  <si>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</si>
  <si>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</si>
  <si>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</si>
  <si>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</si>
  <si>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</si>
  <si>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</si>
  <si>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</si>
  <si>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</si>
  <si>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</si>
  <si>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</si>
  <si>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</si>
  <si>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</si>
  <si>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</si>
  <si>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</si>
  <si>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</si>
  <si>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</si>
  <si>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</si>
  <si>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</si>
  <si>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</si>
  <si>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</si>
  <si>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</si>
  <si>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</si>
  <si>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</si>
  <si>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</si>
  <si>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</si>
  <si>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</si>
  <si>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</si>
  <si>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</si>
  <si>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</si>
  <si>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</si>
  <si>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</si>
  <si>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</si>
  <si>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</si>
  <si>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</si>
  <si>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</si>
  <si>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</si>
  <si>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</si>
  <si>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</si>
  <si>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</si>
  <si>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</si>
  <si>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</si>
  <si>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</si>
  <si>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</si>
  <si>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</si>
  <si>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</si>
  <si>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</si>
  <si>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</si>
  <si>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</si>
  <si>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</si>
  <si>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</si>
  <si>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</si>
  <si>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</si>
  <si>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</si>
  <si>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</si>
  <si>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</si>
  <si>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</si>
  <si>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</si>
  <si>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</si>
  <si>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</si>
  <si>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</si>
  <si>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</si>
  <si>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</si>
  <si>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</si>
  <si>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</si>
  <si>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</si>
  <si>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</si>
  <si>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</si>
  <si>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</si>
  <si>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</si>
  <si>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</si>
  <si>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</si>
  <si>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</si>
  <si>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</si>
  <si>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</si>
  <si>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</si>
  <si>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</si>
  <si>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</si>
  <si>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</si>
  <si>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</si>
  <si>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</si>
  <si>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</si>
  <si>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</si>
  <si>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</si>
  <si>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</si>
  <si>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</si>
  <si>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</si>
  <si>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</si>
  <si>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</si>
  <si>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</si>
  <si>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</si>
  <si>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</si>
  <si>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</si>
  <si>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</si>
  <si>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</si>
  <si>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</si>
  <si>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</si>
  <si>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</si>
  <si>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</si>
  <si>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</si>
  <si>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</si>
  <si>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</si>
  <si>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</si>
  <si>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</si>
  <si>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</si>
  <si>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</si>
  <si>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</si>
  <si>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</si>
  <si>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</si>
  <si>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</si>
  <si>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</si>
  <si>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</si>
  <si>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</si>
  <si>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</si>
  <si>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</si>
  <si>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</si>
  <si>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</si>
  <si>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</si>
  <si>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</si>
  <si>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</si>
  <si>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</si>
  <si>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</si>
  <si>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</si>
  <si>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</si>
  <si>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</si>
  <si>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</si>
  <si>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</si>
  <si>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</si>
  <si>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</si>
  <si>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</si>
  <si>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</si>
  <si>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</si>
  <si>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</si>
  <si>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</si>
  <si>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</si>
  <si>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</si>
  <si>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</si>
  <si>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</si>
  <si>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</si>
  <si>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</si>
  <si>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</si>
  <si>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</si>
  <si>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</si>
  <si>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</si>
  <si>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</si>
  <si>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</si>
  <si>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</si>
  <si>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</si>
  <si>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</si>
  <si>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</si>
  <si>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</si>
  <si>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</si>
  <si>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</si>
  <si>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</si>
  <si>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</si>
  <si>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</si>
  <si>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</si>
  <si>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</si>
  <si>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</si>
  <si>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</si>
  <si>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</si>
  <si>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</si>
  <si>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</si>
  <si>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</si>
  <si>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</si>
  <si>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</si>
  <si>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</si>
  <si>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</si>
  <si>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</si>
  <si>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</si>
  <si>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</si>
  <si>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</si>
  <si>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</si>
  <si>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</si>
  <si>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</si>
  <si>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</si>
  <si>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</si>
  <si>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</si>
  <si>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</si>
  <si>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</si>
  <si>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</si>
  <si>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</si>
  <si>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</si>
  <si>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</si>
  <si>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</si>
  <si>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</si>
  <si>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</si>
  <si>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</si>
  <si>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</si>
  <si>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</si>
  <si>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</si>
  <si>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</si>
  <si>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</si>
  <si>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</si>
  <si>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</si>
  <si>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</si>
  <si>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</si>
  <si>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</si>
  <si>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</si>
  <si>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</si>
  <si>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</si>
  <si>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</si>
  <si>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</si>
  <si>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</si>
  <si>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</si>
  <si>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</si>
  <si>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</si>
  <si>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</si>
  <si>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</si>
  <si>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</si>
  <si>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</si>
  <si>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</si>
  <si>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</si>
  <si>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</si>
  <si>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</si>
  <si>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</si>
  <si>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</si>
  <si>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</si>
  <si>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</si>
  <si>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</si>
  <si>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</si>
  <si>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</si>
  <si>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</si>
  <si>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</si>
  <si>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</si>
  <si>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</si>
  <si>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</si>
  <si>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</si>
  <si>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</si>
  <si>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</si>
  <si>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</si>
  <si>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</si>
  <si>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</si>
  <si>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</si>
  <si>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</si>
  <si>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</si>
  <si>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</si>
  <si>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</si>
  <si>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</si>
  <si>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</si>
  <si>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</si>
  <si>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</si>
  <si>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</si>
  <si>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</si>
  <si>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</si>
  <si>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</si>
  <si>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</si>
  <si>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</si>
  <si>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</si>
  <si>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</si>
  <si>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</si>
  <si>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</si>
  <si>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</si>
  <si>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</si>
  <si>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</si>
  <si>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</si>
  <si>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</si>
  <si>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</si>
  <si>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</si>
  <si>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</si>
  <si>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</si>
  <si>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</si>
  <si>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</si>
  <si>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</si>
  <si>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</si>
  <si>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</si>
  <si>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</si>
  <si>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</si>
  <si>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</si>
  <si>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</si>
  <si>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</si>
  <si>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</si>
  <si>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</si>
  <si>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</si>
  <si>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</si>
  <si>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</si>
  <si>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</si>
  <si>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</si>
  <si>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</si>
  <si>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</si>
  <si>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</si>
  <si>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</si>
  <si>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</si>
  <si>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</si>
  <si>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</si>
  <si>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</si>
  <si>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</si>
  <si>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</si>
  <si>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</si>
  <si>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</si>
  <si>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</si>
  <si>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</si>
  <si>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</si>
  <si>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</si>
  <si>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</si>
  <si>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</si>
  <si>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</si>
  <si>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</si>
  <si>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</si>
  <si>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</si>
  <si>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</si>
  <si>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</si>
  <si>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</si>
  <si>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</si>
  <si>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</si>
  <si>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</si>
  <si>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</si>
  <si>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</si>
  <si>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</si>
  <si>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</si>
  <si>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</si>
  <si>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</si>
  <si>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</si>
  <si>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</si>
  <si>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</si>
  <si>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</si>
  <si>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</si>
  <si>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</si>
  <si>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</si>
  <si>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</si>
  <si>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</si>
  <si>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</si>
  <si>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</si>
  <si>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</si>
  <si>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</si>
  <si>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</si>
  <si>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</si>
  <si>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</si>
  <si>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</si>
  <si>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</si>
  <si>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</si>
  <si>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</si>
  <si>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</si>
  <si>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</si>
  <si>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</si>
  <si>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</si>
  <si>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</si>
  <si>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</si>
  <si>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</si>
  <si>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</si>
  <si>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</si>
  <si>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</si>
  <si>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</si>
  <si>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</si>
  <si>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</si>
  <si>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</si>
  <si>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</si>
  <si>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</si>
  <si>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</si>
  <si>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</si>
  <si>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</si>
  <si>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</si>
  <si>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</si>
  <si>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</si>
  <si>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</si>
  <si>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</si>
  <si>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</si>
  <si>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</si>
  <si>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</si>
  <si>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</si>
  <si>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</si>
  <si>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</si>
  <si>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</si>
  <si>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</si>
  <si>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</si>
  <si>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</si>
  <si>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</si>
  <si>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</si>
  <si>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</si>
  <si>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</si>
  <si>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</si>
  <si>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</si>
  <si>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</si>
  <si>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</si>
  <si>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</si>
  <si>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</si>
  <si>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</si>
  <si>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</si>
  <si>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</si>
  <si>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</si>
  <si>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</si>
  <si>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</si>
  <si>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</si>
  <si>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</si>
  <si>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</si>
  <si>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</si>
  <si>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</si>
  <si>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</si>
  <si>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</si>
  <si>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</si>
  <si>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</si>
  <si>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</si>
  <si>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</si>
  <si>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</si>
  <si>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</si>
  <si>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</si>
  <si>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</si>
  <si>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</si>
  <si>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</si>
  <si>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</si>
  <si>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</si>
  <si>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</si>
  <si>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</si>
  <si>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</si>
  <si>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</si>
  <si>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</si>
  <si>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</si>
  <si>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</si>
  <si>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</si>
  <si>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</si>
  <si>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</si>
  <si>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</si>
  <si>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</si>
  <si>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</si>
  <si>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</si>
  <si>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</si>
  <si>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</si>
  <si>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</si>
  <si>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</si>
  <si>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</si>
  <si>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</si>
  <si>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</si>
  <si>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</si>
  <si>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</si>
  <si>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</si>
  <si>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</si>
  <si>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</si>
  <si>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</si>
  <si>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</si>
  <si>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</si>
  <si>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</si>
  <si>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</si>
  <si>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</si>
  <si>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</si>
  <si>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</si>
  <si>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</si>
  <si>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</si>
  <si>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</si>
  <si>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</si>
  <si>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</si>
  <si>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</si>
  <si>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</si>
  <si>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</si>
  <si>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</si>
  <si>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</si>
  <si>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</si>
  <si>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</si>
  <si>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</si>
  <si>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</si>
  <si>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</si>
  <si>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</si>
  <si>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</si>
  <si>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</si>
  <si>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</si>
  <si>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</si>
  <si>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</si>
  <si>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</si>
  <si>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</si>
  <si>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</si>
  <si>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</si>
  <si>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</si>
  <si>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</si>
  <si>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</si>
  <si>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</si>
  <si>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</si>
  <si>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</si>
  <si>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</si>
  <si>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</si>
  <si>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</si>
  <si>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</si>
  <si>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</si>
  <si>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</si>
  <si>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</si>
  <si>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</si>
  <si>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</si>
  <si>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</si>
  <si>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</si>
  <si>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</si>
  <si>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</si>
  <si>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</si>
  <si>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</si>
  <si>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</si>
  <si>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</si>
  <si>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</si>
  <si>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</si>
  <si>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</si>
  <si>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</si>
  <si>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</si>
  <si>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</si>
  <si>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</si>
  <si>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</si>
  <si>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</si>
  <si>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</si>
  <si>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</si>
  <si>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</si>
  <si>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</si>
  <si>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</si>
  <si>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</si>
  <si>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</si>
  <si>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</si>
  <si>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</si>
  <si>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</si>
  <si>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</si>
  <si>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</si>
  <si>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</si>
  <si>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</si>
  <si>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</si>
  <si>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</si>
  <si>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</si>
  <si>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</si>
  <si>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</si>
  <si>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</si>
  <si>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</si>
  <si>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</si>
  <si>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</si>
  <si>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</si>
  <si>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</si>
  <si>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</si>
  <si>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</si>
  <si>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</si>
  <si>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</si>
  <si>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</si>
  <si>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</si>
  <si>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</si>
  <si>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</si>
  <si>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</si>
  <si>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</si>
  <si>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</si>
  <si>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</si>
  <si>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</si>
  <si>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</si>
  <si>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</si>
  <si>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</si>
  <si>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</si>
  <si>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</si>
  <si>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</si>
  <si>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</si>
  <si>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</si>
  <si>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</si>
  <si>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</si>
  <si>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</si>
  <si>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</si>
  <si>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</si>
  <si>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</si>
  <si>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</si>
  <si>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</si>
  <si>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</si>
  <si>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</si>
  <si>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</si>
  <si>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</si>
  <si>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</si>
  <si>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</si>
  <si>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</si>
  <si>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</si>
  <si>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</si>
  <si>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</si>
  <si>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</si>
  <si>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</si>
  <si>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</si>
  <si>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</si>
  <si>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</si>
  <si>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</si>
  <si>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</si>
  <si>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</si>
  <si>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</si>
  <si>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</si>
  <si>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</si>
  <si>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</si>
  <si>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</si>
  <si>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</si>
  <si>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</si>
  <si>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</si>
  <si>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</si>
  <si>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</si>
  <si>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</si>
  <si>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</si>
  <si>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</si>
  <si>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</si>
  <si>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</si>
  <si>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</si>
  <si>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</si>
  <si>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</si>
  <si>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</si>
  <si>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</si>
  <si>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</si>
  <si>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</si>
  <si>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</si>
  <si>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</si>
  <si>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</si>
  <si>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</si>
  <si>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</si>
  <si>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</si>
  <si>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</si>
  <si>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</si>
  <si>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</si>
  <si>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</si>
  <si>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</si>
  <si>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</si>
  <si>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</si>
  <si>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</si>
  <si>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</si>
  <si>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</si>
  <si>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</si>
  <si>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</si>
  <si>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</si>
  <si>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</si>
  <si>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</si>
  <si>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</si>
  <si>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</si>
  <si>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</si>
  <si>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</si>
  <si>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</si>
  <si>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</si>
  <si>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</si>
  <si>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</si>
  <si>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</si>
  <si>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</si>
  <si>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</si>
  <si>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</si>
  <si>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</si>
  <si>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</si>
  <si>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</si>
  <si>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</si>
  <si>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</si>
  <si>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</si>
  <si>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</si>
  <si>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</si>
  <si>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</si>
  <si>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</si>
  <si>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</si>
  <si>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</si>
  <si>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</si>
  <si>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</si>
  <si>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</si>
  <si>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</si>
  <si>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</si>
  <si>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</si>
  <si>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</si>
  <si>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</si>
  <si>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</si>
  <si>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</si>
  <si>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</si>
  <si>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</si>
  <si>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</si>
  <si>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</si>
  <si>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</si>
  <si>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</si>
  <si>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</si>
  <si>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</si>
  <si>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</si>
  <si>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</si>
  <si>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</si>
  <si>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</si>
  <si>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</si>
  <si>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</si>
  <si>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</si>
  <si>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</si>
  <si>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</si>
  <si>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</si>
  <si>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</si>
  <si>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</si>
  <si>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</si>
  <si>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</si>
  <si>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</si>
  <si>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</si>
  <si>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</si>
  <si>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</si>
  <si>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</si>
  <si>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</si>
  <si>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</si>
  <si>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</si>
  <si>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</si>
  <si>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</si>
  <si>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</si>
  <si>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</si>
  <si>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</si>
  <si>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</si>
  <si>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</si>
  <si>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</si>
  <si>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</si>
  <si>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</si>
  <si>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</si>
  <si>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</si>
  <si>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</si>
  <si>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</si>
  <si>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</si>
  <si>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</si>
  <si>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</si>
  <si>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</si>
  <si>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</si>
  <si>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</si>
  <si>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</si>
  <si>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</si>
  <si>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</si>
  <si>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</si>
  <si>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</si>
  <si>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</si>
  <si>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</si>
  <si>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</si>
  <si>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</si>
  <si>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</si>
  <si>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</si>
  <si>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</si>
  <si>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</si>
  <si>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</si>
  <si>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</si>
  <si>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</si>
  <si>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</si>
  <si>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</si>
  <si>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</si>
  <si>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</si>
  <si>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</si>
  <si>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</si>
  <si>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</si>
  <si>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</si>
  <si>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</si>
  <si>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</si>
  <si>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</si>
  <si>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</si>
  <si>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</si>
  <si>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</si>
  <si>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</si>
  <si>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</si>
  <si>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</si>
  <si>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</si>
  <si>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</si>
  <si>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</si>
  <si>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</si>
  <si>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</si>
  <si>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</si>
  <si>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</si>
  <si>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</si>
  <si>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</si>
  <si>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</si>
  <si>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</si>
  <si>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</si>
  <si>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</si>
  <si>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</si>
  <si>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</si>
  <si>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</si>
  <si>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</si>
  <si>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</si>
  <si>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</si>
  <si>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</si>
  <si>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</si>
  <si>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</si>
  <si>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</si>
  <si>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</si>
  <si>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</si>
  <si>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</si>
  <si>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</si>
  <si>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</si>
  <si>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</si>
  <si>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</si>
  <si>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</si>
  <si>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</si>
  <si>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</si>
  <si>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</si>
  <si>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</si>
  <si>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</si>
  <si>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</si>
  <si>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</si>
  <si>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</si>
  <si>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</si>
  <si>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</si>
  <si>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</si>
  <si>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</si>
  <si>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</si>
  <si>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</si>
  <si>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</si>
  <si>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</si>
  <si>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</si>
  <si>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</si>
  <si>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</si>
  <si>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</si>
  <si>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</si>
  <si>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</si>
  <si>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</si>
  <si>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</si>
  <si>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</si>
  <si>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</si>
  <si>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</si>
  <si>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</si>
  <si>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</si>
  <si>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</si>
  <si>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</si>
  <si>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</si>
  <si>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</si>
  <si>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</si>
  <si>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</si>
  <si>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</si>
  <si>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</si>
  <si>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</si>
  <si>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</si>
  <si>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</si>
  <si>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</si>
  <si>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</si>
  <si>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</si>
  <si>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</si>
  <si>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</si>
  <si>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</si>
  <si>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</si>
  <si>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</si>
  <si>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</si>
  <si>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</si>
  <si>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</si>
  <si>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</si>
  <si>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</si>
  <si>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</si>
  <si>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</si>
  <si>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</si>
  <si>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</si>
  <si>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</si>
  <si>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</si>
  <si>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</si>
  <si>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</si>
  <si>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</si>
  <si>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</si>
  <si>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</si>
  <si>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</si>
  <si>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</si>
  <si>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</si>
  <si>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</si>
  <si>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</si>
  <si>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</si>
  <si>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</si>
  <si>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</si>
  <si>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</si>
  <si>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</si>
  <si>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</si>
  <si>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</si>
  <si>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</si>
  <si>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</si>
  <si>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</si>
  <si>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</si>
  <si>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</si>
  <si>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</si>
  <si>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</si>
  <si>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</si>
  <si>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</si>
  <si>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</si>
  <si>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</si>
  <si>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</si>
  <si>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</si>
  <si>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</si>
  <si>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</si>
  <si>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</si>
  <si>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</si>
  <si>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</si>
  <si>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</si>
  <si>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</si>
  <si>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</si>
  <si>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</si>
  <si>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</si>
  <si>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</si>
  <si>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</si>
  <si>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</si>
  <si>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</si>
  <si>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</si>
  <si>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</si>
  <si>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</si>
  <si>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</si>
  <si>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</si>
  <si>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</si>
  <si>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</si>
  <si>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</si>
  <si>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</si>
  <si>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</si>
  <si>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</si>
  <si>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</si>
  <si>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</si>
  <si>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</si>
  <si>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</si>
  <si>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</si>
  <si>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</si>
  <si>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</si>
  <si>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</si>
  <si>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</si>
  <si>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</si>
  <si>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</si>
  <si>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</si>
  <si>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</si>
  <si>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</si>
  <si>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</si>
  <si>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</si>
  <si>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</si>
  <si>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</si>
  <si>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</si>
  <si>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</si>
  <si>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</si>
  <si>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</si>
  <si>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</si>
  <si>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</si>
  <si>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</si>
  <si>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</si>
  <si>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</si>
  <si>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</si>
  <si>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</si>
  <si>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</si>
  <si>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</si>
  <si>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</si>
  <si>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</si>
  <si>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</si>
  <si>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</si>
  <si>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</si>
  <si>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</si>
  <si>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</si>
  <si>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</si>
  <si>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</si>
  <si>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</si>
  <si>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</si>
  <si>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</si>
  <si>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</si>
  <si>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</si>
  <si>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</si>
  <si>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</si>
  <si>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</si>
  <si>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</si>
  <si>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</si>
  <si>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</si>
  <si>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</si>
  <si>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</si>
  <si>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</si>
  <si>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</si>
  <si>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</si>
  <si>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</si>
  <si>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</si>
  <si>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</si>
  <si>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</si>
  <si>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</si>
  <si>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</si>
  <si>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</si>
  <si>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</si>
  <si>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</si>
  <si>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</si>
  <si>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</si>
  <si>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</si>
  <si>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</si>
  <si>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</si>
  <si>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</si>
  <si>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</si>
  <si>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</si>
  <si>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</si>
  <si>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</si>
  <si>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</si>
  <si>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</si>
  <si>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</si>
  <si>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</si>
  <si>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</si>
  <si>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</si>
  <si>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</si>
  <si>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</si>
  <si>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</si>
  <si>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</si>
  <si>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</si>
  <si>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</si>
  <si>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</si>
  <si>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</si>
  <si>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</si>
  <si>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</si>
  <si>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</si>
  <si>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</si>
  <si>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</si>
  <si>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</si>
  <si>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</si>
  <si>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</si>
  <si>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</si>
  <si>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</si>
  <si>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</si>
  <si>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</si>
  <si>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</si>
  <si>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</si>
  <si>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</si>
  <si>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</si>
  <si>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</si>
  <si>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</si>
  <si>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</si>
  <si>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</si>
  <si>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</si>
  <si>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</si>
  <si>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</si>
  <si>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</si>
  <si>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</si>
  <si>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</si>
  <si>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</si>
  <si>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</si>
  <si>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</si>
  <si>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</si>
  <si>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</si>
  <si>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</si>
  <si>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</si>
  <si>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</si>
  <si>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</si>
  <si>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</si>
  <si>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</si>
  <si>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</si>
  <si>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</si>
  <si>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</si>
  <si>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</si>
  <si>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</si>
  <si>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</si>
  <si>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</si>
  <si>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</si>
  <si>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</si>
  <si>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</si>
  <si>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</si>
  <si>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</si>
  <si>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</si>
  <si>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</si>
  <si>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</si>
  <si>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</si>
  <si>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</si>
  <si>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</si>
  <si>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</si>
  <si>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</si>
  <si>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</si>
  <si>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</si>
  <si>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</si>
  <si>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</si>
  <si>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</si>
  <si>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</si>
  <si>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</si>
  <si>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</si>
  <si>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</si>
  <si>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</si>
  <si>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</si>
  <si>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</si>
  <si>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</si>
  <si>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</si>
  <si>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</si>
  <si>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</si>
  <si>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</si>
  <si>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</si>
  <si>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</si>
  <si>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</si>
  <si>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</si>
  <si>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</si>
  <si>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</si>
  <si>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</si>
  <si>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</si>
  <si>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</si>
  <si>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</si>
  <si>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</si>
  <si>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</si>
  <si>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</si>
  <si>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</si>
  <si>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</si>
  <si>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</si>
  <si>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</si>
  <si>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</si>
  <si>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</si>
  <si>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</si>
  <si>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</si>
  <si>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</si>
  <si>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</si>
  <si>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</si>
  <si>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</si>
  <si>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</si>
  <si>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</si>
  <si>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</si>
  <si>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</si>
  <si>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</si>
  <si>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</si>
  <si>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</si>
  <si>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</si>
  <si>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</si>
  <si>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</si>
  <si>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</si>
  <si>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</si>
  <si>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</si>
  <si>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</si>
  <si>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</si>
  <si>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</si>
  <si>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</si>
  <si>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</si>
  <si>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</si>
  <si>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</si>
  <si>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</si>
  <si>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</si>
  <si>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</si>
  <si>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</si>
  <si>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</si>
  <si>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</si>
  <si>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</si>
  <si>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</si>
  <si>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</si>
  <si>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</si>
  <si>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</si>
  <si>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</si>
  <si>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</si>
  <si>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</si>
  <si>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</si>
  <si>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</si>
  <si>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</si>
  <si>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</si>
  <si>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</si>
  <si>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</si>
  <si>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</si>
  <si>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</si>
  <si>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</si>
  <si>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</si>
  <si>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</si>
  <si>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</si>
  <si>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</si>
  <si>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</si>
  <si>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</si>
  <si>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</si>
  <si>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</si>
  <si>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</si>
  <si>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</si>
  <si>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</si>
  <si>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</si>
  <si>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</si>
  <si>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</si>
  <si>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</si>
  <si>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</si>
  <si>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</si>
  <si>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</si>
  <si>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</si>
  <si>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</si>
  <si>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</si>
  <si>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</si>
  <si>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</si>
  <si>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</si>
  <si>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</si>
  <si>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</si>
  <si>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</si>
  <si>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</si>
  <si>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</si>
  <si>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</si>
  <si>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</si>
  <si>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</si>
  <si>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</si>
  <si>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</si>
  <si>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</si>
  <si>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</si>
  <si>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</si>
  <si>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</si>
  <si>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</si>
  <si>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</si>
  <si>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</si>
  <si>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</si>
  <si>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</si>
  <si>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</si>
  <si>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</si>
  <si>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</si>
  <si>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</si>
  <si>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</si>
  <si>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</si>
  <si>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</si>
  <si>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</si>
  <si>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</si>
  <si>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</si>
  <si>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</si>
  <si>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</si>
  <si>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</si>
  <si>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</si>
  <si>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</si>
  <si>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</si>
  <si>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</si>
  <si>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</si>
  <si>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</si>
  <si>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</si>
  <si>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</si>
  <si>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</si>
  <si>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</si>
  <si>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</si>
  <si>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</si>
  <si>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</si>
  <si>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</si>
  <si>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</si>
  <si>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</si>
  <si>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</si>
  <si>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</si>
  <si>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</si>
  <si>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</si>
  <si>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</si>
  <si>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</si>
  <si>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</si>
  <si>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</si>
  <si>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</si>
  <si>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</si>
  <si>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</si>
  <si>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</si>
  <si>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</si>
  <si>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</si>
  <si>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</si>
  <si>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</si>
  <si>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</si>
  <si>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</si>
  <si>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</si>
  <si>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</si>
  <si>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</si>
  <si>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</si>
  <si>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</si>
  <si>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</si>
  <si>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</si>
  <si>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</si>
  <si>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</si>
  <si>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</si>
  <si>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</si>
  <si>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</si>
  <si>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</si>
  <si>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</si>
  <si>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</si>
  <si>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</si>
  <si>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</si>
  <si>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</si>
  <si>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</si>
  <si>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</si>
  <si>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</si>
  <si>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</si>
  <si>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</si>
  <si>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</si>
  <si>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</si>
  <si>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</si>
  <si>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</si>
  <si>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</si>
  <si>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</si>
  <si>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</si>
  <si>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</si>
  <si>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</si>
  <si>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</si>
  <si>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</si>
  <si>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</si>
  <si>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</si>
  <si>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</si>
  <si>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</si>
  <si>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</si>
  <si>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</si>
  <si>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</si>
  <si>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</si>
  <si>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</si>
  <si>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</si>
  <si>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</si>
  <si>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</si>
  <si>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</si>
  <si>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</si>
  <si>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</si>
  <si>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</si>
  <si>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</si>
  <si>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</si>
  <si>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</si>
  <si>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</si>
  <si>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</si>
  <si>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</si>
  <si>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</si>
  <si>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</si>
  <si>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</si>
  <si>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</si>
  <si>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</si>
  <si>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</si>
  <si>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</si>
  <si>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</si>
  <si>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</si>
  <si>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</si>
  <si>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</si>
  <si>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</si>
  <si>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</si>
  <si>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</si>
  <si>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</si>
  <si>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</si>
  <si>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</si>
  <si>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</si>
  <si>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</si>
  <si>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</si>
  <si>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</si>
  <si>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</si>
  <si>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</si>
  <si>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</si>
  <si>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</si>
  <si>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</si>
  <si>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</si>
  <si>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</si>
  <si>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</si>
  <si>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</si>
  <si>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</si>
  <si>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</si>
  <si>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</si>
  <si>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</si>
  <si>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</si>
  <si>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</si>
  <si>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</si>
  <si>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</si>
  <si>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</si>
  <si>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</si>
  <si>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</si>
  <si>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</si>
  <si>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</si>
  <si>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</si>
  <si>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</si>
  <si>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</si>
  <si>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</si>
  <si>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</si>
  <si>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</si>
  <si>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</si>
  <si>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</si>
  <si>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</si>
  <si>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</si>
  <si>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</si>
  <si>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</si>
  <si>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</si>
  <si>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</si>
  <si>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</si>
  <si>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</si>
  <si>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</si>
  <si>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</si>
  <si>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</si>
  <si>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</si>
  <si>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</si>
  <si>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</si>
  <si>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</si>
  <si>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</si>
  <si>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</si>
  <si>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</si>
  <si>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</si>
  <si>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</si>
  <si>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</si>
  <si>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</si>
  <si>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</si>
  <si>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</si>
  <si>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</si>
  <si>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</si>
  <si>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</si>
  <si>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</si>
  <si>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</si>
  <si>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</si>
  <si>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</si>
  <si>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</si>
  <si>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</si>
  <si>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</si>
  <si>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</si>
  <si>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</si>
  <si>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</si>
  <si>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</si>
  <si>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</si>
  <si>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</si>
  <si>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</si>
  <si>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</si>
  <si>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</si>
  <si>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</si>
  <si>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</si>
  <si>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</si>
  <si>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</si>
  <si>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</si>
  <si>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</si>
  <si>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</si>
  <si>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</si>
  <si>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</si>
  <si>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</si>
  <si>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</si>
  <si>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</si>
  <si>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</si>
  <si>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</si>
  <si>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</si>
  <si>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</si>
  <si>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</si>
  <si>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</si>
  <si>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</si>
  <si>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</si>
  <si>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</si>
  <si>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</si>
  <si>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</si>
  <si>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</si>
  <si>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</si>
  <si>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</si>
  <si>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</si>
  <si>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</si>
  <si>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</si>
  <si>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</si>
  <si>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</si>
  <si>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</si>
  <si>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</si>
  <si>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</si>
  <si>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</si>
  <si>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</si>
  <si>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</si>
  <si>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</si>
  <si>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</si>
  <si>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</si>
  <si>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</si>
  <si>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</si>
  <si>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</si>
  <si>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</si>
  <si>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</si>
  <si>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</si>
  <si>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</si>
  <si>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</si>
  <si>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</si>
  <si>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</si>
  <si>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</si>
  <si>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</si>
  <si>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</si>
  <si>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</si>
  <si>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</si>
  <si>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</si>
  <si>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</si>
  <si>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</si>
  <si>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</si>
  <si>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</si>
  <si>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</si>
  <si>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</si>
  <si>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</si>
  <si>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</si>
  <si>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</si>
  <si>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</si>
  <si>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</si>
  <si>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</si>
  <si>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</si>
  <si>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</si>
  <si>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</si>
  <si>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</si>
  <si>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</si>
  <si>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</si>
  <si>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</si>
  <si>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</si>
  <si>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</si>
  <si>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</si>
  <si>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</si>
  <si>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</si>
  <si>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</si>
  <si>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</si>
  <si>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</si>
  <si>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</si>
  <si>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</si>
  <si>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</si>
  <si>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</si>
  <si>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</si>
  <si>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</si>
  <si>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</si>
  <si>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</si>
  <si>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</si>
  <si>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</si>
  <si>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</si>
  <si>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</si>
  <si>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</si>
  <si>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</si>
  <si>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</si>
  <si>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</si>
  <si>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</si>
  <si>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</si>
  <si>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</si>
  <si>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</si>
  <si>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</si>
  <si>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</si>
  <si>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</si>
  <si>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</si>
  <si>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</si>
  <si>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</si>
  <si>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</si>
  <si>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</si>
  <si>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</si>
  <si>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</si>
  <si>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</si>
  <si>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</si>
  <si>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</si>
  <si>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</si>
  <si>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</si>
  <si>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</si>
  <si>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</si>
  <si>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</si>
  <si>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</si>
  <si>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</si>
  <si>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</si>
  <si>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</si>
  <si>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</si>
  <si>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</si>
  <si>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</si>
  <si>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</si>
  <si>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</si>
  <si>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</si>
  <si>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</si>
  <si>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</si>
  <si>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</si>
  <si>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</si>
  <si>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</si>
  <si>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</si>
  <si>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</si>
  <si>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</si>
  <si>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</si>
  <si>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</si>
  <si>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</si>
  <si>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</si>
  <si>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</si>
  <si>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</si>
  <si>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</si>
  <si>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</si>
  <si>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</si>
  <si>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</si>
  <si>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</si>
  <si>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</si>
  <si>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</si>
  <si>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</si>
  <si>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</si>
  <si>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</si>
  <si>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</si>
  <si>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</si>
  <si>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</si>
  <si>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</si>
  <si>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</si>
  <si>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</si>
  <si>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</si>
  <si>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</si>
  <si>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</si>
  <si>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</si>
  <si>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</si>
  <si>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</si>
  <si>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</si>
  <si>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</si>
  <si>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</si>
  <si>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</si>
  <si>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</si>
  <si>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</si>
  <si>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</si>
  <si>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</si>
  <si>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</si>
  <si>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</si>
  <si>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</si>
  <si>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</si>
  <si>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</si>
  <si>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</si>
  <si>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</si>
  <si>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</si>
  <si>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</si>
  <si>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</si>
  <si>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</si>
  <si>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</si>
  <si>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</si>
  <si>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</si>
  <si>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</si>
  <si>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</si>
  <si>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</si>
  <si>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</si>
  <si>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</si>
  <si>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</si>
  <si>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</si>
  <si>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</si>
  <si>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</si>
  <si>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</si>
  <si>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</si>
  <si>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</si>
  <si>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</si>
  <si>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</si>
  <si>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</si>
  <si>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</si>
  <si>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</si>
  <si>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</si>
  <si>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</si>
  <si>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</si>
  <si>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</si>
  <si>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</si>
  <si>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</si>
  <si>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</si>
  <si>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</si>
  <si>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</si>
  <si>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</si>
  <si>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</si>
  <si>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</si>
  <si>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</si>
  <si>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</si>
  <si>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</si>
  <si>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</si>
  <si>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</si>
  <si>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</si>
  <si>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</si>
  <si>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</si>
  <si>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</si>
  <si>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</si>
  <si>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</si>
  <si>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</si>
  <si>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</si>
  <si>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</si>
  <si>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</si>
  <si>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</si>
  <si>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</si>
  <si>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</si>
  <si>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</si>
  <si>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</si>
  <si>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</si>
  <si>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</si>
  <si>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</si>
  <si>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</si>
  <si>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</si>
  <si>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</si>
  <si>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</si>
  <si>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</si>
  <si>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</si>
  <si>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</si>
  <si>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</si>
  <si>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</si>
  <si>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</si>
  <si>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</si>
  <si>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</si>
  <si>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</si>
  <si>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</si>
  <si>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</si>
  <si>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</si>
  <si>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</si>
  <si>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</si>
  <si>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</si>
  <si>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</si>
  <si>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</si>
  <si>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</si>
  <si>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</si>
  <si>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</si>
  <si>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</si>
  <si>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</si>
  <si>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</si>
  <si>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</si>
  <si>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</si>
  <si>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</si>
  <si>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</si>
  <si>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</si>
  <si>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</si>
  <si>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</si>
  <si>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</si>
  <si>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</si>
  <si>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</si>
  <si>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</si>
  <si>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</si>
  <si>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</si>
  <si>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</si>
  <si>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</si>
  <si>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</si>
  <si>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</si>
  <si>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</si>
  <si>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</si>
  <si>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</si>
  <si>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</si>
  <si>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</si>
  <si>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</si>
  <si>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</si>
  <si>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</si>
  <si>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</si>
  <si>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</si>
  <si>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</si>
  <si>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</si>
  <si>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</si>
  <si>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</si>
  <si>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</si>
  <si>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</si>
  <si>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</si>
  <si>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</si>
  <si>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</si>
  <si>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</si>
  <si>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</si>
  <si>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</si>
  <si>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</si>
  <si>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</si>
  <si>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</si>
  <si>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</si>
  <si>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</si>
  <si>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</si>
  <si>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</si>
  <si>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</si>
  <si>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</si>
  <si>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</si>
  <si>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</si>
  <si>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</si>
  <si>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</si>
  <si>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</si>
  <si>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</si>
  <si>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</si>
  <si>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</si>
  <si>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</si>
  <si>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</si>
  <si>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</si>
  <si>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</si>
  <si>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</si>
  <si>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</si>
  <si>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</si>
  <si>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</si>
  <si>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</si>
  <si>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</si>
  <si>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</si>
  <si>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</si>
  <si>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</si>
  <si>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</si>
  <si>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</si>
  <si>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</si>
  <si>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</si>
  <si>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</si>
  <si>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</si>
  <si>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</si>
  <si>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</si>
  <si>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</si>
  <si>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</si>
  <si>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</si>
  <si>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</si>
  <si>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</si>
  <si>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</si>
  <si>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</si>
  <si>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</si>
  <si>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</si>
  <si>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</si>
  <si>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</si>
  <si>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</si>
  <si>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</si>
  <si>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</si>
  <si>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</si>
  <si>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</si>
  <si>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</si>
  <si>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</si>
  <si>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</si>
  <si>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</si>
  <si>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</si>
  <si>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</si>
  <si>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</si>
  <si>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</si>
  <si>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</si>
  <si>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</si>
  <si>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</si>
  <si>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</si>
  <si>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</si>
  <si>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</si>
  <si>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</si>
  <si>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</si>
  <si>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</si>
  <si>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</si>
  <si>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</si>
  <si>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</si>
  <si>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</si>
  <si>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</si>
  <si>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</si>
  <si>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</si>
  <si>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</si>
  <si>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</si>
  <si>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</si>
  <si>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</si>
  <si>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</si>
  <si>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</si>
  <si>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</si>
  <si>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</si>
  <si>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</si>
  <si>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</si>
  <si>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</si>
  <si>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</si>
  <si>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</si>
  <si>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</si>
  <si>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</si>
  <si>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</si>
  <si>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</si>
  <si>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</si>
  <si>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</si>
  <si>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</si>
  <si>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</si>
  <si>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</si>
  <si>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</si>
  <si>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</si>
  <si>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</si>
  <si>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</si>
  <si>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</si>
  <si>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</si>
  <si>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</si>
  <si>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</si>
  <si>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</si>
  <si>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</si>
  <si>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</si>
  <si>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</si>
  <si>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</si>
  <si>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</si>
  <si>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</si>
  <si>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</si>
  <si>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</si>
  <si>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</si>
  <si>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</si>
  <si>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</si>
  <si>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</si>
  <si>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</si>
  <si>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</si>
  <si>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</si>
  <si>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</si>
  <si>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</si>
  <si>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</si>
  <si>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</si>
  <si>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</si>
  <si>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</si>
  <si>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</si>
  <si>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</si>
  <si>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</si>
  <si>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</si>
  <si>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</si>
  <si>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</si>
  <si>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</si>
  <si>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</si>
  <si>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</si>
  <si>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</si>
  <si>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</si>
  <si>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</si>
  <si>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</si>
  <si>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</si>
  <si>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</si>
  <si>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</si>
  <si>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</si>
  <si>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</si>
  <si>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</si>
  <si>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</si>
  <si>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</si>
  <si>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</si>
  <si>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</si>
  <si>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</si>
  <si>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</si>
  <si>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</si>
  <si>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</si>
  <si>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</si>
  <si>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</si>
  <si>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</si>
  <si>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</si>
  <si>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</si>
  <si>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</si>
  <si>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</si>
  <si>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</si>
  <si>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</si>
  <si>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</si>
  <si>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</si>
  <si>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</si>
  <si>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</si>
  <si>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</si>
  <si>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</si>
  <si>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</si>
  <si>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</si>
  <si>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</si>
  <si>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</si>
  <si>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</si>
  <si>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</si>
  <si>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</si>
  <si>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</si>
  <si>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</si>
  <si>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</si>
  <si>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</si>
  <si>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</si>
  <si>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</si>
  <si>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</si>
  <si>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</si>
  <si>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</si>
  <si>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</si>
  <si>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</si>
  <si>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</si>
  <si>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</si>
  <si>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</si>
  <si>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</si>
  <si>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</si>
  <si>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</si>
  <si>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</si>
  <si>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</si>
  <si>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</si>
  <si>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</si>
  <si>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</si>
  <si>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</si>
  <si>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</si>
  <si>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</si>
  <si>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</si>
  <si>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</si>
  <si>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</si>
  <si>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</si>
  <si>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</si>
  <si>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</si>
  <si>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</si>
  <si>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</si>
  <si>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</si>
  <si>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</si>
  <si>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</si>
  <si>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</si>
  <si>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</si>
  <si>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</si>
  <si>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</si>
  <si>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</si>
  <si>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</si>
  <si>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</si>
  <si>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</si>
  <si>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</si>
  <si>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</si>
  <si>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</si>
  <si>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</si>
  <si>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</si>
  <si>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</si>
  <si>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</si>
  <si>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</si>
  <si>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</si>
  <si>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</si>
  <si>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</si>
  <si>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</si>
  <si>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</si>
  <si>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</si>
  <si>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</si>
  <si>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</si>
  <si>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</si>
  <si>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</si>
  <si>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</si>
  <si>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</si>
  <si>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</si>
  <si>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</si>
  <si>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</si>
  <si>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</si>
  <si>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</si>
  <si>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</si>
  <si>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</si>
  <si>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</si>
  <si>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</si>
  <si>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</si>
  <si>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</si>
  <si>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</si>
  <si>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</si>
  <si>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</si>
  <si>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</si>
  <si>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</si>
  <si>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</si>
  <si>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</si>
  <si>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</si>
  <si>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</si>
  <si>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</si>
  <si>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</si>
  <si>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</si>
  <si>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</si>
  <si>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</si>
  <si>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</si>
  <si>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</si>
  <si>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</si>
  <si>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</si>
  <si>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</si>
  <si>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</si>
  <si>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</si>
  <si>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</si>
  <si>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</si>
  <si>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</si>
  <si>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</si>
  <si>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</si>
  <si>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</si>
  <si>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</si>
  <si>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</si>
  <si>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</si>
  <si>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</si>
  <si>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</si>
  <si>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</si>
  <si>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</si>
  <si>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</si>
  <si>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</si>
  <si>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</si>
  <si>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</si>
  <si>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</si>
  <si>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</si>
  <si>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</si>
  <si>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</si>
  <si>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</si>
  <si>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</si>
  <si>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</si>
  <si>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</si>
  <si>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</si>
  <si>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</si>
  <si>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</si>
  <si>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</si>
  <si>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</si>
  <si>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</si>
  <si>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</si>
  <si>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</si>
  <si>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</si>
  <si>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</si>
  <si>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</si>
  <si>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</si>
  <si>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</si>
  <si>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</si>
  <si>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</si>
  <si>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</si>
  <si>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</si>
  <si>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</si>
  <si>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</si>
  <si>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</si>
  <si>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</si>
  <si>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</si>
  <si>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</si>
  <si>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</si>
  <si>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</si>
  <si>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</si>
  <si>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</si>
  <si>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</si>
  <si>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</si>
  <si>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</si>
  <si>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</si>
  <si>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</si>
  <si>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</si>
  <si>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</si>
  <si>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</si>
  <si>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</si>
  <si>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</si>
  <si>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</si>
  <si>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</si>
  <si>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</si>
  <si>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</si>
  <si>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</si>
  <si>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</si>
  <si>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</si>
  <si>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</si>
  <si>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</si>
  <si>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</si>
  <si>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</si>
  <si>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</si>
  <si>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</si>
  <si>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</si>
  <si>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</si>
  <si>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</si>
  <si>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</si>
  <si>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</si>
  <si>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</si>
  <si>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</si>
  <si>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</si>
  <si>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</si>
  <si>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</si>
  <si>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</si>
  <si>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</si>
  <si>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</si>
  <si>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</si>
  <si>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</si>
  <si>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</si>
  <si>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</si>
  <si>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</si>
  <si>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</si>
  <si>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</si>
  <si>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</si>
  <si>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</si>
  <si>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</si>
  <si>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</si>
  <si>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</si>
  <si>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</si>
  <si>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</si>
  <si>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</si>
  <si>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</si>
  <si>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</si>
  <si>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</si>
  <si>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</si>
  <si>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</si>
  <si>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</si>
  <si>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</si>
  <si>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</si>
  <si>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</si>
  <si>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</si>
  <si>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</si>
  <si>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</si>
  <si>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</si>
  <si>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</si>
  <si>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</si>
  <si>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</si>
  <si>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</si>
  <si>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</si>
  <si>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</si>
  <si>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</si>
  <si>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</si>
  <si>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</si>
  <si>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</si>
  <si>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</si>
  <si>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</si>
  <si>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</si>
  <si>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</si>
  <si>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</si>
  <si>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</si>
  <si>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</si>
  <si>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</si>
  <si>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</si>
  <si>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</si>
  <si>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</si>
  <si>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</si>
  <si>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</si>
  <si>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</si>
  <si>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</si>
  <si>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</si>
  <si>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</si>
  <si>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</si>
  <si>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</si>
  <si>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</si>
  <si>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</si>
  <si>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</si>
  <si>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</si>
  <si>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</si>
  <si>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</si>
  <si>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</si>
  <si>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</si>
  <si>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</si>
  <si>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</si>
  <si>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</si>
  <si>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</si>
  <si>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</si>
  <si>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</si>
  <si>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</si>
  <si>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</si>
  <si>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</si>
  <si>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</si>
  <si>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</si>
  <si>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</si>
  <si>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</si>
  <si>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</si>
  <si>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</si>
  <si>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</si>
  <si>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</si>
  <si>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</si>
  <si>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</si>
  <si>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</si>
  <si>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</si>
  <si>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</si>
  <si>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</si>
  <si>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</si>
  <si>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</si>
  <si>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</si>
  <si>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</si>
  <si>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</si>
  <si>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</si>
  <si>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</si>
  <si>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</si>
  <si>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</si>
  <si>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</si>
  <si>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</si>
  <si>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</si>
  <si>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</si>
  <si>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</si>
  <si>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</si>
  <si>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</si>
  <si>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</si>
  <si>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</si>
  <si>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</si>
  <si>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</si>
  <si>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</si>
  <si>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</si>
  <si>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</si>
  <si>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</si>
  <si>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</si>
  <si>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</si>
  <si>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</si>
  <si>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</si>
  <si>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</si>
  <si>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</si>
  <si>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</si>
  <si>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</si>
  <si>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</si>
  <si>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</si>
  <si>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</si>
  <si>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</si>
  <si>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</si>
  <si>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</si>
  <si>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</si>
  <si>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</si>
  <si>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</si>
  <si>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</si>
  <si>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</si>
  <si>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</si>
  <si>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</si>
  <si>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</si>
  <si>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</si>
  <si>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</si>
  <si>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</si>
  <si>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</si>
  <si>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</si>
  <si>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</si>
  <si>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</si>
  <si>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</si>
  <si>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</si>
  <si>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</si>
  <si>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</si>
  <si>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</si>
  <si>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</si>
  <si>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</si>
  <si>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</si>
  <si>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</si>
  <si>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</si>
  <si>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</si>
  <si>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</si>
  <si>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</si>
  <si>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</si>
  <si>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</si>
  <si>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</si>
  <si>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</si>
  <si>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</si>
  <si>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</si>
  <si>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</si>
  <si>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</si>
  <si>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</si>
  <si>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</si>
  <si>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</si>
  <si>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</si>
  <si>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</si>
  <si>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</si>
  <si>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</si>
  <si>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</si>
  <si>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</si>
  <si>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</si>
  <si>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</si>
  <si>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</si>
  <si>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</si>
  <si>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</si>
  <si>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</si>
  <si>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</si>
  <si>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</si>
  <si>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</si>
  <si>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</si>
  <si>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</si>
  <si>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</si>
  <si>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</si>
  <si>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</si>
  <si>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</si>
  <si>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</si>
  <si>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</si>
  <si>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</si>
  <si>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</si>
  <si>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</si>
  <si>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</si>
  <si>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</si>
  <si>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</si>
  <si>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</si>
  <si>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</si>
  <si>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</si>
  <si>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</si>
  <si>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</si>
  <si>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</si>
  <si>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</si>
  <si>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</si>
  <si>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</si>
  <si>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</si>
  <si>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</si>
  <si>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</si>
  <si>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</si>
  <si>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</si>
  <si>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</si>
  <si>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</si>
  <si>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</si>
  <si>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</si>
  <si>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</si>
  <si>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</si>
  <si>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</si>
  <si>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</si>
  <si>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</si>
  <si>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</si>
  <si>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</si>
  <si>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</si>
  <si>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</si>
  <si>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</si>
  <si>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</si>
  <si>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</si>
  <si>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</si>
  <si>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</si>
  <si>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</si>
  <si>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</si>
  <si>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</si>
  <si>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</si>
  <si>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</si>
  <si>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</si>
  <si>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</si>
  <si>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</si>
  <si>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</si>
  <si>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</si>
  <si>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</si>
  <si>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</si>
  <si>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</si>
  <si>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</si>
  <si>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</si>
  <si>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</si>
  <si>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</si>
  <si>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</si>
  <si>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</si>
  <si>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</si>
  <si>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</si>
  <si>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</si>
  <si>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</si>
  <si>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</si>
  <si>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</si>
  <si>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</si>
  <si>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</si>
  <si>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</si>
  <si>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</si>
  <si>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</si>
  <si>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</si>
  <si>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</si>
  <si>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</si>
  <si>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</si>
  <si>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</si>
  <si>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</si>
  <si>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</si>
  <si>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</si>
  <si>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</si>
  <si>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</si>
  <si>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</si>
  <si>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</si>
  <si>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</si>
  <si>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</si>
  <si>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</si>
  <si>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</si>
  <si>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</si>
  <si>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</si>
  <si>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</si>
  <si>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</si>
  <si>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</si>
  <si>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</si>
  <si>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</si>
  <si>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</si>
  <si>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</si>
  <si>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</si>
  <si>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</si>
  <si>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</si>
  <si>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</si>
  <si>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</si>
  <si>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</si>
  <si>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</si>
  <si>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</si>
  <si>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</si>
  <si>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</si>
  <si>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</si>
  <si>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</si>
  <si>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</si>
  <si>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</si>
  <si>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</si>
  <si>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</si>
  <si>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</si>
  <si>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</si>
  <si>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</si>
  <si>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</si>
  <si>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</si>
  <si>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</si>
  <si>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</si>
  <si>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</si>
  <si>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</si>
  <si>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</si>
  <si>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</si>
  <si>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</si>
  <si>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</si>
  <si>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</si>
  <si>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</si>
  <si>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</si>
  <si>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</si>
  <si>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</si>
  <si>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</si>
  <si>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</si>
  <si>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</si>
  <si>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</si>
  <si>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</si>
  <si>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</si>
  <si>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</si>
  <si>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</si>
  <si>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</si>
  <si>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</si>
  <si>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</si>
  <si>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</si>
  <si>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</si>
  <si>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</si>
  <si>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</si>
  <si>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</si>
  <si>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</si>
  <si>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</si>
  <si>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</si>
  <si>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</si>
  <si>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</si>
  <si>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</si>
  <si>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</si>
  <si>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</si>
  <si>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</si>
  <si>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</si>
  <si>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</si>
  <si>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</si>
  <si>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</si>
  <si>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</si>
  <si>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</si>
  <si>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</si>
  <si>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</si>
  <si>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</si>
  <si>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</si>
  <si>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</si>
  <si>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</si>
  <si>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</si>
  <si>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</si>
  <si>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</si>
  <si>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</si>
  <si>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</si>
  <si>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</si>
  <si>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</si>
  <si>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</si>
  <si>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</si>
  <si>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</si>
  <si>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</si>
  <si>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</si>
  <si>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</si>
  <si>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</si>
  <si>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</si>
  <si>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</si>
  <si>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</si>
  <si>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</si>
  <si>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</si>
  <si>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</si>
  <si>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</si>
  <si>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</si>
  <si>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</si>
  <si>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</si>
  <si>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</si>
  <si>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</si>
  <si>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</si>
  <si>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Dr. Kayode Fasomiu</t>
  </si>
  <si>
    <t xml:space="preserve">Kayoide Fasominu </t>
  </si>
  <si>
    <t>20th February 2017</t>
  </si>
  <si>
    <t>Sani Idris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</si>
</sst>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50.25</c:v>
                </c:pt>
                <c:pt idx="1">
                  <c:v>43.735416666666666</c:v>
                </c:pt>
                <c:pt idx="2">
                  <c:v>33.060606060606055</c:v>
                </c:pt>
                <c:pt idx="3">
                  <c:v>72.125</c:v>
                </c:pt>
                <c:pt idx="4">
                  <c:v>194.02777777777777</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36.5625</c:v>
                </c:pt>
                <c:pt idx="1">
                  <c:v>37.924999999999997</c:v>
                </c:pt>
                <c:pt idx="2">
                  <c:v>27.803030303030301</c:v>
                </c:pt>
                <c:pt idx="3">
                  <c:v>61.833333333333329</c:v>
                </c:pt>
                <c:pt idx="4">
                  <c:v>149.97222222222223</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22.25</c:v>
                </c:pt>
                <c:pt idx="1">
                  <c:v>27.293749999999999</c:v>
                </c:pt>
                <c:pt idx="2">
                  <c:v>35.121212121212125</c:v>
                </c:pt>
                <c:pt idx="3">
                  <c:v>42.09375</c:v>
                </c:pt>
                <c:pt idx="4">
                  <c:v>156.72222222222223</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FGHIN</v>
      </c>
      <c r="E2" s="308"/>
      <c r="F2" s="308"/>
      <c r="G2" s="308"/>
      <c r="H2" s="308"/>
      <c r="I2" s="308"/>
      <c r="J2" s="309"/>
      <c r="K2" s="310" t="s">
        <v>4018</v>
      </c>
      <c r="L2" s="311"/>
      <c r="M2" s="311"/>
      <c r="N2" s="311"/>
      <c r="O2" s="312" t="str">
        <f>Worksheet!M18</f>
        <v>Dr. Kayode Fasomiu</v>
      </c>
      <c r="P2" s="313"/>
      <c r="Q2" s="313"/>
      <c r="R2" s="313"/>
      <c r="S2" s="313"/>
      <c r="T2" s="314"/>
    </row>
    <row r="3" spans="1:20" ht="24" thickBot="1" x14ac:dyDescent="0.4">
      <c r="A3" s="304" t="s">
        <v>94</v>
      </c>
      <c r="B3" s="305" t="s">
        <v>1</v>
      </c>
      <c r="C3" s="306"/>
      <c r="D3" s="307" t="str">
        <f>Worksheet!R2</f>
        <v>Kano</v>
      </c>
      <c r="E3" s="308"/>
      <c r="F3" s="308"/>
      <c r="G3" s="308"/>
      <c r="H3" s="308"/>
      <c r="I3" s="308"/>
      <c r="J3" s="309"/>
      <c r="K3" s="310" t="s">
        <v>3965</v>
      </c>
      <c r="L3" s="311"/>
      <c r="M3" s="311"/>
      <c r="N3" s="311"/>
      <c r="O3" s="312" t="str">
        <f>Worksheet!W18</f>
        <v>20th February 2017</v>
      </c>
      <c r="P3" s="313"/>
      <c r="Q3" s="313"/>
      <c r="R3" s="313"/>
      <c r="S3" s="313"/>
      <c r="T3" s="314"/>
    </row>
    <row r="4" spans="1:20" ht="24" thickBot="1" x14ac:dyDescent="0.4">
      <c r="A4" s="304" t="s">
        <v>93</v>
      </c>
      <c r="B4" s="305"/>
      <c r="C4" s="306" t="s">
        <v>3</v>
      </c>
      <c r="D4" s="307" t="str">
        <f>Worksheet!T2</f>
        <v>kn Nassarawa</v>
      </c>
      <c r="E4" s="308"/>
      <c r="F4" s="308"/>
      <c r="G4" s="308"/>
      <c r="H4" s="308"/>
      <c r="I4" s="308"/>
      <c r="J4" s="309"/>
      <c r="K4" s="310" t="s">
        <v>4019</v>
      </c>
      <c r="L4" s="311"/>
      <c r="M4" s="311"/>
      <c r="N4" s="311"/>
      <c r="O4" s="312" t="str">
        <f>Worksheet!M19</f>
        <v>Sani Idris</v>
      </c>
      <c r="P4" s="313"/>
      <c r="Q4" s="313"/>
      <c r="R4" s="313"/>
      <c r="S4" s="313"/>
      <c r="T4" s="314"/>
    </row>
    <row r="5" spans="1:20" ht="24" thickBot="1" x14ac:dyDescent="0.4">
      <c r="A5" s="304" t="s">
        <v>92</v>
      </c>
      <c r="B5" s="305"/>
      <c r="C5" s="306" t="s">
        <v>6</v>
      </c>
      <c r="D5" s="307" t="str">
        <f>Worksheet!V2</f>
        <v>Mohammad Abdullahi Wase Specialist Hospital Nassarwa</v>
      </c>
      <c r="E5" s="308"/>
      <c r="F5" s="308"/>
      <c r="G5" s="308"/>
      <c r="H5" s="308"/>
      <c r="I5" s="308"/>
      <c r="J5" s="309"/>
      <c r="K5" s="310" t="s">
        <v>3965</v>
      </c>
      <c r="L5" s="311"/>
      <c r="M5" s="311"/>
      <c r="N5" s="311"/>
      <c r="O5" s="312" t="str">
        <f>Worksheet!W19</f>
        <v>20th February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197</v>
      </c>
      <c r="E8" s="152">
        <f ca="1">SUM('All Questions'!D15:D21)/7+E12</f>
        <v>129.66666666666666</v>
      </c>
      <c r="F8" s="152">
        <f ca="1">SUM('All Questions'!D23:D30)/4+F12</f>
        <v>129.66666666666666</v>
      </c>
      <c r="G8" s="152">
        <f ca="1">SUM('All Questions'!D31:D35)/5+G12</f>
        <v>238</v>
      </c>
      <c r="H8" s="153">
        <f ca="1">SUM('All Questions'!D37,'All Questions'!D40)/2+'All Questions'!D26+H12</f>
        <v>712</v>
      </c>
      <c r="I8" s="154">
        <f ca="1">(SUM('All Questions'!E10:E14)/5)+I12</f>
        <v>141.25</v>
      </c>
      <c r="J8" s="152">
        <f ca="1">SUM('All Questions'!E15:E21)/7+J12</f>
        <v>93</v>
      </c>
      <c r="K8" s="152">
        <f ca="1">SUM('All Questions'!E23:E30)/4+K12</f>
        <v>93.333333333333329</v>
      </c>
      <c r="L8" s="152">
        <f ca="1">SUM('All Questions'!E31:E35)/5+L12</f>
        <v>195.25</v>
      </c>
      <c r="M8" s="153">
        <f ca="1">('All Questions'!E37+'All Questions'!E40)/2+'All Questions'!E26+M12</f>
        <v>517</v>
      </c>
      <c r="N8" s="154">
        <f ca="1">(SUM('All Questions'!F10:F14)/5)+N12</f>
        <v>83.75</v>
      </c>
      <c r="O8" s="152">
        <f ca="1">SUM('All Questions'!F15:F21)/7+O12</f>
        <v>55</v>
      </c>
      <c r="P8" s="152">
        <f ca="1">SUM('All Questions'!F23:F30)/4+P12</f>
        <v>55.333333333333336</v>
      </c>
      <c r="Q8" s="152">
        <f ca="1">SUM('All Questions'!F31:F35)/5+Q12</f>
        <v>115</v>
      </c>
      <c r="R8" s="153">
        <f ca="1">('All Questions'!F37+'All Questions'!F40)/2+'All Questions'!F26+R12</f>
        <v>563.5</v>
      </c>
      <c r="S8" s="138">
        <f ca="1">'All Questions'!F2</f>
        <v>4928</v>
      </c>
      <c r="T8" s="139">
        <f t="shared" ref="T8:T17" ca="1" si="0">(((SUM(D8:H8)/5)+(SUM(I8:M8)/5)+(SUM(N8:R8)/5)))/S8</f>
        <v>0.13468952922077923</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3968</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710</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516</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563</v>
      </c>
      <c r="S10" s="138">
        <f ca="1">'All Questions'!F4</f>
        <v>0</v>
      </c>
      <c r="T10" s="140" t="e">
        <f t="shared" ca="1" si="0"/>
        <v>#DIV/0!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197</v>
      </c>
      <c r="E12" s="170">
        <f ca="1">SUM('All Questions'!D60:D75)/6</f>
        <v>129.66666666666666</v>
      </c>
      <c r="F12" s="170">
        <f ca="1">SUM('All Questions'!D67:D72)/3</f>
        <v>129.66666666666666</v>
      </c>
      <c r="G12" s="170">
        <f ca="1">SUM('All Questions'!D73:D80)/4</f>
        <v>238</v>
      </c>
      <c r="H12" s="171">
        <f ca="1">SUM('All Questions'!D82:D83)/2</f>
        <v>2</v>
      </c>
      <c r="I12" s="172">
        <f ca="1">SUM('All Questions'!E55:E58)/4</f>
        <v>141.25</v>
      </c>
      <c r="J12" s="173">
        <f ca="1">SUM('All Questions'!E60:E75)/6</f>
        <v>93</v>
      </c>
      <c r="K12" s="173">
        <f ca="1">SUM('All Questions'!E67:E72)/3</f>
        <v>93.333333333333329</v>
      </c>
      <c r="L12" s="173">
        <f ca="1">SUM('All Questions'!E73:E80)/4</f>
        <v>195.25</v>
      </c>
      <c r="M12" s="174">
        <f ca="1">SUM('All Questions'!E82:E83)/2</f>
        <v>1</v>
      </c>
      <c r="N12" s="175">
        <f ca="1">SUM('All Questions'!F55:F58)/4</f>
        <v>83.75</v>
      </c>
      <c r="O12" s="173">
        <f ca="1">SUM('All Questions'!F60:F75)/6</f>
        <v>55</v>
      </c>
      <c r="P12" s="173">
        <f ca="1">SUM('All Questions'!F67:F72)/3</f>
        <v>55.333333333333336</v>
      </c>
      <c r="Q12" s="173">
        <f ca="1">SUM('All Questions'!F73:F80)/4</f>
        <v>115</v>
      </c>
      <c r="R12" s="174">
        <f ca="1">SUM('All Questions'!F82:F83)/2</f>
        <v>0.5</v>
      </c>
      <c r="S12" s="142">
        <f ca="1">'All Questions'!F46</f>
        <v>5520</v>
      </c>
      <c r="T12" s="143">
        <f t="shared" ca="1" si="0"/>
        <v>5.542572463768116E-2</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1</v>
      </c>
      <c r="N13" s="182"/>
      <c r="O13" s="179"/>
      <c r="P13" s="180">
        <f ca="1">'All Questions'!F72</f>
        <v>0</v>
      </c>
      <c r="Q13" s="179"/>
      <c r="R13" s="181">
        <f ca="1">SUM('All Questions'!F85:F86)/2</f>
        <v>0.5</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1</v>
      </c>
      <c r="J14" s="180">
        <f ca="1">'All Questions'!E64</f>
        <v>0</v>
      </c>
      <c r="K14" s="180">
        <f ca="1">SUM('All Questions'!E69:E70)</f>
        <v>1</v>
      </c>
      <c r="L14" s="180">
        <f ca="1">SUM('All Questions'!E74,'All Questions'!E76,'All Questions'!E78,'All Questions'!E80)/4</f>
        <v>0.25</v>
      </c>
      <c r="M14" s="181">
        <f ca="1">SUM('All Questions'!E88:E89)/2</f>
        <v>0.5</v>
      </c>
      <c r="N14" s="185">
        <f ca="1">'All Questions'!F57</f>
        <v>1</v>
      </c>
      <c r="O14" s="180">
        <f ca="1">'All Questions'!E64</f>
        <v>0</v>
      </c>
      <c r="P14" s="180">
        <f ca="1">SUM('All Questions'!F75:F76)</f>
        <v>165</v>
      </c>
      <c r="Q14" s="180">
        <f ca="1">SUM('All Questions'!F74,'All Questions'!F76,'All Questions'!F78,'All Questions'!F80)/4</f>
        <v>0.25</v>
      </c>
      <c r="R14" s="181">
        <f ca="1">SUM('All Questions'!F88:F89)/2</f>
        <v>0.5</v>
      </c>
      <c r="S14" s="142">
        <f ca="1">'All Questions'!F48</f>
        <v>0</v>
      </c>
      <c r="T14" s="144" t="e">
        <f t="shared" ca="1" si="0"/>
        <v>#DIV/0!</v>
      </c>
    </row>
    <row r="15" spans="1:20" ht="72.599999999999994" customHeight="1" x14ac:dyDescent="0.25">
      <c r="A15" s="105">
        <v>3</v>
      </c>
      <c r="B15" s="106" t="s">
        <v>86</v>
      </c>
      <c r="C15" s="114" t="s">
        <v>87</v>
      </c>
      <c r="D15" s="160">
        <f ca="1">SUM('All Questions'!D119:D120)/2</f>
        <v>0.5</v>
      </c>
      <c r="E15" s="156">
        <f ca="1">SUM('All Questions'!D121+'All Questions'!D124)/2</f>
        <v>0.5</v>
      </c>
      <c r="F15" s="156">
        <f ca="1">SUM('All Questions'!D126:D130)/2</f>
        <v>0</v>
      </c>
      <c r="G15" s="156">
        <f ca="1">SUM('All Questions'!D131:D133)/3</f>
        <v>0.33333333333333331</v>
      </c>
      <c r="H15" s="159">
        <f ca="1">SUM('All Questions'!D135+'All Questions'!D138)</f>
        <v>0</v>
      </c>
      <c r="I15" s="163">
        <f ca="1">SUM('All Questions'!E119:E120)/2</f>
        <v>0.5</v>
      </c>
      <c r="J15" s="161">
        <f ca="1">SUM('All Questions'!E121+'All Questions'!E124)/2</f>
        <v>0.5</v>
      </c>
      <c r="K15" s="161">
        <f ca="1">SUM('All Questions'!E126:E130)/2</f>
        <v>0</v>
      </c>
      <c r="L15" s="161">
        <f ca="1">SUM('All Questions'!E131:E133)/3</f>
        <v>0.33333333333333331</v>
      </c>
      <c r="M15" s="162">
        <f ca="1">SUM('All Questions'!E135+'All Questions'!E138)</f>
        <v>0</v>
      </c>
      <c r="N15" s="186">
        <f ca="1">SUM('All Questions'!F119:F120)/2</f>
        <v>1.5</v>
      </c>
      <c r="O15" s="161">
        <f ca="1">SUM('All Questions'!F121+'All Questions'!F124)/2</f>
        <v>1.5</v>
      </c>
      <c r="P15" s="161">
        <f ca="1">SUM('All Questions'!F126:F130)/2</f>
        <v>2</v>
      </c>
      <c r="Q15" s="161">
        <f ca="1">SUM('All Questions'!F131:F133)/3</f>
        <v>1</v>
      </c>
      <c r="R15" s="162">
        <f ca="1">SUM('All Questions'!F131:F133)/3</f>
        <v>1</v>
      </c>
      <c r="S15" s="145">
        <f ca="1">'All Questions'!F117</f>
        <v>2</v>
      </c>
      <c r="T15" s="144">
        <f ca="1">(((SUM(D15:H15)/5)+(SUM(I15:M15)/5)+(SUM(N15:R15)/5)))/S15</f>
        <v>0.96666666666666656</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1</v>
      </c>
      <c r="G16" s="188">
        <f ca="1">SUM('All Questions'!D106:D108)/3</f>
        <v>0</v>
      </c>
      <c r="H16" s="189">
        <f ca="1">SUM('All Questions'!D111+'All Questions'!D112+'All Questions'!D114+'All Questions'!D115)/4</f>
        <v>2.25</v>
      </c>
      <c r="I16" s="190">
        <f ca="1">SUM('All Questions'!E93:E94)/2</f>
        <v>1</v>
      </c>
      <c r="J16" s="191">
        <f ca="1">SUM('All Questions'!E97:E100)/4</f>
        <v>1</v>
      </c>
      <c r="K16" s="191">
        <f ca="1">SUM('All Questions'!E101:E105)/2</f>
        <v>1.5</v>
      </c>
      <c r="L16" s="191">
        <f ca="1">SUM('All Questions'!E106:E108)/3</f>
        <v>0.33333333333333331</v>
      </c>
      <c r="M16" s="192">
        <f ca="1">SUM('All Questions'!E111+'All Questions'!E112+'All Questions'!E114+'All Questions'!E115)/4</f>
        <v>2.25</v>
      </c>
      <c r="N16" s="193">
        <f ca="1">SUM('All Questions'!F93:F94)/2</f>
        <v>0.5</v>
      </c>
      <c r="O16" s="191">
        <f ca="1">SUM('All Questions'!F97:F100)/4</f>
        <v>0.5</v>
      </c>
      <c r="P16" s="191">
        <f ca="1">SUM('All Questions'!F101:F105)/2</f>
        <v>2</v>
      </c>
      <c r="Q16" s="191">
        <f ca="1">SUM('All Questions'!F106:F108)/3</f>
        <v>0</v>
      </c>
      <c r="R16" s="192">
        <f ca="1">SUM('All Questions'!F111+'All Questions'!F112+'All Questions'!F114+'All Questions'!F115)/4</f>
        <v>2.5</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61.25</v>
      </c>
      <c r="F17" s="152">
        <f ca="1">SUM('All Questions'!D144:D146)/3</f>
        <v>0</v>
      </c>
      <c r="G17" s="152">
        <f ca="1">SUM('All Questions'!D155:D157)/3</f>
        <v>10.666666666666666</v>
      </c>
      <c r="H17" s="194">
        <f ca="1">SUM('All Questions'!D160+'All Questions'!D163)/2</f>
        <v>16</v>
      </c>
      <c r="I17" s="195">
        <f ca="1">SUM('All Questions'!E144:E146)/3</f>
        <v>0</v>
      </c>
      <c r="J17" s="196">
        <f ca="1">SUM('All Questions'!E147:E150)/4</f>
        <v>67.5</v>
      </c>
      <c r="K17" s="196">
        <f ca="1">SUM('All Questions'!E151:E154)/2</f>
        <v>15</v>
      </c>
      <c r="L17" s="196">
        <f ca="1">SUM('All Questions'!E155:E157)/3</f>
        <v>10</v>
      </c>
      <c r="M17" s="194">
        <f ca="1">SUM('All Questions'!E160+'All Questions'!E163)/2</f>
        <v>15</v>
      </c>
      <c r="N17" s="197">
        <f ca="1">SUM('All Questions'!F144:F146)/3</f>
        <v>0</v>
      </c>
      <c r="O17" s="196">
        <f ca="1">SUM('All Questions'!F147:F150)/4</f>
        <v>73.75</v>
      </c>
      <c r="P17" s="196">
        <f ca="1">SUM('All Questions'!F151:F154)/2</f>
        <v>12</v>
      </c>
      <c r="Q17" s="196">
        <f ca="1">SUM('All Questions'!F155:F157)/3</f>
        <v>8</v>
      </c>
      <c r="R17" s="196">
        <f ca="1">SUM('All Questions'!F160+'All Questions'!F163)/2</f>
        <v>12</v>
      </c>
      <c r="S17" s="148">
        <f ca="1">'All Questions'!F141</f>
        <v>87</v>
      </c>
      <c r="T17" s="139">
        <f t="shared" ca="1" si="0"/>
        <v>0.69233716475095786</v>
      </c>
    </row>
    <row r="18" spans="1:20" ht="72.599999999999994" customHeight="1" thickBot="1" x14ac:dyDescent="0.3">
      <c r="A18" s="108">
        <v>6</v>
      </c>
      <c r="B18" s="109" t="s">
        <v>91</v>
      </c>
      <c r="C18" s="119" t="s">
        <v>75</v>
      </c>
      <c r="D18" s="198">
        <f ca="1">SUM('All Questions'!D171:D174)/4</f>
        <v>7.5</v>
      </c>
      <c r="E18" s="165">
        <f ca="1">SUM('All Questions'!D175:D179)/5</f>
        <v>28.8</v>
      </c>
      <c r="F18" s="165">
        <f ca="1">((SUM('All Questions'!D181+'All Questions'!D182)/2)+(SUM('All Questions'!D183+'All Questions'!D184)/2)+'All Questions'!D185)/3</f>
        <v>103.33333333333333</v>
      </c>
      <c r="G18" s="165">
        <f ca="1">SUM('All Questions'!D186:D189)/4</f>
        <v>90</v>
      </c>
      <c r="H18" s="199">
        <f ca="1">('All Questions'!D191-('All Questions'!D194+'All Questions'!D197+'All Questions'!D200))</f>
        <v>304</v>
      </c>
      <c r="I18" s="200">
        <f ca="1">SUM('All Questions'!E171:E174)/4</f>
        <v>7.5</v>
      </c>
      <c r="J18" s="201">
        <f ca="1">SUM('All Questions'!E175:E179)/5</f>
        <v>48.4</v>
      </c>
      <c r="K18" s="201">
        <f ca="1">((SUM('All Questions'!E181+'All Questions'!E182)/2)+(SUM('All Questions'!E183+'All Questions'!E184)/2)+'All Questions'!E185)/3</f>
        <v>101.66666666666667</v>
      </c>
      <c r="L18" s="201">
        <f ca="1">SUM('All Questions'!E186:E189)/4</f>
        <v>93.25</v>
      </c>
      <c r="M18" s="199">
        <f ca="1">('All Questions'!E191-('All Questions'!E194+'All Questions'!E197+'All Questions'!E200))</f>
        <v>297</v>
      </c>
      <c r="N18" s="202">
        <f ca="1">SUM('All Questions'!F171:F174)/4</f>
        <v>7.5</v>
      </c>
      <c r="O18" s="201">
        <f ca="1">SUM('All Questions'!F175:F179)/5</f>
        <v>32.6</v>
      </c>
      <c r="P18" s="201">
        <f ca="1">((SUM('All Questions'!F181+'All Questions'!F182)/2)+(SUM('All Questions'!F183+'All Questions'!F184)/2)+'All Questions'!F185)/3</f>
        <v>94.666666666666671</v>
      </c>
      <c r="Q18" s="201">
        <f ca="1">SUM('All Questions'!F186:F189)/4</f>
        <v>97.5</v>
      </c>
      <c r="R18" s="203">
        <f ca="1">('All Questions'!F191-('All Questions'!F194+'All Questions'!F197+'All Questions'!F200))</f>
        <v>267</v>
      </c>
      <c r="S18" s="149">
        <f ca="1">'All Questions'!F166</f>
        <v>538</v>
      </c>
      <c r="T18" s="141">
        <f ca="1">(((SUM(F18:H18)/3)+(SUM(K18:M18)/3)+(SUM(P18:R18)/3)))/S18</f>
        <v>0.89740809582817016</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3"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150</v>
      </c>
      <c r="N2" s="331" t="s">
        <v>158</v>
      </c>
      <c r="O2" s="331"/>
      <c r="P2" s="66" t="s">
        <v>2693</v>
      </c>
      <c r="Q2" s="303" t="s">
        <v>1</v>
      </c>
      <c r="R2" s="66" t="s">
        <v>180</v>
      </c>
      <c r="S2" s="303" t="s">
        <v>3</v>
      </c>
      <c r="T2" s="66" t="s">
        <v>700</v>
      </c>
      <c r="U2" s="67" t="s">
        <v>159</v>
      </c>
      <c r="V2" s="66" t="s">
        <v>2804</v>
      </c>
      <c r="W2" s="66"/>
      <c r="X2" s="67" t="s">
        <v>160</v>
      </c>
      <c r="Y2" s="66" t="s">
        <v>149</v>
      </c>
      <c r="Z2" s="96" t="s">
        <v>3799</v>
      </c>
      <c r="AA2" s="68" t="str">
        <f>VLOOKUP(V2,[2]Data_donotedit!AY2:AZ1504,2,FALSE)</f>
        <v>ClB8Ry98tWe</v>
      </c>
      <c r="AB2" s="68"/>
      <c r="AC2" s="68"/>
      <c r="AD2" s="68"/>
    </row>
    <row r="3" spans="1:30" ht="40.15" customHeight="1" x14ac:dyDescent="0.25">
      <c r="A3" s="63"/>
      <c r="B3" s="224"/>
      <c r="C3" s="225" t="s">
        <v>150</v>
      </c>
      <c r="D3" s="226" t="s">
        <v>3975</v>
      </c>
      <c r="E3" s="226"/>
      <c r="F3" s="227"/>
      <c r="G3" s="478">
        <f ca="1">_xlfn.IFNA(VLOOKUP(C3,Worksheet!$C$3:$G$46,5,FALSE),G3)</f>
        <v>4928</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0</v>
      </c>
      <c r="H4" s="205" t="s">
        <v>150</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28" t="s">
        <v>4007</v>
      </c>
      <c r="D5" s="226" t="s">
        <v>3977</v>
      </c>
      <c r="E5" s="230"/>
      <c r="F5" s="229"/>
      <c r="G5" s="478">
        <f ca="1">_xlfn.IFNA(VLOOKUP(C5,Worksheet!$C$3:$G$46,5,FALSE),G5)</f>
        <v>0</v>
      </c>
      <c r="H5" s="205" t="s">
        <v>150</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28" t="s">
        <v>4008</v>
      </c>
      <c r="D6" s="226" t="s">
        <v>3978</v>
      </c>
      <c r="E6" s="226"/>
      <c r="F6" s="229"/>
      <c r="G6" s="478">
        <f ca="1">_xlfn.IFNA(VLOOKUP(C6,Worksheet!$C$3:$G$46,5,FALSE),G6)</f>
        <v>0</v>
      </c>
      <c r="H6" s="205" t="s">
        <v>150</v>
      </c>
      <c r="I6" s="63"/>
      <c r="J6" s="63"/>
      <c r="K6" s="132" t="s">
        <v>89</v>
      </c>
      <c r="L6" s="339" t="s">
        <v>3966</v>
      </c>
      <c r="M6" s="340"/>
      <c r="N6" s="71">
        <v>197</v>
      </c>
      <c r="O6" s="71">
        <v>129.66666666666666</v>
      </c>
      <c r="P6" s="71">
        <v>129.66666666666666</v>
      </c>
      <c r="Q6" s="71">
        <v>238</v>
      </c>
      <c r="R6" s="72">
        <v>712</v>
      </c>
      <c r="S6" s="71">
        <v>141.25</v>
      </c>
      <c r="T6" s="71">
        <v>93</v>
      </c>
      <c r="U6" s="71">
        <v>93.333333333333329</v>
      </c>
      <c r="V6" s="71">
        <v>195.25</v>
      </c>
      <c r="W6" s="72">
        <v>517</v>
      </c>
      <c r="X6" s="71">
        <v>83.75</v>
      </c>
      <c r="Y6" s="71">
        <v>55</v>
      </c>
      <c r="Z6" s="71">
        <v>55.333333333333336</v>
      </c>
      <c r="AA6" s="71">
        <v>115</v>
      </c>
      <c r="AB6" s="71">
        <v>563.5</v>
      </c>
      <c r="AC6" s="73">
        <v>4928</v>
      </c>
      <c r="AD6" s="74">
        <v>0.13468952922077923</v>
      </c>
    </row>
    <row r="7" spans="1:30" ht="40.15" customHeight="1" x14ac:dyDescent="0.25">
      <c r="A7" s="63"/>
      <c r="B7" s="224"/>
      <c r="C7" s="231" t="s">
        <v>4009</v>
      </c>
      <c r="D7" s="232" t="s">
        <v>3979</v>
      </c>
      <c r="E7" s="233"/>
      <c r="F7" s="234"/>
      <c r="G7" s="235">
        <f ca="1">_xlfn.IFNA(VLOOKUP(G3,Data_donotedit!$BE$2:$BG$25,3,TRUE),0)</f>
        <v>105</v>
      </c>
      <c r="H7" s="205" t="s">
        <v>150</v>
      </c>
      <c r="I7" s="63"/>
      <c r="J7" s="65"/>
      <c r="K7" s="59" t="s">
        <v>89</v>
      </c>
      <c r="L7" s="341" t="s">
        <v>3967</v>
      </c>
      <c r="M7" s="342"/>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24"/>
      <c r="C8" s="236"/>
      <c r="D8" s="237" t="s">
        <v>3980</v>
      </c>
      <c r="E8" s="238" t="s">
        <v>3981</v>
      </c>
      <c r="F8" s="238" t="s">
        <v>77</v>
      </c>
      <c r="G8" s="239" t="s">
        <v>78</v>
      </c>
      <c r="H8" s="205" t="s">
        <v>150</v>
      </c>
      <c r="I8" s="63"/>
      <c r="J8" s="70"/>
      <c r="K8" s="58" t="s">
        <v>79</v>
      </c>
      <c r="L8" s="354" t="s">
        <v>3968</v>
      </c>
      <c r="M8" s="355"/>
      <c r="N8" s="71">
        <v>0</v>
      </c>
      <c r="O8" s="71">
        <v>0</v>
      </c>
      <c r="P8" s="71">
        <v>0</v>
      </c>
      <c r="Q8" s="71">
        <v>0</v>
      </c>
      <c r="R8" s="72">
        <v>710</v>
      </c>
      <c r="S8" s="71">
        <v>0</v>
      </c>
      <c r="T8" s="71">
        <v>0</v>
      </c>
      <c r="U8" s="71">
        <v>0</v>
      </c>
      <c r="V8" s="71">
        <v>0</v>
      </c>
      <c r="W8" s="72">
        <v>516</v>
      </c>
      <c r="X8" s="71">
        <v>0</v>
      </c>
      <c r="Y8" s="71">
        <v>0</v>
      </c>
      <c r="Z8" s="71">
        <v>0</v>
      </c>
      <c r="AA8" s="71">
        <v>0</v>
      </c>
      <c r="AB8" s="71">
        <v>563</v>
      </c>
      <c r="AC8" s="75">
        <v>0</v>
      </c>
      <c r="AD8" s="76" t="e">
        <v>#DIV/0!</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41" t="s">
        <v>88</v>
      </c>
      <c r="M9" s="342"/>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1112</v>
      </c>
      <c r="D10" s="240" t="s">
        <v>3802</v>
      </c>
      <c r="E10" s="479">
        <f ca="1">_xlfn.IFNA(VLOOKUP(C10,Worksheet!$C$3:$G$46,3,FALSE),E10)</f>
        <v>0</v>
      </c>
      <c r="F10" s="479">
        <f ca="1">_xlfn.IFNA(VLOOKUP(C10,Worksheet!$C$3:$G$46,4,FALSE),F10)</f>
        <v>0</v>
      </c>
      <c r="G10" s="479">
        <f ca="1">_xlfn.IFNA(VLOOKUP(C10,Worksheet!$C$3:$G$46,5,FALSE),G10)</f>
        <v>0</v>
      </c>
      <c r="H10" s="205" t="s">
        <v>150</v>
      </c>
      <c r="I10" s="63"/>
      <c r="J10" s="70"/>
      <c r="K10" s="121" t="s">
        <v>83</v>
      </c>
      <c r="L10" s="356" t="s">
        <v>3970</v>
      </c>
      <c r="M10" s="357"/>
      <c r="N10" s="122">
        <v>197</v>
      </c>
      <c r="O10" s="71">
        <v>129.66666666666666</v>
      </c>
      <c r="P10" s="71">
        <v>129.66666666666666</v>
      </c>
      <c r="Q10" s="71">
        <v>238</v>
      </c>
      <c r="R10" s="71">
        <v>2</v>
      </c>
      <c r="S10" s="122">
        <v>141.25</v>
      </c>
      <c r="T10" s="71">
        <v>93</v>
      </c>
      <c r="U10" s="71">
        <v>93.333333333333329</v>
      </c>
      <c r="V10" s="71">
        <v>195.25</v>
      </c>
      <c r="W10" s="71">
        <v>1</v>
      </c>
      <c r="X10" s="122">
        <v>83.75</v>
      </c>
      <c r="Y10" s="71">
        <v>55</v>
      </c>
      <c r="Z10" s="71">
        <v>55.333333333333336</v>
      </c>
      <c r="AA10" s="71">
        <v>115</v>
      </c>
      <c r="AB10" s="71">
        <v>0.5</v>
      </c>
      <c r="AC10" s="124">
        <v>5520</v>
      </c>
      <c r="AD10" s="125">
        <v>5.542572463768116E-2</v>
      </c>
    </row>
    <row r="11" spans="1:30" ht="50.45" customHeight="1" x14ac:dyDescent="0.25">
      <c r="A11" s="63"/>
      <c r="B11" s="224"/>
      <c r="C11" s="236">
        <v>1113</v>
      </c>
      <c r="D11" s="240" t="s">
        <v>3803</v>
      </c>
      <c r="E11" s="479">
        <f ca="1">_xlfn.IFNA(VLOOKUP(C11,Worksheet!$C$3:$G$46,3,FALSE),E11)</f>
        <v>0</v>
      </c>
      <c r="F11" s="479">
        <f ca="1">_xlfn.IFNA(VLOOKUP(C11,Worksheet!$C$3:$G$46,4,FALSE),F11)</f>
        <v>0</v>
      </c>
      <c r="G11" s="479">
        <f ca="1">_xlfn.IFNA(VLOOKUP(C11,Worksheet!$C$3:$G$46,5,FALSE),G11)</f>
        <v>0</v>
      </c>
      <c r="H11" s="205" t="s">
        <v>150</v>
      </c>
      <c r="I11" s="63"/>
      <c r="J11" s="65"/>
      <c r="K11" s="120" t="s">
        <v>83</v>
      </c>
      <c r="L11" s="358" t="s">
        <v>3971</v>
      </c>
      <c r="M11" s="359"/>
      <c r="N11" s="135"/>
      <c r="O11" s="136"/>
      <c r="P11" s="71">
        <v>0</v>
      </c>
      <c r="Q11" s="136"/>
      <c r="R11" s="71">
        <v>0</v>
      </c>
      <c r="S11" s="135"/>
      <c r="T11" s="136"/>
      <c r="U11" s="71">
        <v>0</v>
      </c>
      <c r="V11" s="136"/>
      <c r="W11" s="71">
        <v>1</v>
      </c>
      <c r="X11" s="135"/>
      <c r="Y11" s="136"/>
      <c r="Z11" s="71">
        <v>0</v>
      </c>
      <c r="AA11" s="136"/>
      <c r="AB11" s="71">
        <v>0.5</v>
      </c>
      <c r="AC11" s="123">
        <v>0</v>
      </c>
      <c r="AD11" s="126" t="e">
        <v>#DIV/0!</v>
      </c>
    </row>
    <row r="12" spans="1:30" ht="48.6" customHeight="1" x14ac:dyDescent="0.25">
      <c r="A12" s="63"/>
      <c r="B12" s="224"/>
      <c r="C12" s="236">
        <v>1114</v>
      </c>
      <c r="D12" s="241" t="s">
        <v>3804</v>
      </c>
      <c r="E12" s="479">
        <f ca="1">_xlfn.IFNA(VLOOKUP(C12,Worksheet!$C$3:$G$46,3,FALSE),E12)</f>
        <v>0</v>
      </c>
      <c r="F12" s="479">
        <f ca="1">_xlfn.IFNA(VLOOKUP(C12,Worksheet!$C$3:$G$46,4,FALSE),F12)</f>
        <v>0</v>
      </c>
      <c r="G12" s="479">
        <f ca="1">_xlfn.IFNA(VLOOKUP(C12,Worksheet!$C$3:$G$46,5,FALSE),G12)</f>
        <v>0</v>
      </c>
      <c r="H12" s="205" t="s">
        <v>150</v>
      </c>
      <c r="I12" s="63"/>
      <c r="J12" s="65"/>
      <c r="K12" s="127" t="s">
        <v>83</v>
      </c>
      <c r="L12" s="350" t="s">
        <v>3972</v>
      </c>
      <c r="M12" s="360"/>
      <c r="N12" s="77">
        <v>0</v>
      </c>
      <c r="O12" s="78">
        <v>0</v>
      </c>
      <c r="P12" s="78">
        <v>0</v>
      </c>
      <c r="Q12" s="78">
        <v>0</v>
      </c>
      <c r="R12" s="78">
        <v>0</v>
      </c>
      <c r="S12" s="77">
        <v>1</v>
      </c>
      <c r="T12" s="78">
        <v>0</v>
      </c>
      <c r="U12" s="78">
        <v>1</v>
      </c>
      <c r="V12" s="78">
        <v>0.25</v>
      </c>
      <c r="W12" s="78">
        <v>0.5</v>
      </c>
      <c r="X12" s="77">
        <v>1</v>
      </c>
      <c r="Y12" s="78">
        <v>0</v>
      </c>
      <c r="Z12" s="78">
        <v>165</v>
      </c>
      <c r="AA12" s="78">
        <v>0.25</v>
      </c>
      <c r="AB12" s="78">
        <v>0.5</v>
      </c>
      <c r="AC12" s="128">
        <v>0</v>
      </c>
      <c r="AD12" s="129" t="e">
        <v>#DIV/0!</v>
      </c>
    </row>
    <row r="13" spans="1:30" ht="48.6" customHeight="1" x14ac:dyDescent="0.25">
      <c r="A13" s="63"/>
      <c r="B13" s="224"/>
      <c r="C13" s="236">
        <v>1115</v>
      </c>
      <c r="D13" s="240" t="s">
        <v>3805</v>
      </c>
      <c r="E13" s="479">
        <f ca="1">_xlfn.IFNA(VLOOKUP(C13,Worksheet!$C$3:$G$46,3,FALSE),E13)</f>
        <v>0</v>
      </c>
      <c r="F13" s="479">
        <f ca="1">_xlfn.IFNA(VLOOKUP(C13,Worksheet!$C$3:$G$46,4,FALSE),F13)</f>
        <v>0</v>
      </c>
      <c r="G13" s="479">
        <f ca="1">_xlfn.IFNA(VLOOKUP(C13,Worksheet!$C$3:$G$46,5,FALSE),G13)</f>
        <v>0</v>
      </c>
      <c r="H13" s="205" t="s">
        <v>150</v>
      </c>
      <c r="I13" s="63"/>
      <c r="J13" s="65"/>
      <c r="K13" s="60" t="s">
        <v>86</v>
      </c>
      <c r="L13" s="348" t="s">
        <v>87</v>
      </c>
      <c r="M13" s="353"/>
      <c r="N13" s="82">
        <v>0.5</v>
      </c>
      <c r="O13" s="83">
        <v>0.5</v>
      </c>
      <c r="P13" s="83">
        <v>0</v>
      </c>
      <c r="Q13" s="83">
        <v>0.33333333333333331</v>
      </c>
      <c r="R13" s="83">
        <v>0</v>
      </c>
      <c r="S13" s="82">
        <v>0.5</v>
      </c>
      <c r="T13" s="83">
        <v>0.5</v>
      </c>
      <c r="U13" s="83">
        <v>0</v>
      </c>
      <c r="V13" s="83">
        <v>0.33333333333333331</v>
      </c>
      <c r="W13" s="84">
        <v>0</v>
      </c>
      <c r="X13" s="83">
        <v>1.5</v>
      </c>
      <c r="Y13" s="83">
        <v>1.5</v>
      </c>
      <c r="Z13" s="83">
        <v>2</v>
      </c>
      <c r="AA13" s="83">
        <v>1</v>
      </c>
      <c r="AB13" s="83">
        <v>1</v>
      </c>
      <c r="AC13" s="130">
        <v>2</v>
      </c>
      <c r="AD13" s="131">
        <v>0.96666666666666656</v>
      </c>
    </row>
    <row r="14" spans="1:30" ht="40.15" customHeight="1" x14ac:dyDescent="0.25">
      <c r="A14" s="63"/>
      <c r="B14" s="224" t="s">
        <v>3806</v>
      </c>
      <c r="C14" s="236">
        <v>1116</v>
      </c>
      <c r="D14" s="240" t="s">
        <v>3807</v>
      </c>
      <c r="E14" s="479">
        <f ca="1">_xlfn.IFNA(VLOOKUP(C14,Worksheet!$C$3:$G$46,3,FALSE),E14)</f>
        <v>0</v>
      </c>
      <c r="F14" s="479">
        <f ca="1">_xlfn.IFNA(VLOOKUP(C14,Worksheet!$C$3:$G$46,4,FALSE),F14)</f>
        <v>0</v>
      </c>
      <c r="G14" s="479">
        <f ca="1">_xlfn.IFNA(VLOOKUP(C14,Worksheet!$C$3:$G$46,5,FALSE),G14)</f>
        <v>0</v>
      </c>
      <c r="H14" s="205" t="s">
        <v>150</v>
      </c>
      <c r="I14" s="63"/>
      <c r="J14" s="70"/>
      <c r="K14" s="59" t="s">
        <v>84</v>
      </c>
      <c r="L14" s="350" t="s">
        <v>85</v>
      </c>
      <c r="M14" s="351"/>
      <c r="N14" s="77">
        <v>0</v>
      </c>
      <c r="O14" s="78">
        <v>0</v>
      </c>
      <c r="P14" s="78">
        <v>1</v>
      </c>
      <c r="Q14" s="78">
        <v>0</v>
      </c>
      <c r="R14" s="79">
        <v>2.25</v>
      </c>
      <c r="S14" s="78">
        <v>1</v>
      </c>
      <c r="T14" s="78">
        <v>1</v>
      </c>
      <c r="U14" s="78">
        <v>1.5</v>
      </c>
      <c r="V14" s="78">
        <v>0.33333333333333331</v>
      </c>
      <c r="W14" s="79">
        <v>2.25</v>
      </c>
      <c r="X14" s="78">
        <v>0.5</v>
      </c>
      <c r="Y14" s="78">
        <v>0.5</v>
      </c>
      <c r="Z14" s="78">
        <v>2</v>
      </c>
      <c r="AA14" s="78">
        <v>0</v>
      </c>
      <c r="AB14" s="78">
        <v>2.5</v>
      </c>
      <c r="AC14" s="80">
        <v>0</v>
      </c>
      <c r="AD14" s="81" t="e">
        <v>#DIV/0!</v>
      </c>
    </row>
    <row r="15" spans="1:30" ht="47.45" customHeight="1" x14ac:dyDescent="0.25">
      <c r="A15" s="63"/>
      <c r="B15" s="224"/>
      <c r="C15" s="236">
        <v>1117</v>
      </c>
      <c r="D15" s="240" t="s">
        <v>3808</v>
      </c>
      <c r="E15" s="479">
        <f ca="1">_xlfn.IFNA(VLOOKUP(C15,Worksheet!$C$3:$G$46,3,FALSE),E15)</f>
        <v>0</v>
      </c>
      <c r="F15" s="479">
        <f ca="1">_xlfn.IFNA(VLOOKUP(C15,Worksheet!$C$3:$G$46,4,FALSE),F15)</f>
        <v>0</v>
      </c>
      <c r="G15" s="479">
        <f ca="1">_xlfn.IFNA(VLOOKUP(C15,Worksheet!$C$3:$G$46,5,FALSE),G15)</f>
        <v>0</v>
      </c>
      <c r="H15" s="205" t="s">
        <v>150</v>
      </c>
      <c r="I15" s="63"/>
      <c r="J15" s="70"/>
      <c r="K15" s="60" t="s">
        <v>90</v>
      </c>
      <c r="L15" s="348" t="s">
        <v>74</v>
      </c>
      <c r="M15" s="349"/>
      <c r="N15" s="82">
        <v>0</v>
      </c>
      <c r="O15" s="83">
        <v>61.25</v>
      </c>
      <c r="P15" s="83">
        <v>0</v>
      </c>
      <c r="Q15" s="83">
        <v>10.666666666666666</v>
      </c>
      <c r="R15" s="84">
        <v>16</v>
      </c>
      <c r="S15" s="83">
        <v>0</v>
      </c>
      <c r="T15" s="83">
        <v>67.5</v>
      </c>
      <c r="U15" s="83">
        <v>15</v>
      </c>
      <c r="V15" s="83">
        <v>10</v>
      </c>
      <c r="W15" s="84">
        <v>15</v>
      </c>
      <c r="X15" s="83">
        <v>0</v>
      </c>
      <c r="Y15" s="83">
        <v>73.75</v>
      </c>
      <c r="Z15" s="83">
        <v>12</v>
      </c>
      <c r="AA15" s="83">
        <v>8</v>
      </c>
      <c r="AB15" s="83">
        <v>12</v>
      </c>
      <c r="AC15" s="85">
        <v>87</v>
      </c>
      <c r="AD15" s="86">
        <v>0.69233716475095786</v>
      </c>
    </row>
    <row r="16" spans="1:30" ht="40.15" customHeight="1" x14ac:dyDescent="0.25">
      <c r="A16" s="63"/>
      <c r="B16" s="224"/>
      <c r="C16" s="236">
        <v>1122</v>
      </c>
      <c r="D16" s="241" t="s">
        <v>3809</v>
      </c>
      <c r="E16" s="479">
        <f ca="1">_xlfn.IFNA(VLOOKUP(C16,Worksheet!$C$3:$G$46,3,FALSE),E16)</f>
        <v>0</v>
      </c>
      <c r="F16" s="479">
        <f ca="1">_xlfn.IFNA(VLOOKUP(C16,Worksheet!$C$3:$G$46,4,FALSE),F16)</f>
        <v>0</v>
      </c>
      <c r="G16" s="479">
        <f ca="1">_xlfn.IFNA(VLOOKUP(C16,Worksheet!$C$3:$G$46,5,FALSE),G16)</f>
        <v>0</v>
      </c>
      <c r="H16" s="205" t="s">
        <v>150</v>
      </c>
      <c r="I16" s="63"/>
      <c r="J16" s="70"/>
      <c r="K16" s="60" t="s">
        <v>91</v>
      </c>
      <c r="L16" s="348" t="s">
        <v>75</v>
      </c>
      <c r="M16" s="349"/>
      <c r="N16" s="82">
        <v>7.5</v>
      </c>
      <c r="O16" s="83">
        <v>28.8</v>
      </c>
      <c r="P16" s="83">
        <v>103.33333333333333</v>
      </c>
      <c r="Q16" s="83">
        <v>90</v>
      </c>
      <c r="R16" s="84">
        <v>304</v>
      </c>
      <c r="S16" s="83">
        <v>7.5</v>
      </c>
      <c r="T16" s="83">
        <v>48.4</v>
      </c>
      <c r="U16" s="83">
        <v>101.66666666666667</v>
      </c>
      <c r="V16" s="83">
        <v>93.25</v>
      </c>
      <c r="W16" s="84">
        <v>297</v>
      </c>
      <c r="X16" s="83">
        <v>7.5</v>
      </c>
      <c r="Y16" s="83">
        <v>32.6</v>
      </c>
      <c r="Z16" s="83">
        <v>94.666666666666671</v>
      </c>
      <c r="AA16" s="83">
        <v>97.5</v>
      </c>
      <c r="AB16" s="83">
        <v>267</v>
      </c>
      <c r="AC16" s="85">
        <v>538</v>
      </c>
      <c r="AD16" s="86">
        <v>0.89740809582817016</v>
      </c>
    </row>
    <row r="17" spans="1:30" ht="40.15" customHeight="1" x14ac:dyDescent="0.25">
      <c r="A17" s="63"/>
      <c r="B17" s="224"/>
      <c r="C17" s="236">
        <v>1123</v>
      </c>
      <c r="D17" s="240" t="s">
        <v>3810</v>
      </c>
      <c r="E17" s="479">
        <f ca="1">_xlfn.IFNA(VLOOKUP(C17,Worksheet!$C$3:$G$46,3,FALSE),E17)</f>
        <v>0</v>
      </c>
      <c r="F17" s="479">
        <f ca="1">_xlfn.IFNA(VLOOKUP(C17,Worksheet!$C$3:$G$46,4,FALSE),F17)</f>
        <v>0</v>
      </c>
      <c r="G17" s="479">
        <f ca="1">_xlfn.IFNA(VLOOKUP(C17,Worksheet!$C$3:$G$46,5,FALSE),G17)</f>
        <v>0</v>
      </c>
      <c r="H17" s="205" t="s">
        <v>150</v>
      </c>
      <c r="I17" s="63"/>
      <c r="J17" s="65"/>
      <c r="K17" s="63"/>
      <c r="L17" s="63"/>
      <c r="M17" s="63"/>
      <c r="N17" s="87">
        <f>AVERAGE(N6:N16)</f>
        <v>50.25</v>
      </c>
      <c r="O17" s="87">
        <f t="shared" ref="O17:AB17" si="0">AVERAGE(O6:O16)</f>
        <v>43.735416666666666</v>
      </c>
      <c r="P17" s="87">
        <f t="shared" si="0"/>
        <v>33.060606060606055</v>
      </c>
      <c r="Q17" s="87">
        <f t="shared" si="0"/>
        <v>72.125</v>
      </c>
      <c r="R17" s="87">
        <f t="shared" si="0"/>
        <v>194.02777777777777</v>
      </c>
      <c r="S17" s="87">
        <f t="shared" si="0"/>
        <v>36.5625</v>
      </c>
      <c r="T17" s="87">
        <f t="shared" si="0"/>
        <v>37.924999999999997</v>
      </c>
      <c r="U17" s="87">
        <f t="shared" si="0"/>
        <v>27.803030303030301</v>
      </c>
      <c r="V17" s="87">
        <f t="shared" si="0"/>
        <v>61.833333333333329</v>
      </c>
      <c r="W17" s="87">
        <f t="shared" si="0"/>
        <v>149.97222222222223</v>
      </c>
      <c r="X17" s="87">
        <f t="shared" si="0"/>
        <v>22.25</v>
      </c>
      <c r="Y17" s="87">
        <f t="shared" si="0"/>
        <v>27.293749999999999</v>
      </c>
      <c r="Z17" s="87">
        <f t="shared" si="0"/>
        <v>35.121212121212125</v>
      </c>
      <c r="AA17" s="87">
        <f t="shared" si="0"/>
        <v>42.09375</v>
      </c>
      <c r="AB17" s="87">
        <f t="shared" si="0"/>
        <v>156.72222222222223</v>
      </c>
      <c r="AC17" s="63"/>
      <c r="AD17" s="63"/>
    </row>
    <row r="18" spans="1:30" ht="40.15" customHeight="1" x14ac:dyDescent="0.3">
      <c r="A18" s="63"/>
      <c r="B18" s="224"/>
      <c r="C18" s="236">
        <v>1124</v>
      </c>
      <c r="D18" s="240" t="s">
        <v>3811</v>
      </c>
      <c r="E18" s="479">
        <f ca="1">_xlfn.IFNA(VLOOKUP(C18,Worksheet!$C$3:$G$46,3,FALSE),E18)</f>
        <v>0</v>
      </c>
      <c r="F18" s="479">
        <f ca="1">_xlfn.IFNA(VLOOKUP(C18,Worksheet!$C$3:$G$46,4,FALSE),F18)</f>
        <v>0</v>
      </c>
      <c r="G18" s="479">
        <f ca="1">_xlfn.IFNA(VLOOKUP(C18,Worksheet!$C$3:$G$46,5,FALSE),G18)</f>
        <v>0</v>
      </c>
      <c r="H18" s="205" t="s">
        <v>150</v>
      </c>
      <c r="I18" s="63"/>
      <c r="J18" s="65"/>
      <c r="K18" s="352" t="s">
        <v>563</v>
      </c>
      <c r="L18" s="352"/>
      <c r="M18" s="206" t="s">
        <v>4021</v>
      </c>
      <c r="N18" s="207"/>
      <c r="O18" s="208"/>
      <c r="P18" s="208"/>
      <c r="Q18" s="208"/>
      <c r="R18" s="301" t="s">
        <v>561</v>
      </c>
      <c r="S18" s="480" t="s">
        <v>4022</v>
      </c>
      <c r="T18" s="209"/>
      <c r="U18" s="347" t="s">
        <v>562</v>
      </c>
      <c r="V18" s="347"/>
      <c r="W18" s="481" t="s">
        <v>4023</v>
      </c>
      <c r="X18" s="210"/>
      <c r="Y18" s="88"/>
      <c r="Z18" s="88"/>
      <c r="AA18" s="88"/>
      <c r="AB18" s="88"/>
      <c r="AC18" s="63"/>
      <c r="AD18" s="63"/>
    </row>
    <row r="19" spans="1:30" ht="40.15" customHeight="1" x14ac:dyDescent="0.3">
      <c r="A19" s="63"/>
      <c r="B19" s="224"/>
      <c r="C19" s="236">
        <v>1125</v>
      </c>
      <c r="D19" s="240" t="s">
        <v>3812</v>
      </c>
      <c r="E19" s="479">
        <f ca="1">_xlfn.IFNA(VLOOKUP(C19,Worksheet!$C$3:$G$46,3,FALSE),E19)</f>
        <v>0</v>
      </c>
      <c r="F19" s="479">
        <f ca="1">_xlfn.IFNA(VLOOKUP(C19,Worksheet!$C$3:$G$46,4,FALSE),F19)</f>
        <v>0</v>
      </c>
      <c r="G19" s="479">
        <f ca="1">_xlfn.IFNA(VLOOKUP(C19,Worksheet!$C$3:$G$46,5,FALSE),G19)</f>
        <v>0</v>
      </c>
      <c r="H19" s="205" t="s">
        <v>150</v>
      </c>
      <c r="I19" s="63"/>
      <c r="J19" s="65"/>
      <c r="K19" s="346" t="s">
        <v>61</v>
      </c>
      <c r="L19" s="346"/>
      <c r="M19" s="206" t="s">
        <v>4024</v>
      </c>
      <c r="N19" s="206"/>
      <c r="O19" s="206"/>
      <c r="P19" s="206"/>
      <c r="Q19" s="206"/>
      <c r="R19" s="301" t="s">
        <v>561</v>
      </c>
      <c r="S19" s="209" t="s">
        <v>4024</v>
      </c>
      <c r="T19" s="209"/>
      <c r="U19" s="347" t="s">
        <v>562</v>
      </c>
      <c r="V19" s="347"/>
      <c r="W19" s="481" t="s">
        <v>4023</v>
      </c>
      <c r="X19" s="210"/>
      <c r="Y19" s="63"/>
      <c r="Z19" s="63"/>
      <c r="AA19" s="63"/>
      <c r="AB19" s="63"/>
      <c r="AC19" s="63"/>
      <c r="AD19" s="63"/>
    </row>
    <row r="20" spans="1:30" ht="40.15" customHeight="1" x14ac:dyDescent="0.25">
      <c r="A20" s="63"/>
      <c r="B20" s="224"/>
      <c r="C20" s="236">
        <v>1126</v>
      </c>
      <c r="D20" s="240" t="s">
        <v>3813</v>
      </c>
      <c r="E20" s="479">
        <f ca="1">_xlfn.IFNA(VLOOKUP(C20,Worksheet!$C$3:$G$46,3,FALSE),E20)</f>
        <v>0</v>
      </c>
      <c r="F20" s="479">
        <f ca="1">_xlfn.IFNA(VLOOKUP(C20,Worksheet!$C$3:$G$46,4,FALSE),F20)</f>
        <v>0</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0</v>
      </c>
      <c r="F21" s="479">
        <f ca="1">_xlfn.IFNA(VLOOKUP(C21,Worksheet!$C$3:$G$46,4,FALSE),F21)</f>
        <v>0</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0</v>
      </c>
      <c r="F23" s="479">
        <f ca="1">_xlfn.IFNA(VLOOKUP(C23,Worksheet!$C$3:$G$46,4,FALSE),F23)</f>
        <v>0</v>
      </c>
      <c r="G23" s="479">
        <f ca="1">_xlfn.IFNA(VLOOKUP(C23,Worksheet!$C$3:$G$46,5,FALSE),G23)</f>
        <v>0</v>
      </c>
      <c r="H23" s="205" t="s">
        <v>150</v>
      </c>
      <c r="I23" s="63"/>
      <c r="J23" s="65"/>
      <c r="K23" s="63"/>
      <c r="L23" s="63"/>
      <c r="M23" s="63"/>
      <c r="N23" s="63"/>
      <c r="O23" s="91">
        <v>42644</v>
      </c>
      <c r="P23" s="92">
        <f>N17</f>
        <v>50.25</v>
      </c>
      <c r="Q23" s="93">
        <f>O17</f>
        <v>43.735416666666666</v>
      </c>
      <c r="R23" s="93">
        <f>P17</f>
        <v>33.060606060606055</v>
      </c>
      <c r="S23" s="93">
        <f>Q17</f>
        <v>72.125</v>
      </c>
      <c r="T23" s="93">
        <f>R17</f>
        <v>194.02777777777777</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0</v>
      </c>
      <c r="F24" s="479">
        <f ca="1">_xlfn.IFNA(VLOOKUP(C24,Worksheet!$C$3:$G$46,4,FALSE),F24)</f>
        <v>0</v>
      </c>
      <c r="G24" s="479">
        <f ca="1">_xlfn.IFNA(VLOOKUP(C24,Worksheet!$C$3:$G$46,5,FALSE),G24)</f>
        <v>0</v>
      </c>
      <c r="H24" s="205" t="s">
        <v>150</v>
      </c>
      <c r="I24" s="63"/>
      <c r="J24" s="65"/>
      <c r="K24" s="63"/>
      <c r="L24" s="63"/>
      <c r="M24" s="63"/>
      <c r="N24" s="63"/>
      <c r="O24" s="91">
        <v>42675</v>
      </c>
      <c r="P24" s="92">
        <f>S17</f>
        <v>36.5625</v>
      </c>
      <c r="Q24" s="93">
        <f>T17</f>
        <v>37.924999999999997</v>
      </c>
      <c r="R24" s="93">
        <f>U17</f>
        <v>27.803030303030301</v>
      </c>
      <c r="S24" s="93">
        <f>V17</f>
        <v>61.833333333333329</v>
      </c>
      <c r="T24" s="93">
        <f>W17</f>
        <v>149.97222222222223</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0</v>
      </c>
      <c r="F25" s="479">
        <f ca="1">_xlfn.IFNA(VLOOKUP(C25,Worksheet!$C$3:$G$46,4,FALSE),F25)</f>
        <v>0</v>
      </c>
      <c r="G25" s="479">
        <f ca="1">_xlfn.IFNA(VLOOKUP(C25,Worksheet!$C$3:$G$46,5,FALSE),G25)</f>
        <v>0</v>
      </c>
      <c r="H25" s="205" t="s">
        <v>150</v>
      </c>
      <c r="I25" s="63"/>
      <c r="J25" s="63"/>
      <c r="K25" s="63"/>
      <c r="L25" s="63"/>
      <c r="M25" s="63"/>
      <c r="N25" s="63"/>
      <c r="O25" s="91">
        <v>42705</v>
      </c>
      <c r="P25" s="92">
        <f>X17</f>
        <v>22.25</v>
      </c>
      <c r="Q25" s="93">
        <f>Y17</f>
        <v>27.293749999999999</v>
      </c>
      <c r="R25" s="93">
        <f>Z17</f>
        <v>35.121212121212125</v>
      </c>
      <c r="S25" s="93">
        <f>AA17</f>
        <v>42.09375</v>
      </c>
      <c r="T25" s="93">
        <f>AB17</f>
        <v>156.72222222222223</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0</v>
      </c>
      <c r="F26" s="479">
        <f ca="1">_xlfn.IFNA(VLOOKUP(C26,Worksheet!$C$3:$G$46,4,FALSE),F26)</f>
        <v>0</v>
      </c>
      <c r="G26" s="479">
        <f ca="1">_xlfn.IFNA(VLOOKUP(C26,Worksheet!$C$3:$G$46,5,FALSE),G26)</f>
        <v>0</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0</v>
      </c>
      <c r="F27" s="479">
        <f ca="1">_xlfn.IFNA(VLOOKUP(C27,Worksheet!$C$3:$G$46,4,FALSE),F27)</f>
        <v>0</v>
      </c>
      <c r="G27" s="479">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0</v>
      </c>
      <c r="F29" s="479">
        <f ca="1">_xlfn.IFNA(VLOOKUP(C29,Worksheet!$C$3:$G$46,4,FALSE),F29)</f>
        <v>0</v>
      </c>
      <c r="G29" s="479">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0</v>
      </c>
      <c r="F30" s="479">
        <f ca="1">_xlfn.IFNA(VLOOKUP(C30,Worksheet!$C$3:$G$46,4,FALSE),F30)</f>
        <v>0</v>
      </c>
      <c r="G30" s="479">
        <f ca="1">_xlfn.IFNA(VLOOKUP(C30,Worksheet!$C$3:$G$46,5,FALSE),G30)</f>
        <v>0</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0</v>
      </c>
      <c r="F31" s="479">
        <f ca="1">_xlfn.IFNA(VLOOKUP(C31,Worksheet!$C$3:$G$46,4,FALSE),F31)</f>
        <v>0</v>
      </c>
      <c r="G31" s="479">
        <f ca="1">_xlfn.IFNA(VLOOKUP(C31,Worksheet!$C$3:$G$46,5,FALSE),G31)</f>
        <v>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0</v>
      </c>
      <c r="F32" s="479">
        <f ca="1">_xlfn.IFNA(VLOOKUP(C32,Worksheet!$C$3:$G$46,4,FALSE),F32)</f>
        <v>0</v>
      </c>
      <c r="G32" s="479">
        <f ca="1">_xlfn.IFNA(VLOOKUP(C32,Worksheet!$C$3:$G$46,5,FALSE),G32)</f>
        <v>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0</v>
      </c>
      <c r="F33" s="479">
        <f ca="1">_xlfn.IFNA(VLOOKUP(C33,Worksheet!$C$3:$G$46,4,FALSE),F33)</f>
        <v>0</v>
      </c>
      <c r="G33" s="479">
        <f ca="1">_xlfn.IFNA(VLOOKUP(C33,Worksheet!$C$3:$G$46,5,FALSE),G33)</f>
        <v>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710</v>
      </c>
      <c r="F34" s="479">
        <f ca="1">_xlfn.IFNA(VLOOKUP(C34,Worksheet!$C$3:$G$46,4,FALSE),F34)</f>
        <v>516</v>
      </c>
      <c r="G34" s="479">
        <f ca="1">_xlfn.IFNA(VLOOKUP(C34,Worksheet!$C$3:$G$46,5,FALSE),G34)</f>
        <v>563</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710</v>
      </c>
      <c r="F35" s="479">
        <f ca="1">_xlfn.IFNA(VLOOKUP(C35,Worksheet!$C$3:$G$46,4,FALSE),F35)</f>
        <v>516</v>
      </c>
      <c r="G35" s="479">
        <f ca="1">_xlfn.IFNA(VLOOKUP(C35,Worksheet!$C$3:$G$46,5,FALSE),G35)</f>
        <v>563</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710</v>
      </c>
      <c r="F36" s="479">
        <f ca="1">_xlfn.IFNA(VLOOKUP(C36,Worksheet!$C$3:$G$46,4,FALSE),F36)</f>
        <v>516</v>
      </c>
      <c r="G36" s="479">
        <f ca="1">_xlfn.IFNA(VLOOKUP(C36,Worksheet!$C$3:$G$46,5,FALSE),G36)</f>
        <v>563</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710</v>
      </c>
      <c r="F37" s="479">
        <f ca="1">_xlfn.IFNA(VLOOKUP(C37,Worksheet!$C$3:$G$46,4,FALSE),F37)</f>
        <v>516</v>
      </c>
      <c r="G37" s="479">
        <f ca="1">_xlfn.IFNA(VLOOKUP(C37,Worksheet!$C$3:$G$46,5,FALSE),G37)</f>
        <v>563</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12</v>
      </c>
      <c r="F38" s="479">
        <f ca="1">_xlfn.IFNA(VLOOKUP(C38,Worksheet!$C$3:$G$46,4,FALSE),F38)</f>
        <v>15</v>
      </c>
      <c r="G38" s="479">
        <f ca="1">_xlfn.IFNA(VLOOKUP(C38,Worksheet!$C$3:$G$46,5,FALSE),G38)</f>
        <v>6</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12</v>
      </c>
      <c r="F39" s="479">
        <f ca="1">_xlfn.IFNA(VLOOKUP(C39,Worksheet!$C$3:$G$46,4,FALSE),F39)</f>
        <v>15</v>
      </c>
      <c r="G39" s="479">
        <f ca="1">_xlfn.IFNA(VLOOKUP(C39,Worksheet!$C$3:$G$46,5,FALSE),G39)</f>
        <v>6</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38WQ6r743FcXRS05LmMZi6DCL/JeUZ1mYvSsd0WAOjTAhfw+iaI/7eDzZJdZO8V0guBri2U4VL8M/oWj2rhaIw==" saltValue="nup/l06XiFYLHT+SWTnqK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4928</v>
      </c>
      <c r="G2" s="205" t="s">
        <v>150</v>
      </c>
    </row>
    <row r="3" spans="1:7" ht="45" customHeight="1" x14ac:dyDescent="0.25">
      <c r="A3" s="224"/>
      <c r="B3" s="228" t="s">
        <v>4006</v>
      </c>
      <c r="C3" s="226" t="s">
        <v>3976</v>
      </c>
      <c r="D3" s="226"/>
      <c r="E3" s="229"/>
      <c r="F3" s="298">
        <f ca="1">_xlfn.IFNA(VLOOKUP(B3,Worksheet!$C$3:$G$46,5,FALSE),F3)</f>
        <v>0</v>
      </c>
      <c r="G3" s="205" t="s">
        <v>150</v>
      </c>
    </row>
    <row r="4" spans="1:7" ht="45" customHeight="1" x14ac:dyDescent="0.25">
      <c r="A4" s="224"/>
      <c r="B4" s="228" t="s">
        <v>4007</v>
      </c>
      <c r="C4" s="226" t="s">
        <v>3977</v>
      </c>
      <c r="D4" s="230"/>
      <c r="E4" s="229"/>
      <c r="F4" s="298">
        <f ca="1">_xlfn.IFNA(VLOOKUP(B4,Worksheet!$C$3:$G$46,5,FALSE),F4)</f>
        <v>0</v>
      </c>
      <c r="G4" s="205" t="s">
        <v>150</v>
      </c>
    </row>
    <row r="5" spans="1:7" ht="45" customHeight="1" x14ac:dyDescent="0.25">
      <c r="A5" s="224"/>
      <c r="B5" s="228" t="s">
        <v>4008</v>
      </c>
      <c r="C5" s="226" t="s">
        <v>3978</v>
      </c>
      <c r="D5" s="226"/>
      <c r="E5" s="229"/>
      <c r="F5" s="298">
        <f ca="1">_xlfn.IFNA(VLOOKUP(B5,Worksheet!$C$3:$G$46,5,FALSE),F5)</f>
        <v>0</v>
      </c>
      <c r="G5" s="205" t="s">
        <v>150</v>
      </c>
    </row>
    <row r="6" spans="1:7" ht="45" customHeight="1" x14ac:dyDescent="0.25">
      <c r="A6" s="224"/>
      <c r="B6" s="231" t="s">
        <v>4009</v>
      </c>
      <c r="C6" s="232" t="s">
        <v>3979</v>
      </c>
      <c r="D6" s="233"/>
      <c r="E6" s="234"/>
      <c r="F6" s="235">
        <f ca="1">_xlfn.IFNA(VLOOKUP(F2,Data_donotedit!$BE$2:$BG$25,3,TRUE),0)</f>
        <v>105</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customHeight="1" x14ac:dyDescent="0.25">
      <c r="A10" s="224"/>
      <c r="B10" s="236">
        <v>1113</v>
      </c>
      <c r="C10" s="240" t="s">
        <v>3803</v>
      </c>
      <c r="D10" s="299">
        <f ca="1">_xlfn.IFNA(VLOOKUP(B10,Worksheet!$C$3:$G$46,3,FALSE),D10)</f>
        <v>0</v>
      </c>
      <c r="E10" s="299">
        <f ca="1">_xlfn.IFNA(VLOOKUP(B10,Worksheet!$C$3:$G$46,4,FALSE),E10)</f>
        <v>0</v>
      </c>
      <c r="F10" s="299">
        <f ca="1">_xlfn.IFNA(VLOOKUP(B10,Worksheet!$C$3:$G$46,5,FALSE),F10)</f>
        <v>0</v>
      </c>
      <c r="G10" s="205" t="s">
        <v>150</v>
      </c>
    </row>
    <row r="11" spans="1:7" ht="45" customHeight="1" x14ac:dyDescent="0.25">
      <c r="A11" s="224"/>
      <c r="B11" s="236">
        <v>1114</v>
      </c>
      <c r="C11" s="241" t="s">
        <v>3804</v>
      </c>
      <c r="D11" s="299">
        <f ca="1">_xlfn.IFNA(VLOOKUP(B11,Worksheet!$C$3:$G$46,3,FALSE),D11)</f>
        <v>0</v>
      </c>
      <c r="E11" s="299">
        <f ca="1">_xlfn.IFNA(VLOOKUP(B11,Worksheet!$C$3:$G$46,4,FALSE),E11)</f>
        <v>0</v>
      </c>
      <c r="F11" s="299">
        <f ca="1">_xlfn.IFNA(VLOOKUP(B11,Worksheet!$C$3:$G$46,5,FALSE),F11)</f>
        <v>0</v>
      </c>
      <c r="G11" s="205" t="s">
        <v>150</v>
      </c>
    </row>
    <row r="12" spans="1:7" ht="45" customHeight="1" x14ac:dyDescent="0.25">
      <c r="A12" s="224"/>
      <c r="B12" s="236">
        <v>1115</v>
      </c>
      <c r="C12" s="240" t="s">
        <v>3805</v>
      </c>
      <c r="D12" s="299">
        <f ca="1">_xlfn.IFNA(VLOOKUP(B12,Worksheet!$C$3:$G$46,3,FALSE),D12)</f>
        <v>0</v>
      </c>
      <c r="E12" s="299">
        <f ca="1">_xlfn.IFNA(VLOOKUP(B12,Worksheet!$C$3:$G$46,4,FALSE),E12)</f>
        <v>0</v>
      </c>
      <c r="F12" s="299">
        <f ca="1">_xlfn.IFNA(VLOOKUP(B12,Worksheet!$C$3:$G$46,5,FALSE),F12)</f>
        <v>0</v>
      </c>
      <c r="G12" s="205" t="s">
        <v>150</v>
      </c>
    </row>
    <row r="13" spans="1:7" ht="45"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customHeight="1" x14ac:dyDescent="0.25">
      <c r="A25" s="224"/>
      <c r="B25" s="236">
        <v>1133</v>
      </c>
      <c r="C25" s="240" t="s">
        <v>3817</v>
      </c>
      <c r="D25" s="299">
        <f ca="1">_xlfn.IFNA(VLOOKUP(B25,Worksheet!$C$3:$G$46,3,FALSE),D25)</f>
        <v>0</v>
      </c>
      <c r="E25" s="299">
        <f ca="1">_xlfn.IFNA(VLOOKUP(B25,Worksheet!$C$3:$G$46,4,FALSE),E25)</f>
        <v>0</v>
      </c>
      <c r="F25" s="299">
        <f ca="1">_xlfn.IFNA(VLOOKUP(B25,Worksheet!$C$3:$G$46,5,FALSE),F25)</f>
        <v>0</v>
      </c>
      <c r="G25" s="205" t="s">
        <v>150</v>
      </c>
    </row>
    <row r="26" spans="1:7" ht="45" customHeight="1" x14ac:dyDescent="0.25">
      <c r="A26" s="224"/>
      <c r="B26" s="236">
        <v>1134</v>
      </c>
      <c r="C26" s="240" t="s">
        <v>3818</v>
      </c>
      <c r="D26" s="299">
        <f ca="1">_xlfn.IFNA(VLOOKUP(B26,Worksheet!$C$3:$G$46,3,FALSE),D26)</f>
        <v>0</v>
      </c>
      <c r="E26" s="299">
        <f ca="1">_xlfn.IFNA(VLOOKUP(B26,Worksheet!$C$3:$G$46,4,FALSE),E26)</f>
        <v>0</v>
      </c>
      <c r="F26" s="299">
        <f ca="1">_xlfn.IFNA(VLOOKUP(B26,Worksheet!$C$3:$G$46,5,FALSE),F26)</f>
        <v>0</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customHeight="1" x14ac:dyDescent="0.25">
      <c r="A33" s="224"/>
      <c r="B33" s="236">
        <v>1143</v>
      </c>
      <c r="C33" s="240" t="s">
        <v>3825</v>
      </c>
      <c r="D33" s="299">
        <f ca="1">_xlfn.IFNA(VLOOKUP(B33,Worksheet!$C$3:$G$46,3,FALSE),D33)</f>
        <v>0</v>
      </c>
      <c r="E33" s="299">
        <f ca="1">_xlfn.IFNA(VLOOKUP(B33,Worksheet!$C$3:$G$46,4,FALSE),E33)</f>
        <v>0</v>
      </c>
      <c r="F33" s="299">
        <f ca="1">_xlfn.IFNA(VLOOKUP(B33,Worksheet!$C$3:$G$46,5,FALSE),F33)</f>
        <v>0</v>
      </c>
      <c r="G33" s="205" t="s">
        <v>150</v>
      </c>
    </row>
    <row r="34" spans="1:7" ht="45"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customHeight="1" x14ac:dyDescent="0.25">
      <c r="A35" s="224"/>
      <c r="B35" s="236">
        <v>1145</v>
      </c>
      <c r="C35" s="240" t="s">
        <v>3827</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customHeight="1" x14ac:dyDescent="0.25">
      <c r="A37" s="224"/>
      <c r="B37" s="236">
        <v>1152</v>
      </c>
      <c r="C37" s="240" t="s">
        <v>3829</v>
      </c>
      <c r="D37" s="299">
        <f ca="1">_xlfn.IFNA(VLOOKUP(B37,Worksheet!$C$3:$G$46,3,FALSE),D37)</f>
        <v>710</v>
      </c>
      <c r="E37" s="299">
        <f ca="1">_xlfn.IFNA(VLOOKUP(B37,Worksheet!$C$3:$G$46,4,FALSE),E37)</f>
        <v>516</v>
      </c>
      <c r="F37" s="299">
        <f ca="1">_xlfn.IFNA(VLOOKUP(B37,Worksheet!$C$3:$G$46,5,FALSE),F37)</f>
        <v>563</v>
      </c>
      <c r="G37" s="205" t="s">
        <v>150</v>
      </c>
    </row>
    <row r="38" spans="1:7" ht="45" customHeight="1" x14ac:dyDescent="0.25">
      <c r="A38" s="224"/>
      <c r="B38" s="236">
        <v>1153</v>
      </c>
      <c r="C38" s="240" t="s">
        <v>3830</v>
      </c>
      <c r="D38" s="299">
        <f ca="1">_xlfn.IFNA(VLOOKUP(B38,Worksheet!$C$3:$G$46,3,FALSE),D38)</f>
        <v>710</v>
      </c>
      <c r="E38" s="299">
        <f ca="1">_xlfn.IFNA(VLOOKUP(B38,Worksheet!$C$3:$G$46,4,FALSE),E38)</f>
        <v>516</v>
      </c>
      <c r="F38" s="299">
        <f ca="1">_xlfn.IFNA(VLOOKUP(B38,Worksheet!$C$3:$G$46,5,FALSE),F38)</f>
        <v>563</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customHeight="1" x14ac:dyDescent="0.25">
      <c r="A40" s="224"/>
      <c r="B40" s="236">
        <v>1155</v>
      </c>
      <c r="C40" s="240" t="s">
        <v>3829</v>
      </c>
      <c r="D40" s="299">
        <f ca="1">_xlfn.IFNA(VLOOKUP(B40,Worksheet!$C$3:$G$46,3,FALSE),D40)</f>
        <v>710</v>
      </c>
      <c r="E40" s="299">
        <f ca="1">_xlfn.IFNA(VLOOKUP(B40,Worksheet!$C$3:$G$46,4,FALSE),E40)</f>
        <v>516</v>
      </c>
      <c r="F40" s="299">
        <f ca="1">_xlfn.IFNA(VLOOKUP(B40,Worksheet!$C$3:$G$46,5,FALSE),F40)</f>
        <v>563</v>
      </c>
      <c r="G40" s="205" t="s">
        <v>150</v>
      </c>
    </row>
    <row r="41" spans="1:7" ht="45" customHeight="1" x14ac:dyDescent="0.25">
      <c r="A41" s="224"/>
      <c r="B41" s="236">
        <v>1156</v>
      </c>
      <c r="C41" s="240" t="s">
        <v>3832</v>
      </c>
      <c r="D41" s="299">
        <f ca="1">_xlfn.IFNA(VLOOKUP(B41,Worksheet!$C$3:$G$46,3,FALSE),D41)</f>
        <v>710</v>
      </c>
      <c r="E41" s="299">
        <f ca="1">_xlfn.IFNA(VLOOKUP(B41,Worksheet!$C$3:$G$46,4,FALSE),E41)</f>
        <v>516</v>
      </c>
      <c r="F41" s="299">
        <f ca="1">_xlfn.IFNA(VLOOKUP(B41,Worksheet!$C$3:$G$46,5,FALSE),F41)</f>
        <v>563</v>
      </c>
      <c r="G41" s="205" t="s">
        <v>150</v>
      </c>
    </row>
    <row r="42" spans="1:7" ht="45" hidden="1" customHeight="1" x14ac:dyDescent="0.25">
      <c r="A42" s="224"/>
      <c r="B42" s="236">
        <v>1157</v>
      </c>
      <c r="C42" s="246" t="s">
        <v>3833</v>
      </c>
      <c r="D42" s="247">
        <f ca="1">D43/D44</f>
        <v>1</v>
      </c>
      <c r="E42" s="247">
        <f t="shared" ref="E42:F42" ca="1" si="3">E43/E44</f>
        <v>1</v>
      </c>
      <c r="F42" s="247">
        <f t="shared" ca="1" si="3"/>
        <v>1</v>
      </c>
      <c r="G42" s="205"/>
    </row>
    <row r="43" spans="1:7" ht="45" customHeight="1" x14ac:dyDescent="0.25">
      <c r="A43" s="224"/>
      <c r="B43" s="236">
        <v>1158</v>
      </c>
      <c r="C43" s="240" t="s">
        <v>3834</v>
      </c>
      <c r="D43" s="299">
        <f ca="1">_xlfn.IFNA(VLOOKUP(B43,Worksheet!$C$3:$G$46,3,FALSE),D43)</f>
        <v>12</v>
      </c>
      <c r="E43" s="299">
        <f ca="1">_xlfn.IFNA(VLOOKUP(B43,Worksheet!$C$3:$G$46,4,FALSE),E43)</f>
        <v>15</v>
      </c>
      <c r="F43" s="299">
        <f ca="1">_xlfn.IFNA(VLOOKUP(B43,Worksheet!$C$3:$G$46,5,FALSE),F43)</f>
        <v>6</v>
      </c>
      <c r="G43" s="205" t="s">
        <v>150</v>
      </c>
    </row>
    <row r="44" spans="1:7" s="248" customFormat="1" ht="45" customHeight="1" x14ac:dyDescent="0.25">
      <c r="A44" s="224"/>
      <c r="B44" s="236">
        <v>1159</v>
      </c>
      <c r="C44" s="240" t="s">
        <v>3835</v>
      </c>
      <c r="D44" s="299">
        <f ca="1">_xlfn.IFNA(VLOOKUP(B44,Worksheet!$C$3:$G$46,3,FALSE),D44)</f>
        <v>12</v>
      </c>
      <c r="E44" s="299">
        <f ca="1">_xlfn.IFNA(VLOOKUP(B44,Worksheet!$C$3:$G$46,4,FALSE),E44)</f>
        <v>15</v>
      </c>
      <c r="F44" s="299">
        <f ca="1">_xlfn.IFNA(VLOOKUP(B44,Worksheet!$C$3:$G$46,5,FALSE),F44)</f>
        <v>6</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5520</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107</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1</v>
      </c>
      <c r="E53" s="299">
        <f ca="1">_xlfn.IFNA(VLOOKUP(B53,Worksheet!$C$3:$G$46,4,FALSE),E53)</f>
        <v>1</v>
      </c>
      <c r="F53" s="299">
        <f ca="1">_xlfn.IFNA(VLOOKUP(B53,Worksheet!$C$3:$G$46,5,FALSE),F53)</f>
        <v>1</v>
      </c>
      <c r="G53" s="205" t="s">
        <v>83</v>
      </c>
    </row>
    <row r="54" spans="1:7" ht="45" hidden="1" customHeight="1" x14ac:dyDescent="0.25">
      <c r="A54" s="224"/>
      <c r="B54" s="236">
        <v>1214</v>
      </c>
      <c r="C54" s="262" t="s">
        <v>3842</v>
      </c>
      <c r="D54" s="299">
        <f ca="1">_xlfn.IFNA(VLOOKUP(B54,Worksheet!$C$3:$G$46,3,FALSE),D54)</f>
        <v>0</v>
      </c>
      <c r="E54" s="299">
        <f ca="1">_xlfn.IFNA(VLOOKUP(B54,Worksheet!$C$3:$G$46,4,FALSE),E54)</f>
        <v>0</v>
      </c>
      <c r="F54" s="299">
        <f ca="1">_xlfn.IFNA(VLOOKUP(B54,Worksheet!$C$3:$G$46,5,FALSE),F54)</f>
        <v>0</v>
      </c>
      <c r="G54" s="205" t="s">
        <v>83</v>
      </c>
    </row>
    <row r="55" spans="1:7" ht="45" hidden="1" customHeight="1" x14ac:dyDescent="0.25">
      <c r="A55" s="224"/>
      <c r="B55" s="236">
        <v>1215</v>
      </c>
      <c r="C55" s="240" t="s">
        <v>3843</v>
      </c>
      <c r="D55" s="299">
        <f ca="1">_xlfn.IFNA(VLOOKUP(B55,Worksheet!$C$3:$G$46,3,FALSE),D55)</f>
        <v>10</v>
      </c>
      <c r="E55" s="299">
        <f ca="1">_xlfn.IFNA(VLOOKUP(B55,Worksheet!$C$3:$G$46,4,FALSE),E55)</f>
        <v>7</v>
      </c>
      <c r="F55" s="299">
        <f ca="1">_xlfn.IFNA(VLOOKUP(B55,Worksheet!$C$3:$G$46,5,FALSE),F55)</f>
        <v>5</v>
      </c>
      <c r="G55" s="205" t="s">
        <v>83</v>
      </c>
    </row>
    <row r="56" spans="1:7" ht="45" hidden="1" customHeight="1" x14ac:dyDescent="0.25">
      <c r="A56" s="224"/>
      <c r="B56" s="236">
        <v>1216</v>
      </c>
      <c r="C56" s="241" t="s">
        <v>3844</v>
      </c>
      <c r="D56" s="299">
        <f ca="1">_xlfn.IFNA(VLOOKUP(B56,Worksheet!$C$3:$G$46,3,FALSE),D56)</f>
        <v>389</v>
      </c>
      <c r="E56" s="299">
        <f ca="1">_xlfn.IFNA(VLOOKUP(B56,Worksheet!$C$3:$G$46,4,FALSE),E56)</f>
        <v>279</v>
      </c>
      <c r="F56" s="299">
        <f ca="1">_xlfn.IFNA(VLOOKUP(B56,Worksheet!$C$3:$G$46,5,FALSE),F56)</f>
        <v>165</v>
      </c>
      <c r="G56" s="205" t="s">
        <v>83</v>
      </c>
    </row>
    <row r="57" spans="1:7" ht="45" hidden="1" customHeight="1" x14ac:dyDescent="0.25">
      <c r="A57" s="224"/>
      <c r="B57" s="236">
        <v>1217</v>
      </c>
      <c r="C57" s="241" t="s">
        <v>3845</v>
      </c>
      <c r="D57" s="299">
        <f ca="1">_xlfn.IFNA(VLOOKUP(B57,Worksheet!$C$3:$G$46,3,FALSE),D57)</f>
        <v>0</v>
      </c>
      <c r="E57" s="299">
        <f ca="1">_xlfn.IFNA(VLOOKUP(B57,Worksheet!$C$3:$G$46,4,FALSE),E57)</f>
        <v>1</v>
      </c>
      <c r="F57" s="299">
        <f ca="1">_xlfn.IFNA(VLOOKUP(B57,Worksheet!$C$3:$G$46,5,FALSE),F57)</f>
        <v>1</v>
      </c>
      <c r="G57" s="205" t="s">
        <v>83</v>
      </c>
    </row>
    <row r="58" spans="1:7" ht="45" hidden="1" customHeight="1" x14ac:dyDescent="0.25">
      <c r="A58" s="224"/>
      <c r="B58" s="236">
        <v>1218</v>
      </c>
      <c r="C58" s="241" t="s">
        <v>3846</v>
      </c>
      <c r="D58" s="299">
        <f ca="1">_xlfn.IFNA(VLOOKUP(B58,Worksheet!$C$3:$G$46,3,FALSE),D58)</f>
        <v>389</v>
      </c>
      <c r="E58" s="299">
        <f ca="1">_xlfn.IFNA(VLOOKUP(B58,Worksheet!$C$3:$G$46,4,FALSE),E58)</f>
        <v>278</v>
      </c>
      <c r="F58" s="299">
        <f ca="1">_xlfn.IFNA(VLOOKUP(B58,Worksheet!$C$3:$G$46,5,FALSE),F58)</f>
        <v>164</v>
      </c>
      <c r="G58" s="205" t="s">
        <v>83</v>
      </c>
    </row>
    <row r="59" spans="1:7" ht="45" hidden="1" customHeight="1" x14ac:dyDescent="0.25">
      <c r="A59" s="224"/>
      <c r="B59" s="236">
        <v>1221</v>
      </c>
      <c r="C59" s="262" t="s">
        <v>3847</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389</v>
      </c>
      <c r="E67" s="299">
        <f ca="1">_xlfn.IFNA(VLOOKUP(B67,Worksheet!$C$3:$G$46,4,FALSE),E67)</f>
        <v>279</v>
      </c>
      <c r="F67" s="299">
        <f ca="1">_xlfn.IFNA(VLOOKUP(B67,Worksheet!$C$3:$G$46,5,FALSE),F67)</f>
        <v>165</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1</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389</v>
      </c>
      <c r="E75" s="299">
        <f ca="1">_xlfn.IFNA(VLOOKUP(B75,Worksheet!$C$3:$G$46,4,FALSE),E75)</f>
        <v>278</v>
      </c>
      <c r="F75" s="299">
        <f ca="1">_xlfn.IFNA(VLOOKUP(B75,Worksheet!$C$3:$G$46,5,FALSE),F75)</f>
        <v>164</v>
      </c>
      <c r="G75" s="205" t="s">
        <v>83</v>
      </c>
    </row>
    <row r="76" spans="1:7" ht="45" hidden="1" customHeight="1" x14ac:dyDescent="0.25">
      <c r="A76" s="224"/>
      <c r="B76" s="236">
        <v>1244</v>
      </c>
      <c r="C76" s="241" t="s">
        <v>3863</v>
      </c>
      <c r="D76" s="299">
        <f ca="1">_xlfn.IFNA(VLOOKUP(B76,Worksheet!$C$3:$G$46,3,FALSE),D76)</f>
        <v>0</v>
      </c>
      <c r="E76" s="299">
        <f ca="1">_xlfn.IFNA(VLOOKUP(B76,Worksheet!$C$3:$G$46,4,FALSE),E76)</f>
        <v>1</v>
      </c>
      <c r="F76" s="299">
        <f ca="1">_xlfn.IFNA(VLOOKUP(B76,Worksheet!$C$3:$G$46,5,FALSE),F76)</f>
        <v>1</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563</v>
      </c>
      <c r="E79" s="299">
        <f ca="1">_xlfn.IFNA(VLOOKUP(B79,Worksheet!$C$3:$G$46,4,FALSE),E79)</f>
        <v>502</v>
      </c>
      <c r="F79" s="299">
        <f ca="1">_xlfn.IFNA(VLOOKUP(B79,Worksheet!$C$3:$G$46,5,FALSE),F79)</f>
        <v>295</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0</v>
      </c>
      <c r="E81" s="263">
        <f t="shared" ref="E81:F81" ca="1" si="4">E82</f>
        <v>0</v>
      </c>
      <c r="F81" s="263">
        <f t="shared" ca="1" si="4"/>
        <v>0</v>
      </c>
      <c r="G81" s="205"/>
    </row>
    <row r="82" spans="1:7" ht="45" hidden="1" customHeight="1" x14ac:dyDescent="0.25">
      <c r="A82" s="224"/>
      <c r="B82" s="236">
        <v>1252</v>
      </c>
      <c r="C82" s="240" t="s">
        <v>3869</v>
      </c>
      <c r="D82" s="299">
        <f ca="1">_xlfn.IFNA(VLOOKUP(B82,Worksheet!$C$3:$G$46,3,FALSE),D82)</f>
        <v>0</v>
      </c>
      <c r="E82" s="299">
        <f ca="1">_xlfn.IFNA(VLOOKUP(B82,Worksheet!$C$3:$G$46,4,FALSE),E82)</f>
        <v>0</v>
      </c>
      <c r="F82" s="299">
        <f ca="1">_xlfn.IFNA(VLOOKUP(B82,Worksheet!$C$3:$G$46,5,FALSE),F82)</f>
        <v>0</v>
      </c>
      <c r="G82" s="205" t="s">
        <v>83</v>
      </c>
    </row>
    <row r="83" spans="1:7" ht="45" hidden="1" customHeight="1" x14ac:dyDescent="0.25">
      <c r="A83" s="224"/>
      <c r="B83" s="236">
        <v>1253</v>
      </c>
      <c r="C83" s="240" t="s">
        <v>3870</v>
      </c>
      <c r="D83" s="299">
        <f ca="1">_xlfn.IFNA(VLOOKUP(B83,Worksheet!$C$3:$G$46,3,FALSE),D83)</f>
        <v>4</v>
      </c>
      <c r="E83" s="299">
        <f ca="1">_xlfn.IFNA(VLOOKUP(B83,Worksheet!$C$3:$G$46,4,FALSE),E83)</f>
        <v>2</v>
      </c>
      <c r="F83" s="299">
        <f ca="1">_xlfn.IFNA(VLOOKUP(B83,Worksheet!$C$3:$G$46,5,FALSE),F83)</f>
        <v>1</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2</v>
      </c>
      <c r="F86" s="299">
        <f ca="1">_xlfn.IFNA(VLOOKUP(B86,Worksheet!$C$3:$G$46,5,FALSE),F86)</f>
        <v>1</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1</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2</v>
      </c>
      <c r="F93" s="299">
        <f ca="1">_xlfn.IFNA(VLOOKUP(B93,Worksheet!$C$3:$G$46,5,FALSE),F93)</f>
        <v>1</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2</v>
      </c>
      <c r="F97" s="299">
        <f ca="1">_xlfn.IFNA(VLOOKUP(B97,Worksheet!$C$3:$G$46,5,FALSE),F97)</f>
        <v>1</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2</v>
      </c>
      <c r="F98" s="299">
        <f ca="1">_xlfn.IFNA(VLOOKUP(B98,Worksheet!$C$3:$G$46,5,FALSE),F98)</f>
        <v>1</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2</v>
      </c>
      <c r="G101" s="264" t="s">
        <v>155</v>
      </c>
    </row>
    <row r="102" spans="1:7" s="268" customFormat="1" ht="45" hidden="1" customHeight="1" x14ac:dyDescent="0.25">
      <c r="A102" s="224"/>
      <c r="B102" s="236">
        <v>1332</v>
      </c>
      <c r="C102" s="240" t="s">
        <v>3887</v>
      </c>
      <c r="D102" s="299">
        <f ca="1">_xlfn.IFNA(VLOOKUP(B102,Worksheet!$C$3:$G$46,3,FALSE),D102)</f>
        <v>1</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2</v>
      </c>
      <c r="G103" s="264" t="s">
        <v>155</v>
      </c>
    </row>
    <row r="104" spans="1:7" s="268" customFormat="1" ht="45" hidden="1" customHeight="1" x14ac:dyDescent="0.25">
      <c r="A104" s="224"/>
      <c r="B104" s="236">
        <v>1334</v>
      </c>
      <c r="C104" s="240" t="s">
        <v>3889</v>
      </c>
      <c r="D104" s="299">
        <f ca="1">_xlfn.IFNA(VLOOKUP(B104,Worksheet!$C$3:$G$46,3,FALSE),D104)</f>
        <v>1</v>
      </c>
      <c r="E104" s="299">
        <f ca="1">_xlfn.IFNA(VLOOKUP(B104,Worksheet!$C$3:$G$46,4,FALSE),E104)</f>
        <v>3</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3</v>
      </c>
      <c r="F109" s="299">
        <f ca="1">_xlfn.IFNA(VLOOKUP(B109,Worksheet!$C$3:$G$46,5,FALSE),F109)</f>
        <v>2</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2</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2</v>
      </c>
      <c r="G111" s="264" t="s">
        <v>155</v>
      </c>
    </row>
    <row r="112" spans="1:7" s="268" customFormat="1" ht="45" hidden="1" customHeight="1" x14ac:dyDescent="0.25">
      <c r="A112" s="224"/>
      <c r="B112" s="236">
        <v>1353</v>
      </c>
      <c r="C112" s="240" t="s">
        <v>3897</v>
      </c>
      <c r="D112" s="299">
        <f ca="1">_xlfn.IFNA(VLOOKUP(B112,Worksheet!$C$3:$G$46,3,FALSE),D112)</f>
        <v>8</v>
      </c>
      <c r="E112" s="299">
        <f ca="1">_xlfn.IFNA(VLOOKUP(B112,Worksheet!$C$3:$G$46,4,FALSE),E112)</f>
        <v>6</v>
      </c>
      <c r="F112" s="299">
        <f ca="1">_xlfn.IFNA(VLOOKUP(B112,Worksheet!$C$3:$G$46,5,FALSE),F112)</f>
        <v>4</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2</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2</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3</v>
      </c>
      <c r="F115" s="299">
        <f ca="1">_xlfn.IFNA(VLOOKUP(B115,Worksheet!$C$3:$G$46,5,FALSE),F115)</f>
        <v>2</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2</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1</v>
      </c>
      <c r="E120" s="299">
        <f ca="1">_xlfn.IFNA(VLOOKUP(B120,Worksheet!$C$3:$G$46,4,FALSE),E120)</f>
        <v>1</v>
      </c>
      <c r="F120" s="299">
        <f ca="1">_xlfn.IFNA(VLOOKUP(B120,Worksheet!$C$3:$G$46,5,FALSE),F120)</f>
        <v>3</v>
      </c>
      <c r="G120" s="205" t="s">
        <v>86</v>
      </c>
    </row>
    <row r="121" spans="1:7" s="268" customFormat="1" ht="45" hidden="1" customHeight="1" x14ac:dyDescent="0.25">
      <c r="A121" s="224"/>
      <c r="B121" s="236">
        <v>1422</v>
      </c>
      <c r="C121" s="240" t="s">
        <v>3903</v>
      </c>
      <c r="D121" s="299">
        <f ca="1">_xlfn.IFNA(VLOOKUP(B121,Worksheet!$C$3:$G$46,3,FALSE),D121)</f>
        <v>1</v>
      </c>
      <c r="E121" s="299">
        <f ca="1">_xlfn.IFNA(VLOOKUP(B121,Worksheet!$C$3:$G$46,4,FALSE),E121)</f>
        <v>1</v>
      </c>
      <c r="F121" s="299">
        <f ca="1">_xlfn.IFNA(VLOOKUP(B121,Worksheet!$C$3:$G$46,5,FALSE),F121)</f>
        <v>3</v>
      </c>
      <c r="G121" s="205" t="s">
        <v>86</v>
      </c>
    </row>
    <row r="122" spans="1:7" s="268" customFormat="1" ht="45" hidden="1" customHeight="1" x14ac:dyDescent="0.25">
      <c r="A122" s="224"/>
      <c r="B122" s="236">
        <v>1423</v>
      </c>
      <c r="C122" s="240" t="s">
        <v>3904</v>
      </c>
      <c r="D122" s="299">
        <f ca="1">_xlfn.IFNA(VLOOKUP(B122,Worksheet!$C$3:$G$46,3,FALSE),D122)</f>
        <v>1</v>
      </c>
      <c r="E122" s="299">
        <f ca="1">_xlfn.IFNA(VLOOKUP(B122,Worksheet!$C$3:$G$46,4,FALSE),E122)</f>
        <v>1</v>
      </c>
      <c r="F122" s="299">
        <f ca="1">_xlfn.IFNA(VLOOKUP(B122,Worksheet!$C$3:$G$46,5,FALSE),F122)</f>
        <v>3</v>
      </c>
      <c r="G122" s="205" t="s">
        <v>86</v>
      </c>
    </row>
    <row r="123" spans="1:7" s="268" customFormat="1" ht="45" hidden="1" customHeight="1" x14ac:dyDescent="0.25">
      <c r="A123" s="224"/>
      <c r="B123" s="236">
        <v>1424</v>
      </c>
      <c r="C123" s="240" t="s">
        <v>3905</v>
      </c>
      <c r="D123" s="299">
        <f ca="1">_xlfn.IFNA(VLOOKUP(B123,Worksheet!$C$3:$G$46,3,FALSE),D123)</f>
        <v>1</v>
      </c>
      <c r="E123" s="299">
        <f ca="1">_xlfn.IFNA(VLOOKUP(B123,Worksheet!$C$3:$G$46,4,FALSE),E123)</f>
        <v>1</v>
      </c>
      <c r="F123" s="299">
        <f ca="1">_xlfn.IFNA(VLOOKUP(B123,Worksheet!$C$3:$G$46,5,FALSE),F123)</f>
        <v>1</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2</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2</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1</v>
      </c>
      <c r="E132" s="269">
        <f ca="1">E120</f>
        <v>1</v>
      </c>
      <c r="F132" s="269">
        <f ca="1">F120</f>
        <v>3</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87</v>
      </c>
      <c r="G141" s="205" t="s">
        <v>90</v>
      </c>
    </row>
    <row r="142" spans="1:7" ht="45" hidden="1" customHeight="1" x14ac:dyDescent="0.25">
      <c r="A142" s="224"/>
      <c r="B142" s="231" t="s">
        <v>4013</v>
      </c>
      <c r="C142" s="258" t="s">
        <v>3922</v>
      </c>
      <c r="D142" s="233"/>
      <c r="E142" s="274"/>
      <c r="F142" s="235">
        <f ca="1">_xlfn.IFNA(VLOOKUP(F141,Data_donotedit!$BE$2:$BG$25,3,TRUE),0)</f>
        <v>49</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245</v>
      </c>
      <c r="E149" s="299">
        <f ca="1">_xlfn.IFNA(VLOOKUP(B149,Worksheet!$C$3:$G$46,4,FALSE),E149)</f>
        <v>270</v>
      </c>
      <c r="F149" s="299">
        <f ca="1">_xlfn.IFNA(VLOOKUP(B149,Worksheet!$C$3:$G$46,5,FALSE),F149)</f>
        <v>295</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7</v>
      </c>
      <c r="E151" s="299">
        <f ca="1">_xlfn.IFNA(VLOOKUP(B151,Worksheet!$C$3:$G$46,4,FALSE),E151)</f>
        <v>3</v>
      </c>
      <c r="F151" s="299">
        <f ca="1">_xlfn.IFNA(VLOOKUP(B151,Worksheet!$C$3:$G$46,5,FALSE),F151)</f>
        <v>2</v>
      </c>
      <c r="G151" s="205" t="s">
        <v>90</v>
      </c>
    </row>
    <row r="152" spans="1:7" ht="45" hidden="1" customHeight="1" x14ac:dyDescent="0.25">
      <c r="A152" s="224"/>
      <c r="B152" s="236">
        <v>1532</v>
      </c>
      <c r="C152" s="240" t="s">
        <v>3932</v>
      </c>
      <c r="D152" s="299">
        <f ca="1">_xlfn.IFNA(VLOOKUP(B152,Worksheet!$C$3:$G$46,3,FALSE),D152)</f>
        <v>9</v>
      </c>
      <c r="E152" s="299">
        <f ca="1">_xlfn.IFNA(VLOOKUP(B152,Worksheet!$C$3:$G$46,4,FALSE),E152)</f>
        <v>12</v>
      </c>
      <c r="F152" s="299">
        <f ca="1">_xlfn.IFNA(VLOOKUP(B152,Worksheet!$C$3:$G$46,5,FALSE),F152)</f>
        <v>10</v>
      </c>
      <c r="G152" s="205" t="s">
        <v>90</v>
      </c>
    </row>
    <row r="153" spans="1:7" ht="45" hidden="1" customHeight="1" x14ac:dyDescent="0.25">
      <c r="A153" s="224"/>
      <c r="B153" s="236">
        <v>1533</v>
      </c>
      <c r="C153" s="240" t="s">
        <v>3933</v>
      </c>
      <c r="D153" s="299">
        <f ca="1">_xlfn.IFNA(VLOOKUP(B153,Worksheet!$C$3:$G$46,3,FALSE),D153)</f>
        <v>16</v>
      </c>
      <c r="E153" s="299">
        <f ca="1">_xlfn.IFNA(VLOOKUP(B153,Worksheet!$C$3:$G$46,4,FALSE),E153)</f>
        <v>15</v>
      </c>
      <c r="F153" s="299">
        <f ca="1">_xlfn.IFNA(VLOOKUP(B153,Worksheet!$C$3:$G$46,5,FALSE),F153)</f>
        <v>12</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16</v>
      </c>
      <c r="E156" s="299">
        <f ca="1">_xlfn.IFNA(VLOOKUP(B156,Worksheet!$C$3:$G$46,4,FALSE),E156)</f>
        <v>15</v>
      </c>
      <c r="F156" s="299">
        <f ca="1">_xlfn.IFNA(VLOOKUP(B156,Worksheet!$C$3:$G$46,5,FALSE),F156)</f>
        <v>12</v>
      </c>
      <c r="G156" s="205" t="s">
        <v>90</v>
      </c>
    </row>
    <row r="157" spans="1:7" ht="45" hidden="1" customHeight="1" x14ac:dyDescent="0.25">
      <c r="A157" s="224"/>
      <c r="B157" s="236">
        <v>1543</v>
      </c>
      <c r="C157" s="262" t="s">
        <v>3937</v>
      </c>
      <c r="D157" s="299">
        <f ca="1">_xlfn.IFNA(VLOOKUP(B157,Worksheet!$C$3:$G$46,3,FALSE),D157)</f>
        <v>16</v>
      </c>
      <c r="E157" s="299">
        <f ca="1">_xlfn.IFNA(VLOOKUP(B157,Worksheet!$C$3:$G$46,4,FALSE),E157)</f>
        <v>15</v>
      </c>
      <c r="F157" s="299">
        <f ca="1">_xlfn.IFNA(VLOOKUP(B157,Worksheet!$C$3:$G$46,5,FALSE),F157)</f>
        <v>12</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16</v>
      </c>
      <c r="E160" s="299">
        <f ca="1">_xlfn.IFNA(VLOOKUP(B160,Worksheet!$C$3:$G$46,4,FALSE),E160)</f>
        <v>15</v>
      </c>
      <c r="F160" s="299">
        <f ca="1">_xlfn.IFNA(VLOOKUP(B160,Worksheet!$C$3:$G$46,5,FALSE),F160)</f>
        <v>12</v>
      </c>
      <c r="G160" s="205" t="s">
        <v>90</v>
      </c>
    </row>
    <row r="161" spans="1:7" ht="45" hidden="1" customHeight="1" x14ac:dyDescent="0.25">
      <c r="A161" s="224"/>
      <c r="B161" s="236">
        <v>1553</v>
      </c>
      <c r="C161" s="240" t="s">
        <v>3941</v>
      </c>
      <c r="D161" s="299">
        <f ca="1">_xlfn.IFNA(VLOOKUP(B161,Worksheet!$C$3:$G$46,3,FALSE),D161)</f>
        <v>16</v>
      </c>
      <c r="E161" s="299">
        <f ca="1">_xlfn.IFNA(VLOOKUP(B161,Worksheet!$C$3:$G$46,4,FALSE),E161)</f>
        <v>15</v>
      </c>
      <c r="F161" s="299">
        <f ca="1">_xlfn.IFNA(VLOOKUP(B161,Worksheet!$C$3:$G$46,5,FALSE),F161)</f>
        <v>12</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16</v>
      </c>
      <c r="E163" s="299">
        <f ca="1">_xlfn.IFNA(VLOOKUP(B163,Worksheet!$C$3:$G$46,4,FALSE),E163)</f>
        <v>15</v>
      </c>
      <c r="F163" s="299">
        <f ca="1">_xlfn.IFNA(VLOOKUP(B163,Worksheet!$C$3:$G$46,5,FALSE),F163)</f>
        <v>12</v>
      </c>
      <c r="G163" s="205" t="s">
        <v>90</v>
      </c>
    </row>
    <row r="164" spans="1:7" ht="45" hidden="1" customHeight="1" x14ac:dyDescent="0.25">
      <c r="A164" s="224"/>
      <c r="B164" s="236">
        <v>1556</v>
      </c>
      <c r="C164" s="240" t="s">
        <v>3941</v>
      </c>
      <c r="D164" s="299">
        <f ca="1">_xlfn.IFNA(VLOOKUP(B164,Worksheet!$C$3:$G$46,3,FALSE),D164)</f>
        <v>16</v>
      </c>
      <c r="E164" s="299">
        <f ca="1">_xlfn.IFNA(VLOOKUP(B164,Worksheet!$C$3:$G$46,4,FALSE),E164)</f>
        <v>15</v>
      </c>
      <c r="F164" s="299">
        <f ca="1">_xlfn.IFNA(VLOOKUP(B164,Worksheet!$C$3:$G$46,5,FALSE),F164)</f>
        <v>12</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538</v>
      </c>
      <c r="G166" s="205" t="s">
        <v>91</v>
      </c>
    </row>
    <row r="167" spans="1:7" ht="45" hidden="1" customHeight="1" x14ac:dyDescent="0.25">
      <c r="A167" s="224"/>
      <c r="B167" s="280" t="s">
        <v>4014</v>
      </c>
      <c r="C167" s="258" t="s">
        <v>3993</v>
      </c>
      <c r="D167" s="226"/>
      <c r="E167" s="229"/>
      <c r="F167" s="235">
        <f ca="1">_xlfn.IFNA(VLOOKUP(F166,Data_donotedit!$BE$2:$BG$25,3,TRUE),0)</f>
        <v>94</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30</v>
      </c>
      <c r="E174" s="299">
        <f ca="1">_xlfn.IFNA(VLOOKUP(B174,Worksheet!$C$3:$G$46,4,FALSE),E174)</f>
        <v>30</v>
      </c>
      <c r="F174" s="299">
        <f ca="1">_xlfn.IFNA(VLOOKUP(B174,Worksheet!$C$3:$G$46,5,FALSE),F174)</f>
        <v>30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144</v>
      </c>
      <c r="E177" s="299">
        <f ca="1">_xlfn.IFNA(VLOOKUP(B177,Worksheet!$C$3:$G$46,4,FALSE),E177)</f>
        <v>242</v>
      </c>
      <c r="F177" s="299">
        <f ca="1">_xlfn.IFNA(VLOOKUP(B177,Worksheet!$C$3:$G$46,5,FALSE),F177)</f>
        <v>163</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88</v>
      </c>
      <c r="E181" s="299">
        <f ca="1">_xlfn.IFNA(VLOOKUP(B181,Worksheet!$C$3:$G$46,4,FALSE),E181)</f>
        <v>87</v>
      </c>
      <c r="F181" s="299">
        <f ca="1">_xlfn.IFNA(VLOOKUP(B181,Worksheet!$C$3:$G$46,5,FALSE),F181)</f>
        <v>80</v>
      </c>
      <c r="G181" s="205" t="s">
        <v>91</v>
      </c>
    </row>
    <row r="182" spans="1:7" ht="45" hidden="1" customHeight="1" x14ac:dyDescent="0.25">
      <c r="A182" s="224"/>
      <c r="B182" s="236">
        <v>1632</v>
      </c>
      <c r="C182" s="240" t="s">
        <v>3949</v>
      </c>
      <c r="D182" s="299">
        <f ca="1">_xlfn.IFNA(VLOOKUP(B182,Worksheet!$C$3:$G$46,3,FALSE),D182)</f>
        <v>222</v>
      </c>
      <c r="E182" s="299">
        <f ca="1">_xlfn.IFNA(VLOOKUP(B182,Worksheet!$C$3:$G$46,4,FALSE),E182)</f>
        <v>218</v>
      </c>
      <c r="F182" s="299">
        <f ca="1">_xlfn.IFNA(VLOOKUP(B182,Worksheet!$C$3:$G$46,5,FALSE),F182)</f>
        <v>204</v>
      </c>
      <c r="G182" s="205" t="s">
        <v>91</v>
      </c>
    </row>
    <row r="183" spans="1:7" ht="45" hidden="1" customHeight="1" x14ac:dyDescent="0.25">
      <c r="A183" s="224"/>
      <c r="B183" s="236">
        <v>1633</v>
      </c>
      <c r="C183" s="240" t="s">
        <v>3950</v>
      </c>
      <c r="D183" s="299">
        <f ca="1">_xlfn.IFNA(VLOOKUP(B183,Worksheet!$C$3:$G$46,3,FALSE),D183)</f>
        <v>295</v>
      </c>
      <c r="E183" s="299">
        <f ca="1">_xlfn.IFNA(VLOOKUP(B183,Worksheet!$C$3:$G$46,4,FALSE),E183)</f>
        <v>290</v>
      </c>
      <c r="F183" s="299">
        <f ca="1">_xlfn.IFNA(VLOOKUP(B183,Worksheet!$C$3:$G$46,5,FALSE),F183)</f>
        <v>269</v>
      </c>
      <c r="G183" s="205" t="s">
        <v>91</v>
      </c>
    </row>
    <row r="184" spans="1:7" ht="45" hidden="1" customHeight="1" x14ac:dyDescent="0.25">
      <c r="A184" s="224"/>
      <c r="B184" s="236">
        <v>1634</v>
      </c>
      <c r="C184" s="240" t="s">
        <v>3951</v>
      </c>
      <c r="D184" s="299">
        <f ca="1">_xlfn.IFNA(VLOOKUP(B184,Worksheet!$C$3:$G$46,3,FALSE),D184)</f>
        <v>15</v>
      </c>
      <c r="E184" s="299">
        <f ca="1">_xlfn.IFNA(VLOOKUP(B184,Worksheet!$C$3:$G$46,4,FALSE),E184)</f>
        <v>15</v>
      </c>
      <c r="F184" s="299">
        <f ca="1">_xlfn.IFNA(VLOOKUP(B184,Worksheet!$C$3:$G$46,5,FALSE),F184)</f>
        <v>15</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25</v>
      </c>
      <c r="E186" s="299">
        <f ca="1">_xlfn.IFNA(VLOOKUP(B186,Worksheet!$C$3:$G$46,4,FALSE),E186)</f>
        <v>34</v>
      </c>
      <c r="F186" s="299">
        <f ca="1">_xlfn.IFNA(VLOOKUP(B186,Worksheet!$C$3:$G$46,5,FALSE),F186)</f>
        <v>53</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310</v>
      </c>
      <c r="E188" s="299">
        <f ca="1">_xlfn.IFNA(VLOOKUP(B188,Worksheet!$C$3:$G$46,4,FALSE),E188)</f>
        <v>305</v>
      </c>
      <c r="F188" s="299">
        <f ca="1">_xlfn.IFNA(VLOOKUP(B188,Worksheet!$C$3:$G$46,5,FALSE),F188)</f>
        <v>284</v>
      </c>
      <c r="G188" s="205" t="s">
        <v>91</v>
      </c>
    </row>
    <row r="189" spans="1:7" ht="45" hidden="1" customHeight="1" x14ac:dyDescent="0.25">
      <c r="A189" s="224"/>
      <c r="B189" s="236">
        <v>1644</v>
      </c>
      <c r="C189" s="240" t="s">
        <v>4003</v>
      </c>
      <c r="D189" s="299">
        <f ca="1">_xlfn.IFNA(VLOOKUP(B189,Worksheet!$C$3:$G$46,3,FALSE),D189)</f>
        <v>25</v>
      </c>
      <c r="E189" s="299">
        <f ca="1">_xlfn.IFNA(VLOOKUP(B189,Worksheet!$C$3:$G$46,4,FALSE),E189)</f>
        <v>34</v>
      </c>
      <c r="F189" s="299">
        <f ca="1">_xlfn.IFNA(VLOOKUP(B189,Worksheet!$C$3:$G$46,5,FALSE),F189)</f>
        <v>53</v>
      </c>
      <c r="G189" s="205" t="s">
        <v>91</v>
      </c>
    </row>
    <row r="190" spans="1:7" ht="45" hidden="1" customHeight="1" x14ac:dyDescent="0.25">
      <c r="A190" s="224"/>
      <c r="B190" s="236">
        <v>1651</v>
      </c>
      <c r="C190" s="219" t="s">
        <v>3953</v>
      </c>
      <c r="D190" s="282">
        <f ca="1">D191/D192</f>
        <v>1</v>
      </c>
      <c r="E190" s="282">
        <f t="shared" ref="E190:F190" ca="1" si="7">E191/E192</f>
        <v>1</v>
      </c>
      <c r="F190" s="282">
        <f t="shared" ca="1" si="7"/>
        <v>1</v>
      </c>
      <c r="G190" s="205"/>
    </row>
    <row r="191" spans="1:7" ht="45" hidden="1" customHeight="1" x14ac:dyDescent="0.25">
      <c r="A191" s="224"/>
      <c r="B191" s="236">
        <v>1652</v>
      </c>
      <c r="C191" s="240" t="s">
        <v>3954</v>
      </c>
      <c r="D191" s="299">
        <f ca="1">_xlfn.IFNA(VLOOKUP(B191,Worksheet!$C$3:$G$46,3,FALSE),D191)</f>
        <v>310</v>
      </c>
      <c r="E191" s="299">
        <f ca="1">_xlfn.IFNA(VLOOKUP(B191,Worksheet!$C$3:$G$46,4,FALSE),E191)</f>
        <v>305</v>
      </c>
      <c r="F191" s="299">
        <f ca="1">_xlfn.IFNA(VLOOKUP(B191,Worksheet!$C$3:$G$46,5,FALSE),F191)</f>
        <v>284</v>
      </c>
      <c r="G191" s="205" t="s">
        <v>91</v>
      </c>
    </row>
    <row r="192" spans="1:7" ht="45" hidden="1" customHeight="1" x14ac:dyDescent="0.25">
      <c r="A192" s="224"/>
      <c r="B192" s="236">
        <v>1653</v>
      </c>
      <c r="C192" s="240" t="s">
        <v>3955</v>
      </c>
      <c r="D192" s="299">
        <f ca="1">_xlfn.IFNA(VLOOKUP(B192,Worksheet!$C$3:$G$46,3,FALSE),D192)</f>
        <v>310</v>
      </c>
      <c r="E192" s="299">
        <f ca="1">_xlfn.IFNA(VLOOKUP(B192,Worksheet!$C$3:$G$46,4,FALSE),E192)</f>
        <v>305</v>
      </c>
      <c r="F192" s="299">
        <f ca="1">_xlfn.IFNA(VLOOKUP(B192,Worksheet!$C$3:$G$46,5,FALSE),F192)</f>
        <v>284</v>
      </c>
      <c r="G192" s="205" t="s">
        <v>91</v>
      </c>
    </row>
    <row r="193" spans="1:7" ht="45" hidden="1" customHeight="1" x14ac:dyDescent="0.25">
      <c r="A193" s="224"/>
      <c r="B193" s="236">
        <v>1654</v>
      </c>
      <c r="C193" s="219" t="s">
        <v>3956</v>
      </c>
      <c r="D193" s="282">
        <f ca="1">D194/D195</f>
        <v>1</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1</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1</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1</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1</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5</v>
      </c>
      <c r="E200" s="299">
        <f ca="1">_xlfn.IFNA(VLOOKUP(B200,Worksheet!$C$3:$G$46,4,FALSE),E200)</f>
        <v>7</v>
      </c>
      <c r="F200" s="299">
        <f ca="1">_xlfn.IFNA(VLOOKUP(B200,Worksheet!$C$3:$G$46,5,FALSE),F200)</f>
        <v>17</v>
      </c>
      <c r="G200" s="205" t="s">
        <v>91</v>
      </c>
    </row>
    <row r="201" spans="1:7" ht="45" hidden="1" customHeight="1" x14ac:dyDescent="0.25">
      <c r="A201" s="224"/>
      <c r="B201" s="236">
        <v>1662</v>
      </c>
      <c r="C201" s="240" t="s">
        <v>3964</v>
      </c>
      <c r="D201" s="299">
        <f ca="1">_xlfn.IFNA(VLOOKUP(B201,Worksheet!$C$3:$G$46,3,FALSE),D201)</f>
        <v>5</v>
      </c>
      <c r="E201" s="299">
        <f ca="1">_xlfn.IFNA(VLOOKUP(B201,Worksheet!$C$3:$G$46,4,FALSE),E201)</f>
        <v>7</v>
      </c>
      <c r="F201" s="299">
        <f ca="1">_xlfn.IFNA(VLOOKUP(B201,Worksheet!$C$3:$G$46,5,FALSE),F201)</f>
        <v>17</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G55zwBKqW1rSvDVgb7eUWnMWhIHiO0QDRa6EzJHv6Wrj5fGgHc7dYScleW0S1ibG0LJD1EKvRPQVnOx3Y6ViuQ==" saltValue="yWvzb4sjzir6LtDYE4/QZQ=="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Kayode</cp:lastModifiedBy>
  <cp:lastPrinted>2017-01-11T15:12:50Z</cp:lastPrinted>
  <dcterms:created xsi:type="dcterms:W3CDTF">2017-01-08T13:42:03Z</dcterms:created>
  <dcterms:modified xsi:type="dcterms:W3CDTF">2017-02-21T09:50:54Z</dcterms:modified>
</cp:coreProperties>
</file>