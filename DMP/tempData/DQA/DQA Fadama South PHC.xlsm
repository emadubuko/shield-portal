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<sst xmlns="http://schemas.openxmlformats.org/spreadsheetml/2006/main" count="27074" uniqueCount="4024">
  <si>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</si>
  <si>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</si>
  <si>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</si>
  <si>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</si>
  <si>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</si>
  <si>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</si>
  <si>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</si>
  <si>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</si>
  <si>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</si>
  <si>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</si>
  <si>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</si>
  <si>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</si>
  <si>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</si>
  <si>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</si>
  <si>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</si>
  <si>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</si>
  <si>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</si>
  <si>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</si>
  <si>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</si>
  <si>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</si>
  <si>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</si>
  <si>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</si>
  <si>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</si>
  <si>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</si>
  <si>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</si>
  <si>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</si>
  <si>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</si>
  <si>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</si>
  <si>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</si>
  <si>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</si>
  <si>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</si>
  <si>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</si>
  <si>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</si>
  <si>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</si>
  <si>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</si>
  <si>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</si>
  <si>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</si>
  <si>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</si>
  <si>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</si>
  <si>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</si>
  <si>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</si>
  <si>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</si>
  <si>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</si>
  <si>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</si>
  <si>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</si>
  <si>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</si>
  <si>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</si>
  <si>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</si>
  <si>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</si>
  <si>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</si>
  <si>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</si>
  <si>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</si>
  <si>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</si>
  <si>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</si>
  <si>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</si>
  <si>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</si>
  <si>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</si>
  <si>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</si>
  <si>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</si>
  <si>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</si>
  <si>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</si>
  <si>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</si>
  <si>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</si>
  <si>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</si>
  <si>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</si>
  <si>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</si>
  <si>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</si>
  <si>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</si>
  <si>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</si>
  <si>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</si>
  <si>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</si>
  <si>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</si>
  <si>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</si>
  <si>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</si>
  <si>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</si>
  <si>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</si>
  <si>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</si>
  <si>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</si>
  <si>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</si>
  <si>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</si>
  <si>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</si>
  <si>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</si>
  <si>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</si>
  <si>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</si>
  <si>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</si>
  <si>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</si>
  <si>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</si>
  <si>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</si>
  <si>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</si>
  <si>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</si>
  <si>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</si>
  <si>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</si>
  <si>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</si>
  <si>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</si>
  <si>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</si>
  <si>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</si>
  <si>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</si>
  <si>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</si>
  <si>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</si>
  <si>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</si>
  <si>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</si>
  <si>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</si>
  <si>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</si>
  <si>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</si>
  <si>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</si>
  <si>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</si>
  <si>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</si>
  <si>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</si>
  <si>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</si>
  <si>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</si>
  <si>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</si>
  <si>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</si>
  <si>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</si>
  <si>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</si>
  <si>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</si>
  <si>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</si>
  <si>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</si>
  <si>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</si>
  <si>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</si>
  <si>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</si>
  <si>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</si>
  <si>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</si>
  <si>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</si>
  <si>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</si>
  <si>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</si>
  <si>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</si>
  <si>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</si>
  <si>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</si>
  <si>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</si>
  <si>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</si>
  <si>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</si>
  <si>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</si>
  <si>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</si>
  <si>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</si>
  <si>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</si>
  <si>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</si>
  <si>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</si>
  <si>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</si>
  <si>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</si>
  <si>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</si>
  <si>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</si>
  <si>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</si>
  <si>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</si>
  <si>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</si>
  <si>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</si>
  <si>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</si>
  <si>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</si>
  <si>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</si>
  <si>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</si>
  <si>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</si>
  <si>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</si>
  <si>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</si>
  <si>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</si>
  <si>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</si>
  <si>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</si>
  <si>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</si>
  <si>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</si>
  <si>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</si>
  <si>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</si>
  <si>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</si>
  <si>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</si>
  <si>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</si>
  <si>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</si>
  <si>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</si>
  <si>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</si>
  <si>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</si>
  <si>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</si>
  <si>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</si>
  <si>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</si>
  <si>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</si>
  <si>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</si>
  <si>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</si>
  <si>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</si>
  <si>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</si>
  <si>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</si>
  <si>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</si>
  <si>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</si>
  <si>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</si>
  <si>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</si>
  <si>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</si>
  <si>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</si>
  <si>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</si>
  <si>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</si>
  <si>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</si>
  <si>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</si>
  <si>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</si>
  <si>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</si>
  <si>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</si>
  <si>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</si>
  <si>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</si>
  <si>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</si>
  <si>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</si>
  <si>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</si>
  <si>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</si>
  <si>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</si>
  <si>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</si>
  <si>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</si>
  <si>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</si>
  <si>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</si>
  <si>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</si>
  <si>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</si>
  <si>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</si>
  <si>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</si>
  <si>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</si>
  <si>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</si>
  <si>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</si>
  <si>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</si>
  <si>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</si>
  <si>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</si>
  <si>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</si>
  <si>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</si>
  <si>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</si>
  <si>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</si>
  <si>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</si>
  <si>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</si>
  <si>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</si>
  <si>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</si>
  <si>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</si>
  <si>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</si>
  <si>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</si>
  <si>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</si>
  <si>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</si>
  <si>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</si>
  <si>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</si>
  <si>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</si>
  <si>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</si>
  <si>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</si>
  <si>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</si>
  <si>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</si>
  <si>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</si>
  <si>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</si>
  <si>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</si>
  <si>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</si>
  <si>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</si>
  <si>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</si>
  <si>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</si>
  <si>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</si>
  <si>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</si>
  <si>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</si>
  <si>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</si>
  <si>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</si>
  <si>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</si>
  <si>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</si>
  <si>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</si>
  <si>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</si>
  <si>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</si>
  <si>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</si>
  <si>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</si>
  <si>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</si>
  <si>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</si>
  <si>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</si>
  <si>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</si>
  <si>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</si>
  <si>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</si>
  <si>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</si>
  <si>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</si>
  <si>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</si>
  <si>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</si>
  <si>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</si>
  <si>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</si>
  <si>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</si>
  <si>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</si>
  <si>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</si>
  <si>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</si>
  <si>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</si>
  <si>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</si>
  <si>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</si>
  <si>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</si>
  <si>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</si>
  <si>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</si>
  <si>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</si>
  <si>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</si>
  <si>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</si>
  <si>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</si>
  <si>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</si>
  <si>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</si>
  <si>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</si>
  <si>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</si>
  <si>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</si>
  <si>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</si>
  <si>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</si>
  <si>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</si>
  <si>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</si>
  <si>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</si>
  <si>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</si>
  <si>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</si>
  <si>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</si>
  <si>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</si>
  <si>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</si>
  <si>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</si>
  <si>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</si>
  <si>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</si>
  <si>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</si>
  <si>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</si>
  <si>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</si>
  <si>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</si>
  <si>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</si>
  <si>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</si>
  <si>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</si>
  <si>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</si>
  <si>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</si>
  <si>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</si>
  <si>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</si>
  <si>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</si>
  <si>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</si>
  <si>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</si>
  <si>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</si>
  <si>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</si>
  <si>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</si>
  <si>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</si>
  <si>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</si>
  <si>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</si>
  <si>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</si>
  <si>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</si>
  <si>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</si>
  <si>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</si>
  <si>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</si>
  <si>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</si>
  <si>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</si>
  <si>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</si>
  <si>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</si>
  <si>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</si>
  <si>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</si>
  <si>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</si>
  <si>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</si>
  <si>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</si>
  <si>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</si>
  <si>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</si>
  <si>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</si>
  <si>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</si>
  <si>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</si>
  <si>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</si>
  <si>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</si>
  <si>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</si>
  <si>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</si>
  <si>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</si>
  <si>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</si>
  <si>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</si>
  <si>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</si>
  <si>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</si>
  <si>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</si>
  <si>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</si>
  <si>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</si>
  <si>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</si>
  <si>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</si>
  <si>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</si>
  <si>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</si>
  <si>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</si>
  <si>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</si>
  <si>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</si>
  <si>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</si>
  <si>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</si>
  <si>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</si>
  <si>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</si>
  <si>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</si>
  <si>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</si>
  <si>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</si>
  <si>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</si>
  <si>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</si>
  <si>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</si>
  <si>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</si>
  <si>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</si>
  <si>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</si>
  <si>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</si>
  <si>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</si>
  <si>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</si>
  <si>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</si>
  <si>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</si>
  <si>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</si>
  <si>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</si>
  <si>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</si>
  <si>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</si>
  <si>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</si>
  <si>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</si>
  <si>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</si>
  <si>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</si>
  <si>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</si>
  <si>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</si>
  <si>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</si>
  <si>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</si>
  <si>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</si>
  <si>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</si>
  <si>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</si>
  <si>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</si>
  <si>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</si>
  <si>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</si>
  <si>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</si>
  <si>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</si>
  <si>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</si>
  <si>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</si>
  <si>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</si>
  <si>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</si>
  <si>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</si>
  <si>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</si>
  <si>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</si>
  <si>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</si>
  <si>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</si>
  <si>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</si>
  <si>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</si>
  <si>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</si>
  <si>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</si>
  <si>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</si>
  <si>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</si>
  <si>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</si>
  <si>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</si>
  <si>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</si>
  <si>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</si>
  <si>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</si>
  <si>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</si>
  <si>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</si>
  <si>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</si>
  <si>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</si>
  <si>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</si>
  <si>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</si>
  <si>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</si>
  <si>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</si>
  <si>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</si>
  <si>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</si>
  <si>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</si>
  <si>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</si>
  <si>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</si>
  <si>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</si>
  <si>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</si>
  <si>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</si>
  <si>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</si>
  <si>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</si>
  <si>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</si>
  <si>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</si>
  <si>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</si>
  <si>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</si>
  <si>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</si>
  <si>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</si>
  <si>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</si>
  <si>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</si>
  <si>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</si>
  <si>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</si>
  <si>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</si>
  <si>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</si>
  <si>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</si>
  <si>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</si>
  <si>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</si>
  <si>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</si>
  <si>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</si>
  <si>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</si>
  <si>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</si>
  <si>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</si>
  <si>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</si>
  <si>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</si>
  <si>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</si>
  <si>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</si>
  <si>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</si>
  <si>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</si>
  <si>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</si>
  <si>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</si>
  <si>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</si>
  <si>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</si>
  <si>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</si>
  <si>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</si>
  <si>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</si>
  <si>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</si>
  <si>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</si>
  <si>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</si>
  <si>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</si>
  <si>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</si>
  <si>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</si>
  <si>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</si>
  <si>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</si>
  <si>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</si>
  <si>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</si>
  <si>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</si>
  <si>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</si>
  <si>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</si>
  <si>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</si>
  <si>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</si>
  <si>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</si>
  <si>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</si>
  <si>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</si>
  <si>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</si>
  <si>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</si>
  <si>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</si>
  <si>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</si>
  <si>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</si>
  <si>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</si>
  <si>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</si>
  <si>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</si>
  <si>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</si>
  <si>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</si>
  <si>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</si>
  <si>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</si>
  <si>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</si>
  <si>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</si>
  <si>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</si>
  <si>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</si>
  <si>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</si>
  <si>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</si>
  <si>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</si>
  <si>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</si>
  <si>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</si>
  <si>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</si>
  <si>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</si>
  <si>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</si>
  <si>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</si>
  <si>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</si>
  <si>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</si>
  <si>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</si>
  <si>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</si>
  <si>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</si>
  <si>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</si>
  <si>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</si>
  <si>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</si>
  <si>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</si>
  <si>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</si>
  <si>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</si>
  <si>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</si>
  <si>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</si>
  <si>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</si>
  <si>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</si>
  <si>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</si>
  <si>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</si>
  <si>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</si>
  <si>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</si>
  <si>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</si>
  <si>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</si>
  <si>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</si>
  <si>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</si>
  <si>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</si>
  <si>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</si>
  <si>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</si>
  <si>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</si>
  <si>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</si>
  <si>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</si>
  <si>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</si>
  <si>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</si>
  <si>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</si>
  <si>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</si>
  <si>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</si>
  <si>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</si>
  <si>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</si>
  <si>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</si>
  <si>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</si>
  <si>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</si>
  <si>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</si>
  <si>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</si>
  <si>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</si>
  <si>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</si>
  <si>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</si>
  <si>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</si>
  <si>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</si>
  <si>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</si>
  <si>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</si>
  <si>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</si>
  <si>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</si>
  <si>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</si>
  <si>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</si>
  <si>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</si>
  <si>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</si>
  <si>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</si>
  <si>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</si>
  <si>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</si>
  <si>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</si>
  <si>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</si>
  <si>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</si>
  <si>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</si>
  <si>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</si>
  <si>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</si>
  <si>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</si>
  <si>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</si>
  <si>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</si>
  <si>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</si>
  <si>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</si>
  <si>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</si>
  <si>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</si>
  <si>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</si>
  <si>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</si>
  <si>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</si>
  <si>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</si>
  <si>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</si>
  <si>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</si>
  <si>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</si>
  <si>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</si>
  <si>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</si>
  <si>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</si>
  <si>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</si>
  <si>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</si>
  <si>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</si>
  <si>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</si>
  <si>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</si>
  <si>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</si>
  <si>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</si>
  <si>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</si>
  <si>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</si>
  <si>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</si>
  <si>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</si>
  <si>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</si>
  <si>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</si>
  <si>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</si>
  <si>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</si>
  <si>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</si>
  <si>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</si>
  <si>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</si>
  <si>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</si>
  <si>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</si>
  <si>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</si>
  <si>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</si>
  <si>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</si>
  <si>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</si>
  <si>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</si>
  <si>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</si>
  <si>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</si>
  <si>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</si>
  <si>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</si>
  <si>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</si>
  <si>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</si>
  <si>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</si>
  <si>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</si>
  <si>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</si>
  <si>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</si>
  <si>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</si>
  <si>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</si>
  <si>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</si>
  <si>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</si>
  <si>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</si>
  <si>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</si>
  <si>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</si>
  <si>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</si>
  <si>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</si>
  <si>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</si>
  <si>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</si>
  <si>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</si>
  <si>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</si>
  <si>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</si>
  <si>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</si>
  <si>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</si>
  <si>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</si>
  <si>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</si>
  <si>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</si>
  <si>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</si>
  <si>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</si>
  <si>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</si>
  <si>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</si>
  <si>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</si>
  <si>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</si>
  <si>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</si>
  <si>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</si>
  <si>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</si>
  <si>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</si>
  <si>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</si>
  <si>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</si>
  <si>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</si>
  <si>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</si>
  <si>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</si>
  <si>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</si>
  <si>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</si>
  <si>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</si>
  <si>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</si>
  <si>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</si>
  <si>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</si>
  <si>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</si>
  <si>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</si>
  <si>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</si>
  <si>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</si>
  <si>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</si>
  <si>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</si>
  <si>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</si>
  <si>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</si>
  <si>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</si>
  <si>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</si>
  <si>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</si>
  <si>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</si>
  <si>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</si>
  <si>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</si>
  <si>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</si>
  <si>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</si>
  <si>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</si>
  <si>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</si>
  <si>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</si>
  <si>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</si>
  <si>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</si>
  <si>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</si>
  <si>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</si>
  <si>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</si>
  <si>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</si>
  <si>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</si>
  <si>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</si>
  <si>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</si>
  <si>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</si>
  <si>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</si>
  <si>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</si>
  <si>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</si>
  <si>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</si>
  <si>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</si>
  <si>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</si>
  <si>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</si>
  <si>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</si>
  <si>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</si>
  <si>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</si>
  <si>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</si>
  <si>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</si>
  <si>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</si>
  <si>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</si>
  <si>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</si>
  <si>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</si>
  <si>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</si>
  <si>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</si>
  <si>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</si>
  <si>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</si>
  <si>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</si>
  <si>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</si>
  <si>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</si>
  <si>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</si>
  <si>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</si>
  <si>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</si>
  <si>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</si>
  <si>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</si>
  <si>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</si>
  <si>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</si>
  <si>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</si>
  <si>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</si>
  <si>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</si>
  <si>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</si>
  <si>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</si>
  <si>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</si>
  <si>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</si>
  <si>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</si>
  <si>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</si>
  <si>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</si>
  <si>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</si>
  <si>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</si>
  <si>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</si>
  <si>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</si>
  <si>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</si>
  <si>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</si>
  <si>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</si>
  <si>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</si>
  <si>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</si>
  <si>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</si>
  <si>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</si>
  <si>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</si>
  <si>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</si>
  <si>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</si>
  <si>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</si>
  <si>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</si>
  <si>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</si>
  <si>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</si>
  <si>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</si>
  <si>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</si>
  <si>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</si>
  <si>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</si>
  <si>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</si>
  <si>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</si>
  <si>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</si>
  <si>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</si>
  <si>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</si>
  <si>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</si>
  <si>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</si>
  <si>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</si>
  <si>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</si>
  <si>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</si>
  <si>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</si>
  <si>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</si>
  <si>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</si>
  <si>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</si>
  <si>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</si>
  <si>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</si>
  <si>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</si>
  <si>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</si>
  <si>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</si>
  <si>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</si>
  <si>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</si>
  <si>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</si>
  <si>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</si>
  <si>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</si>
  <si>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</si>
  <si>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</si>
  <si>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</si>
  <si>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</si>
  <si>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</si>
  <si>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</si>
  <si>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</si>
  <si>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</si>
  <si>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</si>
  <si>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</si>
  <si>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</si>
  <si>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</si>
  <si>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</si>
  <si>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</si>
  <si>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</si>
  <si>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</si>
  <si>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</si>
  <si>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</si>
  <si>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</si>
  <si>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</si>
  <si>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</si>
  <si>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</si>
  <si>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</si>
  <si>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</si>
  <si>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</si>
  <si>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</si>
  <si>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</si>
  <si>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</si>
  <si>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</si>
  <si>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</si>
  <si>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</si>
  <si>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</si>
  <si>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</si>
  <si>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</si>
  <si>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</si>
  <si>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</si>
  <si>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</si>
  <si>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</si>
  <si>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</si>
  <si>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</si>
  <si>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</si>
  <si>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</si>
  <si>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</si>
  <si>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</si>
  <si>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</si>
  <si>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</si>
  <si>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</si>
  <si>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</si>
  <si>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</si>
  <si>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</si>
  <si>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</si>
  <si>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</si>
  <si>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</si>
  <si>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</si>
  <si>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</si>
  <si>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</si>
  <si>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</si>
  <si>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</si>
  <si>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</si>
  <si>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</si>
  <si>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</si>
  <si>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</si>
  <si>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</si>
  <si>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</si>
  <si>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</si>
  <si>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</si>
  <si>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</si>
  <si>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</si>
  <si>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</si>
  <si>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</si>
  <si>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</si>
  <si>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</si>
  <si>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</si>
  <si>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</si>
  <si>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</si>
  <si>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</si>
  <si>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</si>
  <si>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</si>
  <si>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</si>
  <si>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</si>
  <si>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</si>
  <si>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</si>
  <si>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</si>
  <si>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</si>
  <si>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</si>
  <si>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</si>
  <si>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</si>
  <si>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</si>
  <si>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</si>
  <si>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</si>
  <si>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</si>
  <si>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</si>
  <si>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</si>
  <si>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</si>
  <si>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</si>
  <si>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</si>
  <si>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</si>
  <si>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</si>
  <si>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</si>
  <si>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</si>
  <si>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</si>
  <si>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</si>
  <si>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</si>
  <si>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</si>
  <si>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</si>
  <si>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</si>
  <si>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</si>
  <si>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</si>
  <si>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</si>
  <si>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</si>
  <si>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</si>
  <si>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</si>
  <si>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</si>
  <si>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</si>
  <si>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</si>
  <si>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</si>
  <si>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</si>
  <si>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</si>
  <si>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</si>
  <si>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</si>
  <si>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</si>
  <si>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</si>
  <si>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</si>
  <si>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</si>
  <si>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</si>
  <si>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</si>
  <si>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</si>
  <si>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</si>
  <si>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</si>
  <si>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</si>
  <si>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</si>
  <si>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</si>
  <si>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</si>
  <si>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</si>
  <si>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</si>
  <si>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</si>
  <si>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</si>
  <si>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</si>
  <si>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</si>
  <si>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</si>
  <si>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</si>
  <si>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</si>
  <si>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</si>
  <si>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</si>
  <si>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</si>
  <si>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</si>
  <si>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</si>
  <si>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</si>
  <si>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</si>
  <si>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</si>
  <si>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</si>
  <si>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</si>
  <si>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</si>
  <si>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</si>
  <si>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</si>
  <si>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</si>
  <si>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</si>
  <si>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</si>
  <si>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</si>
  <si>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</si>
  <si>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</si>
  <si>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</si>
  <si>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</si>
  <si>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</si>
  <si>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</si>
  <si>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</si>
  <si>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</si>
  <si>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</si>
  <si>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</si>
  <si>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</si>
  <si>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</si>
  <si>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</si>
  <si>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</si>
  <si>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</si>
  <si>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</si>
  <si>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</si>
  <si>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</si>
  <si>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</si>
  <si>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</si>
  <si>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</si>
  <si>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</si>
  <si>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</si>
  <si>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</si>
  <si>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</si>
  <si>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</si>
  <si>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</si>
  <si>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</si>
  <si>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</si>
  <si>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</si>
  <si>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</si>
  <si>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</si>
  <si>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</si>
  <si>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</si>
  <si>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</si>
  <si>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</si>
  <si>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</si>
  <si>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</si>
  <si>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</si>
  <si>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</si>
  <si>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</si>
  <si>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</si>
  <si>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</si>
  <si>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</si>
  <si>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</si>
  <si>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</si>
  <si>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</si>
  <si>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</si>
  <si>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</si>
  <si>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</si>
  <si>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</si>
  <si>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</si>
  <si>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</si>
  <si>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</si>
  <si>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</si>
  <si>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</si>
  <si>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</si>
  <si>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</si>
  <si>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</si>
  <si>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</si>
  <si>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</si>
  <si>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</si>
  <si>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</si>
  <si>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</si>
  <si>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</si>
  <si>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</si>
  <si>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</si>
  <si>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</si>
  <si>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</si>
  <si>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</si>
  <si>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</si>
  <si>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</si>
  <si>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</si>
  <si>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</si>
  <si>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</si>
  <si>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</si>
  <si>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</si>
  <si>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</si>
  <si>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</si>
  <si>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</si>
  <si>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</si>
  <si>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</si>
  <si>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</si>
  <si>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</si>
  <si>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</si>
  <si>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</si>
  <si>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</si>
  <si>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</si>
  <si>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</si>
  <si>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</si>
  <si>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</si>
  <si>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</si>
  <si>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</si>
  <si>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</si>
  <si>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</si>
  <si>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</si>
  <si>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</si>
  <si>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</si>
  <si>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</si>
  <si>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</si>
  <si>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</si>
  <si>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</si>
  <si>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</si>
  <si>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</si>
  <si>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</si>
  <si>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</si>
  <si>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</si>
  <si>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</si>
  <si>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</si>
  <si>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</si>
  <si>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</si>
  <si>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</si>
  <si>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</si>
  <si>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</si>
  <si>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</si>
  <si>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</si>
  <si>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</si>
  <si>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</si>
  <si>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</si>
  <si>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</si>
  <si>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</si>
  <si>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</si>
  <si>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</si>
  <si>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</si>
  <si>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</si>
  <si>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</si>
  <si>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</si>
  <si>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</si>
  <si>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</si>
  <si>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</si>
  <si>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</si>
  <si>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</si>
  <si>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</si>
  <si>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</si>
  <si>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</si>
  <si>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</si>
  <si>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</si>
  <si>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</si>
  <si>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</si>
  <si>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</si>
  <si>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</si>
  <si>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</si>
  <si>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</si>
  <si>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</si>
  <si>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</si>
  <si>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</si>
  <si>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</si>
  <si>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</si>
  <si>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</si>
  <si>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</si>
  <si>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</si>
  <si>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</si>
  <si>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</si>
  <si>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</si>
  <si>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</si>
  <si>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</si>
  <si>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</si>
  <si>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</si>
  <si>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</si>
  <si>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</si>
  <si>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</si>
  <si>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</si>
  <si>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</si>
  <si>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</si>
  <si>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</si>
  <si>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</si>
  <si>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</si>
  <si>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</si>
  <si>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</si>
  <si>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</si>
  <si>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</si>
  <si>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</si>
  <si>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</si>
  <si>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</si>
  <si>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</si>
  <si>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</si>
  <si>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</si>
  <si>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</si>
  <si>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</si>
  <si>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</si>
  <si>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</si>
  <si>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</si>
  <si>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</si>
  <si>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</si>
  <si>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</si>
  <si>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</si>
  <si>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</si>
  <si>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</si>
  <si>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</si>
  <si>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</si>
  <si>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</si>
  <si>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</si>
  <si>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</si>
  <si>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</si>
  <si>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</si>
  <si>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</si>
  <si>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</si>
  <si>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</si>
  <si>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</si>
  <si>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</si>
  <si>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</si>
  <si>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</si>
  <si>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</si>
  <si>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</si>
  <si>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</si>
  <si>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</si>
  <si>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</si>
  <si>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</si>
  <si>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</si>
  <si>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</si>
  <si>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</si>
  <si>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</si>
  <si>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</si>
  <si>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</si>
  <si>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</si>
  <si>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</si>
  <si>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</si>
  <si>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</si>
  <si>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</si>
  <si>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</si>
  <si>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</si>
  <si>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</si>
  <si>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</si>
  <si>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</si>
  <si>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</si>
  <si>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</si>
  <si>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</si>
  <si>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</si>
  <si>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</si>
  <si>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</si>
  <si>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</si>
  <si>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</si>
  <si>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</si>
  <si>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</si>
  <si>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</si>
  <si>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</si>
  <si>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</si>
  <si>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</si>
  <si>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</si>
  <si>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</si>
  <si>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</si>
  <si>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</si>
  <si>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</si>
  <si>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</si>
  <si>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</si>
  <si>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</si>
  <si>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</si>
  <si>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</si>
  <si>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</si>
  <si>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</si>
  <si>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</si>
  <si>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</si>
  <si>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</si>
  <si>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</si>
  <si>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</si>
  <si>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</si>
  <si>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</si>
  <si>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</si>
  <si>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</si>
  <si>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</si>
  <si>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</si>
  <si>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</si>
  <si>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</si>
  <si>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</si>
  <si>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</si>
  <si>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</si>
  <si>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</si>
  <si>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</si>
  <si>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</si>
  <si>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</si>
  <si>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</si>
  <si>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</si>
  <si>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</si>
  <si>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</si>
  <si>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</si>
  <si>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</si>
  <si>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</si>
  <si>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</si>
  <si>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</si>
  <si>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</si>
  <si>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</si>
  <si>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</si>
  <si>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</si>
  <si>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</si>
  <si>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</si>
  <si>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</si>
  <si>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</si>
  <si>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</si>
  <si>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</si>
  <si>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</si>
  <si>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</si>
  <si>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</si>
  <si>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</si>
  <si>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</si>
  <si>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</si>
  <si>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</si>
  <si>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</si>
  <si>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</si>
  <si>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</si>
  <si>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</si>
  <si>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</si>
  <si>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</si>
  <si>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</si>
  <si>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</si>
  <si>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</si>
  <si>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</si>
  <si>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</si>
  <si>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</si>
  <si>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</si>
  <si>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</si>
  <si>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</si>
  <si>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</si>
  <si>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</si>
  <si>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</si>
  <si>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</si>
  <si>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</si>
  <si>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</si>
  <si>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</si>
  <si>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</si>
  <si>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</si>
  <si>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</si>
  <si>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</si>
  <si>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</si>
  <si>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</si>
  <si>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</si>
  <si>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</si>
  <si>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</si>
  <si>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</si>
  <si>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</si>
  <si>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</si>
  <si>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</si>
  <si>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</si>
  <si>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</si>
  <si>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</si>
  <si>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</si>
  <si>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</si>
  <si>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</si>
  <si>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</si>
  <si>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</si>
  <si>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</si>
  <si>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</si>
  <si>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</si>
  <si>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</si>
  <si>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</si>
  <si>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</si>
  <si>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</si>
  <si>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</si>
  <si>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</si>
  <si>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</si>
  <si>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</si>
  <si>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</si>
  <si>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</si>
  <si>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</si>
  <si>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</si>
  <si>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</si>
  <si>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</si>
  <si>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</si>
  <si>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</si>
  <si>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</si>
  <si>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</si>
  <si>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</si>
  <si>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</si>
  <si>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</si>
  <si>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</si>
  <si>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</si>
  <si>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</si>
  <si>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</si>
  <si>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</si>
  <si>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</si>
  <si>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</si>
  <si>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</si>
  <si>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</si>
  <si>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</si>
  <si>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</si>
  <si>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</si>
  <si>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</si>
  <si>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</si>
  <si>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</si>
  <si>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</si>
  <si>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</si>
  <si>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</si>
  <si>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</si>
  <si>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</si>
  <si>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</si>
  <si>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</si>
  <si>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</si>
  <si>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</si>
  <si>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</si>
  <si>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</si>
  <si>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</si>
  <si>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</si>
  <si>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</si>
  <si>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</si>
  <si>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</si>
  <si>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</si>
  <si>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</si>
  <si>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</si>
  <si>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</si>
  <si>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</si>
  <si>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</si>
  <si>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</si>
  <si>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</si>
  <si>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</si>
  <si>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</si>
  <si>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</si>
  <si>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</si>
  <si>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</si>
  <si>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</si>
  <si>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</si>
  <si>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</si>
  <si>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</si>
  <si>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</si>
  <si>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</si>
  <si>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</si>
  <si>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</si>
  <si>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</si>
  <si>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</si>
  <si>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</si>
  <si>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</si>
  <si>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</si>
  <si>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</si>
  <si>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</si>
  <si>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</si>
  <si>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</si>
  <si>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</si>
  <si>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</si>
  <si>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</si>
  <si>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</si>
  <si>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</si>
  <si>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</si>
  <si>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</si>
  <si>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</si>
  <si>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</si>
  <si>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</si>
  <si>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</si>
  <si>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</si>
  <si>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</si>
  <si>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</si>
  <si>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</si>
  <si>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</si>
  <si>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</si>
  <si>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</si>
  <si>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</si>
  <si>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</si>
  <si>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</si>
  <si>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</si>
  <si>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</si>
  <si>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</si>
  <si>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</si>
  <si>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</si>
  <si>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</si>
  <si>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</si>
  <si>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</si>
  <si>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</si>
  <si>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</si>
  <si>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</si>
  <si>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</si>
  <si>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</si>
  <si>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</si>
  <si>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</si>
  <si>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</si>
  <si>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</si>
  <si>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</si>
  <si>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</si>
  <si>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</si>
  <si>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</si>
  <si>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</si>
  <si>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</si>
  <si>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</si>
  <si>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</si>
  <si>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</si>
  <si>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</si>
  <si>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</si>
  <si>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</si>
  <si>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</si>
  <si>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</si>
  <si>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</si>
  <si>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</si>
  <si>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</si>
  <si>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</si>
  <si>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</si>
  <si>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</si>
  <si>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</si>
  <si>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</si>
  <si>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</si>
  <si>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</si>
  <si>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</si>
  <si>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</si>
  <si>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</si>
  <si>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</si>
  <si>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</si>
  <si>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</si>
  <si>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</si>
  <si>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</si>
  <si>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</si>
  <si>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</si>
  <si>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</si>
  <si>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</si>
  <si>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</si>
  <si>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</si>
  <si>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</si>
  <si>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</si>
  <si>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</si>
  <si>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</si>
  <si>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</si>
  <si>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</si>
  <si>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</si>
  <si>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</si>
  <si>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</si>
  <si>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</si>
  <si>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</si>
  <si>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</si>
  <si>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</si>
  <si>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</si>
  <si>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</si>
  <si>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</si>
  <si>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</si>
  <si>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</si>
  <si>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</si>
  <si>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</si>
  <si>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</si>
  <si>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</si>
  <si>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</si>
  <si>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</si>
  <si>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</si>
  <si>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</si>
  <si>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</si>
  <si>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</si>
  <si>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</si>
  <si>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</si>
  <si>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</si>
  <si>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</si>
  <si>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</si>
  <si>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</si>
  <si>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</si>
  <si>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</si>
  <si>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</si>
  <si>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</si>
  <si>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</si>
  <si>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</si>
  <si>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</si>
  <si>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</si>
  <si>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</si>
  <si>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</si>
  <si>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</si>
  <si>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</si>
  <si>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</si>
  <si>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</si>
  <si>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</si>
  <si>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</si>
  <si>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</si>
  <si>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</si>
  <si>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</si>
  <si>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</si>
  <si>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</si>
  <si>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</si>
  <si>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</si>
  <si>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</si>
  <si>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</si>
  <si>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</si>
  <si>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</si>
  <si>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</si>
  <si>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</si>
  <si>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</si>
  <si>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</si>
  <si>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</si>
  <si>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</si>
  <si>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</si>
  <si>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</si>
  <si>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</si>
  <si>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</si>
  <si>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</si>
  <si>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</si>
  <si>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</si>
  <si>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</si>
  <si>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</si>
  <si>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</si>
  <si>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</si>
  <si>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</si>
  <si>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</si>
  <si>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</si>
  <si>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</si>
  <si>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</si>
  <si>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</si>
  <si>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</si>
  <si>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</si>
  <si>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</si>
  <si>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</si>
  <si>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</si>
  <si>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</si>
  <si>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</si>
  <si>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</si>
  <si>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</si>
  <si>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</si>
  <si>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</si>
  <si>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</si>
  <si>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</si>
  <si>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</si>
  <si>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</si>
  <si>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</si>
  <si>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</si>
  <si>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</si>
  <si>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</si>
  <si>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</si>
  <si>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</si>
  <si>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</si>
  <si>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</si>
  <si>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</si>
  <si>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</si>
  <si>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</si>
  <si>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</si>
  <si>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</si>
  <si>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</si>
  <si>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</si>
  <si>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</si>
  <si>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</si>
  <si>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</si>
  <si>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</si>
  <si>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</si>
  <si>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</si>
  <si>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</si>
  <si>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</si>
  <si>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</si>
  <si>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</si>
  <si>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</si>
  <si>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</si>
  <si>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</si>
  <si>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</si>
  <si>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</si>
  <si>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</si>
  <si>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</si>
  <si>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</si>
  <si>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</si>
  <si>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</si>
  <si>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</si>
  <si>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</si>
  <si>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</si>
  <si>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</si>
  <si>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</si>
  <si>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</si>
  <si>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</si>
  <si>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</si>
  <si>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</si>
  <si>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</si>
  <si>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</si>
  <si>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</si>
  <si>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</si>
  <si>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</si>
  <si>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</si>
  <si>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</si>
  <si>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</si>
  <si>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</si>
  <si>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</si>
  <si>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</si>
  <si>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</si>
  <si>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</si>
  <si>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</si>
  <si>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</si>
  <si>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</si>
  <si>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</si>
  <si>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</si>
  <si>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</si>
  <si>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</si>
  <si>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</si>
  <si>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</si>
  <si>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</si>
  <si>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</si>
  <si>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</si>
  <si>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</si>
  <si>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</si>
  <si>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</si>
  <si>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</si>
  <si>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</si>
  <si>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</si>
  <si>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</si>
  <si>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</si>
  <si>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</si>
  <si>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</si>
  <si>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</si>
  <si>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</si>
  <si>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</si>
  <si>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</si>
  <si>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</si>
  <si>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</si>
  <si>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</si>
  <si>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</si>
  <si>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</si>
  <si>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</si>
  <si>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</si>
  <si>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</si>
  <si>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</si>
  <si>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</si>
  <si>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</si>
  <si>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</si>
  <si>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</si>
  <si>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</si>
  <si>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</si>
  <si>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</si>
  <si>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</si>
  <si>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</si>
  <si>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</si>
  <si>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</si>
  <si>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</si>
  <si>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</si>
  <si>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</si>
  <si>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</si>
  <si>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</si>
  <si>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</si>
  <si>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</si>
  <si>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</si>
  <si>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</si>
  <si>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</si>
  <si>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</si>
  <si>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</si>
  <si>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</si>
  <si>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</si>
  <si>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</si>
  <si>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</si>
  <si>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</si>
  <si>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</si>
  <si>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</si>
  <si>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</si>
  <si>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</si>
  <si>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</si>
  <si>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</si>
  <si>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</si>
  <si>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</si>
  <si>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</si>
  <si>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</si>
  <si>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</si>
  <si>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</si>
  <si>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</si>
  <si>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</si>
  <si>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</si>
  <si>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</si>
  <si>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</si>
  <si>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</si>
  <si>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</si>
  <si>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</si>
  <si>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</si>
  <si>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</si>
  <si>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</si>
  <si>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</si>
  <si>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</si>
  <si>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</si>
  <si>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</si>
  <si>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</si>
  <si>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</si>
  <si>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</si>
  <si>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</si>
  <si>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</si>
  <si>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</si>
  <si>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</si>
  <si>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</si>
  <si>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</si>
  <si>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</si>
  <si>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</si>
  <si>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</si>
  <si>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</si>
  <si>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</si>
  <si>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</si>
  <si>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</si>
  <si>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</si>
  <si>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</si>
  <si>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</si>
  <si>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</si>
  <si>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</si>
  <si>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</si>
  <si>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</si>
  <si>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</si>
  <si>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</si>
  <si>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</si>
  <si>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</si>
  <si>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</si>
  <si>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</si>
  <si>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</si>
  <si>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</si>
  <si>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</si>
  <si>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</si>
  <si>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</si>
  <si>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</si>
  <si>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</si>
  <si>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</si>
  <si>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</si>
  <si>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</si>
  <si>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</si>
  <si>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</si>
  <si>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</si>
  <si>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</si>
  <si>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</si>
  <si>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</si>
  <si>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</si>
  <si>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</si>
  <si>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</si>
  <si>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</si>
  <si>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</si>
  <si>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</si>
  <si>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</si>
  <si>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</si>
  <si>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</si>
  <si>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</si>
  <si>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</si>
  <si>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</si>
  <si>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</si>
  <si>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</si>
  <si>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</si>
  <si>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</si>
  <si>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</si>
  <si>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</si>
  <si>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</si>
  <si>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</si>
  <si>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</si>
  <si>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</si>
  <si>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</si>
  <si>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</si>
  <si>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</si>
  <si>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</si>
  <si>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</si>
  <si>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</si>
  <si>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</si>
  <si>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</si>
  <si>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</si>
  <si>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</si>
  <si>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</si>
  <si>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</si>
  <si>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</si>
  <si>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</si>
  <si>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</si>
  <si>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</si>
  <si>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</si>
  <si>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</si>
  <si>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</si>
  <si>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</si>
  <si>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</si>
  <si>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</si>
  <si>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</si>
  <si>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</si>
  <si>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</si>
  <si>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</si>
  <si>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</si>
  <si>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</si>
  <si>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</si>
  <si>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</si>
  <si>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</si>
  <si>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</si>
  <si>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</si>
  <si>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</si>
  <si>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</si>
  <si>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</si>
  <si>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</si>
  <si>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</si>
  <si>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</si>
  <si>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</si>
  <si>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</si>
  <si>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</si>
  <si>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</si>
  <si>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</si>
  <si>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</si>
  <si>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</si>
  <si>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</si>
  <si>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</si>
  <si>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</si>
  <si>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</si>
  <si>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</si>
  <si>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</si>
  <si>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</si>
  <si>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</si>
  <si>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</si>
  <si>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</si>
  <si>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</si>
  <si>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</si>
  <si>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</si>
  <si>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</si>
  <si>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</si>
  <si>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</si>
  <si>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</si>
  <si>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</si>
  <si>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</si>
  <si>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</si>
  <si>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</si>
  <si>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</si>
  <si>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</si>
  <si>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</si>
  <si>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</si>
  <si>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</si>
  <si>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</si>
  <si>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</si>
  <si>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</si>
  <si>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</si>
  <si>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</si>
  <si>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</si>
  <si>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</si>
  <si>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</si>
  <si>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</si>
  <si>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</si>
  <si>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</si>
  <si>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</si>
  <si>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</si>
  <si>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</si>
  <si>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</si>
  <si>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</si>
  <si>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</si>
  <si>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</si>
  <si>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</si>
  <si>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</si>
  <si>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</si>
  <si>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</si>
  <si>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</si>
  <si>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</si>
  <si>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</si>
  <si>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</si>
  <si>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</si>
  <si>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</si>
  <si>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</si>
  <si>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</si>
  <si>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</si>
  <si>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</si>
  <si>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</si>
  <si>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</si>
  <si>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</si>
  <si>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</si>
  <si>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</si>
  <si>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</si>
  <si>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</si>
  <si>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</si>
  <si>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</si>
  <si>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</si>
  <si>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</si>
  <si>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</si>
  <si>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</si>
  <si>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</si>
  <si>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</si>
  <si>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</si>
  <si>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</si>
  <si>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</si>
  <si>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</si>
  <si>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</si>
  <si>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</si>
  <si>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</si>
  <si>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</si>
  <si>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</si>
  <si>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</si>
  <si>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</si>
  <si>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</si>
  <si>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</si>
  <si>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</si>
  <si>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</si>
  <si>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</si>
  <si>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</si>
  <si>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</si>
  <si>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</si>
  <si>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</si>
  <si>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</si>
  <si>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</si>
  <si>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</si>
  <si>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</si>
  <si>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</si>
  <si>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</si>
  <si>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</si>
  <si>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</si>
  <si>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</si>
  <si>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</si>
  <si>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</si>
  <si>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</si>
  <si>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</si>
  <si>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</si>
  <si>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</si>
  <si>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</si>
  <si>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</si>
  <si>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</si>
  <si>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</si>
  <si>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</si>
  <si>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</si>
  <si>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</si>
  <si>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</si>
  <si>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</si>
  <si>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</si>
  <si>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</si>
  <si>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</si>
  <si>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</si>
  <si>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</si>
  <si>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</si>
  <si>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</si>
  <si>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</si>
  <si>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</si>
  <si>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</si>
  <si>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</si>
  <si>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</si>
  <si>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</si>
  <si>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</si>
  <si>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</si>
  <si>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</si>
  <si>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</si>
  <si>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</si>
  <si>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</si>
  <si>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</si>
  <si>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</si>
  <si>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</si>
  <si>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</si>
  <si>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</si>
  <si>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</si>
  <si>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</si>
  <si>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</si>
  <si>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</si>
  <si>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</si>
  <si>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</si>
  <si>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</si>
  <si>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</si>
  <si>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</si>
  <si>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</si>
  <si>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</si>
  <si>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</si>
  <si>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</si>
  <si>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</si>
  <si>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</si>
  <si>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</si>
  <si>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</si>
  <si>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</si>
  <si>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</si>
  <si>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</si>
  <si>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</si>
  <si>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</si>
  <si>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</si>
  <si>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</si>
  <si>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</si>
  <si>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</si>
  <si>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</si>
  <si>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</si>
  <si>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</si>
  <si>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</si>
  <si>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</si>
  <si>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</si>
  <si>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</si>
  <si>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</si>
  <si>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</si>
  <si>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</si>
  <si>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</si>
  <si>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</si>
  <si>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</si>
  <si>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</si>
  <si>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</si>
  <si>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</si>
  <si>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</si>
  <si>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</si>
  <si>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</si>
  <si>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</si>
  <si>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</si>
  <si>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</si>
  <si>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</si>
  <si>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</si>
  <si>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</si>
  <si>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</si>
  <si>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</si>
  <si>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</si>
  <si>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</si>
  <si>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</si>
  <si>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</si>
  <si>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</si>
  <si>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</si>
  <si>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</si>
  <si>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</si>
  <si>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</si>
  <si>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</si>
  <si>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</si>
  <si>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</si>
  <si>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</si>
  <si>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</si>
  <si>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</si>
  <si>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</si>
  <si>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</si>
  <si>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</si>
  <si>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</si>
  <si>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</si>
  <si>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</si>
  <si>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</si>
  <si>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</si>
  <si>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</si>
  <si>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</si>
  <si>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</si>
  <si>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</si>
  <si>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</si>
  <si>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</si>
  <si>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</si>
  <si>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</si>
  <si>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</si>
  <si>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</si>
  <si>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</si>
  <si>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</si>
  <si>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</si>
  <si>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</si>
  <si>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</si>
  <si>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</si>
  <si>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</si>
  <si>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</si>
  <si>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</si>
  <si>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</si>
  <si>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</si>
  <si>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</si>
  <si>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</si>
  <si>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</si>
  <si>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</si>
  <si>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</si>
  <si>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</si>
  <si>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</si>
  <si>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</si>
  <si>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</si>
  <si>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</si>
  <si>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</si>
  <si>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</si>
  <si>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</si>
  <si>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</si>
  <si>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</si>
  <si>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</si>
  <si>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</si>
  <si>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</si>
  <si>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</si>
  <si>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</si>
  <si>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</si>
  <si>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</si>
  <si>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</si>
  <si>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</si>
  <si>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</si>
  <si>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</si>
  <si>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</si>
  <si>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</si>
  <si>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</si>
  <si>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</si>
  <si>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</si>
  <si>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</si>
  <si>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</si>
  <si>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</si>
  <si>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</si>
  <si>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</si>
  <si>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</si>
  <si>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</si>
  <si>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</si>
  <si>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</si>
  <si>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</si>
  <si>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</si>
  <si>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</si>
  <si>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</si>
  <si>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</si>
  <si>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</si>
  <si>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</si>
  <si>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</si>
  <si>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</si>
  <si>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</si>
  <si>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</si>
  <si>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</si>
  <si>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</si>
  <si>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</si>
  <si>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</si>
  <si>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</si>
  <si>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</si>
  <si>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</si>
  <si>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</si>
  <si>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</si>
  <si>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</si>
  <si>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</si>
  <si>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</si>
  <si>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</si>
  <si>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</si>
  <si>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</si>
  <si>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</si>
  <si>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</si>
  <si>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</si>
  <si>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</si>
  <si>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</si>
  <si>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</si>
  <si>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</si>
  <si>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</si>
  <si>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</si>
  <si>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</si>
  <si>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</si>
  <si>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</si>
  <si>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</si>
  <si>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</si>
  <si>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</si>
  <si>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</si>
  <si>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</si>
  <si>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</si>
  <si>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</si>
  <si>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</si>
  <si>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</si>
  <si>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</si>
  <si>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</si>
  <si>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</si>
  <si>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</si>
  <si>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</si>
  <si>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</si>
  <si>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</si>
  <si>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</si>
  <si>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</si>
  <si>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</si>
  <si>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</si>
  <si>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</si>
  <si>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</si>
  <si>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</si>
  <si>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</si>
  <si>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</si>
  <si>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</si>
  <si>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</si>
  <si>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</si>
  <si>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</si>
  <si>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</si>
  <si>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</si>
  <si>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</si>
  <si>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</si>
  <si>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</si>
  <si>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</si>
  <si>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</si>
  <si>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</si>
  <si>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</si>
  <si>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</si>
  <si>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</si>
  <si>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</si>
  <si>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</si>
  <si>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</si>
  <si>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</si>
  <si>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</si>
  <si>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</si>
  <si>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</si>
  <si>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</si>
  <si>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</si>
  <si>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</si>
  <si>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</si>
  <si>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</si>
  <si>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</si>
  <si>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</si>
  <si>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</si>
  <si>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</si>
  <si>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</si>
  <si>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</si>
  <si>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</si>
  <si>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</si>
  <si>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</si>
  <si>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</si>
  <si>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</si>
  <si>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</si>
  <si>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</si>
  <si>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</si>
  <si>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</si>
  <si>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</si>
  <si>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</si>
  <si>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</si>
  <si>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</si>
  <si>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</si>
  <si>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</si>
  <si>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</si>
  <si>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</si>
  <si>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</si>
  <si>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</si>
  <si>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</si>
  <si>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</si>
  <si>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</si>
  <si>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</si>
  <si>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</si>
  <si>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</si>
  <si>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</si>
  <si>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</si>
  <si>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</si>
  <si>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</si>
  <si>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</si>
  <si>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</si>
  <si>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</si>
  <si>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</si>
  <si>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</si>
  <si>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</si>
  <si>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</si>
  <si>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</si>
  <si>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</si>
  <si>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</si>
  <si>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</si>
  <si>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</si>
  <si>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</si>
  <si>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</si>
  <si>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</si>
  <si>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</si>
  <si>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</si>
  <si>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</si>
  <si>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</si>
  <si>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</si>
  <si>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</si>
  <si>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</si>
  <si>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</si>
  <si>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</si>
  <si>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</si>
  <si>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</si>
  <si>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</si>
  <si>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</si>
  <si>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</si>
  <si>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</si>
  <si>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</si>
  <si>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</si>
  <si>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</si>
  <si>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</si>
  <si>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</si>
  <si>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</si>
  <si>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</si>
  <si>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</si>
  <si>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</si>
  <si>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</si>
  <si>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</si>
  <si>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</si>
  <si>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</si>
  <si>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</si>
  <si>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</si>
  <si>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</si>
  <si>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</si>
  <si>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</si>
  <si>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</si>
  <si>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</si>
  <si>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</si>
  <si>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</si>
  <si>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</si>
  <si>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</si>
  <si>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</si>
  <si>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</si>
  <si>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</si>
  <si>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</si>
  <si>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</si>
  <si>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</si>
  <si>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</si>
  <si>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</si>
  <si>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</si>
  <si>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</si>
  <si>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</si>
  <si>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</si>
  <si>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</si>
  <si>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</si>
  <si>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</si>
  <si>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</si>
  <si>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</si>
  <si>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</si>
  <si>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</si>
  <si>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</si>
  <si>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</si>
  <si>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</si>
  <si>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</si>
  <si>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</si>
  <si>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</si>
  <si>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</si>
  <si>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</si>
  <si>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</si>
  <si>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</si>
  <si>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</si>
  <si>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</si>
  <si>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</si>
  <si>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</si>
  <si>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</si>
  <si>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</si>
  <si>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</si>
  <si>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</si>
  <si>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</si>
  <si>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</si>
  <si>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</si>
  <si>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</si>
  <si>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</si>
  <si>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</si>
  <si>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</si>
  <si>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</si>
  <si>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</si>
  <si>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</si>
  <si>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</si>
  <si>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</si>
  <si>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</si>
  <si>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</si>
  <si>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</si>
  <si>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</si>
  <si>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</si>
  <si>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</si>
  <si>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</si>
  <si>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</si>
  <si>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</si>
  <si>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</si>
  <si>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</si>
  <si>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</si>
  <si>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</si>
  <si>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</si>
  <si>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</si>
  <si>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</si>
  <si>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</si>
  <si>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</si>
  <si>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</si>
  <si>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</si>
  <si>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</si>
  <si>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</si>
  <si>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</si>
  <si>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</si>
  <si>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</si>
  <si>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</si>
  <si>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</si>
  <si>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</si>
  <si>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</si>
  <si>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</si>
  <si>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</si>
  <si>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</si>
  <si>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</si>
  <si>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</si>
  <si>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</si>
  <si>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</si>
  <si>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</si>
  <si>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</si>
  <si>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</si>
  <si>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</si>
  <si>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</si>
  <si>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</si>
  <si>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</si>
  <si>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</si>
  <si>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</si>
  <si>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</si>
  <si>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</si>
  <si>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</si>
  <si>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</si>
  <si>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</si>
  <si>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</si>
  <si>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</si>
  <si>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</si>
  <si>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</si>
  <si>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</si>
  <si>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</si>
  <si>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</si>
  <si>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</si>
  <si>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</si>
  <si>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</si>
  <si>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</si>
  <si>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</si>
  <si>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</si>
  <si>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</si>
  <si>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</si>
  <si>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</si>
  <si>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</si>
  <si>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</si>
  <si>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</si>
  <si>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</si>
  <si>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</si>
  <si>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</si>
  <si>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</si>
  <si>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</si>
  <si>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</si>
  <si>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</si>
  <si>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</si>
  <si>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</si>
  <si>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</si>
  <si>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</si>
  <si>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</si>
  <si>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</si>
  <si>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</si>
  <si>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</si>
  <si>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</si>
  <si>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</si>
  <si>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</si>
  <si>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</si>
  <si>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</si>
  <si>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</si>
  <si>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</si>
  <si>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</si>
  <si>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</si>
  <si>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</si>
  <si>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</si>
  <si>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</si>
  <si>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</si>
  <si>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</si>
  <si>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</si>
  <si>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</si>
  <si>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</si>
  <si>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</si>
  <si>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</si>
  <si>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</si>
  <si>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</si>
  <si>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</si>
  <si>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</si>
  <si>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</si>
  <si>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</si>
  <si>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</si>
  <si>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</si>
  <si>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</si>
  <si>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</si>
  <si>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</si>
  <si>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</si>
  <si>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</si>
  <si>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</si>
  <si>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</si>
  <si>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</si>
  <si>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</si>
  <si>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</si>
  <si>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</si>
  <si>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</si>
  <si>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</si>
  <si>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</si>
  <si>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</si>
  <si>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</si>
  <si>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</si>
  <si>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</si>
  <si>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</si>
  <si>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</si>
  <si>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</si>
  <si>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</si>
  <si>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</si>
  <si>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</si>
  <si>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</si>
  <si>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</si>
  <si>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</si>
  <si>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</si>
  <si>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</si>
  <si>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</si>
  <si>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</si>
  <si>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</si>
  <si>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</si>
  <si>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</si>
  <si>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</si>
  <si>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</si>
  <si>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</si>
  <si>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</si>
  <si>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</si>
  <si>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</si>
  <si>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</si>
  <si>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</si>
  <si>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</si>
  <si>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</si>
  <si>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</si>
  <si>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</si>
  <si>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</si>
  <si>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</si>
  <si>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</si>
  <si>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</si>
  <si>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</si>
  <si>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</si>
  <si>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</si>
  <si>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</si>
  <si>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</si>
  <si>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</si>
  <si>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</si>
  <si>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</si>
  <si>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</si>
  <si>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</si>
  <si>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</si>
  <si>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</si>
  <si>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</si>
  <si>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</si>
  <si>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</si>
  <si>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</si>
  <si>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</si>
  <si>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</si>
  <si>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</si>
  <si>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</si>
  <si>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</si>
  <si>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</si>
  <si>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</si>
  <si>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</si>
  <si>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</si>
  <si>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</si>
  <si>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</si>
  <si>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</si>
  <si>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</si>
  <si>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</si>
  <si>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</si>
  <si>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</si>
  <si>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</si>
  <si>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</si>
  <si>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</si>
  <si>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</si>
  <si>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</si>
  <si>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</si>
  <si>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</si>
  <si>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</si>
  <si>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</si>
  <si>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</si>
  <si>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</si>
  <si>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</si>
  <si>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</si>
  <si>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</si>
  <si>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</si>
  <si>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</si>
  <si>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</si>
  <si>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</si>
  <si>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</si>
  <si>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</si>
  <si>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</si>
  <si>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</si>
  <si>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</si>
  <si>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</si>
  <si>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</si>
  <si>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</si>
  <si>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</si>
  <si>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</si>
  <si>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</si>
  <si>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</si>
  <si>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</si>
  <si>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</si>
  <si>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</si>
  <si>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</si>
  <si>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</si>
  <si>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</si>
  <si>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</si>
  <si>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</si>
  <si>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</si>
  <si>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</si>
  <si>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</si>
  <si>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</si>
  <si>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</si>
  <si>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</si>
  <si>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</si>
  <si>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</si>
  <si>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</si>
  <si>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</si>
  <si>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</si>
  <si>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</si>
  <si>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</si>
  <si>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</si>
  <si>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</si>
  <si>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</si>
  <si>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</si>
  <si>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</si>
  <si>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</si>
  <si>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</si>
  <si>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</si>
  <si>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</si>
  <si>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</si>
  <si>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</si>
  <si>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</si>
  <si>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</si>
  <si>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</si>
  <si>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</si>
  <si>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</si>
  <si>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</si>
  <si>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</si>
  <si>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</si>
  <si>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</si>
  <si>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</si>
  <si>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</si>
  <si>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</si>
  <si>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</si>
  <si>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</si>
  <si>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</si>
  <si>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</si>
  <si>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</si>
  <si>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</si>
  <si>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</si>
  <si>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</si>
  <si>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</si>
  <si>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</si>
  <si>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</si>
  <si>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</si>
  <si>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</si>
  <si>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</si>
  <si>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</si>
  <si>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</si>
  <si>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</si>
  <si>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</si>
  <si>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</si>
  <si>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</si>
  <si>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</si>
  <si>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</si>
  <si>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</si>
  <si>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</si>
  <si>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</si>
  <si>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</si>
  <si>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</si>
  <si>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</si>
  <si>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</si>
  <si>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</si>
  <si>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</si>
  <si>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</si>
  <si>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</si>
  <si>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</si>
  <si>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</si>
  <si>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</si>
  <si>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</si>
  <si>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</si>
  <si>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</si>
  <si>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</si>
  <si>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</si>
  <si>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</si>
  <si>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</si>
  <si>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</si>
  <si>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</si>
  <si>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</si>
  <si>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</si>
  <si>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</si>
  <si>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</si>
  <si>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</si>
  <si>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</si>
  <si>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</si>
  <si>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</si>
  <si>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</si>
  <si>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</si>
  <si>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</si>
  <si>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</si>
  <si>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</si>
  <si>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</si>
  <si>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</si>
  <si>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</si>
  <si>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</si>
  <si>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</si>
  <si>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</si>
  <si>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</si>
  <si>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</si>
  <si>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</si>
  <si>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</si>
  <si>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</si>
  <si>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</si>
  <si>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</si>
  <si>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</si>
  <si>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</si>
  <si>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</si>
  <si>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</si>
  <si>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</si>
  <si>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</si>
  <si>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</si>
  <si>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</si>
  <si>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</si>
  <si>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</si>
  <si>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</si>
  <si>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</si>
  <si>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</si>
  <si>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</si>
  <si>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</si>
  <si>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</si>
  <si>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</si>
  <si>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</si>
  <si>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</si>
  <si>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</si>
  <si>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</si>
  <si>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</si>
  <si>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</si>
  <si>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</si>
  <si>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</si>
  <si>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</si>
  <si>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</si>
  <si>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</si>
  <si>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</si>
  <si>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</si>
  <si>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</si>
  <si>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</si>
  <si>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</si>
  <si>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</si>
  <si>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</si>
  <si>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</si>
  <si>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</si>
  <si>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</si>
  <si>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</si>
  <si>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</si>
  <si>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</si>
  <si>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</si>
  <si>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</si>
  <si>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</si>
  <si>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</si>
  <si>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</si>
  <si>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</si>
  <si>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</si>
  <si>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</si>
  <si>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</si>
  <si>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</si>
  <si>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</si>
  <si>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</si>
  <si>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</si>
  <si>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</si>
  <si>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</si>
  <si>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</si>
  <si>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</si>
  <si>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</si>
  <si>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</si>
  <si>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</si>
  <si>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</si>
  <si>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</si>
  <si>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</si>
  <si>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</si>
  <si>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</si>
  <si>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</si>
  <si>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</si>
  <si>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</si>
  <si>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</si>
  <si>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</si>
  <si>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</si>
  <si>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</si>
  <si>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</si>
  <si>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</si>
  <si>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</si>
  <si>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</si>
  <si>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</si>
  <si>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</si>
  <si>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</si>
  <si>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</si>
  <si>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</si>
  <si>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</si>
  <si>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</si>
  <si>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</si>
  <si>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</si>
  <si>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</si>
  <si>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</si>
  <si>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</si>
  <si>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</si>
  <si>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</si>
  <si>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</si>
  <si>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</si>
  <si>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</si>
  <si>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</si>
  <si>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</si>
  <si>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</si>
  <si>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</si>
  <si>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</si>
  <si>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</si>
  <si>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</si>
  <si>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</si>
  <si>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</si>
  <si>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</si>
  <si>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</si>
  <si>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</si>
  <si>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</si>
  <si>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</si>
  <si>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</si>
  <si>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</si>
  <si>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</si>
  <si>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</si>
  <si>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</si>
  <si>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</si>
  <si>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</si>
  <si>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</si>
  <si>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</si>
  <si>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</si>
  <si>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</si>
  <si>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</si>
  <si>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</si>
  <si>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</si>
  <si>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</si>
  <si>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</si>
  <si>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</si>
  <si>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</si>
  <si>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</si>
  <si>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</si>
  <si>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</si>
  <si>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</si>
  <si>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</si>
  <si>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</si>
  <si>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</si>
  <si>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</si>
  <si>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</si>
  <si>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</si>
  <si>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</si>
  <si>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</si>
  <si>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</si>
  <si>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</si>
  <si>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</si>
  <si>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</si>
  <si>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</si>
  <si>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</si>
  <si>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</si>
  <si>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</si>
  <si>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</si>
  <si>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</si>
  <si>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</si>
  <si>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</si>
  <si>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</si>
  <si>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</si>
  <si>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</si>
  <si>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</si>
  <si>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</si>
  <si>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</si>
  <si>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</si>
  <si>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</si>
  <si>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</si>
  <si>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</si>
  <si>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</si>
  <si>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</si>
  <si>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</si>
  <si>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</si>
  <si>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</si>
  <si>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</si>
  <si>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</si>
  <si>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</si>
  <si>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</si>
  <si>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</si>
  <si>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</si>
  <si>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</si>
  <si>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</si>
  <si>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</si>
  <si>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</si>
  <si>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</si>
  <si>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</si>
  <si>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</si>
  <si>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</si>
  <si>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</si>
  <si>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</si>
  <si>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</si>
  <si>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</si>
  <si>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</si>
  <si>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</si>
  <si>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</si>
  <si>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</si>
  <si>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</si>
  <si>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</si>
  <si>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</si>
  <si>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</si>
  <si>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</si>
  <si>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</si>
  <si>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</si>
  <si>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</si>
  <si>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</si>
  <si>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</si>
  <si>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</si>
  <si>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</si>
  <si>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</si>
  <si>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</si>
  <si>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</si>
  <si>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</si>
  <si>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</si>
  <si>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</si>
  <si>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</si>
  <si>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</si>
  <si>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</si>
  <si>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</si>
  <si>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</si>
  <si>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</si>
  <si>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</si>
  <si>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</si>
  <si>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</si>
  <si>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</si>
  <si>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</si>
  <si>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</si>
  <si>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</si>
  <si>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</si>
  <si>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</si>
  <si>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</si>
  <si>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</si>
  <si>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</si>
  <si>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</si>
  <si>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</si>
  <si>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</si>
  <si>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</si>
  <si>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</si>
  <si>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</si>
  <si>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</si>
  <si>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</si>
  <si>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</si>
  <si>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</si>
  <si>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</si>
  <si>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</si>
  <si>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</si>
  <si>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</si>
  <si>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</si>
  <si>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</si>
  <si>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</si>
  <si>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</si>
  <si>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</si>
  <si>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</si>
  <si>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</si>
  <si>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</si>
  <si>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</si>
  <si>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</si>
  <si>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</si>
  <si>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</si>
  <si>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</si>
  <si>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</si>
  <si>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</si>
  <si>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</si>
  <si>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</si>
  <si>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</si>
  <si>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</si>
  <si>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</si>
  <si>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</si>
  <si>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</si>
  <si>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</si>
  <si>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</si>
  <si>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</si>
  <si>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</si>
  <si>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</si>
  <si>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</si>
  <si>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</si>
  <si>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</si>
  <si>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</si>
  <si>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</si>
  <si>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</si>
  <si>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</si>
  <si>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</si>
  <si>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</si>
  <si>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</si>
  <si>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</si>
  <si>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</si>
  <si>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</si>
  <si>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</si>
  <si>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</si>
  <si>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</si>
  <si>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</si>
  <si>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</si>
  <si>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</si>
  <si>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</si>
  <si>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</si>
  <si>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</si>
  <si>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</si>
  <si>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</si>
  <si>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</si>
  <si>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</si>
  <si>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</si>
  <si>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</si>
  <si>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</si>
  <si>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</si>
  <si>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</si>
  <si>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</si>
  <si>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</si>
  <si>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</si>
  <si>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</si>
  <si>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</si>
  <si>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</si>
  <si>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</si>
  <si>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</si>
  <si>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</si>
  <si>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</si>
  <si>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</si>
  <si>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</si>
  <si>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</si>
  <si>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</si>
  <si>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</si>
  <si>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</si>
  <si>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</si>
  <si>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</si>
  <si>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</si>
  <si>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</si>
  <si>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</si>
  <si>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</si>
  <si>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</si>
  <si>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</si>
  <si>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</si>
  <si>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</si>
  <si>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</si>
  <si>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</si>
  <si>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</si>
  <si>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</si>
  <si>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</si>
  <si>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</si>
  <si>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</si>
  <si>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</si>
  <si>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</si>
  <si>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</si>
  <si>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</si>
  <si>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</si>
  <si>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</si>
  <si>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</si>
  <si>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</si>
  <si>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</si>
  <si>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</si>
  <si>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</si>
  <si>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</si>
  <si>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</si>
  <si>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</si>
  <si>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</si>
  <si>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</si>
  <si>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</si>
  <si>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</si>
  <si>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</si>
  <si>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</si>
  <si>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</si>
  <si>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</si>
  <si>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</si>
  <si>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</si>
  <si>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</si>
  <si>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</si>
  <si>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</si>
  <si>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</si>
  <si>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</si>
  <si>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</si>
  <si>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</si>
  <si>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</si>
  <si>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</si>
  <si>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</si>
  <si>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</si>
  <si>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</si>
  <si>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</si>
  <si>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</si>
  <si>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</si>
  <si>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</si>
  <si>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</si>
  <si>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</si>
  <si>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</si>
  <si>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</si>
  <si>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</si>
  <si>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</si>
  <si>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</si>
  <si>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</si>
  <si>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</si>
  <si>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</si>
  <si>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</si>
  <si>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</si>
  <si>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</si>
  <si>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</si>
  <si>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</si>
  <si>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</si>
  <si>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</si>
  <si>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</si>
  <si>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</si>
  <si>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</si>
  <si>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</si>
  <si>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</si>
  <si>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</si>
  <si>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</si>
  <si>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</si>
  <si>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</si>
  <si>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</si>
  <si>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</si>
  <si>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</si>
  <si>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</si>
  <si>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</si>
  <si>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</si>
  <si>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</si>
  <si>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</si>
  <si>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</si>
  <si>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</si>
  <si>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</si>
  <si>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</si>
  <si>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</si>
  <si>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</si>
  <si>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</si>
  <si>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</si>
  <si>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</si>
  <si>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</si>
  <si>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</si>
  <si>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</si>
  <si>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</si>
  <si>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</si>
  <si>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</si>
  <si>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</si>
  <si>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</si>
  <si>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</si>
  <si>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</si>
  <si>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</si>
  <si>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</si>
  <si>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</si>
  <si>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</si>
  <si>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</si>
  <si>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</si>
  <si>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</si>
  <si>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</si>
  <si>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</si>
  <si>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</si>
  <si>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</si>
  <si>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</si>
  <si>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</si>
  <si>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</si>
  <si>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</si>
  <si>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</si>
  <si>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</si>
  <si>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</si>
  <si>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</si>
  <si>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</si>
  <si>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</si>
  <si>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</si>
  <si>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</si>
  <si>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</si>
  <si>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</si>
  <si>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</si>
  <si>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</si>
  <si>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</si>
  <si>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</si>
  <si>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</si>
  <si>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</si>
  <si>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</si>
  <si>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</si>
  <si>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</si>
  <si>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</si>
  <si>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</si>
  <si>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</si>
  <si>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</si>
  <si>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</si>
  <si>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</si>
  <si>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</si>
  <si>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</si>
  <si>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</si>
  <si>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</si>
  <si>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</si>
  <si>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</si>
  <si>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</si>
  <si>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</si>
  <si>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</si>
  <si>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</si>
  <si>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</si>
  <si>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</si>
  <si>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</si>
  <si>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</si>
  <si>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</si>
  <si>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</si>
  <si>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</si>
  <si>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</si>
  <si>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</si>
  <si>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</si>
  <si>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</si>
  <si>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</si>
  <si>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</si>
  <si>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</si>
  <si>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</si>
  <si>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</si>
  <si>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</si>
  <si>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</si>
  <si>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</si>
  <si>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</si>
  <si>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</si>
  <si>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</si>
  <si>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</si>
  <si>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</si>
  <si>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</si>
  <si>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</si>
  <si>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</si>
  <si>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</si>
  <si>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</si>
  <si>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</si>
  <si>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</si>
  <si>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</si>
  <si>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</si>
  <si>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</si>
  <si>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</si>
  <si>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</si>
  <si>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</si>
  <si>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</si>
  <si>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</si>
  <si>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</si>
  <si>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</si>
  <si>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</si>
  <si>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</si>
  <si>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</si>
  <si>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</si>
  <si>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</si>
  <si>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</si>
  <si>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</si>
  <si>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</si>
  <si>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</si>
  <si>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</si>
  <si>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</si>
  <si>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</si>
  <si>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</si>
  <si>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</si>
  <si>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</si>
  <si>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</si>
  <si>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</si>
  <si>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</si>
  <si>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</si>
  <si>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</si>
  <si>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</si>
  <si>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</si>
  <si>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</si>
  <si>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</si>
  <si>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</si>
  <si>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</si>
  <si>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</si>
  <si>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</si>
  <si>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</si>
  <si>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</si>
  <si>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</si>
  <si>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</si>
  <si>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</si>
  <si>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</si>
  <si>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</si>
  <si>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</si>
  <si>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</si>
  <si>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</si>
  <si>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</si>
  <si>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</si>
  <si>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</si>
  <si>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</si>
  <si>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</si>
  <si>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</si>
  <si>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</si>
  <si>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</si>
  <si>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</si>
  <si>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</si>
  <si>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</si>
  <si>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</si>
  <si>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</si>
  <si>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</si>
  <si>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</si>
  <si>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</si>
  <si>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</si>
  <si>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</si>
  <si>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</si>
  <si>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</si>
  <si>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</si>
  <si>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</si>
  <si>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</si>
  <si>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</si>
  <si>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</si>
  <si>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</si>
  <si>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</si>
  <si>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</si>
  <si>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</si>
  <si>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</si>
  <si>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</si>
  <si>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</si>
  <si>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</si>
  <si>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</si>
  <si>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</si>
  <si>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</si>
  <si>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</si>
  <si>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</si>
  <si>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</si>
  <si>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</si>
  <si>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</si>
  <si>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</si>
  <si>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</si>
  <si>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</si>
  <si>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</si>
  <si>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</si>
  <si>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</si>
  <si>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</si>
  <si>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</si>
  <si>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</si>
  <si>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</si>
  <si>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</si>
  <si>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</si>
  <si>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</si>
  <si>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</si>
  <si>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</si>
  <si>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</si>
  <si>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</si>
  <si>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</si>
  <si>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</si>
  <si>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</si>
  <si>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</si>
  <si>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</si>
  <si>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</si>
  <si>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</si>
  <si>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</si>
  <si>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</si>
  <si>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</si>
  <si>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</si>
  <si>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</si>
  <si>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</si>
  <si>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</si>
  <si>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</si>
  <si>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</si>
  <si>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</si>
  <si>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</si>
  <si>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</si>
  <si>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</si>
  <si>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</si>
  <si>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</si>
  <si>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</si>
  <si>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</si>
  <si>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</si>
  <si>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</si>
  <si>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</si>
  <si>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</si>
  <si>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</si>
  <si>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</si>
  <si>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</si>
  <si>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</si>
  <si>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</si>
  <si>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</si>
  <si>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</si>
  <si>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</si>
  <si>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</si>
  <si>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</si>
  <si>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</si>
  <si>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</si>
  <si>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</si>
  <si>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</si>
  <si>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</si>
  <si>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</si>
  <si>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</si>
  <si>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</si>
  <si>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</si>
  <si>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</si>
  <si>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</si>
  <si>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</si>
  <si>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</si>
  <si>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</si>
  <si>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</si>
  <si>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</si>
  <si>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</si>
  <si>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</si>
  <si>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</si>
  <si>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</si>
  <si>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</si>
  <si>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</si>
  <si>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</si>
  <si>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</si>
  <si>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</si>
  <si>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</si>
  <si>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</si>
  <si>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</si>
  <si>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</si>
  <si>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</si>
  <si>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</si>
  <si>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</si>
  <si>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</si>
  <si>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</si>
  <si>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</si>
  <si>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</si>
  <si>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</si>
  <si>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</si>
  <si>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</si>
  <si>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</si>
  <si>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</si>
  <si>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</si>
  <si>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</si>
  <si>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</si>
  <si>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</si>
  <si>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</si>
  <si>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</si>
  <si>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</si>
  <si>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</si>
  <si>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</si>
  <si>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</si>
  <si>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</si>
  <si>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</si>
  <si>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</si>
  <si>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</si>
  <si>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</si>
  <si>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</si>
  <si>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</si>
  <si>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</si>
  <si>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</si>
  <si>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</si>
  <si>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</si>
  <si>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</si>
  <si>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</si>
  <si>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</si>
  <si>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</si>
  <si>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</si>
  <si>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</si>
  <si>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</si>
  <si>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</si>
  <si>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</si>
  <si>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</si>
  <si>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</si>
  <si>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</si>
  <si>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</si>
  <si>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</si>
  <si>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</si>
  <si>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</si>
  <si>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</si>
  <si>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</si>
  <si>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</si>
  <si>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</si>
  <si>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</si>
  <si>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</si>
  <si>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</si>
  <si>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</si>
  <si>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</si>
  <si>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</si>
  <si>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</si>
  <si>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</si>
  <si>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</si>
  <si>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</si>
  <si>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</si>
  <si>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</si>
  <si>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</si>
  <si>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</si>
  <si>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</si>
  <si>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</si>
  <si>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</si>
  <si>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</si>
  <si>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</si>
  <si>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</si>
  <si>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</si>
  <si>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</si>
  <si>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</si>
  <si>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</si>
  <si>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</si>
  <si>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</si>
  <si>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</si>
  <si>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</si>
  <si>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</si>
  <si>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</si>
  <si>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</si>
  <si>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</si>
  <si>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</si>
  <si>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</si>
  <si>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</si>
  <si>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</si>
  <si>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</si>
  <si>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</si>
  <si>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</si>
  <si>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</si>
  <si>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</si>
  <si>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</si>
  <si>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</si>
  <si>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</si>
  <si>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</si>
  <si>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</si>
  <si>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</si>
  <si>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</si>
  <si>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</si>
  <si>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</si>
  <si>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</si>
  <si>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</si>
  <si>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</si>
  <si>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</si>
  <si>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</si>
  <si>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</si>
  <si>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</si>
  <si>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</si>
  <si>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</si>
  <si>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</si>
  <si>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</si>
  <si>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</si>
  <si>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</si>
  <si>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</si>
  <si>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</si>
  <si>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</si>
  <si>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</si>
  <si>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</si>
  <si>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</si>
  <si>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</si>
  <si>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</si>
  <si>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</si>
  <si>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</si>
  <si>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</si>
  <si>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</si>
  <si>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</si>
  <si>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</si>
  <si>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</si>
  <si>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</si>
  <si>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</si>
  <si>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</si>
  <si>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</si>
  <si>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</si>
  <si>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</si>
  <si>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</si>
  <si>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</si>
  <si>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</si>
  <si>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</si>
  <si>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</si>
  <si>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</si>
  <si>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</si>
  <si>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</si>
  <si>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</si>
  <si>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</si>
  <si>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</si>
  <si>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</si>
  <si>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</si>
  <si>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</si>
  <si>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</si>
  <si>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</si>
  <si>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</si>
  <si>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</si>
  <si>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</si>
  <si>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</si>
  <si>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</si>
  <si>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</si>
  <si>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</si>
  <si>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</si>
  <si>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</si>
  <si>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</si>
  <si>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</si>
  <si>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</si>
  <si>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</si>
  <si>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</si>
  <si>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</si>
  <si>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</si>
  <si>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</si>
  <si>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</si>
  <si>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</si>
  <si>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</si>
  <si>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</si>
  <si>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</si>
  <si>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</si>
  <si>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</si>
  <si>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</si>
  <si>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</si>
  <si>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</si>
  <si>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</si>
  <si>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</si>
  <si>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</si>
  <si>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</si>
  <si>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</si>
  <si>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</si>
  <si>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</si>
  <si>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</si>
  <si>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</si>
  <si>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</si>
  <si>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</si>
  <si>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</si>
  <si>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</si>
  <si>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</si>
  <si>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</si>
  <si>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</si>
  <si>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</si>
  <si>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</si>
  <si>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</si>
  <si>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</si>
  <si>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</si>
  <si>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</si>
  <si>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</si>
  <si>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</si>
  <si>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</si>
  <si>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</si>
  <si>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</si>
  <si>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</si>
  <si>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</si>
  <si>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</si>
  <si>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</si>
  <si>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</si>
  <si>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</si>
  <si>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</si>
  <si>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</si>
  <si>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</si>
  <si>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</si>
  <si>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</si>
  <si>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</si>
  <si>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</si>
  <si>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</si>
  <si>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</si>
  <si>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</si>
  <si>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</si>
  <si>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</si>
  <si>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</si>
  <si>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</si>
  <si>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</si>
  <si>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</si>
  <si>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</si>
  <si>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</si>
  <si>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</si>
  <si>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</si>
  <si>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</si>
  <si>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</si>
  <si>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</si>
  <si>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</si>
  <si>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</si>
  <si>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</si>
  <si>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</si>
  <si>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</si>
  <si>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</si>
  <si>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</si>
  <si>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</si>
  <si>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</si>
  <si>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</si>
  <si>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</si>
  <si>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</si>
  <si>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</si>
  <si>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</si>
  <si>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</si>
  <si>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</si>
  <si>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</si>
  <si>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</si>
  <si>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</si>
  <si>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</si>
  <si>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</si>
  <si>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</si>
  <si>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</si>
  <si>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</si>
  <si>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</si>
  <si>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</si>
  <si>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</si>
  <si>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</si>
  <si>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</si>
  <si>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</si>
  <si>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</si>
  <si>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</si>
  <si>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</si>
  <si>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</si>
  <si>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</si>
  <si>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</si>
  <si>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</si>
  <si>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</si>
  <si>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</si>
  <si>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</si>
  <si>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</si>
  <si>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</si>
  <si>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</si>
  <si>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</si>
  <si>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</si>
  <si>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</si>
  <si>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</si>
  <si>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</si>
  <si>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</si>
  <si>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</si>
  <si>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</si>
  <si>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</si>
  <si>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</si>
  <si>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</si>
  <si>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</si>
  <si>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</si>
  <si>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</si>
  <si>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</si>
  <si>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</si>
  <si>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</si>
  <si>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</si>
  <si>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</si>
  <si>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</si>
  <si>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</si>
  <si>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</si>
  <si>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</si>
  <si>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</si>
  <si>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</si>
  <si>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</si>
  <si>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</si>
  <si>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</si>
  <si>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</si>
  <si>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</si>
  <si>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</si>
  <si>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</si>
  <si>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</si>
  <si>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</si>
  <si>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</si>
  <si>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</si>
  <si>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</si>
  <si>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</si>
  <si>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</si>
  <si>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</si>
  <si>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</si>
  <si>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</si>
  <si>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</si>
  <si>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</si>
  <si>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</si>
  <si>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</si>
  <si>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</si>
  <si>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</si>
  <si>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</si>
  <si>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</si>
  <si>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</si>
  <si>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</si>
  <si>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</si>
  <si>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</si>
  <si>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</si>
  <si>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</si>
  <si>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</si>
  <si>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</si>
  <si>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</si>
  <si>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</si>
  <si>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</si>
  <si>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</si>
  <si>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</si>
  <si>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</si>
  <si>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</si>
  <si>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</si>
  <si>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</si>
  <si>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</si>
  <si>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</si>
  <si>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</si>
  <si>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</si>
  <si>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</si>
  <si>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</si>
  <si>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</si>
  <si>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</si>
  <si>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</si>
  <si>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</si>
  <si>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</si>
  <si>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</si>
  <si>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</si>
  <si>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</si>
  <si>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</si>
  <si>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</si>
  <si>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</si>
  <si>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</si>
  <si>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</si>
  <si>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</si>
  <si>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</si>
  <si>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</si>
  <si>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</si>
  <si>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</si>
  <si>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</si>
  <si>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</si>
  <si>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</si>
  <si>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</si>
  <si>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</si>
  <si>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</si>
  <si>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</si>
  <si>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</si>
  <si>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</si>
  <si>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</si>
  <si>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</si>
  <si>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</si>
  <si>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</si>
  <si>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</si>
  <si>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</si>
  <si>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</si>
  <si>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</si>
  <si>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</si>
  <si>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</si>
  <si>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</si>
  <si>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</si>
  <si>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</si>
  <si>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</si>
  <si>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</si>
  <si>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</si>
  <si>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</si>
  <si>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</si>
  <si>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</si>
  <si>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</si>
  <si>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</si>
  <si>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</si>
  <si>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</si>
  <si>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</si>
  <si>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</si>
  <si>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</si>
  <si>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</si>
  <si>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</si>
  <si>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</si>
  <si>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</si>
  <si>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</si>
  <si>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</si>
  <si>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</si>
  <si>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</si>
  <si>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</si>
  <si>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</si>
  <si>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</si>
  <si>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</si>
  <si>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</si>
  <si>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</si>
  <si>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</si>
  <si>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</si>
  <si>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</si>
  <si>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</si>
  <si>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</si>
  <si>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</si>
  <si>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</si>
  <si>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</si>
  <si>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</si>
  <si>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</si>
  <si>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</si>
  <si>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</si>
  <si>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</si>
  <si>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</si>
  <si>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</si>
  <si>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</si>
  <si>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</si>
  <si>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</si>
  <si>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</si>
  <si>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</si>
  <si>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</si>
  <si>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</si>
  <si>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</si>
  <si>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</si>
  <si>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</si>
  <si>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</si>
  <si>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</si>
  <si>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</si>
  <si>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</si>
  <si>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</si>
  <si>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</si>
  <si>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</si>
  <si>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</si>
  <si>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</si>
  <si>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</si>
  <si>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</si>
  <si>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</si>
  <si>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</si>
  <si>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</si>
  <si>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</si>
  <si>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</si>
  <si>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</si>
  <si>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</si>
  <si>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</si>
  <si>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</si>
  <si>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</si>
  <si>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</si>
  <si>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</si>
  <si>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</si>
  <si>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</si>
  <si>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</si>
  <si>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</si>
  <si>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</si>
  <si>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</si>
  <si>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</si>
  <si>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</si>
  <si>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</si>
  <si>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</si>
  <si>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</si>
  <si>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</si>
  <si>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</si>
  <si>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</si>
  <si>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</si>
  <si>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</si>
  <si>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</si>
  <si>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</si>
  <si>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</si>
  <si>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</si>
  <si>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</si>
  <si>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</si>
  <si>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</si>
  <si>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</si>
  <si>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</si>
  <si>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</si>
  <si>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</si>
  <si>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</si>
  <si>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</si>
  <si>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</si>
  <si>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</si>
  <si>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</si>
  <si>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</si>
  <si>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</si>
  <si>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</si>
  <si>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</si>
  <si>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</si>
  <si>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</si>
  <si>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</si>
  <si>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</si>
  <si>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</si>
  <si>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</si>
  <si>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</si>
  <si>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</si>
  <si>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</si>
  <si>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</si>
  <si>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</si>
  <si>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</si>
  <si>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</si>
  <si>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</si>
  <si>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</si>
  <si>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</si>
  <si>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</si>
  <si>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</si>
  <si>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</si>
  <si>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</si>
  <si>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</si>
  <si>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</si>
  <si>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</si>
  <si>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</si>
  <si>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</si>
  <si>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</si>
  <si>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</si>
  <si>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</si>
  <si>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</si>
  <si>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</si>
  <si>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</si>
  <si>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</si>
  <si>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</si>
  <si>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</si>
  <si>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</si>
  <si>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</si>
  <si>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</si>
  <si>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</si>
  <si>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</si>
  <si>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</si>
  <si>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</si>
  <si>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</si>
  <si>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</si>
  <si>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</si>
  <si>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</si>
  <si>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</si>
  <si>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</si>
  <si>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</si>
  <si>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</si>
  <si>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</si>
  <si>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</si>
  <si>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</si>
  <si>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</si>
  <si>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</si>
  <si>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</si>
  <si>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</si>
  <si>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</si>
  <si>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</si>
  <si>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</si>
  <si>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</si>
  <si>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</si>
  <si>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</si>
  <si>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</si>
  <si>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</si>
  <si>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</si>
  <si>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</si>
  <si>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</si>
  <si>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</si>
  <si>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</si>
  <si>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</si>
  <si>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</si>
  <si>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</si>
  <si>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</si>
  <si>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</si>
  <si>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</si>
  <si>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</si>
  <si>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</si>
  <si>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</si>
  <si>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</si>
  <si>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</si>
  <si>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</si>
  <si>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</si>
  <si>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</si>
  <si>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</si>
  <si>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</si>
  <si>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</si>
  <si>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</si>
  <si>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</si>
  <si>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</si>
  <si>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</si>
  <si>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</si>
  <si>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</si>
  <si>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</si>
  <si>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</si>
  <si>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</si>
  <si>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</si>
  <si>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</si>
  <si>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</si>
  <si>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</si>
  <si>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</si>
  <si>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</si>
  <si>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</si>
  <si>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</si>
  <si>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</si>
  <si>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</si>
  <si>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</si>
  <si>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</si>
  <si>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</si>
  <si>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</si>
  <si>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</si>
  <si>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</si>
  <si>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</si>
  <si>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</si>
  <si>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</si>
  <si>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</si>
  <si>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</si>
  <si>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</si>
  <si>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</si>
  <si>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</si>
  <si>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</si>
  <si>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</si>
  <si>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</si>
  <si>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</si>
  <si>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</si>
  <si>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</si>
  <si>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</si>
  <si>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</si>
  <si>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</si>
  <si>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</si>
  <si>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</si>
  <si>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</si>
  <si>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</si>
  <si>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</si>
  <si>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</si>
  <si>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</si>
  <si>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</si>
  <si>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</si>
  <si>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</si>
  <si>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</si>
  <si>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</si>
  <si>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</si>
  <si>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</si>
  <si>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</si>
  <si>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</si>
  <si>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</si>
  <si>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</si>
  <si>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</si>
  <si>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</si>
  <si>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</si>
  <si>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</si>
  <si>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</si>
  <si>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</si>
  <si>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</si>
  <si>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</si>
  <si>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</si>
  <si>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</si>
  <si>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</si>
  <si>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</si>
  <si>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</si>
  <si>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</si>
  <si>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</si>
  <si>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</si>
  <si>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</si>
  <si>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</si>
  <si>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</si>
  <si>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</si>
  <si>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</si>
  <si>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</si>
  <si>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</si>
  <si>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</si>
  <si>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</si>
  <si>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</si>
  <si>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</si>
  <si>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</si>
  <si>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</si>
  <si>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</si>
  <si>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</si>
  <si>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</si>
  <si>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</si>
  <si>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</si>
  <si>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</si>
  <si>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</si>
  <si>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</si>
  <si>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</si>
  <si>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</si>
  <si>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</si>
  <si>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</si>
  <si>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</si>
  <si>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</si>
  <si>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</si>
  <si>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</si>
  <si>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</si>
  <si>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</si>
  <si>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</si>
  <si>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</si>
  <si>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</si>
  <si>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</si>
  <si>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</si>
  <si>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</si>
  <si>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</si>
  <si>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</si>
  <si>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</si>
  <si>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</si>
  <si>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</si>
  <si>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</si>
  <si>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</si>
  <si>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</si>
  <si>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</si>
  <si>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</si>
  <si>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 xml:space="preserve">Ramat Ibrahim (Public Health Specialist) University of Maryland Baltimore </t>
  </si>
  <si>
    <t>Aminu Adamu</t>
  </si>
  <si>
    <t>Ramat Ibrahim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</si>
</sst>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5"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49214368"/>
        <c:axId val="-1349213824"/>
      </c:radarChart>
      <c:catAx>
        <c:axId val="-13492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49213824"/>
        <c:crosses val="autoZero"/>
        <c:auto val="1"/>
        <c:lblAlgn val="ctr"/>
        <c:lblOffset val="100"/>
        <c:noMultiLvlLbl val="0"/>
      </c:catAx>
      <c:valAx>
        <c:axId val="-1349213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92143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 xml:space="preserve">Ramat Ibrahim (Public Health Specialist) University of Maryland Baltimore </v>
      </c>
      <c r="P2" s="313"/>
      <c r="Q2" s="313"/>
      <c r="R2" s="313"/>
      <c r="S2" s="313"/>
      <c r="T2" s="314"/>
    </row>
    <row r="3" spans="1:20" ht="24" thickBot="1" x14ac:dyDescent="0.4">
      <c r="A3" s="304" t="s">
        <v>94</v>
      </c>
      <c r="B3" s="305" t="s">
        <v>1</v>
      </c>
      <c r="C3" s="306"/>
      <c r="D3" s="307" t="str">
        <f>Worksheet!R2</f>
        <v>Nasarawa</v>
      </c>
      <c r="E3" s="308"/>
      <c r="F3" s="308"/>
      <c r="G3" s="308"/>
      <c r="H3" s="308"/>
      <c r="I3" s="308"/>
      <c r="J3" s="309"/>
      <c r="K3" s="310" t="s">
        <v>3965</v>
      </c>
      <c r="L3" s="311"/>
      <c r="M3" s="311"/>
      <c r="N3" s="311"/>
      <c r="O3" s="312">
        <f>Worksheet!W18</f>
        <v>42787</v>
      </c>
      <c r="P3" s="313"/>
      <c r="Q3" s="313"/>
      <c r="R3" s="313"/>
      <c r="S3" s="313"/>
      <c r="T3" s="314"/>
    </row>
    <row r="4" spans="1:20" ht="24" thickBot="1" x14ac:dyDescent="0.4">
      <c r="A4" s="304" t="s">
        <v>93</v>
      </c>
      <c r="B4" s="305"/>
      <c r="C4" s="306" t="s">
        <v>3</v>
      </c>
      <c r="D4" s="307" t="str">
        <f>Worksheet!T2</f>
        <v>na Lafia</v>
      </c>
      <c r="E4" s="308"/>
      <c r="F4" s="308"/>
      <c r="G4" s="308"/>
      <c r="H4" s="308"/>
      <c r="I4" s="308"/>
      <c r="J4" s="309"/>
      <c r="K4" s="310" t="s">
        <v>4019</v>
      </c>
      <c r="L4" s="311"/>
      <c r="M4" s="311"/>
      <c r="N4" s="311"/>
      <c r="O4" s="312" t="str">
        <f>Worksheet!M19</f>
        <v>Aminu Adamu</v>
      </c>
      <c r="P4" s="313"/>
      <c r="Q4" s="313"/>
      <c r="R4" s="313"/>
      <c r="S4" s="313"/>
      <c r="T4" s="314"/>
    </row>
    <row r="5" spans="1:20" ht="24" thickBot="1" x14ac:dyDescent="0.4">
      <c r="A5" s="304" t="s">
        <v>92</v>
      </c>
      <c r="B5" s="305"/>
      <c r="C5" s="306" t="s">
        <v>6</v>
      </c>
      <c r="D5" s="307" t="str">
        <f>Worksheet!V2</f>
        <v>Fadama South Primary Health Care Center</v>
      </c>
      <c r="E5" s="308"/>
      <c r="F5" s="308"/>
      <c r="G5" s="308"/>
      <c r="H5" s="308"/>
      <c r="I5" s="308"/>
      <c r="J5" s="309"/>
      <c r="K5" s="310" t="s">
        <v>3965</v>
      </c>
      <c r="L5" s="311"/>
      <c r="M5" s="311"/>
      <c r="N5" s="311"/>
      <c r="O5" s="312">
        <f>Worksheet!W19</f>
        <v>42787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54.5</v>
      </c>
      <c r="E8" s="152">
        <f ca="1">SUM('All Questions'!D15:D21)/7+E12</f>
        <v>20</v>
      </c>
      <c r="F8" s="152">
        <f ca="1">SUM('All Questions'!D23:D30)/4+F12</f>
        <v>50.333333333333336</v>
      </c>
      <c r="G8" s="152">
        <f ca="1">SUM('All Questions'!D31:D35)/5+G12</f>
        <v>57.65</v>
      </c>
      <c r="H8" s="153">
        <f ca="1">SUM('All Questions'!D37,'All Questions'!D40)/2+'All Questions'!D26+H12</f>
        <v>83.5</v>
      </c>
      <c r="I8" s="154">
        <f ca="1">(SUM('All Questions'!E10:E14)/5)+I12</f>
        <v>50</v>
      </c>
      <c r="J8" s="152">
        <f ca="1">SUM('All Questions'!E15:E21)/7+J12</f>
        <v>14.333333333333334</v>
      </c>
      <c r="K8" s="152">
        <f ca="1">SUM('All Questions'!E23:E30)/4+K12</f>
        <v>43.416666666666664</v>
      </c>
      <c r="L8" s="152">
        <f ca="1">SUM('All Questions'!E31:E35)/5+L12</f>
        <v>50.9</v>
      </c>
      <c r="M8" s="153">
        <f ca="1">('All Questions'!E37+'All Questions'!E40)/2+'All Questions'!E26+M12</f>
        <v>85</v>
      </c>
      <c r="N8" s="154">
        <f ca="1">(SUM('All Questions'!F10:F14)/5)+N12</f>
        <v>38.9</v>
      </c>
      <c r="O8" s="152">
        <f ca="1">SUM('All Questions'!F15:F21)/7+O12</f>
        <v>16.833333333333332</v>
      </c>
      <c r="P8" s="152">
        <f ca="1">SUM('All Questions'!F23:F30)/4+P12</f>
        <v>32.166666666666664</v>
      </c>
      <c r="Q8" s="152">
        <f ca="1">SUM('All Questions'!F31:F35)/5+Q12</f>
        <v>42.25</v>
      </c>
      <c r="R8" s="153">
        <f ca="1">('All Questions'!F37+'All Questions'!F40)/2+'All Questions'!F26+R12</f>
        <v>68</v>
      </c>
      <c r="S8" s="138">
        <f ca="1">'All Questions'!F2</f>
        <v>240</v>
      </c>
      <c r="T8" s="139">
        <f t="shared" ref="T8:T17" ca="1" si="0">(((SUM(D8:H8)/5)+(SUM(I8:M8)/5)+(SUM(N8:R8)/5)))/S8</f>
        <v>0.58981944444444445</v>
      </c>
    </row>
    <row r="9" spans="1:20" ht="72.599999999999994" customHeight="1" thickBot="1" x14ac:dyDescent="0.3">
      <c r="A9" s="105">
        <v>1.1000000000000001</v>
      </c>
      <c r="B9" s="106" t="s">
        <v>89</v>
      </c>
      <c r="C9" s="107" t="s">
        <v>3967</v>
      </c>
      <c r="D9" s="155"/>
      <c r="E9" s="155"/>
      <c r="F9" s="156">
        <f ca="1">'All Questions'!D29</f>
        <v>2</v>
      </c>
      <c r="G9" s="155"/>
      <c r="H9" s="157"/>
      <c r="I9" s="158"/>
      <c r="J9" s="155"/>
      <c r="K9" s="156">
        <f ca="1">'All Questions'!E29</f>
        <v>3</v>
      </c>
      <c r="L9" s="155"/>
      <c r="M9" s="157"/>
      <c r="N9" s="158"/>
      <c r="O9" s="155"/>
      <c r="P9" s="156">
        <f ca="1">'All Questions'!F29</f>
        <v>3</v>
      </c>
      <c r="Q9" s="155"/>
      <c r="R9" s="157"/>
      <c r="S9" s="138">
        <f ca="1">'All Questions'!F3</f>
        <v>11</v>
      </c>
      <c r="T9" s="140">
        <f t="shared" ca="1" si="0"/>
        <v>0.14545454545454548</v>
      </c>
    </row>
    <row r="10" spans="1:20" ht="72.599999999999994" customHeight="1" thickBot="1" x14ac:dyDescent="0.3">
      <c r="A10" s="105" t="s">
        <v>141</v>
      </c>
      <c r="B10" s="106" t="s">
        <v>79</v>
      </c>
      <c r="C10" s="107" t="s">
        <v>3968</v>
      </c>
      <c r="D10" s="156">
        <f ca="1">(SUM('All Questions'!D10:D14)/5)</f>
        <v>45</v>
      </c>
      <c r="E10" s="156">
        <f ca="1">SUM('All Questions'!D15:D21)/7</f>
        <v>0</v>
      </c>
      <c r="F10" s="156">
        <f ca="1">(SUM('All Questions'!D23:D24)+SUM('All Questions'!D25:D26)+SUM('All Questions'!D27:D28)+SUM('All Questions'!D29:D30))/4</f>
        <v>42</v>
      </c>
      <c r="G10" s="156">
        <f ca="1">SUM('All Questions'!D31:D35)/5</f>
        <v>48.4</v>
      </c>
      <c r="H10" s="159">
        <f ca="1">('All Questions'!D37+'All Questions'!D40)/2+'All Questions'!D26</f>
        <v>75</v>
      </c>
      <c r="I10" s="160">
        <f ca="1">(SUM('All Questions'!E10:E14)/5)</f>
        <v>45</v>
      </c>
      <c r="J10" s="161">
        <f ca="1">SUM('All Questions'!E15:E21)/7</f>
        <v>0</v>
      </c>
      <c r="K10" s="161">
        <f ca="1">(SUM('All Questions'!E23:E24)+SUM('All Questions'!E25:E26)+SUM('All Questions'!E27:E28)+SUM('All Questions'!E29:E30))/4</f>
        <v>35.75</v>
      </c>
      <c r="L10" s="161">
        <f ca="1">SUM('All Questions'!E31:E35)/5</f>
        <v>43.4</v>
      </c>
      <c r="M10" s="162">
        <f ca="1">('All Questions'!E37+'All Questions'!E40)/2+'All Questions'!E26</f>
        <v>75</v>
      </c>
      <c r="N10" s="163">
        <f ca="1">(SUM('All Questions'!F10:F14)/5)</f>
        <v>31.4</v>
      </c>
      <c r="O10" s="161">
        <f ca="1">SUM('All Questions'!F15:F21)/7</f>
        <v>0</v>
      </c>
      <c r="P10" s="161">
        <f ca="1">(SUM('All Questions'!F23:F24)+SUM('All Questions'!F25:F26)+SUM('All Questions'!F27:F28)+SUM('All Questions'!F29:F30))/4</f>
        <v>25.5</v>
      </c>
      <c r="Q10" s="161">
        <f ca="1">SUM('All Questions'!F31:F35)/5</f>
        <v>31</v>
      </c>
      <c r="R10" s="162">
        <f ca="1">('All Questions'!F37+'All Questions'!F40)/2+'All Questions'!F26</f>
        <v>53</v>
      </c>
      <c r="S10" s="138">
        <f ca="1">'All Questions'!F4</f>
        <v>198</v>
      </c>
      <c r="T10" s="140">
        <f t="shared" ca="1" si="0"/>
        <v>0.55601010101010107</v>
      </c>
    </row>
    <row r="11" spans="1:20" ht="72.599999999999994" customHeight="1" thickBot="1" x14ac:dyDescent="0.3">
      <c r="A11" s="108" t="s">
        <v>3969</v>
      </c>
      <c r="B11" s="109" t="s">
        <v>79</v>
      </c>
      <c r="C11" s="110" t="s">
        <v>88</v>
      </c>
      <c r="D11" s="164"/>
      <c r="E11" s="164"/>
      <c r="F11" s="165">
        <f ca="1">'All Questions'!D29</f>
        <v>2</v>
      </c>
      <c r="G11" s="164"/>
      <c r="H11" s="166"/>
      <c r="I11" s="167"/>
      <c r="J11" s="164"/>
      <c r="K11" s="168">
        <f ca="1">'All Questions'!E29</f>
        <v>3</v>
      </c>
      <c r="L11" s="164"/>
      <c r="M11" s="166"/>
      <c r="N11" s="167"/>
      <c r="O11" s="164"/>
      <c r="P11" s="168">
        <f ca="1">'All Questions'!F29</f>
        <v>3</v>
      </c>
      <c r="Q11" s="164"/>
      <c r="R11" s="166"/>
      <c r="S11" s="138">
        <f ca="1">'All Questions'!F5</f>
        <v>11</v>
      </c>
      <c r="T11" s="141">
        <f t="shared" ca="1" si="0"/>
        <v>0.14545454545454548</v>
      </c>
    </row>
    <row r="12" spans="1:20" ht="72.599999999999994" customHeight="1" x14ac:dyDescent="0.25">
      <c r="A12" s="111">
        <v>2</v>
      </c>
      <c r="B12" s="112" t="s">
        <v>83</v>
      </c>
      <c r="C12" s="113" t="s">
        <v>3970</v>
      </c>
      <c r="D12" s="169">
        <f ca="1">SUM('All Questions'!D55:D58)/4</f>
        <v>9.5</v>
      </c>
      <c r="E12" s="170">
        <f ca="1">SUM('All Questions'!D60:D75)/6</f>
        <v>20</v>
      </c>
      <c r="F12" s="170">
        <f ca="1">SUM('All Questions'!D67:D72)/3</f>
        <v>8.3333333333333339</v>
      </c>
      <c r="G12" s="170">
        <f ca="1">SUM('All Questions'!D73:D80)/4</f>
        <v>9.25</v>
      </c>
      <c r="H12" s="171">
        <f ca="1">SUM('All Questions'!D82:D83)/2</f>
        <v>8.5</v>
      </c>
      <c r="I12" s="172">
        <f ca="1">SUM('All Questions'!E55:E58)/4</f>
        <v>5</v>
      </c>
      <c r="J12" s="173">
        <f ca="1">SUM('All Questions'!E60:E75)/6</f>
        <v>14.333333333333334</v>
      </c>
      <c r="K12" s="173">
        <f ca="1">SUM('All Questions'!E67:E72)/3</f>
        <v>7.666666666666667</v>
      </c>
      <c r="L12" s="173">
        <f ca="1">SUM('All Questions'!E73:E80)/4</f>
        <v>7.5</v>
      </c>
      <c r="M12" s="174">
        <f ca="1">SUM('All Questions'!E82:E83)/2</f>
        <v>10</v>
      </c>
      <c r="N12" s="175">
        <f ca="1">SUM('All Questions'!F55:F58)/4</f>
        <v>7.5</v>
      </c>
      <c r="O12" s="173">
        <f ca="1">SUM('All Questions'!F60:F75)/6</f>
        <v>16.833333333333332</v>
      </c>
      <c r="P12" s="173">
        <f ca="1">SUM('All Questions'!F67:F72)/3</f>
        <v>6.666666666666667</v>
      </c>
      <c r="Q12" s="173">
        <f ca="1">SUM('All Questions'!F73:F80)/4</f>
        <v>11.25</v>
      </c>
      <c r="R12" s="174">
        <f ca="1">SUM('All Questions'!F82:F83)/2</f>
        <v>15</v>
      </c>
      <c r="S12" s="142">
        <f ca="1">'All Questions'!F46</f>
        <v>42</v>
      </c>
      <c r="T12" s="143">
        <f t="shared" ca="1" si="0"/>
        <v>0.74920634920634921</v>
      </c>
    </row>
    <row r="13" spans="1:20" ht="72.599999999999994" customHeight="1" x14ac:dyDescent="0.25">
      <c r="A13" s="105">
        <v>2.1</v>
      </c>
      <c r="B13" s="106" t="s">
        <v>83</v>
      </c>
      <c r="C13" s="114" t="s">
        <v>3971</v>
      </c>
      <c r="D13" s="158"/>
      <c r="E13" s="155"/>
      <c r="F13" s="176">
        <f ca="1">'All Questions'!D72</f>
        <v>1</v>
      </c>
      <c r="G13" s="155"/>
      <c r="H13" s="177">
        <f ca="1">SUM('All Questions'!D85:D86)/2</f>
        <v>0.5</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0.75</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15</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0.5</v>
      </c>
      <c r="E15" s="156">
        <f ca="1">SUM('All Questions'!D121+'All Questions'!D124)/2</f>
        <v>1</v>
      </c>
      <c r="F15" s="156">
        <f ca="1">SUM('All Questions'!D126:D130)/2</f>
        <v>1</v>
      </c>
      <c r="G15" s="156">
        <f ca="1">SUM('All Questions'!D131:D133)/3</f>
        <v>0</v>
      </c>
      <c r="H15" s="159">
        <f ca="1">SUM('All Questions'!D135+'All Questions'!D138)</f>
        <v>1</v>
      </c>
      <c r="I15" s="163">
        <f ca="1">SUM('All Questions'!E119:E120)/2</f>
        <v>0.5</v>
      </c>
      <c r="J15" s="161">
        <f ca="1">SUM('All Questions'!E121+'All Questions'!E124)/2</f>
        <v>0.5</v>
      </c>
      <c r="K15" s="161">
        <f ca="1">SUM('All Questions'!E126:E130)/2</f>
        <v>0.5</v>
      </c>
      <c r="L15" s="161">
        <f ca="1">SUM('All Questions'!E131:E133)/3</f>
        <v>0</v>
      </c>
      <c r="M15" s="162">
        <f ca="1">SUM('All Questions'!E135+'All Questions'!E138)</f>
        <v>1</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1.5</v>
      </c>
      <c r="E16" s="188">
        <f ca="1">SUM('All Questions'!D97:D100)/4</f>
        <v>1.25</v>
      </c>
      <c r="F16" s="188">
        <f ca="1">SUM('All Questions'!D101:D105)/2</f>
        <v>1</v>
      </c>
      <c r="G16" s="188">
        <f ca="1">SUM('All Questions'!D106:D108)/3</f>
        <v>1</v>
      </c>
      <c r="H16" s="189">
        <f ca="1">SUM('All Questions'!D111+'All Questions'!D112+'All Questions'!D114+'All Questions'!D115)/4</f>
        <v>0.5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1</v>
      </c>
      <c r="T16" s="147">
        <f t="shared" ca="1" si="0"/>
        <v>1.05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86</v>
      </c>
      <c r="N2" s="331" t="s">
        <v>158</v>
      </c>
      <c r="O2" s="331"/>
      <c r="P2" s="66" t="s">
        <v>156</v>
      </c>
      <c r="Q2" s="303" t="s">
        <v>1</v>
      </c>
      <c r="R2" s="66" t="s">
        <v>186</v>
      </c>
      <c r="S2" s="303" t="s">
        <v>3</v>
      </c>
      <c r="T2" s="66" t="s">
        <v>736</v>
      </c>
      <c r="U2" s="67" t="s">
        <v>159</v>
      </c>
      <c r="V2" s="66" t="s">
        <v>3537</v>
      </c>
      <c r="W2" s="66"/>
      <c r="X2" s="67" t="s">
        <v>160</v>
      </c>
      <c r="Y2" s="66" t="s">
        <v>146</v>
      </c>
      <c r="Z2" s="96" t="s">
        <v>3799</v>
      </c>
      <c r="AA2" s="68" t="str">
        <f>VLOOKUP(V2,[2]Data_donotedit!AY2:AZ1504,2,FALSE)</f>
        <v>XjiIk618XYq</v>
      </c>
      <c r="AB2" s="68"/>
      <c r="AC2" s="68"/>
      <c r="AD2" s="68"/>
    </row>
    <row r="3" spans="1:30" ht="40.15" customHeight="1" x14ac:dyDescent="0.25">
      <c r="A3" s="63"/>
      <c r="B3" s="224"/>
      <c r="C3" s="218" t="s">
        <v>86</v>
      </c>
      <c r="D3" s="258" t="s">
        <v>3988</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3900</v>
      </c>
      <c r="E4" s="238" t="s">
        <v>76</v>
      </c>
      <c r="F4" s="239" t="s">
        <v>77</v>
      </c>
      <c r="G4" s="239" t="s">
        <v>78</v>
      </c>
      <c r="H4" s="205" t="s">
        <v>86</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1413</v>
      </c>
      <c r="D5" s="240" t="s">
        <v>3901</v>
      </c>
      <c r="E5" s="479">
        <f ca="1">_xlfn.IFNA(VLOOKUP(C5,Worksheet!$C$3:$G$46,3,FALSE),E5)</f>
        <v>1</v>
      </c>
      <c r="F5" s="479">
        <f ca="1">_xlfn.IFNA(VLOOKUP(C5,Worksheet!$C$3:$G$46,4,FALSE),F5)</f>
        <v>1</v>
      </c>
      <c r="G5" s="479">
        <f ca="1">_xlfn.IFNA(VLOOKUP(C5,Worksheet!$C$3:$G$46,5,FALSE),G5)</f>
        <v>0</v>
      </c>
      <c r="H5" s="205" t="s">
        <v>86</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1414</v>
      </c>
      <c r="D6" s="241" t="s">
        <v>3902</v>
      </c>
      <c r="E6" s="479">
        <f ca="1">_xlfn.IFNA(VLOOKUP(C6,Worksheet!$C$3:$G$46,3,FALSE),E6)</f>
        <v>0</v>
      </c>
      <c r="F6" s="479">
        <f ca="1">_xlfn.IFNA(VLOOKUP(C6,Worksheet!$C$3:$G$46,4,FALSE),F6)</f>
        <v>0</v>
      </c>
      <c r="G6" s="479">
        <f ca="1">_xlfn.IFNA(VLOOKUP(C6,Worksheet!$C$3:$G$46,5,FALSE),G6)</f>
        <v>0</v>
      </c>
      <c r="H6" s="205" t="s">
        <v>86</v>
      </c>
      <c r="I6" s="63"/>
      <c r="J6" s="63"/>
      <c r="K6" s="132" t="s">
        <v>89</v>
      </c>
      <c r="L6" s="339" t="s">
        <v>3966</v>
      </c>
      <c r="M6" s="340"/>
      <c r="N6" s="71">
        <v>54.5</v>
      </c>
      <c r="O6" s="71">
        <v>20</v>
      </c>
      <c r="P6" s="71">
        <v>50.333333333333336</v>
      </c>
      <c r="Q6" s="71">
        <v>57.65</v>
      </c>
      <c r="R6" s="72">
        <v>83.5</v>
      </c>
      <c r="S6" s="71">
        <v>50</v>
      </c>
      <c r="T6" s="71">
        <v>14.333333333333334</v>
      </c>
      <c r="U6" s="71">
        <v>43.416666666666664</v>
      </c>
      <c r="V6" s="71">
        <v>50.9</v>
      </c>
      <c r="W6" s="72">
        <v>85</v>
      </c>
      <c r="X6" s="71">
        <v>38.9</v>
      </c>
      <c r="Y6" s="71">
        <v>16.833333333333332</v>
      </c>
      <c r="Z6" s="71">
        <v>32.166666666666664</v>
      </c>
      <c r="AA6" s="71">
        <v>42.25</v>
      </c>
      <c r="AB6" s="71">
        <v>68</v>
      </c>
      <c r="AC6" s="73">
        <v>240</v>
      </c>
      <c r="AD6" s="74">
        <v>0.58981944444444445</v>
      </c>
    </row>
    <row r="7" spans="1:30" ht="40.15" customHeight="1" x14ac:dyDescent="0.25">
      <c r="A7" s="63"/>
      <c r="B7" s="224"/>
      <c r="C7" s="236">
        <v>1422</v>
      </c>
      <c r="D7" s="240" t="s">
        <v>3903</v>
      </c>
      <c r="E7" s="479">
        <f ca="1">_xlfn.IFNA(VLOOKUP(C7,Worksheet!$C$3:$G$46,3,FALSE),E7)</f>
        <v>1</v>
      </c>
      <c r="F7" s="479">
        <f ca="1">_xlfn.IFNA(VLOOKUP(C7,Worksheet!$C$3:$G$46,4,FALSE),F7)</f>
        <v>1</v>
      </c>
      <c r="G7" s="479">
        <f ca="1">_xlfn.IFNA(VLOOKUP(C7,Worksheet!$C$3:$G$46,5,FALSE),G7)</f>
        <v>0</v>
      </c>
      <c r="H7" s="205" t="s">
        <v>86</v>
      </c>
      <c r="I7" s="63"/>
      <c r="J7" s="65"/>
      <c r="K7" s="59" t="s">
        <v>89</v>
      </c>
      <c r="L7" s="341" t="s">
        <v>3967</v>
      </c>
      <c r="M7" s="342"/>
      <c r="N7" s="133"/>
      <c r="O7" s="133"/>
      <c r="P7" s="78">
        <v>2</v>
      </c>
      <c r="Q7" s="133"/>
      <c r="R7" s="134"/>
      <c r="S7" s="133"/>
      <c r="T7" s="133"/>
      <c r="U7" s="78">
        <v>3</v>
      </c>
      <c r="V7" s="133"/>
      <c r="W7" s="134"/>
      <c r="X7" s="133"/>
      <c r="Y7" s="133"/>
      <c r="Z7" s="78">
        <v>3</v>
      </c>
      <c r="AA7" s="133"/>
      <c r="AB7" s="133"/>
      <c r="AC7" s="80">
        <v>11</v>
      </c>
      <c r="AD7" s="81">
        <v>0.14545454545454548</v>
      </c>
    </row>
    <row r="8" spans="1:30" ht="40.15" customHeight="1" x14ac:dyDescent="0.25">
      <c r="A8" s="63"/>
      <c r="B8" s="224"/>
      <c r="C8" s="236">
        <v>1423</v>
      </c>
      <c r="D8" s="240" t="s">
        <v>3904</v>
      </c>
      <c r="E8" s="479">
        <f ca="1">_xlfn.IFNA(VLOOKUP(C8,Worksheet!$C$3:$G$46,3,FALSE),E8)</f>
        <v>1</v>
      </c>
      <c r="F8" s="479">
        <f ca="1">_xlfn.IFNA(VLOOKUP(C8,Worksheet!$C$3:$G$46,4,FALSE),F8)</f>
        <v>0</v>
      </c>
      <c r="G8" s="479">
        <f ca="1">_xlfn.IFNA(VLOOKUP(C8,Worksheet!$C$3:$G$46,5,FALSE),G8)</f>
        <v>0</v>
      </c>
      <c r="H8" s="205" t="s">
        <v>86</v>
      </c>
      <c r="I8" s="63"/>
      <c r="J8" s="70"/>
      <c r="K8" s="58" t="s">
        <v>79</v>
      </c>
      <c r="L8" s="354" t="s">
        <v>3968</v>
      </c>
      <c r="M8" s="355"/>
      <c r="N8" s="71">
        <v>45</v>
      </c>
      <c r="O8" s="71">
        <v>0</v>
      </c>
      <c r="P8" s="71">
        <v>42</v>
      </c>
      <c r="Q8" s="71">
        <v>48.4</v>
      </c>
      <c r="R8" s="72">
        <v>75</v>
      </c>
      <c r="S8" s="71">
        <v>45</v>
      </c>
      <c r="T8" s="71">
        <v>0</v>
      </c>
      <c r="U8" s="71">
        <v>35.75</v>
      </c>
      <c r="V8" s="71">
        <v>43.4</v>
      </c>
      <c r="W8" s="72">
        <v>75</v>
      </c>
      <c r="X8" s="71">
        <v>31.4</v>
      </c>
      <c r="Y8" s="71">
        <v>0</v>
      </c>
      <c r="Z8" s="71">
        <v>25.5</v>
      </c>
      <c r="AA8" s="71">
        <v>31</v>
      </c>
      <c r="AB8" s="71">
        <v>53</v>
      </c>
      <c r="AC8" s="75">
        <v>198</v>
      </c>
      <c r="AD8" s="76">
        <v>0.55601010101010107</v>
      </c>
    </row>
    <row r="9" spans="1:30" ht="40.15" customHeight="1" x14ac:dyDescent="0.25">
      <c r="A9" s="63"/>
      <c r="B9" s="224"/>
      <c r="C9" s="236">
        <v>1424</v>
      </c>
      <c r="D9" s="240" t="s">
        <v>3905</v>
      </c>
      <c r="E9" s="479">
        <f ca="1">_xlfn.IFNA(VLOOKUP(C9,Worksheet!$C$3:$G$46,3,FALSE),E9)</f>
        <v>1</v>
      </c>
      <c r="F9" s="479">
        <f ca="1">_xlfn.IFNA(VLOOKUP(C9,Worksheet!$C$3:$G$46,4,FALSE),F9)</f>
        <v>0</v>
      </c>
      <c r="G9" s="479">
        <f ca="1">_xlfn.IFNA(VLOOKUP(C9,Worksheet!$C$3:$G$46,5,FALSE),G9)</f>
        <v>0</v>
      </c>
      <c r="H9" s="205" t="s">
        <v>86</v>
      </c>
      <c r="I9" s="63"/>
      <c r="J9" s="70"/>
      <c r="K9" s="59" t="s">
        <v>79</v>
      </c>
      <c r="L9" s="341" t="s">
        <v>88</v>
      </c>
      <c r="M9" s="342"/>
      <c r="N9" s="133"/>
      <c r="O9" s="133"/>
      <c r="P9" s="78">
        <v>2</v>
      </c>
      <c r="Q9" s="133"/>
      <c r="R9" s="134"/>
      <c r="S9" s="133"/>
      <c r="T9" s="133"/>
      <c r="U9" s="78">
        <v>3</v>
      </c>
      <c r="V9" s="133"/>
      <c r="W9" s="134"/>
      <c r="X9" s="133"/>
      <c r="Y9" s="133"/>
      <c r="Z9" s="78">
        <v>3</v>
      </c>
      <c r="AA9" s="133"/>
      <c r="AB9" s="133"/>
      <c r="AC9" s="80">
        <v>11</v>
      </c>
      <c r="AD9" s="81">
        <v>0.14545454545454548</v>
      </c>
    </row>
    <row r="10" spans="1:30" ht="40.15" customHeight="1" x14ac:dyDescent="0.25">
      <c r="A10" s="63"/>
      <c r="B10" s="224"/>
      <c r="C10" s="236">
        <v>1425</v>
      </c>
      <c r="D10" s="240" t="s">
        <v>3906</v>
      </c>
      <c r="E10" s="479">
        <f ca="1">_xlfn.IFNA(VLOOKUP(C10,Worksheet!$C$3:$G$46,3,FALSE),E10)</f>
        <v>1</v>
      </c>
      <c r="F10" s="479">
        <f ca="1">_xlfn.IFNA(VLOOKUP(C10,Worksheet!$C$3:$G$46,4,FALSE),F10)</f>
        <v>0</v>
      </c>
      <c r="G10" s="479">
        <f ca="1">_xlfn.IFNA(VLOOKUP(C10,Worksheet!$C$3:$G$46,5,FALSE),G10)</f>
        <v>0</v>
      </c>
      <c r="H10" s="205" t="s">
        <v>86</v>
      </c>
      <c r="I10" s="63"/>
      <c r="J10" s="70"/>
      <c r="K10" s="121" t="s">
        <v>83</v>
      </c>
      <c r="L10" s="356" t="s">
        <v>3970</v>
      </c>
      <c r="M10" s="357"/>
      <c r="N10" s="122">
        <v>9.5</v>
      </c>
      <c r="O10" s="71">
        <v>20</v>
      </c>
      <c r="P10" s="71">
        <v>8.3333333333333339</v>
      </c>
      <c r="Q10" s="71">
        <v>9.25</v>
      </c>
      <c r="R10" s="71">
        <v>8.5</v>
      </c>
      <c r="S10" s="122">
        <v>5</v>
      </c>
      <c r="T10" s="71">
        <v>14.333333333333334</v>
      </c>
      <c r="U10" s="71">
        <v>7.666666666666667</v>
      </c>
      <c r="V10" s="71">
        <v>7.5</v>
      </c>
      <c r="W10" s="71">
        <v>10</v>
      </c>
      <c r="X10" s="122">
        <v>7.5</v>
      </c>
      <c r="Y10" s="71">
        <v>16.833333333333332</v>
      </c>
      <c r="Z10" s="71">
        <v>6.666666666666667</v>
      </c>
      <c r="AA10" s="71">
        <v>11.25</v>
      </c>
      <c r="AB10" s="71">
        <v>15</v>
      </c>
      <c r="AC10" s="124">
        <v>42</v>
      </c>
      <c r="AD10" s="125">
        <v>0.74920634920634921</v>
      </c>
    </row>
    <row r="11" spans="1:30" ht="50.45" customHeight="1" x14ac:dyDescent="0.25">
      <c r="A11" s="63"/>
      <c r="B11" s="224"/>
      <c r="C11" s="236">
        <v>1431</v>
      </c>
      <c r="D11" s="240" t="s">
        <v>3908</v>
      </c>
      <c r="E11" s="479">
        <f ca="1">_xlfn.IFNA(VLOOKUP(C11,Worksheet!$C$3:$G$46,3,FALSE),E11)</f>
        <v>1</v>
      </c>
      <c r="F11" s="479">
        <f ca="1">_xlfn.IFNA(VLOOKUP(C11,Worksheet!$C$3:$G$46,4,FALSE),F11)</f>
        <v>0</v>
      </c>
      <c r="G11" s="479">
        <f ca="1">_xlfn.IFNA(VLOOKUP(C11,Worksheet!$C$3:$G$46,5,FALSE),G11)</f>
        <v>0</v>
      </c>
      <c r="H11" s="205" t="s">
        <v>86</v>
      </c>
      <c r="I11" s="63"/>
      <c r="J11" s="65"/>
      <c r="K11" s="120" t="s">
        <v>83</v>
      </c>
      <c r="L11" s="358" t="s">
        <v>3971</v>
      </c>
      <c r="M11" s="359"/>
      <c r="N11" s="135"/>
      <c r="O11" s="136"/>
      <c r="P11" s="71">
        <v>1</v>
      </c>
      <c r="Q11" s="136"/>
      <c r="R11" s="71">
        <v>0.5</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1432</v>
      </c>
      <c r="D12" s="240" t="s">
        <v>3909</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50" t="s">
        <v>3972</v>
      </c>
      <c r="M12" s="360"/>
      <c r="N12" s="77">
        <v>1</v>
      </c>
      <c r="O12" s="78">
        <v>1</v>
      </c>
      <c r="P12" s="78">
        <v>1</v>
      </c>
      <c r="Q12" s="78">
        <v>0.75</v>
      </c>
      <c r="R12" s="78">
        <v>0.5</v>
      </c>
      <c r="S12" s="77">
        <v>0</v>
      </c>
      <c r="T12" s="78">
        <v>0</v>
      </c>
      <c r="U12" s="78">
        <v>0</v>
      </c>
      <c r="V12" s="78">
        <v>0</v>
      </c>
      <c r="W12" s="78">
        <v>0</v>
      </c>
      <c r="X12" s="77">
        <v>0</v>
      </c>
      <c r="Y12" s="78">
        <v>0</v>
      </c>
      <c r="Z12" s="78">
        <v>15</v>
      </c>
      <c r="AA12" s="78">
        <v>0</v>
      </c>
      <c r="AB12" s="78">
        <v>0</v>
      </c>
      <c r="AC12" s="128">
        <v>0</v>
      </c>
      <c r="AD12" s="129" t="e">
        <v>#DIV/0!</v>
      </c>
    </row>
    <row r="13" spans="1:30" ht="48.6" customHeight="1" x14ac:dyDescent="0.25">
      <c r="A13" s="63"/>
      <c r="B13" s="224"/>
      <c r="C13" s="236">
        <v>1433</v>
      </c>
      <c r="D13" s="240" t="s">
        <v>3910</v>
      </c>
      <c r="E13" s="479">
        <f ca="1">_xlfn.IFNA(VLOOKUP(C13,Worksheet!$C$3:$G$46,3,FALSE),E13)</f>
        <v>0</v>
      </c>
      <c r="F13" s="479">
        <f ca="1">_xlfn.IFNA(VLOOKUP(C13,Worksheet!$C$3:$G$46,4,FALSE),F13)</f>
        <v>0</v>
      </c>
      <c r="G13" s="479">
        <f ca="1">_xlfn.IFNA(VLOOKUP(C13,Worksheet!$C$3:$G$46,5,FALSE),G13)</f>
        <v>0</v>
      </c>
      <c r="H13" s="205" t="s">
        <v>86</v>
      </c>
      <c r="I13" s="63"/>
      <c r="J13" s="65"/>
      <c r="K13" s="60" t="s">
        <v>86</v>
      </c>
      <c r="L13" s="348" t="s">
        <v>87</v>
      </c>
      <c r="M13" s="353"/>
      <c r="N13" s="82">
        <v>0.5</v>
      </c>
      <c r="O13" s="83">
        <v>1</v>
      </c>
      <c r="P13" s="83">
        <v>1</v>
      </c>
      <c r="Q13" s="83">
        <v>0</v>
      </c>
      <c r="R13" s="83">
        <v>1</v>
      </c>
      <c r="S13" s="82">
        <v>0.5</v>
      </c>
      <c r="T13" s="83">
        <v>0.5</v>
      </c>
      <c r="U13" s="83">
        <v>0.5</v>
      </c>
      <c r="V13" s="83">
        <v>0</v>
      </c>
      <c r="W13" s="84">
        <v>1</v>
      </c>
      <c r="X13" s="83">
        <v>0</v>
      </c>
      <c r="Y13" s="83">
        <v>0</v>
      </c>
      <c r="Z13" s="83">
        <v>0</v>
      </c>
      <c r="AA13" s="83">
        <v>0</v>
      </c>
      <c r="AB13" s="83">
        <v>0</v>
      </c>
      <c r="AC13" s="130">
        <v>0</v>
      </c>
      <c r="AD13" s="131" t="e">
        <v>#DIV/0!</v>
      </c>
    </row>
    <row r="14" spans="1:30" ht="40.15" customHeight="1" x14ac:dyDescent="0.25">
      <c r="A14" s="63"/>
      <c r="B14" s="224"/>
      <c r="C14" s="236">
        <v>1434</v>
      </c>
      <c r="D14" s="240" t="s">
        <v>3911</v>
      </c>
      <c r="E14" s="479">
        <f ca="1">_xlfn.IFNA(VLOOKUP(C14,Worksheet!$C$3:$G$46,3,FALSE),E14)</f>
        <v>1</v>
      </c>
      <c r="F14" s="479">
        <f ca="1">_xlfn.IFNA(VLOOKUP(C14,Worksheet!$C$3:$G$46,4,FALSE),F14)</f>
        <v>0</v>
      </c>
      <c r="G14" s="479">
        <f ca="1">_xlfn.IFNA(VLOOKUP(C14,Worksheet!$C$3:$G$46,5,FALSE),G14)</f>
        <v>0</v>
      </c>
      <c r="H14" s="205" t="s">
        <v>86</v>
      </c>
      <c r="I14" s="63"/>
      <c r="J14" s="70"/>
      <c r="K14" s="59" t="s">
        <v>84</v>
      </c>
      <c r="L14" s="350" t="s">
        <v>85</v>
      </c>
      <c r="M14" s="351"/>
      <c r="N14" s="77">
        <v>1.5</v>
      </c>
      <c r="O14" s="78">
        <v>1.25</v>
      </c>
      <c r="P14" s="78">
        <v>1</v>
      </c>
      <c r="Q14" s="78">
        <v>1</v>
      </c>
      <c r="R14" s="79">
        <v>0.5</v>
      </c>
      <c r="S14" s="78">
        <v>0</v>
      </c>
      <c r="T14" s="78">
        <v>0</v>
      </c>
      <c r="U14" s="78">
        <v>0</v>
      </c>
      <c r="V14" s="78">
        <v>0</v>
      </c>
      <c r="W14" s="79">
        <v>0</v>
      </c>
      <c r="X14" s="78">
        <v>0</v>
      </c>
      <c r="Y14" s="78">
        <v>0</v>
      </c>
      <c r="Z14" s="78">
        <v>0</v>
      </c>
      <c r="AA14" s="78">
        <v>0</v>
      </c>
      <c r="AB14" s="78">
        <v>0</v>
      </c>
      <c r="AC14" s="80">
        <v>1</v>
      </c>
      <c r="AD14" s="81">
        <v>1.05</v>
      </c>
    </row>
    <row r="15" spans="1:30" ht="47.45" customHeight="1" x14ac:dyDescent="0.25">
      <c r="A15" s="63"/>
      <c r="B15" s="224"/>
      <c r="C15" s="236">
        <v>1435</v>
      </c>
      <c r="D15" s="240" t="s">
        <v>3912</v>
      </c>
      <c r="E15" s="479">
        <f ca="1">_xlfn.IFNA(VLOOKUP(C15,Worksheet!$C$3:$G$46,3,FALSE),E15)</f>
        <v>0</v>
      </c>
      <c r="F15" s="479">
        <f ca="1">_xlfn.IFNA(VLOOKUP(C15,Worksheet!$C$3:$G$46,4,FALSE),F15)</f>
        <v>1</v>
      </c>
      <c r="G15" s="479">
        <f ca="1">_xlfn.IFNA(VLOOKUP(C15,Worksheet!$C$3:$G$46,5,FALSE),G15)</f>
        <v>0</v>
      </c>
      <c r="H15" s="205" t="s">
        <v>86</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3913</v>
      </c>
      <c r="E16" s="479">
        <f ca="1">_xlfn.IFNA(VLOOKUP(C16,Worksheet!$C$3:$G$46,3,FALSE),E16)</f>
        <v>0</v>
      </c>
      <c r="F16" s="479">
        <f ca="1">_xlfn.IFNA(VLOOKUP(C16,Worksheet!$C$3:$G$46,4,FALSE),F16)</f>
        <v>0</v>
      </c>
      <c r="G16" s="479">
        <f ca="1">_xlfn.IFNA(VLOOKUP(C16,Worksheet!$C$3:$G$46,5,FALSE),G16)</f>
        <v>0</v>
      </c>
      <c r="H16" s="205" t="s">
        <v>86</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3915</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14</v>
      </c>
      <c r="O17" s="87">
        <f t="shared" ref="O17:AB17" si="0">AVERAGE(O6:O16)</f>
        <v>5.40625</v>
      </c>
      <c r="P17" s="87">
        <f t="shared" si="0"/>
        <v>9.8787878787878789</v>
      </c>
      <c r="Q17" s="87">
        <f t="shared" si="0"/>
        <v>14.63125</v>
      </c>
      <c r="R17" s="87">
        <f t="shared" si="0"/>
        <v>18.833333333333332</v>
      </c>
      <c r="S17" s="87">
        <f t="shared" si="0"/>
        <v>12.5625</v>
      </c>
      <c r="T17" s="87">
        <f t="shared" si="0"/>
        <v>3.6458333333333335</v>
      </c>
      <c r="U17" s="87">
        <f t="shared" si="0"/>
        <v>8.4848484848484844</v>
      </c>
      <c r="V17" s="87">
        <f t="shared" si="0"/>
        <v>12.725</v>
      </c>
      <c r="W17" s="87">
        <f t="shared" si="0"/>
        <v>19</v>
      </c>
      <c r="X17" s="87">
        <f t="shared" si="0"/>
        <v>9.7249999999999996</v>
      </c>
      <c r="Y17" s="87">
        <f t="shared" si="0"/>
        <v>4.208333333333333</v>
      </c>
      <c r="Z17" s="87">
        <f t="shared" si="0"/>
        <v>7.7575757575757569</v>
      </c>
      <c r="AA17" s="87">
        <f t="shared" si="0"/>
        <v>10.5625</v>
      </c>
      <c r="AB17" s="87">
        <f t="shared" si="0"/>
        <v>15.111111111111111</v>
      </c>
      <c r="AC17" s="63"/>
      <c r="AD17" s="63"/>
    </row>
    <row r="18" spans="1:30" ht="40.15" customHeight="1" x14ac:dyDescent="0.3">
      <c r="A18" s="63"/>
      <c r="B18" s="224"/>
      <c r="C18" s="236">
        <v>1452</v>
      </c>
      <c r="D18" s="240" t="s">
        <v>3917</v>
      </c>
      <c r="E18" s="479">
        <f ca="1">_xlfn.IFNA(VLOOKUP(C18,Worksheet!$C$3:$G$46,3,FALSE),E18)</f>
        <v>1</v>
      </c>
      <c r="F18" s="479">
        <f ca="1">_xlfn.IFNA(VLOOKUP(C18,Worksheet!$C$3:$G$46,4,FALSE),F18)</f>
        <v>1</v>
      </c>
      <c r="G18" s="479">
        <f ca="1">_xlfn.IFNA(VLOOKUP(C18,Worksheet!$C$3:$G$46,5,FALSE),G18)</f>
        <v>0</v>
      </c>
      <c r="H18" s="205" t="s">
        <v>86</v>
      </c>
      <c r="I18" s="63"/>
      <c r="J18" s="65"/>
      <c r="K18" s="352" t="s">
        <v>563</v>
      </c>
      <c r="L18" s="352"/>
      <c r="M18" s="206" t="s">
        <v>4021</v>
      </c>
      <c r="N18" s="207"/>
      <c r="O18" s="208"/>
      <c r="P18" s="208"/>
      <c r="Q18" s="208"/>
      <c r="R18" s="301" t="s">
        <v>561</v>
      </c>
      <c r="S18" s="480" t="s">
        <v>4023</v>
      </c>
      <c r="T18" s="209"/>
      <c r="U18" s="347" t="s">
        <v>562</v>
      </c>
      <c r="V18" s="347"/>
      <c r="W18" s="481">
        <v>42787</v>
      </c>
      <c r="X18" s="210"/>
      <c r="Y18" s="88"/>
      <c r="Z18" s="88"/>
      <c r="AA18" s="88"/>
      <c r="AB18" s="88"/>
      <c r="AC18" s="63"/>
      <c r="AD18" s="63"/>
    </row>
    <row r="19" spans="1:30" ht="40.15" customHeight="1" x14ac:dyDescent="0.3">
      <c r="A19" s="63"/>
      <c r="B19" s="224"/>
      <c r="C19" s="236">
        <v>1453</v>
      </c>
      <c r="D19" s="240" t="s">
        <v>3918</v>
      </c>
      <c r="E19" s="479">
        <f ca="1">_xlfn.IFNA(VLOOKUP(C19,Worksheet!$C$3:$G$46,3,FALSE),E19)</f>
        <v>0</v>
      </c>
      <c r="F19" s="479">
        <f ca="1">_xlfn.IFNA(VLOOKUP(C19,Worksheet!$C$3:$G$46,4,FALSE),F19)</f>
        <v>0</v>
      </c>
      <c r="G19" s="479">
        <f ca="1">_xlfn.IFNA(VLOOKUP(C19,Worksheet!$C$3:$G$46,5,FALSE),G19)</f>
        <v>0</v>
      </c>
      <c r="H19" s="205" t="s">
        <v>86</v>
      </c>
      <c r="I19" s="63"/>
      <c r="J19" s="65"/>
      <c r="K19" s="346" t="s">
        <v>61</v>
      </c>
      <c r="L19" s="346"/>
      <c r="M19" s="206" t="s">
        <v>4022</v>
      </c>
      <c r="N19" s="206"/>
      <c r="O19" s="206"/>
      <c r="P19" s="206"/>
      <c r="Q19" s="206"/>
      <c r="R19" s="301" t="s">
        <v>561</v>
      </c>
      <c r="S19" s="209" t="s">
        <v>4022</v>
      </c>
      <c r="T19" s="209"/>
      <c r="U19" s="347" t="s">
        <v>562</v>
      </c>
      <c r="V19" s="347"/>
      <c r="W19" s="481">
        <v>42787</v>
      </c>
      <c r="X19" s="210"/>
      <c r="Y19" s="63"/>
      <c r="Z19" s="63"/>
      <c r="AA19" s="63"/>
      <c r="AB19" s="63"/>
      <c r="AC19" s="63"/>
      <c r="AD19" s="63"/>
    </row>
    <row r="20" spans="1:30" ht="40.15" customHeight="1" x14ac:dyDescent="0.25">
      <c r="A20" s="63"/>
      <c r="B20" s="224"/>
      <c r="C20" s="236">
        <v>1455</v>
      </c>
      <c r="D20" s="240" t="s">
        <v>3920</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3921</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14</v>
      </c>
      <c r="Q23" s="93">
        <f>O17</f>
        <v>5.40625</v>
      </c>
      <c r="R23" s="93">
        <f>P17</f>
        <v>9.8787878787878789</v>
      </c>
      <c r="S23" s="93">
        <f>Q17</f>
        <v>14.63125</v>
      </c>
      <c r="T23" s="93">
        <f>R17</f>
        <v>18.833333333333332</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12.5625</v>
      </c>
      <c r="Q24" s="93">
        <f>T17</f>
        <v>3.6458333333333335</v>
      </c>
      <c r="R24" s="93">
        <f>U17</f>
        <v>8.4848484848484844</v>
      </c>
      <c r="S24" s="93">
        <f>V17</f>
        <v>12.725</v>
      </c>
      <c r="T24" s="93">
        <f>W17</f>
        <v>19</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9.7249999999999996</v>
      </c>
      <c r="Q25" s="93">
        <f>Y17</f>
        <v>4.208333333333333</v>
      </c>
      <c r="R25" s="93">
        <f>Z17</f>
        <v>7.7575757575757569</v>
      </c>
      <c r="S25" s="93">
        <f>AA17</f>
        <v>10.5625</v>
      </c>
      <c r="T25" s="93">
        <f>AB17</f>
        <v>15.111111111111111</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9OwC9Pan7JP1aXx8BXVymCHLXnfuzC/IZdohP2OIgVBx4HSZMXxtVjhhGH3Vf/DKvpi554+oF0HYI4fCO/njhg==" saltValue="lLBmZT4AIBcSOfOkeH/cg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240</v>
      </c>
      <c r="G2" s="205" t="s">
        <v>150</v>
      </c>
    </row>
    <row r="3" spans="1:7" ht="45" hidden="1" customHeight="1" x14ac:dyDescent="0.25">
      <c r="A3" s="224"/>
      <c r="B3" s="228" t="s">
        <v>4006</v>
      </c>
      <c r="C3" s="226" t="s">
        <v>3976</v>
      </c>
      <c r="D3" s="226"/>
      <c r="E3" s="229"/>
      <c r="F3" s="298">
        <f ca="1">_xlfn.IFNA(VLOOKUP(B3,Worksheet!$C$3:$G$46,5,FALSE),F3)</f>
        <v>11</v>
      </c>
      <c r="G3" s="205" t="s">
        <v>150</v>
      </c>
    </row>
    <row r="4" spans="1:7" ht="45" hidden="1" customHeight="1" x14ac:dyDescent="0.25">
      <c r="A4" s="224"/>
      <c r="B4" s="228" t="s">
        <v>4007</v>
      </c>
      <c r="C4" s="226" t="s">
        <v>3977</v>
      </c>
      <c r="D4" s="230"/>
      <c r="E4" s="229"/>
      <c r="F4" s="298">
        <f ca="1">_xlfn.IFNA(VLOOKUP(B4,Worksheet!$C$3:$G$46,5,FALSE),F4)</f>
        <v>198</v>
      </c>
      <c r="G4" s="205" t="s">
        <v>150</v>
      </c>
    </row>
    <row r="5" spans="1:7" ht="45" hidden="1" customHeight="1" x14ac:dyDescent="0.25">
      <c r="A5" s="224"/>
      <c r="B5" s="228" t="s">
        <v>4008</v>
      </c>
      <c r="C5" s="226" t="s">
        <v>3978</v>
      </c>
      <c r="D5" s="226"/>
      <c r="E5" s="229"/>
      <c r="F5" s="298">
        <f ca="1">_xlfn.IFNA(VLOOKUP(B5,Worksheet!$C$3:$G$46,5,FALSE),F5)</f>
        <v>11</v>
      </c>
      <c r="G5" s="205" t="s">
        <v>150</v>
      </c>
    </row>
    <row r="6" spans="1:7" ht="45" hidden="1" customHeight="1" x14ac:dyDescent="0.25">
      <c r="A6" s="224"/>
      <c r="B6" s="231" t="s">
        <v>4009</v>
      </c>
      <c r="C6" s="232" t="s">
        <v>3979</v>
      </c>
      <c r="D6" s="233"/>
      <c r="E6" s="234"/>
      <c r="F6" s="235">
        <f ca="1">_xlfn.IFNA(VLOOKUP(F2,Data_donotedit!$BE$2:$BG$25,3,TRUE),0)</f>
        <v>75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105</v>
      </c>
      <c r="E9" s="299">
        <f ca="1">_xlfn.IFNA(VLOOKUP(B9,Worksheet!$C$3:$G$46,4,FALSE),E9)</f>
        <v>101</v>
      </c>
      <c r="F9" s="299">
        <f ca="1">_xlfn.IFNA(VLOOKUP(B9,Worksheet!$C$3:$G$46,5,FALSE),F9)</f>
        <v>92</v>
      </c>
      <c r="G9" s="205" t="s">
        <v>150</v>
      </c>
    </row>
    <row r="10" spans="1:7" ht="45" hidden="1" customHeight="1" x14ac:dyDescent="0.25">
      <c r="A10" s="224"/>
      <c r="B10" s="236">
        <v>1113</v>
      </c>
      <c r="C10" s="240" t="s">
        <v>3803</v>
      </c>
      <c r="D10" s="299">
        <f ca="1">_xlfn.IFNA(VLOOKUP(B10,Worksheet!$C$3:$G$46,3,FALSE),D10)</f>
        <v>75</v>
      </c>
      <c r="E10" s="299">
        <f ca="1">_xlfn.IFNA(VLOOKUP(B10,Worksheet!$C$3:$G$46,4,FALSE),E10)</f>
        <v>75</v>
      </c>
      <c r="F10" s="299">
        <f ca="1">_xlfn.IFNA(VLOOKUP(B10,Worksheet!$C$3:$G$46,5,FALSE),F10)</f>
        <v>53</v>
      </c>
      <c r="G10" s="205" t="s">
        <v>150</v>
      </c>
    </row>
    <row r="11" spans="1:7" ht="45" hidden="1" customHeight="1" x14ac:dyDescent="0.25">
      <c r="A11" s="224"/>
      <c r="B11" s="236">
        <v>1114</v>
      </c>
      <c r="C11" s="241" t="s">
        <v>3804</v>
      </c>
      <c r="D11" s="299">
        <f ca="1">_xlfn.IFNA(VLOOKUP(B11,Worksheet!$C$3:$G$46,3,FALSE),D11)</f>
        <v>75</v>
      </c>
      <c r="E11" s="299">
        <f ca="1">_xlfn.IFNA(VLOOKUP(B11,Worksheet!$C$3:$G$46,4,FALSE),E11)</f>
        <v>75</v>
      </c>
      <c r="F11" s="299">
        <f ca="1">_xlfn.IFNA(VLOOKUP(B11,Worksheet!$C$3:$G$46,5,FALSE),F11)</f>
        <v>53</v>
      </c>
      <c r="G11" s="205" t="s">
        <v>150</v>
      </c>
    </row>
    <row r="12" spans="1:7" ht="45" hidden="1" customHeight="1" x14ac:dyDescent="0.25">
      <c r="A12" s="224"/>
      <c r="B12" s="236">
        <v>1115</v>
      </c>
      <c r="C12" s="240" t="s">
        <v>3805</v>
      </c>
      <c r="D12" s="299">
        <f ca="1">_xlfn.IFNA(VLOOKUP(B12,Worksheet!$C$3:$G$46,3,FALSE),D12)</f>
        <v>75</v>
      </c>
      <c r="E12" s="299">
        <f ca="1">_xlfn.IFNA(VLOOKUP(B12,Worksheet!$C$3:$G$46,4,FALSE),E12)</f>
        <v>75</v>
      </c>
      <c r="F12" s="299">
        <f ca="1">_xlfn.IFNA(VLOOKUP(B12,Worksheet!$C$3:$G$46,5,FALSE),F12)</f>
        <v>51</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27</v>
      </c>
      <c r="E25" s="299">
        <f ca="1">_xlfn.IFNA(VLOOKUP(B25,Worksheet!$C$3:$G$46,4,FALSE),E25)</f>
        <v>41</v>
      </c>
      <c r="F25" s="299">
        <f ca="1">_xlfn.IFNA(VLOOKUP(B25,Worksheet!$C$3:$G$46,5,FALSE),F25)</f>
        <v>38</v>
      </c>
      <c r="G25" s="205" t="s">
        <v>150</v>
      </c>
    </row>
    <row r="26" spans="1:7" ht="45" hidden="1" customHeight="1" x14ac:dyDescent="0.25">
      <c r="A26" s="224"/>
      <c r="B26" s="236">
        <v>1134</v>
      </c>
      <c r="C26" s="240" t="s">
        <v>3818</v>
      </c>
      <c r="D26" s="299">
        <f ca="1">_xlfn.IFNA(VLOOKUP(B26,Worksheet!$C$3:$G$46,3,FALSE),D26)</f>
        <v>48</v>
      </c>
      <c r="E26" s="299">
        <f ca="1">_xlfn.IFNA(VLOOKUP(B26,Worksheet!$C$3:$G$46,4,FALSE),E26)</f>
        <v>34</v>
      </c>
      <c r="F26" s="299">
        <f ca="1">_xlfn.IFNA(VLOOKUP(B26,Worksheet!$C$3:$G$46,5,FALSE),F26)</f>
        <v>15</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2</v>
      </c>
      <c r="E29" s="299">
        <f ca="1">_xlfn.IFNA(VLOOKUP(B29,Worksheet!$C$3:$G$46,4,FALSE),E29)</f>
        <v>3</v>
      </c>
      <c r="F29" s="299">
        <f ca="1">_xlfn.IFNA(VLOOKUP(B29,Worksheet!$C$3:$G$46,5,FALSE),F29)</f>
        <v>3</v>
      </c>
      <c r="G29" s="205" t="s">
        <v>150</v>
      </c>
    </row>
    <row r="30" spans="1:7" ht="45" hidden="1" customHeight="1" x14ac:dyDescent="0.25">
      <c r="A30" s="224"/>
      <c r="B30" s="236">
        <v>1138</v>
      </c>
      <c r="C30" s="240" t="s">
        <v>3822</v>
      </c>
      <c r="D30" s="299">
        <f ca="1">_xlfn.IFNA(VLOOKUP(B30,Worksheet!$C$3:$G$46,3,FALSE),D30)</f>
        <v>91</v>
      </c>
      <c r="E30" s="299">
        <f ca="1">_xlfn.IFNA(VLOOKUP(B30,Worksheet!$C$3:$G$46,4,FALSE),E30)</f>
        <v>65</v>
      </c>
      <c r="F30" s="299">
        <f ca="1">_xlfn.IFNA(VLOOKUP(B30,Worksheet!$C$3:$G$46,5,FALSE),F30)</f>
        <v>46</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75</v>
      </c>
      <c r="E33" s="299">
        <f ca="1">_xlfn.IFNA(VLOOKUP(B33,Worksheet!$C$3:$G$46,4,FALSE),E33)</f>
        <v>75</v>
      </c>
      <c r="F33" s="299">
        <f ca="1">_xlfn.IFNA(VLOOKUP(B33,Worksheet!$C$3:$G$46,5,FALSE),F33)</f>
        <v>53</v>
      </c>
      <c r="G33" s="205" t="s">
        <v>150</v>
      </c>
    </row>
    <row r="34" spans="1:7" ht="45" hidden="1" customHeight="1" x14ac:dyDescent="0.25">
      <c r="A34" s="224"/>
      <c r="B34" s="236">
        <v>1144</v>
      </c>
      <c r="C34" s="240" t="s">
        <v>3826</v>
      </c>
      <c r="D34" s="299">
        <f ca="1">_xlfn.IFNA(VLOOKUP(B34,Worksheet!$C$3:$G$46,3,FALSE),D34)</f>
        <v>93</v>
      </c>
      <c r="E34" s="299">
        <f ca="1">_xlfn.IFNA(VLOOKUP(B34,Worksheet!$C$3:$G$46,4,FALSE),E34)</f>
        <v>68</v>
      </c>
      <c r="F34" s="299">
        <f ca="1">_xlfn.IFNA(VLOOKUP(B34,Worksheet!$C$3:$G$46,5,FALSE),F34)</f>
        <v>49</v>
      </c>
      <c r="G34" s="205" t="s">
        <v>150</v>
      </c>
    </row>
    <row r="35" spans="1:7" ht="45" hidden="1" customHeight="1" x14ac:dyDescent="0.25">
      <c r="A35" s="224"/>
      <c r="B35" s="236">
        <v>1145</v>
      </c>
      <c r="C35" s="240" t="s">
        <v>3827</v>
      </c>
      <c r="D35" s="299">
        <f ca="1">_xlfn.IFNA(VLOOKUP(B35,Worksheet!$C$3:$G$46,3,FALSE),D35)</f>
        <v>74</v>
      </c>
      <c r="E35" s="299">
        <f ca="1">_xlfn.IFNA(VLOOKUP(B35,Worksheet!$C$3:$G$46,4,FALSE),E35)</f>
        <v>74</v>
      </c>
      <c r="F35" s="299">
        <f ca="1">_xlfn.IFNA(VLOOKUP(B35,Worksheet!$C$3:$G$46,5,FALSE),F35)</f>
        <v>53</v>
      </c>
      <c r="G35" s="205" t="s">
        <v>150</v>
      </c>
    </row>
    <row r="36" spans="1:7" ht="45" hidden="1" customHeight="1" x14ac:dyDescent="0.25">
      <c r="A36" s="224"/>
      <c r="B36" s="236">
        <v>1151</v>
      </c>
      <c r="C36" s="246" t="s">
        <v>3828</v>
      </c>
      <c r="D36" s="247">
        <f ca="1">D37/D38</f>
        <v>1</v>
      </c>
      <c r="E36" s="247">
        <f t="shared" ref="E36:F36" ca="1" si="1">E37/E38</f>
        <v>1.0512820512820513</v>
      </c>
      <c r="F36" s="247">
        <f t="shared" ca="1" si="1"/>
        <v>1</v>
      </c>
      <c r="G36" s="205"/>
    </row>
    <row r="37" spans="1:7" ht="45" hidden="1" customHeight="1" x14ac:dyDescent="0.25">
      <c r="A37" s="224"/>
      <c r="B37" s="236">
        <v>1152</v>
      </c>
      <c r="C37" s="240" t="s">
        <v>3829</v>
      </c>
      <c r="D37" s="299">
        <f ca="1">_xlfn.IFNA(VLOOKUP(B37,Worksheet!$C$3:$G$46,3,FALSE),D37)</f>
        <v>27</v>
      </c>
      <c r="E37" s="299">
        <f ca="1">_xlfn.IFNA(VLOOKUP(B37,Worksheet!$C$3:$G$46,4,FALSE),E37)</f>
        <v>41</v>
      </c>
      <c r="F37" s="299">
        <f ca="1">_xlfn.IFNA(VLOOKUP(B37,Worksheet!$C$3:$G$46,5,FALSE),F37)</f>
        <v>38</v>
      </c>
      <c r="G37" s="205" t="s">
        <v>150</v>
      </c>
    </row>
    <row r="38" spans="1:7" ht="45" hidden="1" customHeight="1" x14ac:dyDescent="0.25">
      <c r="A38" s="224"/>
      <c r="B38" s="236">
        <v>1153</v>
      </c>
      <c r="C38" s="240" t="s">
        <v>3830</v>
      </c>
      <c r="D38" s="299">
        <f ca="1">_xlfn.IFNA(VLOOKUP(B38,Worksheet!$C$3:$G$46,3,FALSE),D38)</f>
        <v>27</v>
      </c>
      <c r="E38" s="299">
        <f ca="1">_xlfn.IFNA(VLOOKUP(B38,Worksheet!$C$3:$G$46,4,FALSE),E38)</f>
        <v>39</v>
      </c>
      <c r="F38" s="299">
        <f ca="1">_xlfn.IFNA(VLOOKUP(B38,Worksheet!$C$3:$G$46,5,FALSE),F38)</f>
        <v>38</v>
      </c>
      <c r="G38" s="205" t="s">
        <v>150</v>
      </c>
    </row>
    <row r="39" spans="1:7" ht="45" hidden="1" customHeight="1" x14ac:dyDescent="0.25">
      <c r="A39" s="224"/>
      <c r="B39" s="236">
        <v>1154</v>
      </c>
      <c r="C39" s="246" t="s">
        <v>3831</v>
      </c>
      <c r="D39" s="247">
        <f ca="1">D40/D41</f>
        <v>1.125</v>
      </c>
      <c r="E39" s="247">
        <f t="shared" ref="E39:F39" ca="1" si="2">E40/E41</f>
        <v>1.0512820512820513</v>
      </c>
      <c r="F39" s="247">
        <f t="shared" ca="1" si="2"/>
        <v>1.0555555555555556</v>
      </c>
      <c r="G39" s="205"/>
    </row>
    <row r="40" spans="1:7" ht="45" hidden="1" customHeight="1" x14ac:dyDescent="0.25">
      <c r="A40" s="224"/>
      <c r="B40" s="236">
        <v>1155</v>
      </c>
      <c r="C40" s="240" t="s">
        <v>3829</v>
      </c>
      <c r="D40" s="299">
        <f ca="1">_xlfn.IFNA(VLOOKUP(B40,Worksheet!$C$3:$G$46,3,FALSE),D40)</f>
        <v>27</v>
      </c>
      <c r="E40" s="299">
        <f ca="1">_xlfn.IFNA(VLOOKUP(B40,Worksheet!$C$3:$G$46,4,FALSE),E40)</f>
        <v>41</v>
      </c>
      <c r="F40" s="299">
        <f ca="1">_xlfn.IFNA(VLOOKUP(B40,Worksheet!$C$3:$G$46,5,FALSE),F40)</f>
        <v>38</v>
      </c>
      <c r="G40" s="205" t="s">
        <v>150</v>
      </c>
    </row>
    <row r="41" spans="1:7" ht="45" hidden="1" customHeight="1" x14ac:dyDescent="0.25">
      <c r="A41" s="224"/>
      <c r="B41" s="236">
        <v>1156</v>
      </c>
      <c r="C41" s="240" t="s">
        <v>3832</v>
      </c>
      <c r="D41" s="299">
        <f ca="1">_xlfn.IFNA(VLOOKUP(B41,Worksheet!$C$3:$G$46,3,FALSE),D41)</f>
        <v>24</v>
      </c>
      <c r="E41" s="299">
        <f ca="1">_xlfn.IFNA(VLOOKUP(B41,Worksheet!$C$3:$G$46,4,FALSE),E41)</f>
        <v>39</v>
      </c>
      <c r="F41" s="299">
        <f ca="1">_xlfn.IFNA(VLOOKUP(B41,Worksheet!$C$3:$G$46,5,FALSE),F41)</f>
        <v>36</v>
      </c>
      <c r="G41" s="205" t="s">
        <v>150</v>
      </c>
    </row>
    <row r="42" spans="1:7" ht="45" hidden="1" customHeight="1" x14ac:dyDescent="0.25">
      <c r="A42" s="224"/>
      <c r="B42" s="236">
        <v>1157</v>
      </c>
      <c r="C42" s="246" t="s">
        <v>3833</v>
      </c>
      <c r="D42" s="247">
        <f ca="1">D43/D44</f>
        <v>2</v>
      </c>
      <c r="E42" s="247">
        <f t="shared" ref="E42:F42" ca="1" si="3">E43/E44</f>
        <v>1.3333333333333333</v>
      </c>
      <c r="F42" s="247">
        <f t="shared" ca="1" si="3"/>
        <v>0.33333333333333331</v>
      </c>
      <c r="G42" s="205"/>
    </row>
    <row r="43" spans="1:7" ht="45" hidden="1" customHeight="1" x14ac:dyDescent="0.25">
      <c r="A43" s="224"/>
      <c r="B43" s="236">
        <v>1158</v>
      </c>
      <c r="C43" s="240" t="s">
        <v>3834</v>
      </c>
      <c r="D43" s="299">
        <f ca="1">_xlfn.IFNA(VLOOKUP(B43,Worksheet!$C$3:$G$46,3,FALSE),D43)</f>
        <v>4</v>
      </c>
      <c r="E43" s="299">
        <f ca="1">_xlfn.IFNA(VLOOKUP(B43,Worksheet!$C$3:$G$46,4,FALSE),E43)</f>
        <v>4</v>
      </c>
      <c r="F43" s="299">
        <f ca="1">_xlfn.IFNA(VLOOKUP(B43,Worksheet!$C$3:$G$46,5,FALSE),F43)</f>
        <v>1</v>
      </c>
      <c r="G43" s="205" t="s">
        <v>150</v>
      </c>
    </row>
    <row r="44" spans="1:7" s="248" customFormat="1" ht="45" hidden="1" customHeight="1" x14ac:dyDescent="0.25">
      <c r="A44" s="224"/>
      <c r="B44" s="236">
        <v>1159</v>
      </c>
      <c r="C44" s="240" t="s">
        <v>3835</v>
      </c>
      <c r="D44" s="299">
        <f ca="1">_xlfn.IFNA(VLOOKUP(B44,Worksheet!$C$3:$G$46,3,FALSE),D44)</f>
        <v>2</v>
      </c>
      <c r="E44" s="299">
        <f ca="1">_xlfn.IFNA(VLOOKUP(B44,Worksheet!$C$3:$G$46,4,FALSE),E44)</f>
        <v>3</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42</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35</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0</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56</v>
      </c>
      <c r="F52" s="299">
        <f ca="1">_xlfn.IFNA(VLOOKUP(B52,Worksheet!$C$3:$G$46,5,FALSE),F52)</f>
        <v>56</v>
      </c>
      <c r="G52" s="205" t="s">
        <v>83</v>
      </c>
    </row>
    <row r="53" spans="1:7" ht="45" hidden="1" customHeight="1" x14ac:dyDescent="0.25">
      <c r="A53" s="224"/>
      <c r="B53" s="236">
        <v>1213</v>
      </c>
      <c r="C53" s="240" t="s">
        <v>3841</v>
      </c>
      <c r="D53" s="299">
        <f ca="1">_xlfn.IFNA(VLOOKUP(B53,Worksheet!$C$3:$G$46,3,FALSE),D53)</f>
        <v>17</v>
      </c>
      <c r="E53" s="299">
        <f ca="1">_xlfn.IFNA(VLOOKUP(B53,Worksheet!$C$3:$G$46,4,FALSE),E53)</f>
        <v>10</v>
      </c>
      <c r="F53" s="299">
        <f ca="1">_xlfn.IFNA(VLOOKUP(B53,Worksheet!$C$3:$G$46,5,FALSE),F53)</f>
        <v>15</v>
      </c>
      <c r="G53" s="205" t="s">
        <v>83</v>
      </c>
    </row>
    <row r="54" spans="1:7" ht="45" hidden="1" customHeight="1" x14ac:dyDescent="0.25">
      <c r="A54" s="224"/>
      <c r="B54" s="236">
        <v>1214</v>
      </c>
      <c r="C54" s="262" t="s">
        <v>3842</v>
      </c>
      <c r="D54" s="299">
        <f ca="1">_xlfn.IFNA(VLOOKUP(B54,Worksheet!$C$3:$G$46,3,FALSE),D54)</f>
        <v>17</v>
      </c>
      <c r="E54" s="299">
        <f ca="1">_xlfn.IFNA(VLOOKUP(B54,Worksheet!$C$3:$G$46,4,FALSE),E54)</f>
        <v>10</v>
      </c>
      <c r="F54" s="299">
        <f ca="1">_xlfn.IFNA(VLOOKUP(B54,Worksheet!$C$3:$G$46,5,FALSE),F54)</f>
        <v>15</v>
      </c>
      <c r="G54" s="205" t="s">
        <v>83</v>
      </c>
    </row>
    <row r="55" spans="1:7" ht="45" hidden="1" customHeight="1" x14ac:dyDescent="0.25">
      <c r="A55" s="224"/>
      <c r="B55" s="236">
        <v>1215</v>
      </c>
      <c r="C55" s="240" t="s">
        <v>3843</v>
      </c>
      <c r="D55" s="299">
        <f ca="1">_xlfn.IFNA(VLOOKUP(B55,Worksheet!$C$3:$G$46,3,FALSE),D55)</f>
        <v>18</v>
      </c>
      <c r="E55" s="299">
        <f ca="1">_xlfn.IFNA(VLOOKUP(B55,Worksheet!$C$3:$G$46,4,FALSE),E55)</f>
        <v>10</v>
      </c>
      <c r="F55" s="299">
        <f ca="1">_xlfn.IFNA(VLOOKUP(B55,Worksheet!$C$3:$G$46,5,FALSE),F55)</f>
        <v>15</v>
      </c>
      <c r="G55" s="205" t="s">
        <v>83</v>
      </c>
    </row>
    <row r="56" spans="1:7" ht="45" hidden="1" customHeight="1" x14ac:dyDescent="0.25">
      <c r="A56" s="224"/>
      <c r="B56" s="236">
        <v>1216</v>
      </c>
      <c r="C56" s="241" t="s">
        <v>3844</v>
      </c>
      <c r="D56" s="299">
        <f ca="1">_xlfn.IFNA(VLOOKUP(B56,Worksheet!$C$3:$G$46,3,FALSE),D56)</f>
        <v>18</v>
      </c>
      <c r="E56" s="299">
        <f ca="1">_xlfn.IFNA(VLOOKUP(B56,Worksheet!$C$3:$G$46,4,FALSE),E56)</f>
        <v>10</v>
      </c>
      <c r="F56" s="299">
        <f ca="1">_xlfn.IFNA(VLOOKUP(B56,Worksheet!$C$3:$G$46,5,FALSE),F56)</f>
        <v>15</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17</v>
      </c>
      <c r="E59" s="299">
        <f ca="1">_xlfn.IFNA(VLOOKUP(B59,Worksheet!$C$3:$G$46,4,FALSE),E59)</f>
        <v>10</v>
      </c>
      <c r="F59" s="299">
        <f ca="1">_xlfn.IFNA(VLOOKUP(B59,Worksheet!$C$3:$G$46,5,FALSE),F59)</f>
        <v>15</v>
      </c>
      <c r="G59" s="205" t="s">
        <v>83</v>
      </c>
    </row>
    <row r="60" spans="1:7" ht="45" hidden="1" customHeight="1" x14ac:dyDescent="0.25">
      <c r="A60" s="224"/>
      <c r="B60" s="236">
        <v>1222</v>
      </c>
      <c r="C60" s="262" t="s">
        <v>3848</v>
      </c>
      <c r="D60" s="299">
        <f ca="1">_xlfn.IFNA(VLOOKUP(B60,Worksheet!$C$3:$G$46,3,FALSE),D60)</f>
        <v>17</v>
      </c>
      <c r="E60" s="299">
        <f ca="1">_xlfn.IFNA(VLOOKUP(B60,Worksheet!$C$3:$G$46,4,FALSE),E60)</f>
        <v>10</v>
      </c>
      <c r="F60" s="299">
        <f ca="1">_xlfn.IFNA(VLOOKUP(B60,Worksheet!$C$3:$G$46,5,FALSE),F60)</f>
        <v>15</v>
      </c>
      <c r="G60" s="205" t="s">
        <v>83</v>
      </c>
    </row>
    <row r="61" spans="1:7" ht="45" hidden="1" customHeight="1" x14ac:dyDescent="0.25">
      <c r="A61" s="224"/>
      <c r="B61" s="236">
        <v>1223</v>
      </c>
      <c r="C61" s="262" t="s">
        <v>3849</v>
      </c>
      <c r="D61" s="299">
        <f ca="1">_xlfn.IFNA(VLOOKUP(B61,Worksheet!$C$3:$G$46,3,FALSE),D61)</f>
        <v>17</v>
      </c>
      <c r="E61" s="299">
        <f ca="1">_xlfn.IFNA(VLOOKUP(B61,Worksheet!$C$3:$G$46,4,FALSE),E61)</f>
        <v>10</v>
      </c>
      <c r="F61" s="299">
        <f ca="1">_xlfn.IFNA(VLOOKUP(B61,Worksheet!$C$3:$G$46,5,FALSE),F61)</f>
        <v>15</v>
      </c>
      <c r="G61" s="205" t="s">
        <v>83</v>
      </c>
    </row>
    <row r="62" spans="1:7" ht="54.6" hidden="1" customHeight="1" x14ac:dyDescent="0.25">
      <c r="A62" s="224"/>
      <c r="B62" s="236">
        <v>1224</v>
      </c>
      <c r="C62" s="262" t="s">
        <v>3850</v>
      </c>
      <c r="D62" s="299">
        <f ca="1">_xlfn.IFNA(VLOOKUP(B62,Worksheet!$C$3:$G$46,3,FALSE),D62)</f>
        <v>7</v>
      </c>
      <c r="E62" s="299">
        <f ca="1">_xlfn.IFNA(VLOOKUP(B62,Worksheet!$C$3:$G$46,4,FALSE),E62)</f>
        <v>13</v>
      </c>
      <c r="F62" s="299">
        <f ca="1">_xlfn.IFNA(VLOOKUP(B62,Worksheet!$C$3:$G$46,5,FALSE),F62)</f>
        <v>6</v>
      </c>
      <c r="G62" s="205" t="s">
        <v>83</v>
      </c>
    </row>
    <row r="63" spans="1:7" ht="66.599999999999994" hidden="1" customHeight="1" x14ac:dyDescent="0.25">
      <c r="A63" s="224"/>
      <c r="B63" s="236">
        <v>1225</v>
      </c>
      <c r="C63" s="262" t="s">
        <v>3851</v>
      </c>
      <c r="D63" s="299">
        <f ca="1">_xlfn.IFNA(VLOOKUP(B63,Worksheet!$C$3:$G$46,3,FALSE),D63)</f>
        <v>18</v>
      </c>
      <c r="E63" s="299">
        <f ca="1">_xlfn.IFNA(VLOOKUP(B63,Worksheet!$C$3:$G$46,4,FALSE),E63)</f>
        <v>10</v>
      </c>
      <c r="F63" s="299">
        <f ca="1">_xlfn.IFNA(VLOOKUP(B63,Worksheet!$C$3:$G$46,5,FALSE),F63)</f>
        <v>15</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17</v>
      </c>
      <c r="E67" s="299">
        <f ca="1">_xlfn.IFNA(VLOOKUP(B67,Worksheet!$C$3:$G$46,4,FALSE),E67)</f>
        <v>10</v>
      </c>
      <c r="F67" s="299">
        <f ca="1">_xlfn.IFNA(VLOOKUP(B67,Worksheet!$C$3:$G$46,5,FALSE),F67)</f>
        <v>14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6</v>
      </c>
      <c r="E71" s="299">
        <f ca="1">_xlfn.IFNA(VLOOKUP(B71,Worksheet!$C$3:$G$46,4,FALSE),E71)</f>
        <v>13</v>
      </c>
      <c r="F71" s="299">
        <f ca="1">_xlfn.IFNA(VLOOKUP(B71,Worksheet!$C$3:$G$46,5,FALSE),F71)</f>
        <v>6</v>
      </c>
      <c r="G71" s="205" t="s">
        <v>83</v>
      </c>
    </row>
    <row r="72" spans="1:7" ht="45" hidden="1" customHeight="1" x14ac:dyDescent="0.25">
      <c r="A72" s="224"/>
      <c r="B72" s="236">
        <v>1236</v>
      </c>
      <c r="C72" s="240" t="s">
        <v>3859</v>
      </c>
      <c r="D72" s="299">
        <f ca="1">_xlfn.IFNA(VLOOKUP(B72,Worksheet!$C$3:$G$46,3,FALSE),D72)</f>
        <v>1</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17</v>
      </c>
      <c r="E73" s="299">
        <f ca="1">_xlfn.IFNA(VLOOKUP(B73,Worksheet!$C$3:$G$46,4,FALSE),E73)</f>
        <v>10</v>
      </c>
      <c r="F73" s="299">
        <f ca="1">_xlfn.IFNA(VLOOKUP(B73,Worksheet!$C$3:$G$46,5,FALSE),F73)</f>
        <v>15</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17</v>
      </c>
      <c r="E75" s="299">
        <f ca="1">_xlfn.IFNA(VLOOKUP(B75,Worksheet!$C$3:$G$46,4,FALSE),E75)</f>
        <v>10</v>
      </c>
      <c r="F75" s="299">
        <f ca="1">_xlfn.IFNA(VLOOKUP(B75,Worksheet!$C$3:$G$46,5,FALSE),F75)</f>
        <v>15</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1</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0</v>
      </c>
      <c r="E79" s="299">
        <f ca="1">_xlfn.IFNA(VLOOKUP(B79,Worksheet!$C$3:$G$46,4,FALSE),E79)</f>
        <v>10</v>
      </c>
      <c r="F79" s="299">
        <f ca="1">_xlfn.IFNA(VLOOKUP(B79,Worksheet!$C$3:$G$46,5,FALSE),F79)</f>
        <v>15</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17</v>
      </c>
      <c r="E81" s="263">
        <f t="shared" ref="E81:F81" ca="1" si="4">E82</f>
        <v>10</v>
      </c>
      <c r="F81" s="263">
        <f t="shared" ca="1" si="4"/>
        <v>15</v>
      </c>
      <c r="G81" s="205"/>
    </row>
    <row r="82" spans="1:7" ht="45" hidden="1" customHeight="1" x14ac:dyDescent="0.25">
      <c r="A82" s="224"/>
      <c r="B82" s="236">
        <v>1252</v>
      </c>
      <c r="C82" s="240" t="s">
        <v>3869</v>
      </c>
      <c r="D82" s="299">
        <f ca="1">_xlfn.IFNA(VLOOKUP(B82,Worksheet!$C$3:$G$46,3,FALSE),D82)</f>
        <v>17</v>
      </c>
      <c r="E82" s="299">
        <f ca="1">_xlfn.IFNA(VLOOKUP(B82,Worksheet!$C$3:$G$46,4,FALSE),E82)</f>
        <v>10</v>
      </c>
      <c r="F82" s="299">
        <f ca="1">_xlfn.IFNA(VLOOKUP(B82,Worksheet!$C$3:$G$46,5,FALSE),F82)</f>
        <v>15</v>
      </c>
      <c r="G82" s="205" t="s">
        <v>83</v>
      </c>
    </row>
    <row r="83" spans="1:7" ht="45" hidden="1" customHeight="1" x14ac:dyDescent="0.25">
      <c r="A83" s="224"/>
      <c r="B83" s="236">
        <v>1253</v>
      </c>
      <c r="C83" s="240" t="s">
        <v>3870</v>
      </c>
      <c r="D83" s="299">
        <f ca="1">_xlfn.IFNA(VLOOKUP(B83,Worksheet!$C$3:$G$46,3,FALSE),D83)</f>
        <v>0</v>
      </c>
      <c r="E83" s="299">
        <f ca="1">_xlfn.IFNA(VLOOKUP(B83,Worksheet!$C$3:$G$46,4,FALSE),E83)</f>
        <v>10</v>
      </c>
      <c r="F83" s="299">
        <f ca="1">_xlfn.IFNA(VLOOKUP(B83,Worksheet!$C$3:$G$46,5,FALSE),F83)</f>
        <v>15</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1</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1</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1</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1</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3988</v>
      </c>
      <c r="D117" s="226"/>
      <c r="E117" s="229"/>
      <c r="F117" s="298">
        <f ca="1">_xlfn.IFNA(VLOOKUP(B117,Worksheet!$C$3:$G$46,5,FALSE),F117)</f>
        <v>0</v>
      </c>
      <c r="G117" s="205" t="s">
        <v>86</v>
      </c>
    </row>
    <row r="118" spans="1:7" s="268" customFormat="1" ht="45" customHeight="1" x14ac:dyDescent="0.25">
      <c r="A118" s="224"/>
      <c r="B118" s="272"/>
      <c r="C118" s="260" t="s">
        <v>3900</v>
      </c>
      <c r="D118" s="238" t="s">
        <v>76</v>
      </c>
      <c r="E118" s="239" t="s">
        <v>77</v>
      </c>
      <c r="F118" s="239" t="s">
        <v>78</v>
      </c>
      <c r="G118" s="205" t="s">
        <v>86</v>
      </c>
    </row>
    <row r="119" spans="1:7" s="268" customFormat="1" ht="45" customHeight="1" x14ac:dyDescent="0.25">
      <c r="A119" s="224"/>
      <c r="B119" s="236">
        <v>1413</v>
      </c>
      <c r="C119" s="240" t="s">
        <v>3901</v>
      </c>
      <c r="D119" s="299">
        <f ca="1">_xlfn.IFNA(VLOOKUP(B119,Worksheet!$C$3:$G$46,3,FALSE),D119)</f>
        <v>1</v>
      </c>
      <c r="E119" s="299">
        <f ca="1">_xlfn.IFNA(VLOOKUP(B119,Worksheet!$C$3:$G$46,4,FALSE),E119)</f>
        <v>1</v>
      </c>
      <c r="F119" s="299">
        <f ca="1">_xlfn.IFNA(VLOOKUP(B119,Worksheet!$C$3:$G$46,5,FALSE),F119)</f>
        <v>0</v>
      </c>
      <c r="G119" s="205" t="s">
        <v>86</v>
      </c>
    </row>
    <row r="120" spans="1:7" s="268" customFormat="1" ht="45"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customHeight="1" x14ac:dyDescent="0.25">
      <c r="A121" s="224"/>
      <c r="B121" s="236">
        <v>1422</v>
      </c>
      <c r="C121" s="240" t="s">
        <v>3903</v>
      </c>
      <c r="D121" s="299">
        <f ca="1">_xlfn.IFNA(VLOOKUP(B121,Worksheet!$C$3:$G$46,3,FALSE),D121)</f>
        <v>1</v>
      </c>
      <c r="E121" s="299">
        <f ca="1">_xlfn.IFNA(VLOOKUP(B121,Worksheet!$C$3:$G$46,4,FALSE),E121)</f>
        <v>1</v>
      </c>
      <c r="F121" s="299">
        <f ca="1">_xlfn.IFNA(VLOOKUP(B121,Worksheet!$C$3:$G$46,5,FALSE),F121)</f>
        <v>0</v>
      </c>
      <c r="G121" s="205" t="s">
        <v>86</v>
      </c>
    </row>
    <row r="122" spans="1:7" s="268" customFormat="1" ht="45" customHeight="1" x14ac:dyDescent="0.25">
      <c r="A122" s="224"/>
      <c r="B122" s="236">
        <v>1423</v>
      </c>
      <c r="C122" s="240" t="s">
        <v>3904</v>
      </c>
      <c r="D122" s="299">
        <f ca="1">_xlfn.IFNA(VLOOKUP(B122,Worksheet!$C$3:$G$46,3,FALSE),D122)</f>
        <v>1</v>
      </c>
      <c r="E122" s="299">
        <f ca="1">_xlfn.IFNA(VLOOKUP(B122,Worksheet!$C$3:$G$46,4,FALSE),E122)</f>
        <v>0</v>
      </c>
      <c r="F122" s="299">
        <f ca="1">_xlfn.IFNA(VLOOKUP(B122,Worksheet!$C$3:$G$46,5,FALSE),F122)</f>
        <v>0</v>
      </c>
      <c r="G122" s="205" t="s">
        <v>86</v>
      </c>
    </row>
    <row r="123" spans="1:7" s="268" customFormat="1" ht="45" customHeight="1" x14ac:dyDescent="0.25">
      <c r="A123" s="224"/>
      <c r="B123" s="236">
        <v>1424</v>
      </c>
      <c r="C123" s="240" t="s">
        <v>3905</v>
      </c>
      <c r="D123" s="299">
        <f ca="1">_xlfn.IFNA(VLOOKUP(B123,Worksheet!$C$3:$G$46,3,FALSE),D123)</f>
        <v>1</v>
      </c>
      <c r="E123" s="299">
        <f ca="1">_xlfn.IFNA(VLOOKUP(B123,Worksheet!$C$3:$G$46,4,FALSE),E123)</f>
        <v>0</v>
      </c>
      <c r="F123" s="299">
        <f ca="1">_xlfn.IFNA(VLOOKUP(B123,Worksheet!$C$3:$G$46,5,FALSE),F123)</f>
        <v>0</v>
      </c>
      <c r="G123" s="205" t="s">
        <v>86</v>
      </c>
    </row>
    <row r="124" spans="1:7" s="268" customFormat="1" ht="45" customHeight="1" x14ac:dyDescent="0.25">
      <c r="A124" s="224"/>
      <c r="B124" s="236">
        <v>1425</v>
      </c>
      <c r="C124" s="240" t="s">
        <v>3906</v>
      </c>
      <c r="D124" s="299">
        <f ca="1">_xlfn.IFNA(VLOOKUP(B124,Worksheet!$C$3:$G$46,3,FALSE),D124)</f>
        <v>1</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customHeight="1" x14ac:dyDescent="0.25">
      <c r="A126" s="224"/>
      <c r="B126" s="236">
        <v>1431</v>
      </c>
      <c r="C126" s="240" t="s">
        <v>3908</v>
      </c>
      <c r="D126" s="299">
        <f ca="1">_xlfn.IFNA(VLOOKUP(B126,Worksheet!$C$3:$G$46,3,FALSE),D126)</f>
        <v>1</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3911</v>
      </c>
      <c r="D129" s="299">
        <f ca="1">_xlfn.IFNA(VLOOKUP(B129,Worksheet!$C$3:$G$46,3,FALSE),D129)</f>
        <v>1</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3912</v>
      </c>
      <c r="D130" s="299">
        <f ca="1">_xlfn.IFNA(VLOOKUP(B130,Worksheet!$C$3:$G$46,3,FALSE),D130)</f>
        <v>0</v>
      </c>
      <c r="E130" s="299">
        <f ca="1">_xlfn.IFNA(VLOOKUP(B130,Worksheet!$C$3:$G$46,4,FALSE),E130)</f>
        <v>1</v>
      </c>
      <c r="F130" s="299">
        <f ca="1">_xlfn.IFNA(VLOOKUP(B130,Worksheet!$C$3:$G$46,5,FALSE),F130)</f>
        <v>0</v>
      </c>
      <c r="G130" s="205" t="s">
        <v>86</v>
      </c>
    </row>
    <row r="131" spans="1:7" s="268" customFormat="1" ht="45"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customHeight="1" x14ac:dyDescent="0.25">
      <c r="A135" s="224"/>
      <c r="B135" s="236">
        <v>1452</v>
      </c>
      <c r="C135" s="240" t="s">
        <v>3917</v>
      </c>
      <c r="D135" s="299">
        <f ca="1">_xlfn.IFNA(VLOOKUP(B135,Worksheet!$C$3:$G$46,3,FALSE),D135)</f>
        <v>1</v>
      </c>
      <c r="E135" s="299">
        <f ca="1">_xlfn.IFNA(VLOOKUP(B135,Worksheet!$C$3:$G$46,4,FALSE),E135)</f>
        <v>1</v>
      </c>
      <c r="F135" s="299">
        <f ca="1">_xlfn.IFNA(VLOOKUP(B135,Worksheet!$C$3:$G$46,5,FALSE),F135)</f>
        <v>0</v>
      </c>
      <c r="G135" s="205" t="s">
        <v>86</v>
      </c>
    </row>
    <row r="136" spans="1:7" s="268" customFormat="1" ht="45"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x0ax8HtGkht89Rz2qPotvlk3a4fZ7mf/9PqXVLuM0kS/qMtxwMtQVRb6LfHvJkq0Suc335ITb0zolEF4puDtLw==" saltValue="uemQKaPd8VqWx5dUw02bKg=="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2017-02-21T22:22:59Z</dcterms:modified>
</cp:coreProperties>
</file>