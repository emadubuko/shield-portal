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P25" i="11" s="1"/>
  <c r="Y17" i="11"/>
  <c r="Q25" i="11" s="1"/>
  <c r="Z17" i="11"/>
  <c r="AA17" i="11"/>
  <c r="S25" i="11" s="1"/>
  <c r="AB17" i="11"/>
  <c r="T25" i="11"/>
  <c r="R25" i="11"/>
  <c r="S24" i="1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81" i="10" l="1"/>
  <c r="E181" i="10"/>
  <c r="F181" i="10"/>
  <c r="F182" i="10"/>
  <c r="F183" i="10"/>
  <c r="F184" i="10"/>
  <c r="F185" i="10"/>
  <c r="P18" i="12" l="1"/>
  <c r="F186" i="10"/>
  <c r="F187" i="10"/>
  <c r="F188" i="10"/>
  <c r="F189" i="10"/>
  <c r="D191" i="10"/>
  <c r="Q18" i="12" l="1"/>
  <c r="E191" i="10"/>
  <c r="F191" i="10"/>
  <c r="D192" i="10"/>
  <c r="D190" i="10" s="1"/>
  <c r="E192" i="10"/>
  <c r="F192" i="10"/>
  <c r="D200" i="10"/>
  <c r="E190" i="10" l="1"/>
  <c r="F190" i="10"/>
  <c r="E200" i="10"/>
  <c r="F200" i="10"/>
  <c r="D201" i="10"/>
  <c r="E201" i="10"/>
  <c r="F201" i="10"/>
  <c r="D182" i="10"/>
  <c r="E182" i="10"/>
  <c r="D183" i="10"/>
  <c r="E183" i="10"/>
  <c r="D184" i="10"/>
  <c r="E184" i="10"/>
  <c r="D185" i="10"/>
  <c r="E185" i="10"/>
  <c r="K18" i="12" l="1"/>
  <c r="F18" i="12"/>
  <c r="E186" i="10"/>
  <c r="D186" i="10"/>
  <c r="G18" i="12" s="1"/>
  <c r="E187" i="10"/>
  <c r="D187" i="10"/>
  <c r="D188" i="10"/>
  <c r="E188" i="10"/>
  <c r="L18" i="12" s="1"/>
  <c r="D189" i="10"/>
  <c r="E189" i="10"/>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93" i="10"/>
  <c r="E193" i="10"/>
  <c r="F193" i="10"/>
  <c r="D194" i="10"/>
  <c r="E194" i="10"/>
  <c r="F194" i="10"/>
  <c r="D195" i="10"/>
  <c r="E195" i="10"/>
  <c r="F195" i="10"/>
  <c r="D197" i="10"/>
  <c r="E197" i="10"/>
  <c r="F197" i="10"/>
  <c r="D198" i="10"/>
  <c r="E198" i="10"/>
  <c r="F198"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H18" i="12"/>
  <c r="I18" i="12"/>
  <c r="J18" i="12"/>
  <c r="M18" i="12"/>
  <c r="N18" i="12"/>
  <c r="O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29" i="11"/>
  <c r="F29" i="11"/>
  <c r="G29" i="11"/>
  <c r="E30" i="11"/>
  <c r="F30" i="11"/>
  <c r="G30" i="11"/>
  <c r="E31" i="11"/>
  <c r="F31" i="11"/>
  <c r="G31" i="11"/>
  <c r="E32" i="11"/>
  <c r="F32" i="11"/>
  <c r="G32"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<sst xmlns="http://schemas.openxmlformats.org/spreadsheetml/2006/main" count="27088" uniqueCount="4025">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</sst>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12.125</c:v>
                </c:pt>
                <c:pt idx="1">
                  <c:v>14.233333333333334</c:v>
                </c:pt>
                <c:pt idx="2">
                  <c:v>26.681818181818183</c:v>
                </c:pt>
                <c:pt idx="3">
                  <c:v>66.712500000000006</c:v>
                </c:pt>
                <c:pt idx="4">
                  <c:v>49.5</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16.0625</c:v>
                </c:pt>
                <c:pt idx="1">
                  <c:v>21.916666666666664</c:v>
                </c:pt>
                <c:pt idx="2">
                  <c:v>207.45454545454547</c:v>
                </c:pt>
                <c:pt idx="3">
                  <c:v>189.14791666666665</c:v>
                </c:pt>
                <c:pt idx="4">
                  <c:v>261.19444444444446</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c:v>
                </c:pt>
                <c:pt idx="1">
                  <c:v>21.591666666666665</c:v>
                </c:pt>
                <c:pt idx="2">
                  <c:v>340.96969696969694</c:v>
                </c:pt>
                <c:pt idx="3">
                  <c:v>233.36041666666665</c:v>
                </c:pt>
                <c:pt idx="4">
                  <c:v>423.61111111111109</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APIN</v>
      </c>
      <c r="E2" s="311"/>
      <c r="F2" s="311"/>
      <c r="G2" s="311"/>
      <c r="H2" s="311"/>
      <c r="I2" s="311"/>
      <c r="J2" s="312"/>
      <c r="K2" s="313" t="s">
        <v>4022</v>
      </c>
      <c r="L2" s="314"/>
      <c r="M2" s="314"/>
      <c r="N2" s="314"/>
      <c r="O2" s="315" t="str">
        <f>Worksheet!M18</f>
        <v>John Doe</v>
      </c>
      <c r="P2" s="316"/>
      <c r="Q2" s="316"/>
      <c r="R2" s="316"/>
      <c r="S2" s="316"/>
      <c r="T2" s="317"/>
    </row>
    <row r="3" spans="1:20" ht="24" thickBot="1" x14ac:dyDescent="0.4">
      <c r="A3" s="307" t="s">
        <v>94</v>
      </c>
      <c r="B3" s="308" t="s">
        <v>1</v>
      </c>
      <c r="C3" s="309"/>
      <c r="D3" s="310" t="str">
        <f>Worksheet!R2</f>
        <v>Lagos</v>
      </c>
      <c r="E3" s="311"/>
      <c r="F3" s="311"/>
      <c r="G3" s="311"/>
      <c r="H3" s="311"/>
      <c r="I3" s="311"/>
      <c r="J3" s="312"/>
      <c r="K3" s="313" t="s">
        <v>3969</v>
      </c>
      <c r="L3" s="314"/>
      <c r="M3" s="314"/>
      <c r="N3" s="314"/>
      <c r="O3" s="315" t="str">
        <f>Worksheet!W18</f>
        <v>10th Feb 2017</v>
      </c>
      <c r="P3" s="316"/>
      <c r="Q3" s="316"/>
      <c r="R3" s="316"/>
      <c r="S3" s="316"/>
      <c r="T3" s="317"/>
    </row>
    <row r="4" spans="1:20" ht="24" thickBot="1" x14ac:dyDescent="0.4">
      <c r="A4" s="307" t="s">
        <v>93</v>
      </c>
      <c r="B4" s="308"/>
      <c r="C4" s="309" t="s">
        <v>3</v>
      </c>
      <c r="D4" s="310" t="str">
        <f>Worksheet!T2</f>
        <v>la Mushin</v>
      </c>
      <c r="E4" s="311"/>
      <c r="F4" s="311"/>
      <c r="G4" s="311"/>
      <c r="H4" s="311"/>
      <c r="I4" s="311"/>
      <c r="J4" s="312"/>
      <c r="K4" s="313" t="s">
        <v>4023</v>
      </c>
      <c r="L4" s="314"/>
      <c r="M4" s="314"/>
      <c r="N4" s="314"/>
      <c r="O4" s="315" t="str">
        <f>Worksheet!M19</f>
        <v>Mary Doe</v>
      </c>
      <c r="P4" s="316"/>
      <c r="Q4" s="316"/>
      <c r="R4" s="316"/>
      <c r="S4" s="316"/>
      <c r="T4" s="317"/>
    </row>
    <row r="5" spans="1:20" ht="24" thickBot="1" x14ac:dyDescent="0.4">
      <c r="A5" s="307" t="s">
        <v>92</v>
      </c>
      <c r="B5" s="308"/>
      <c r="C5" s="309" t="s">
        <v>6</v>
      </c>
      <c r="D5" s="310" t="str">
        <f>Worksheet!V2</f>
        <v>Palm Avenue Primary Health Center</v>
      </c>
      <c r="E5" s="311"/>
      <c r="F5" s="311"/>
      <c r="G5" s="311"/>
      <c r="H5" s="311"/>
      <c r="I5" s="311"/>
      <c r="J5" s="312"/>
      <c r="K5" s="313" t="s">
        <v>3969</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3970</v>
      </c>
      <c r="D8" s="152">
        <f ca="1">(SUM('All Questions'!D10:D14)/5)+D12</f>
        <v>30.5</v>
      </c>
      <c r="E8" s="152">
        <f ca="1">SUM('All Questions'!D15:D21)/7+E12</f>
        <v>39.333333333333336</v>
      </c>
      <c r="F8" s="152">
        <f ca="1">SUM('All Questions'!D23:D30)/4+F12</f>
        <v>112.91666666666667</v>
      </c>
      <c r="G8" s="152">
        <f ca="1">SUM('All Questions'!D31:D35)/5+G12</f>
        <v>215.1</v>
      </c>
      <c r="H8" s="153">
        <f ca="1">SUM('All Questions'!D37,'All Questions'!D40)/2+'All Questions'!D26+H12</f>
        <v>155.5</v>
      </c>
      <c r="I8" s="154">
        <f ca="1">(SUM('All Questions'!E10:E14)/5)+I12</f>
        <v>44.75</v>
      </c>
      <c r="J8" s="152">
        <f ca="1">SUM('All Questions'!E15:E21)/7+J12</f>
        <v>69.166666666666657</v>
      </c>
      <c r="K8" s="152">
        <f ca="1">SUM('All Questions'!E23:E30)/4+K12</f>
        <v>1078.6666666666667</v>
      </c>
      <c r="L8" s="152">
        <f ca="1">SUM('All Questions'!E31:E35)/5+L12</f>
        <v>696.8</v>
      </c>
      <c r="M8" s="153">
        <f ca="1">('All Questions'!E37+'All Questions'!E40)/2+'All Questions'!E26+M12</f>
        <v>1093</v>
      </c>
      <c r="N8" s="154">
        <f ca="1">(SUM('All Questions'!F10:F14)/5)+N12</f>
        <v>44.5</v>
      </c>
      <c r="O8" s="152">
        <f ca="1">SUM('All Questions'!F15:F21)/7+O12</f>
        <v>67.166666666666657</v>
      </c>
      <c r="P8" s="152">
        <f ca="1">SUM('All Questions'!F23:F30)/4+P12</f>
        <v>1792.3333333333333</v>
      </c>
      <c r="Q8" s="152">
        <f ca="1">SUM('All Questions'!F31:F35)/5+Q12</f>
        <v>857.15</v>
      </c>
      <c r="R8" s="153">
        <f ca="1">('All Questions'!F37+'All Questions'!F40)/2+'All Questions'!F26+R12</f>
        <v>1797.5</v>
      </c>
      <c r="S8" s="138">
        <f ca="1">'All Questions'!F2</f>
        <v>3512</v>
      </c>
      <c r="T8" s="139">
        <f t="shared" ref="T8:T17" ca="1" si="0">(((SUM(D8:H8)/5)+(SUM(I8:M8)/5)+(SUM(N8:R8)/5)))/S8</f>
        <v>0.46095577069096427</v>
      </c>
    </row>
    <row r="9" spans="1:20" ht="72.599999999999994" customHeight="1" thickBot="1" x14ac:dyDescent="0.3">
      <c r="A9" s="105">
        <v>1.1000000000000001</v>
      </c>
      <c r="B9" s="106" t="s">
        <v>89</v>
      </c>
      <c r="C9" s="107" t="s">
        <v>3971</v>
      </c>
      <c r="D9" s="155"/>
      <c r="E9" s="155"/>
      <c r="F9" s="156">
        <f ca="1">'All Questions'!D29</f>
        <v>1</v>
      </c>
      <c r="G9" s="155"/>
      <c r="H9" s="157"/>
      <c r="I9" s="158"/>
      <c r="J9" s="155"/>
      <c r="K9" s="156">
        <f ca="1">'All Questions'!E29</f>
        <v>16</v>
      </c>
      <c r="L9" s="155"/>
      <c r="M9" s="157"/>
      <c r="N9" s="158"/>
      <c r="O9" s="155"/>
      <c r="P9" s="156">
        <f ca="1">'All Questions'!F29</f>
        <v>13</v>
      </c>
      <c r="Q9" s="155"/>
      <c r="R9" s="157"/>
      <c r="S9" s="138">
        <f ca="1">'All Questions'!F3</f>
        <v>16</v>
      </c>
      <c r="T9" s="140">
        <f t="shared" ca="1" si="0"/>
        <v>0.375</v>
      </c>
    </row>
    <row r="10" spans="1:20" ht="72.599999999999994" customHeight="1" thickBot="1" x14ac:dyDescent="0.3">
      <c r="A10" s="105" t="s">
        <v>141</v>
      </c>
      <c r="B10" s="106" t="s">
        <v>79</v>
      </c>
      <c r="C10" s="107" t="s">
        <v>3972</v>
      </c>
      <c r="D10" s="156">
        <f ca="1">(SUM('All Questions'!D10:D14)/5)</f>
        <v>21</v>
      </c>
      <c r="E10" s="156">
        <f ca="1">SUM('All Questions'!D15:D21)/7</f>
        <v>0</v>
      </c>
      <c r="F10" s="156">
        <f ca="1">(SUM('All Questions'!D23:D24)+SUM('All Questions'!D25:D26)+SUM('All Questions'!D27:D28)+SUM('All Questions'!D29:D30))/4</f>
        <v>86.25</v>
      </c>
      <c r="G10" s="156">
        <f ca="1">SUM('All Questions'!D31:D35)/5</f>
        <v>174.6</v>
      </c>
      <c r="H10" s="159">
        <f ca="1">('All Questions'!D37+'All Questions'!D40)/2+'All Questions'!D26</f>
        <v>115</v>
      </c>
      <c r="I10" s="160">
        <f ca="1">(SUM('All Questions'!E10:E14)/5)</f>
        <v>35</v>
      </c>
      <c r="J10" s="161">
        <f ca="1">SUM('All Questions'!E15:E21)/7</f>
        <v>35</v>
      </c>
      <c r="K10" s="161">
        <f ca="1">(SUM('All Questions'!E23:E24)+SUM('All Questions'!E25:E26)+SUM('All Questions'!E27:E28)+SUM('All Questions'!E29:E30))/4</f>
        <v>1057</v>
      </c>
      <c r="L10" s="161">
        <f ca="1">SUM('All Questions'!E31:E35)/5</f>
        <v>662.8</v>
      </c>
      <c r="M10" s="162">
        <f ca="1">('All Questions'!E37+'All Questions'!E40)/2+'All Questions'!E26</f>
        <v>1057</v>
      </c>
      <c r="N10" s="163">
        <f ca="1">(SUM('All Questions'!F10:F14)/5)</f>
        <v>35</v>
      </c>
      <c r="O10" s="161">
        <f ca="1">SUM('All Questions'!F15:F21)/7</f>
        <v>35</v>
      </c>
      <c r="P10" s="161">
        <f ca="1">(SUM('All Questions'!F23:F24)+SUM('All Questions'!F25:F26)+SUM('All Questions'!F27:F28)+SUM('All Questions'!F29:F30))/4</f>
        <v>1773</v>
      </c>
      <c r="Q10" s="161">
        <f ca="1">SUM('All Questions'!F31:F35)/5</f>
        <v>830.4</v>
      </c>
      <c r="R10" s="162">
        <f ca="1">('All Questions'!F37+'All Questions'!F40)/2+'All Questions'!F26</f>
        <v>1773</v>
      </c>
      <c r="S10" s="138">
        <f ca="1">'All Questions'!F4</f>
        <v>3410</v>
      </c>
      <c r="T10" s="140">
        <f t="shared" ca="1" si="0"/>
        <v>0.45102932551319647</v>
      </c>
    </row>
    <row r="11" spans="1:20" ht="72.599999999999994" customHeight="1" thickBot="1" x14ac:dyDescent="0.3">
      <c r="A11" s="108" t="s">
        <v>3973</v>
      </c>
      <c r="B11" s="109" t="s">
        <v>79</v>
      </c>
      <c r="C11" s="110" t="s">
        <v>88</v>
      </c>
      <c r="D11" s="164"/>
      <c r="E11" s="164"/>
      <c r="F11" s="165">
        <f ca="1">'All Questions'!D29</f>
        <v>1</v>
      </c>
      <c r="G11" s="164"/>
      <c r="H11" s="166"/>
      <c r="I11" s="167"/>
      <c r="J11" s="164"/>
      <c r="K11" s="168">
        <f ca="1">'All Questions'!E29</f>
        <v>16</v>
      </c>
      <c r="L11" s="164"/>
      <c r="M11" s="166"/>
      <c r="N11" s="167"/>
      <c r="O11" s="164"/>
      <c r="P11" s="168">
        <f ca="1">'All Questions'!F29</f>
        <v>13</v>
      </c>
      <c r="Q11" s="164"/>
      <c r="R11" s="166"/>
      <c r="S11" s="138">
        <f ca="1">'All Questions'!F5</f>
        <v>15</v>
      </c>
      <c r="T11" s="141">
        <f t="shared" ca="1" si="0"/>
        <v>0.4</v>
      </c>
    </row>
    <row r="12" spans="1:20" ht="72.599999999999994" customHeight="1" x14ac:dyDescent="0.25">
      <c r="A12" s="111">
        <v>2</v>
      </c>
      <c r="B12" s="112" t="s">
        <v>83</v>
      </c>
      <c r="C12" s="113" t="s">
        <v>3974</v>
      </c>
      <c r="D12" s="169">
        <f ca="1">SUM('All Questions'!D55:D58)/4</f>
        <v>9.5</v>
      </c>
      <c r="E12" s="170">
        <f ca="1">SUM('All Questions'!D60:D75)/6</f>
        <v>39.333333333333336</v>
      </c>
      <c r="F12" s="170">
        <f ca="1">SUM('All Questions'!D67:D72)/3</f>
        <v>26.666666666666668</v>
      </c>
      <c r="G12" s="170">
        <f ca="1">SUM('All Questions'!D73:D80)/4</f>
        <v>40.5</v>
      </c>
      <c r="H12" s="171">
        <f ca="1">SUM('All Questions'!D82:D83)/2</f>
        <v>40.5</v>
      </c>
      <c r="I12" s="172">
        <f ca="1">SUM('All Questions'!E55:E58)/4</f>
        <v>9.75</v>
      </c>
      <c r="J12" s="173">
        <f ca="1">SUM('All Questions'!E60:E75)/6</f>
        <v>34.166666666666664</v>
      </c>
      <c r="K12" s="173">
        <f ca="1">SUM('All Questions'!E67:E72)/3</f>
        <v>21.666666666666668</v>
      </c>
      <c r="L12" s="173">
        <f ca="1">SUM('All Questions'!E73:E80)/4</f>
        <v>34</v>
      </c>
      <c r="M12" s="174">
        <f ca="1">SUM('All Questions'!E82:E83)/2</f>
        <v>36</v>
      </c>
      <c r="N12" s="175">
        <f ca="1">SUM('All Questions'!F55:F58)/4</f>
        <v>9.5</v>
      </c>
      <c r="O12" s="173">
        <f ca="1">SUM('All Questions'!F60:F75)/6</f>
        <v>32.166666666666664</v>
      </c>
      <c r="P12" s="173">
        <f ca="1">SUM('All Questions'!F67:F72)/3</f>
        <v>19.333333333333332</v>
      </c>
      <c r="Q12" s="173">
        <f ca="1">SUM('All Questions'!F73:F80)/4</f>
        <v>26.75</v>
      </c>
      <c r="R12" s="174">
        <f ca="1">SUM('All Questions'!F82:F83)/2</f>
        <v>24.5</v>
      </c>
      <c r="S12" s="142">
        <f ca="1">'All Questions'!F46</f>
        <v>102</v>
      </c>
      <c r="T12" s="143">
        <f t="shared" ca="1" si="0"/>
        <v>0.79281045751633983</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1</v>
      </c>
      <c r="L13" s="179"/>
      <c r="M13" s="181">
        <f ca="1">SUM('All Questions'!E85:E86)/2</f>
        <v>1</v>
      </c>
      <c r="N13" s="182"/>
      <c r="O13" s="179"/>
      <c r="P13" s="180">
        <f ca="1">'All Questions'!F72</f>
        <v>0</v>
      </c>
      <c r="Q13" s="179"/>
      <c r="R13" s="181">
        <f ca="1">SUM('All Questions'!F85:F86)/2</f>
        <v>0</v>
      </c>
      <c r="S13" s="142">
        <f ca="1">'All Questions'!F47</f>
        <v>1</v>
      </c>
      <c r="T13" s="144">
        <f t="shared" ca="1" si="0"/>
        <v>0.4</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0.25</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29</v>
      </c>
      <c r="Q14" s="180">
        <f ca="1">SUM('All Questions'!F74,'All Questions'!F76,'All Questions'!F78,'All Questions'!F80)/4</f>
        <v>0.75</v>
      </c>
      <c r="R14" s="181">
        <f ca="1">SUM('All Questions'!F88:F89)/2</f>
        <v>0.5</v>
      </c>
      <c r="S14" s="142">
        <f ca="1">'All Questions'!F48</f>
        <v>1</v>
      </c>
      <c r="T14" s="144">
        <f t="shared" ca="1" si="0"/>
        <v>6.2</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2</v>
      </c>
      <c r="J15" s="161">
        <f ca="1">SUM('All Questions'!E121+'All Questions'!E124)/2</f>
        <v>2</v>
      </c>
      <c r="K15" s="161">
        <f ca="1">SUM('All Questions'!E126:E130)/2</f>
        <v>2</v>
      </c>
      <c r="L15" s="161">
        <f ca="1">SUM('All Questions'!E131:E133)/3</f>
        <v>1.3333333333333333</v>
      </c>
      <c r="M15" s="162">
        <f ca="1">SUM('All Questions'!E135+'All Questions'!E138)</f>
        <v>2</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2</v>
      </c>
      <c r="T15" s="144">
        <f ca="1">(((SUM(D15:H15)/5)+(SUM(I15:M15)/5)+(SUM(N15:R15)/5)))/S15</f>
        <v>0.93333333333333324</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1</v>
      </c>
      <c r="L16" s="191">
        <f ca="1">SUM('All Questions'!E106:E108)/3</f>
        <v>1</v>
      </c>
      <c r="M16" s="192">
        <f ca="1">SUM('All Questions'!E111+'All Questions'!E112+'All Questions'!E114+'All Questions'!E115)/4</f>
        <v>0.75</v>
      </c>
      <c r="N16" s="193">
        <f ca="1">SUM('All Questions'!F93:F94)/2</f>
        <v>1</v>
      </c>
      <c r="O16" s="191">
        <f ca="1">SUM('All Questions'!F97:F100)/4</f>
        <v>1</v>
      </c>
      <c r="P16" s="191">
        <f ca="1">SUM('All Questions'!F101:F105)/2</f>
        <v>1</v>
      </c>
      <c r="Q16" s="191">
        <f ca="1">SUM('All Questions'!F106:F108)/3</f>
        <v>0.33333333333333331</v>
      </c>
      <c r="R16" s="192">
        <f ca="1">SUM('All Questions'!F111+'All Questions'!F112+'All Questions'!F114+'All Questions'!F115)/4</f>
        <v>0</v>
      </c>
      <c r="S16" s="146">
        <f ca="1">'All Questions'!F91</f>
        <v>2</v>
      </c>
      <c r="T16" s="147">
        <f t="shared" ca="1" si="0"/>
        <v>0.80833333333333335</v>
      </c>
    </row>
    <row r="17" spans="1:20" ht="72.599999999999994" customHeight="1" x14ac:dyDescent="0.25">
      <c r="A17" s="102">
        <v>5</v>
      </c>
      <c r="B17" s="103" t="s">
        <v>90</v>
      </c>
      <c r="C17" s="118" t="s">
        <v>74</v>
      </c>
      <c r="D17" s="154">
        <f ca="1">SUM('All Questions'!D144:D146)/3</f>
        <v>15</v>
      </c>
      <c r="E17" s="152">
        <f ca="1">SUM('All Questions'!D147:D150)/4</f>
        <v>15</v>
      </c>
      <c r="F17" s="152">
        <f ca="1">SUM('All Questions'!D144:D146)/3</f>
        <v>15</v>
      </c>
      <c r="G17" s="152">
        <f ca="1">SUM('All Questions'!D155:D157)/3</f>
        <v>18</v>
      </c>
      <c r="H17" s="194">
        <f ca="1">SUM('All Questions'!D160+'All Questions'!D163)/2</f>
        <v>18</v>
      </c>
      <c r="I17" s="195">
        <f ca="1">SUM('All Questions'!E144:E146)/3</f>
        <v>15</v>
      </c>
      <c r="J17" s="196">
        <f ca="1">SUM('All Questions'!E147:E150)/4</f>
        <v>15</v>
      </c>
      <c r="K17" s="196">
        <f ca="1">SUM('All Questions'!E151:E154)/2</f>
        <v>27</v>
      </c>
      <c r="L17" s="196">
        <f ca="1">SUM('All Questions'!E155:E157)/3</f>
        <v>27</v>
      </c>
      <c r="M17" s="194">
        <f ca="1">SUM('All Questions'!E160+'All Questions'!E163)/2</f>
        <v>27</v>
      </c>
      <c r="N17" s="197">
        <f ca="1">SUM('All Questions'!F144:F146)/3</f>
        <v>16</v>
      </c>
      <c r="O17" s="196">
        <f ca="1">SUM('All Questions'!F147:F150)/4</f>
        <v>16</v>
      </c>
      <c r="P17" s="196">
        <f ca="1">SUM('All Questions'!F151:F154)/2</f>
        <v>36</v>
      </c>
      <c r="Q17" s="196">
        <f ca="1">SUM('All Questions'!F155:F157)/3</f>
        <v>36</v>
      </c>
      <c r="R17" s="196">
        <f ca="1">SUM('All Questions'!F160+'All Questions'!F163)/2</f>
        <v>36</v>
      </c>
      <c r="S17" s="148">
        <f ca="1">'All Questions'!F141</f>
        <v>77</v>
      </c>
      <c r="T17" s="139">
        <f t="shared" ca="1" si="0"/>
        <v>0.8623376623376624</v>
      </c>
    </row>
    <row r="18" spans="1:20" ht="72.599999999999994" customHeight="1" thickBot="1" x14ac:dyDescent="0.3">
      <c r="A18" s="108">
        <v>6</v>
      </c>
      <c r="B18" s="109" t="s">
        <v>91</v>
      </c>
      <c r="C18" s="119" t="s">
        <v>75</v>
      </c>
      <c r="D18" s="198">
        <f ca="1">SUM('All Questions'!D171:D174)/4</f>
        <v>21</v>
      </c>
      <c r="E18" s="165">
        <f ca="1">SUM('All Questions'!D175:D179)/5</f>
        <v>20.2</v>
      </c>
      <c r="F18" s="165">
        <f>((SUM('All Questions'!D181+'All Questions'!D182)/2)+(SUM('All Questions'!D183+'All Questions'!D184)/2)+'All Questions'!D185)/3</f>
        <v>50.666666666666664</v>
      </c>
      <c r="G18" s="165">
        <f>SUM('All Questions'!D186:D189)/4</f>
        <v>85.25</v>
      </c>
      <c r="H18" s="199">
        <f ca="1">('All Questions'!D191-('All Questions'!D194+'All Questions'!D197+'All Questions'!D200))</f>
        <v>116</v>
      </c>
      <c r="I18" s="200">
        <f ca="1">SUM('All Questions'!E171:E174)/4</f>
        <v>21</v>
      </c>
      <c r="J18" s="201">
        <f ca="1">SUM('All Questions'!E175:E179)/5</f>
        <v>19</v>
      </c>
      <c r="K18" s="201">
        <f>((SUM('All Questions'!E181+'All Questions'!E182)/2)+(SUM('All Questions'!E183+'All Questions'!E184)/2)+'All Questions'!E185)/3</f>
        <v>61.666666666666664</v>
      </c>
      <c r="L18" s="201">
        <f>SUM('All Questions'!E186:E189)/4</f>
        <v>90.25</v>
      </c>
      <c r="M18" s="199">
        <f ca="1">('All Questions'!E191-('All Questions'!E194+'All Questions'!E197+'All Questions'!E200))</f>
        <v>134</v>
      </c>
      <c r="N18" s="202">
        <f ca="1">SUM('All Questions'!F171:F174)/4</f>
        <v>22</v>
      </c>
      <c r="O18" s="201">
        <f ca="1">SUM('All Questions'!F175:F179)/5</f>
        <v>21.4</v>
      </c>
      <c r="P18" s="201">
        <f>((SUM('All Questions'!F181+'All Questions'!F182)/2)+(SUM('All Questions'!F183+'All Questions'!F184)/2)+'All Questions'!F185)/3</f>
        <v>74</v>
      </c>
      <c r="Q18" s="201">
        <f>SUM('All Questions'!F186:F189)/4</f>
        <v>115.5</v>
      </c>
      <c r="R18" s="203">
        <f ca="1">('All Questions'!F191-('All Questions'!F194+'All Questions'!F197+'All Questions'!F200))</f>
        <v>181</v>
      </c>
      <c r="S18" s="149">
        <f ca="1">'All Questions'!F166</f>
        <v>149</v>
      </c>
      <c r="T18" s="141">
        <f ca="1">(((SUM(F18:H18)/3)+(SUM(K18:M18)/3)+(SUM(P18:R18)/3)))/S18</f>
        <v>2.0320656226696494</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Y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32">
        <v>20170218</v>
      </c>
      <c r="G1" s="333"/>
      <c r="H1" s="63"/>
      <c r="I1" s="63"/>
      <c r="J1" s="63"/>
      <c r="K1" s="335" t="s">
        <v>4024</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3804</v>
      </c>
      <c r="C2" s="218" t="s">
        <v>4008</v>
      </c>
      <c r="D2" s="219" t="s">
        <v>3978</v>
      </c>
      <c r="E2" s="220"/>
      <c r="F2" s="221" t="s">
        <v>4009</v>
      </c>
      <c r="G2" s="222"/>
      <c r="H2" s="223"/>
      <c r="I2" s="63"/>
      <c r="J2" s="63"/>
      <c r="K2" s="334" t="s">
        <v>157</v>
      </c>
      <c r="L2" s="334"/>
      <c r="M2" s="66" t="s">
        <v>91</v>
      </c>
      <c r="N2" s="334" t="s">
        <v>158</v>
      </c>
      <c r="O2" s="334"/>
      <c r="P2" s="66" t="s">
        <v>570</v>
      </c>
      <c r="Q2" s="301" t="s">
        <v>1</v>
      </c>
      <c r="R2" s="66" t="s">
        <v>185</v>
      </c>
      <c r="S2" s="301" t="s">
        <v>3</v>
      </c>
      <c r="T2" s="66" t="s">
        <v>735</v>
      </c>
      <c r="U2" s="67" t="s">
        <v>159</v>
      </c>
      <c r="V2" s="66" t="s">
        <v>1133</v>
      </c>
      <c r="W2" s="66"/>
      <c r="X2" s="67" t="s">
        <v>160</v>
      </c>
      <c r="Y2" s="66" t="s">
        <v>149</v>
      </c>
      <c r="Z2" s="96" t="s">
        <v>3803</v>
      </c>
      <c r="AA2" s="68" t="str">
        <f>VLOOKUP(V2,[2]Data_donotedit!AY2:AZ1504,2,FALSE)</f>
        <v>LZC72BhBZBd</v>
      </c>
      <c r="AB2" s="68"/>
      <c r="AC2" s="68"/>
      <c r="AD2" s="68"/>
    </row>
    <row r="3" spans="1:30" ht="40.15" customHeight="1" x14ac:dyDescent="0.25">
      <c r="A3" s="63"/>
      <c r="B3" s="224"/>
      <c r="C3" s="279" t="s">
        <v>91</v>
      </c>
      <c r="D3" s="258" t="s">
        <v>3996</v>
      </c>
      <c r="E3" s="226"/>
      <c r="F3" s="229"/>
      <c r="G3" s="304">
        <f ca="1">_xlfn.IFNA(VLOOKUP(C3,Worksheet!$C$3:$G$46,5,FALSE),G3)</f>
        <v>149</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4018</v>
      </c>
      <c r="D4" s="258" t="s">
        <v>3997</v>
      </c>
      <c r="E4" s="226"/>
      <c r="F4" s="229"/>
      <c r="G4" s="235">
        <f ca="1">_xlfn.IFNA(VLOOKUP(G3,Data_donotedit!$BE$2:$BG$25,3,TRUE),0)</f>
        <v>64</v>
      </c>
      <c r="H4" s="205" t="s">
        <v>91</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79"/>
      <c r="D5" s="260" t="s">
        <v>3948</v>
      </c>
      <c r="E5" s="238" t="s">
        <v>76</v>
      </c>
      <c r="F5" s="239" t="s">
        <v>77</v>
      </c>
      <c r="G5" s="239" t="s">
        <v>78</v>
      </c>
      <c r="H5" s="205" t="s">
        <v>91</v>
      </c>
      <c r="I5" s="63"/>
      <c r="J5" s="63"/>
      <c r="K5" s="341"/>
      <c r="L5" s="339" t="s">
        <v>82</v>
      </c>
      <c r="M5" s="340"/>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36">
        <v>1611</v>
      </c>
      <c r="D6" s="240" t="s">
        <v>3927</v>
      </c>
      <c r="E6" s="305">
        <f ca="1">_xlfn.IFNA(VLOOKUP(C6,Worksheet!$C$3:$G$46,3,FALSE),E6)</f>
        <v>1</v>
      </c>
      <c r="F6" s="305">
        <f ca="1">_xlfn.IFNA(VLOOKUP(C6,Worksheet!$C$3:$G$46,4,FALSE),F6)</f>
        <v>1</v>
      </c>
      <c r="G6" s="305">
        <f ca="1">_xlfn.IFNA(VLOOKUP(C6,Worksheet!$C$3:$G$46,5,FALSE),G6)</f>
        <v>1</v>
      </c>
      <c r="H6" s="205" t="s">
        <v>91</v>
      </c>
      <c r="I6" s="63"/>
      <c r="J6" s="63"/>
      <c r="K6" s="132" t="s">
        <v>89</v>
      </c>
      <c r="L6" s="342" t="s">
        <v>3970</v>
      </c>
      <c r="M6" s="343"/>
      <c r="N6" s="71">
        <v>30.5</v>
      </c>
      <c r="O6" s="71">
        <v>39.333333333333336</v>
      </c>
      <c r="P6" s="71">
        <v>112.91666666666667</v>
      </c>
      <c r="Q6" s="71">
        <v>215.1</v>
      </c>
      <c r="R6" s="72">
        <v>155.5</v>
      </c>
      <c r="S6" s="71">
        <v>44.75</v>
      </c>
      <c r="T6" s="71">
        <v>69.166666666666657</v>
      </c>
      <c r="U6" s="71">
        <v>1078.6666666666667</v>
      </c>
      <c r="V6" s="71">
        <v>696.8</v>
      </c>
      <c r="W6" s="72">
        <v>1093</v>
      </c>
      <c r="X6" s="71">
        <v>44.5</v>
      </c>
      <c r="Y6" s="71">
        <v>67.166666666666657</v>
      </c>
      <c r="Z6" s="71">
        <v>1792.3333333333333</v>
      </c>
      <c r="AA6" s="71">
        <v>857.15</v>
      </c>
      <c r="AB6" s="71">
        <v>1797.5</v>
      </c>
      <c r="AC6" s="73">
        <v>3512</v>
      </c>
      <c r="AD6" s="74">
        <v>0.46095577069096427</v>
      </c>
    </row>
    <row r="7" spans="1:30" ht="40.15" customHeight="1" x14ac:dyDescent="0.25">
      <c r="A7" s="63"/>
      <c r="B7" s="224"/>
      <c r="C7" s="236">
        <v>1612</v>
      </c>
      <c r="D7" s="240" t="s">
        <v>3949</v>
      </c>
      <c r="E7" s="305">
        <f ca="1">_xlfn.IFNA(VLOOKUP(C7,Worksheet!$C$3:$G$46,3,FALSE),E7)</f>
        <v>142</v>
      </c>
      <c r="F7" s="305">
        <f ca="1">_xlfn.IFNA(VLOOKUP(C7,Worksheet!$C$3:$G$46,4,FALSE),F7)</f>
        <v>142</v>
      </c>
      <c r="G7" s="305">
        <f ca="1">_xlfn.IFNA(VLOOKUP(C7,Worksheet!$C$3:$G$46,5,FALSE),G7)</f>
        <v>142</v>
      </c>
      <c r="H7" s="205" t="s">
        <v>91</v>
      </c>
      <c r="I7" s="63"/>
      <c r="J7" s="65"/>
      <c r="K7" s="59" t="s">
        <v>89</v>
      </c>
      <c r="L7" s="344" t="s">
        <v>3971</v>
      </c>
      <c r="M7" s="345"/>
      <c r="N7" s="133"/>
      <c r="O7" s="133"/>
      <c r="P7" s="78">
        <v>1</v>
      </c>
      <c r="Q7" s="133"/>
      <c r="R7" s="134"/>
      <c r="S7" s="133"/>
      <c r="T7" s="133"/>
      <c r="U7" s="78">
        <v>16</v>
      </c>
      <c r="V7" s="133"/>
      <c r="W7" s="134"/>
      <c r="X7" s="133"/>
      <c r="Y7" s="133"/>
      <c r="Z7" s="78">
        <v>13</v>
      </c>
      <c r="AA7" s="133"/>
      <c r="AB7" s="133"/>
      <c r="AC7" s="80">
        <v>16</v>
      </c>
      <c r="AD7" s="81">
        <v>0.375</v>
      </c>
    </row>
    <row r="8" spans="1:30" ht="40.15" customHeight="1" x14ac:dyDescent="0.25">
      <c r="A8" s="63"/>
      <c r="B8" s="224"/>
      <c r="C8" s="236">
        <v>1613</v>
      </c>
      <c r="D8" s="240" t="s">
        <v>3928</v>
      </c>
      <c r="E8" s="305">
        <f ca="1">_xlfn.IFNA(VLOOKUP(C8,Worksheet!$C$3:$G$46,3,FALSE),E8)</f>
        <v>21</v>
      </c>
      <c r="F8" s="305">
        <f ca="1">_xlfn.IFNA(VLOOKUP(C8,Worksheet!$C$3:$G$46,4,FALSE),F8)</f>
        <v>21</v>
      </c>
      <c r="G8" s="305">
        <f ca="1">_xlfn.IFNA(VLOOKUP(C8,Worksheet!$C$3:$G$46,5,FALSE),G8)</f>
        <v>22</v>
      </c>
      <c r="H8" s="205" t="s">
        <v>91</v>
      </c>
      <c r="I8" s="63"/>
      <c r="J8" s="70"/>
      <c r="K8" s="58" t="s">
        <v>79</v>
      </c>
      <c r="L8" s="357" t="s">
        <v>3972</v>
      </c>
      <c r="M8" s="358"/>
      <c r="N8" s="71">
        <v>21</v>
      </c>
      <c r="O8" s="71">
        <v>0</v>
      </c>
      <c r="P8" s="71">
        <v>86.25</v>
      </c>
      <c r="Q8" s="71">
        <v>174.6</v>
      </c>
      <c r="R8" s="72">
        <v>115</v>
      </c>
      <c r="S8" s="71">
        <v>35</v>
      </c>
      <c r="T8" s="71">
        <v>35</v>
      </c>
      <c r="U8" s="71">
        <v>1057</v>
      </c>
      <c r="V8" s="71">
        <v>662.8</v>
      </c>
      <c r="W8" s="72">
        <v>1057</v>
      </c>
      <c r="X8" s="71">
        <v>35</v>
      </c>
      <c r="Y8" s="71">
        <v>35</v>
      </c>
      <c r="Z8" s="71">
        <v>1773</v>
      </c>
      <c r="AA8" s="71">
        <v>830.4</v>
      </c>
      <c r="AB8" s="71">
        <v>1773</v>
      </c>
      <c r="AC8" s="75">
        <v>3410</v>
      </c>
      <c r="AD8" s="76">
        <v>0.45102932551319647</v>
      </c>
    </row>
    <row r="9" spans="1:30" ht="40.15" customHeight="1" x14ac:dyDescent="0.25">
      <c r="A9" s="63"/>
      <c r="B9" s="224"/>
      <c r="C9" s="236">
        <v>1614</v>
      </c>
      <c r="D9" s="281" t="s">
        <v>3998</v>
      </c>
      <c r="E9" s="305">
        <f ca="1">_xlfn.IFNA(VLOOKUP(C9,Worksheet!$C$3:$G$46,3,FALSE),E9)</f>
        <v>21</v>
      </c>
      <c r="F9" s="305">
        <f ca="1">_xlfn.IFNA(VLOOKUP(C9,Worksheet!$C$3:$G$46,4,FALSE),F9)</f>
        <v>21</v>
      </c>
      <c r="G9" s="305">
        <f ca="1">_xlfn.IFNA(VLOOKUP(C9,Worksheet!$C$3:$G$46,5,FALSE),G9)</f>
        <v>22</v>
      </c>
      <c r="H9" s="205" t="s">
        <v>91</v>
      </c>
      <c r="I9" s="63"/>
      <c r="J9" s="70"/>
      <c r="K9" s="59" t="s">
        <v>79</v>
      </c>
      <c r="L9" s="344" t="s">
        <v>88</v>
      </c>
      <c r="M9" s="345"/>
      <c r="N9" s="133"/>
      <c r="O9" s="133"/>
      <c r="P9" s="78">
        <v>1</v>
      </c>
      <c r="Q9" s="133"/>
      <c r="R9" s="134"/>
      <c r="S9" s="133"/>
      <c r="T9" s="133"/>
      <c r="U9" s="78">
        <v>16</v>
      </c>
      <c r="V9" s="133"/>
      <c r="W9" s="134"/>
      <c r="X9" s="133"/>
      <c r="Y9" s="133"/>
      <c r="Z9" s="78">
        <v>13</v>
      </c>
      <c r="AA9" s="133"/>
      <c r="AB9" s="133"/>
      <c r="AC9" s="80">
        <v>15</v>
      </c>
      <c r="AD9" s="81">
        <v>0.4</v>
      </c>
    </row>
    <row r="10" spans="1:30" ht="40.15" customHeight="1" x14ac:dyDescent="0.25">
      <c r="A10" s="63"/>
      <c r="B10" s="224"/>
      <c r="C10" s="236">
        <v>1615</v>
      </c>
      <c r="D10" s="240" t="s">
        <v>3950</v>
      </c>
      <c r="E10" s="305">
        <f ca="1">_xlfn.IFNA(VLOOKUP(C10,Worksheet!$C$3:$G$46,3,FALSE),E10)</f>
        <v>21</v>
      </c>
      <c r="F10" s="305">
        <f ca="1">_xlfn.IFNA(VLOOKUP(C10,Worksheet!$C$3:$G$46,4,FALSE),F10)</f>
        <v>21</v>
      </c>
      <c r="G10" s="305">
        <f ca="1">_xlfn.IFNA(VLOOKUP(C10,Worksheet!$C$3:$G$46,5,FALSE),G10)</f>
        <v>22</v>
      </c>
      <c r="H10" s="205" t="s">
        <v>91</v>
      </c>
      <c r="I10" s="63"/>
      <c r="J10" s="70"/>
      <c r="K10" s="121" t="s">
        <v>83</v>
      </c>
      <c r="L10" s="359" t="s">
        <v>3974</v>
      </c>
      <c r="M10" s="360"/>
      <c r="N10" s="122">
        <v>9.5</v>
      </c>
      <c r="O10" s="71">
        <v>39.333333333333336</v>
      </c>
      <c r="P10" s="71">
        <v>26.666666666666668</v>
      </c>
      <c r="Q10" s="71">
        <v>40.5</v>
      </c>
      <c r="R10" s="71">
        <v>40.5</v>
      </c>
      <c r="S10" s="122">
        <v>9.75</v>
      </c>
      <c r="T10" s="71">
        <v>34.166666666666664</v>
      </c>
      <c r="U10" s="71">
        <v>21.666666666666668</v>
      </c>
      <c r="V10" s="71">
        <v>34</v>
      </c>
      <c r="W10" s="71">
        <v>36</v>
      </c>
      <c r="X10" s="122">
        <v>9.5</v>
      </c>
      <c r="Y10" s="71">
        <v>32.166666666666664</v>
      </c>
      <c r="Z10" s="71">
        <v>19.333333333333332</v>
      </c>
      <c r="AA10" s="71">
        <v>26.75</v>
      </c>
      <c r="AB10" s="71">
        <v>24.5</v>
      </c>
      <c r="AC10" s="124">
        <v>102</v>
      </c>
      <c r="AD10" s="125">
        <v>0.79281045751633983</v>
      </c>
    </row>
    <row r="11" spans="1:30" ht="50.45" customHeight="1" x14ac:dyDescent="0.25">
      <c r="A11" s="63"/>
      <c r="B11" s="224"/>
      <c r="C11" s="236">
        <v>1616</v>
      </c>
      <c r="D11" s="240" t="s">
        <v>3999</v>
      </c>
      <c r="E11" s="305">
        <f ca="1">_xlfn.IFNA(VLOOKUP(C11,Worksheet!$C$3:$G$46,3,FALSE),E11)</f>
        <v>21</v>
      </c>
      <c r="F11" s="305">
        <f ca="1">_xlfn.IFNA(VLOOKUP(C11,Worksheet!$C$3:$G$46,4,FALSE),F11)</f>
        <v>21</v>
      </c>
      <c r="G11" s="305">
        <f ca="1">_xlfn.IFNA(VLOOKUP(C11,Worksheet!$C$3:$G$46,5,FALSE),G11)</f>
        <v>22</v>
      </c>
      <c r="H11" s="205" t="s">
        <v>91</v>
      </c>
      <c r="I11" s="63"/>
      <c r="J11" s="65"/>
      <c r="K11" s="120" t="s">
        <v>83</v>
      </c>
      <c r="L11" s="361" t="s">
        <v>3975</v>
      </c>
      <c r="M11" s="362"/>
      <c r="N11" s="135"/>
      <c r="O11" s="136"/>
      <c r="P11" s="71">
        <v>0</v>
      </c>
      <c r="Q11" s="136"/>
      <c r="R11" s="71">
        <v>0</v>
      </c>
      <c r="S11" s="135"/>
      <c r="T11" s="136"/>
      <c r="U11" s="71">
        <v>1</v>
      </c>
      <c r="V11" s="136"/>
      <c r="W11" s="71">
        <v>1</v>
      </c>
      <c r="X11" s="135"/>
      <c r="Y11" s="136"/>
      <c r="Z11" s="71">
        <v>0</v>
      </c>
      <c r="AA11" s="136"/>
      <c r="AB11" s="71">
        <v>0</v>
      </c>
      <c r="AC11" s="123">
        <v>1</v>
      </c>
      <c r="AD11" s="126">
        <v>0.4</v>
      </c>
    </row>
    <row r="12" spans="1:30" ht="48.6" customHeight="1" x14ac:dyDescent="0.25">
      <c r="A12" s="63"/>
      <c r="B12" s="224"/>
      <c r="C12" s="236">
        <v>1621</v>
      </c>
      <c r="D12" s="240" t="s">
        <v>4000</v>
      </c>
      <c r="E12" s="305">
        <f ca="1">_xlfn.IFNA(VLOOKUP(C12,Worksheet!$C$3:$G$46,3,FALSE),E12)</f>
        <v>21</v>
      </c>
      <c r="F12" s="305">
        <f ca="1">_xlfn.IFNA(VLOOKUP(C12,Worksheet!$C$3:$G$46,4,FALSE),F12)</f>
        <v>21</v>
      </c>
      <c r="G12" s="305">
        <f ca="1">_xlfn.IFNA(VLOOKUP(C12,Worksheet!$C$3:$G$46,5,FALSE),G12)</f>
        <v>22</v>
      </c>
      <c r="H12" s="205" t="s">
        <v>91</v>
      </c>
      <c r="I12" s="63"/>
      <c r="J12" s="65"/>
      <c r="K12" s="127" t="s">
        <v>83</v>
      </c>
      <c r="L12" s="353" t="s">
        <v>3976</v>
      </c>
      <c r="M12" s="363"/>
      <c r="N12" s="77">
        <v>0</v>
      </c>
      <c r="O12" s="78">
        <v>0</v>
      </c>
      <c r="P12" s="78">
        <v>0</v>
      </c>
      <c r="Q12" s="78">
        <v>0.25</v>
      </c>
      <c r="R12" s="78">
        <v>0.5</v>
      </c>
      <c r="S12" s="77">
        <v>0</v>
      </c>
      <c r="T12" s="78">
        <v>0</v>
      </c>
      <c r="U12" s="78">
        <v>0</v>
      </c>
      <c r="V12" s="78">
        <v>0</v>
      </c>
      <c r="W12" s="78">
        <v>0</v>
      </c>
      <c r="X12" s="77">
        <v>0</v>
      </c>
      <c r="Y12" s="78">
        <v>0</v>
      </c>
      <c r="Z12" s="78">
        <v>29</v>
      </c>
      <c r="AA12" s="78">
        <v>0.75</v>
      </c>
      <c r="AB12" s="78">
        <v>0.5</v>
      </c>
      <c r="AC12" s="128">
        <v>1</v>
      </c>
      <c r="AD12" s="129">
        <v>6.2</v>
      </c>
    </row>
    <row r="13" spans="1:30" ht="48.6" customHeight="1" x14ac:dyDescent="0.25">
      <c r="A13" s="63"/>
      <c r="B13" s="224"/>
      <c r="C13" s="236">
        <v>1622</v>
      </c>
      <c r="D13" s="240" t="s">
        <v>4001</v>
      </c>
      <c r="E13" s="305">
        <f ca="1">_xlfn.IFNA(VLOOKUP(C13,Worksheet!$C$3:$G$46,3,FALSE),E13)</f>
        <v>21</v>
      </c>
      <c r="F13" s="305">
        <f ca="1">_xlfn.IFNA(VLOOKUP(C13,Worksheet!$C$3:$G$46,4,FALSE),F13)</f>
        <v>21</v>
      </c>
      <c r="G13" s="305">
        <f ca="1">_xlfn.IFNA(VLOOKUP(C13,Worksheet!$C$3:$G$46,5,FALSE),G13)</f>
        <v>22</v>
      </c>
      <c r="H13" s="205" t="s">
        <v>91</v>
      </c>
      <c r="I13" s="63"/>
      <c r="J13" s="65"/>
      <c r="K13" s="60" t="s">
        <v>86</v>
      </c>
      <c r="L13" s="351" t="s">
        <v>87</v>
      </c>
      <c r="M13" s="356"/>
      <c r="N13" s="82">
        <v>0</v>
      </c>
      <c r="O13" s="83">
        <v>0</v>
      </c>
      <c r="P13" s="83">
        <v>0</v>
      </c>
      <c r="Q13" s="83">
        <v>0</v>
      </c>
      <c r="R13" s="83">
        <v>0</v>
      </c>
      <c r="S13" s="82">
        <v>2</v>
      </c>
      <c r="T13" s="83">
        <v>2</v>
      </c>
      <c r="U13" s="83">
        <v>2</v>
      </c>
      <c r="V13" s="83">
        <v>1.3333333333333333</v>
      </c>
      <c r="W13" s="84">
        <v>2</v>
      </c>
      <c r="X13" s="83">
        <v>0</v>
      </c>
      <c r="Y13" s="83">
        <v>0</v>
      </c>
      <c r="Z13" s="83">
        <v>0</v>
      </c>
      <c r="AA13" s="83">
        <v>0</v>
      </c>
      <c r="AB13" s="83">
        <v>0</v>
      </c>
      <c r="AC13" s="130">
        <v>2</v>
      </c>
      <c r="AD13" s="131">
        <v>0.93333333333333324</v>
      </c>
    </row>
    <row r="14" spans="1:30" ht="40.15" customHeight="1" x14ac:dyDescent="0.25">
      <c r="A14" s="63"/>
      <c r="B14" s="224"/>
      <c r="C14" s="236">
        <v>1623</v>
      </c>
      <c r="D14" s="240" t="s">
        <v>4002</v>
      </c>
      <c r="E14" s="305">
        <f ca="1">_xlfn.IFNA(VLOOKUP(C14,Worksheet!$C$3:$G$46,3,FALSE),E14)</f>
        <v>21</v>
      </c>
      <c r="F14" s="305">
        <f ca="1">_xlfn.IFNA(VLOOKUP(C14,Worksheet!$C$3:$G$46,4,FALSE),F14)</f>
        <v>21</v>
      </c>
      <c r="G14" s="305">
        <f ca="1">_xlfn.IFNA(VLOOKUP(C14,Worksheet!$C$3:$G$46,5,FALSE),G14)</f>
        <v>22</v>
      </c>
      <c r="H14" s="205" t="s">
        <v>91</v>
      </c>
      <c r="I14" s="63"/>
      <c r="J14" s="70"/>
      <c r="K14" s="59" t="s">
        <v>84</v>
      </c>
      <c r="L14" s="353" t="s">
        <v>85</v>
      </c>
      <c r="M14" s="354"/>
      <c r="N14" s="77">
        <v>0</v>
      </c>
      <c r="O14" s="78">
        <v>0</v>
      </c>
      <c r="P14" s="78">
        <v>0</v>
      </c>
      <c r="Q14" s="78">
        <v>0</v>
      </c>
      <c r="R14" s="79">
        <v>0</v>
      </c>
      <c r="S14" s="78">
        <v>1</v>
      </c>
      <c r="T14" s="78">
        <v>1</v>
      </c>
      <c r="U14" s="78">
        <v>1</v>
      </c>
      <c r="V14" s="78">
        <v>1</v>
      </c>
      <c r="W14" s="79">
        <v>0.75</v>
      </c>
      <c r="X14" s="78">
        <v>1</v>
      </c>
      <c r="Y14" s="78">
        <v>1</v>
      </c>
      <c r="Z14" s="78">
        <v>1</v>
      </c>
      <c r="AA14" s="78">
        <v>0.33333333333333331</v>
      </c>
      <c r="AB14" s="78">
        <v>0</v>
      </c>
      <c r="AC14" s="80">
        <v>2</v>
      </c>
      <c r="AD14" s="81">
        <v>0.80833333333333335</v>
      </c>
    </row>
    <row r="15" spans="1:30" ht="47.45" customHeight="1" x14ac:dyDescent="0.25">
      <c r="A15" s="63"/>
      <c r="B15" s="224"/>
      <c r="C15" s="236">
        <v>1624</v>
      </c>
      <c r="D15" s="240" t="s">
        <v>4003</v>
      </c>
      <c r="E15" s="305">
        <f ca="1">_xlfn.IFNA(VLOOKUP(C15,Worksheet!$C$3:$G$46,3,FALSE),E15)</f>
        <v>17</v>
      </c>
      <c r="F15" s="305">
        <f ca="1">_xlfn.IFNA(VLOOKUP(C15,Worksheet!$C$3:$G$46,4,FALSE),F15)</f>
        <v>11</v>
      </c>
      <c r="G15" s="305">
        <f ca="1">_xlfn.IFNA(VLOOKUP(C15,Worksheet!$C$3:$G$46,5,FALSE),G15)</f>
        <v>19</v>
      </c>
      <c r="H15" s="205" t="s">
        <v>91</v>
      </c>
      <c r="I15" s="63"/>
      <c r="J15" s="70"/>
      <c r="K15" s="60" t="s">
        <v>90</v>
      </c>
      <c r="L15" s="351" t="s">
        <v>74</v>
      </c>
      <c r="M15" s="352"/>
      <c r="N15" s="82">
        <v>15</v>
      </c>
      <c r="O15" s="83">
        <v>15</v>
      </c>
      <c r="P15" s="83">
        <v>15</v>
      </c>
      <c r="Q15" s="83">
        <v>18</v>
      </c>
      <c r="R15" s="84">
        <v>18</v>
      </c>
      <c r="S15" s="83">
        <v>15</v>
      </c>
      <c r="T15" s="83">
        <v>15</v>
      </c>
      <c r="U15" s="83">
        <v>27</v>
      </c>
      <c r="V15" s="83">
        <v>27</v>
      </c>
      <c r="W15" s="84">
        <v>27</v>
      </c>
      <c r="X15" s="83">
        <v>16</v>
      </c>
      <c r="Y15" s="83">
        <v>16</v>
      </c>
      <c r="Z15" s="83">
        <v>36</v>
      </c>
      <c r="AA15" s="83">
        <v>36</v>
      </c>
      <c r="AB15" s="83">
        <v>36</v>
      </c>
      <c r="AC15" s="85">
        <v>77</v>
      </c>
      <c r="AD15" s="86">
        <v>0.8623376623376624</v>
      </c>
    </row>
    <row r="16" spans="1:30" ht="40.15" customHeight="1" x14ac:dyDescent="0.25">
      <c r="A16" s="63"/>
      <c r="B16" s="224"/>
      <c r="C16" s="236">
        <v>1625</v>
      </c>
      <c r="D16" s="240" t="s">
        <v>3951</v>
      </c>
      <c r="E16" s="305">
        <f ca="1">_xlfn.IFNA(VLOOKUP(C16,Worksheet!$C$3:$G$46,3,FALSE),E16)</f>
        <v>21</v>
      </c>
      <c r="F16" s="305">
        <f ca="1">_xlfn.IFNA(VLOOKUP(C16,Worksheet!$C$3:$G$46,4,FALSE),F16)</f>
        <v>21</v>
      </c>
      <c r="G16" s="305">
        <f ca="1">_xlfn.IFNA(VLOOKUP(C16,Worksheet!$C$3:$G$46,5,FALSE),G16)</f>
        <v>22</v>
      </c>
      <c r="H16" s="205" t="s">
        <v>91</v>
      </c>
      <c r="I16" s="63"/>
      <c r="J16" s="70"/>
      <c r="K16" s="60" t="s">
        <v>91</v>
      </c>
      <c r="L16" s="351" t="s">
        <v>75</v>
      </c>
      <c r="M16" s="352"/>
      <c r="N16" s="82">
        <v>21</v>
      </c>
      <c r="O16" s="83">
        <v>20.2</v>
      </c>
      <c r="P16" s="83">
        <v>50.666666666666664</v>
      </c>
      <c r="Q16" s="83">
        <v>85.25</v>
      </c>
      <c r="R16" s="84">
        <v>116</v>
      </c>
      <c r="S16" s="83">
        <v>21</v>
      </c>
      <c r="T16" s="83">
        <v>19</v>
      </c>
      <c r="U16" s="83">
        <v>61.666666666666664</v>
      </c>
      <c r="V16" s="83">
        <v>90.25</v>
      </c>
      <c r="W16" s="84">
        <v>134</v>
      </c>
      <c r="X16" s="83">
        <v>22</v>
      </c>
      <c r="Y16" s="83">
        <v>21.4</v>
      </c>
      <c r="Z16" s="83">
        <v>74</v>
      </c>
      <c r="AA16" s="83">
        <v>115.5</v>
      </c>
      <c r="AB16" s="83">
        <v>181</v>
      </c>
      <c r="AC16" s="85">
        <v>149</v>
      </c>
      <c r="AD16" s="86">
        <v>2.0320656226696494</v>
      </c>
    </row>
    <row r="17" spans="1:30" ht="40.15" customHeight="1" x14ac:dyDescent="0.25">
      <c r="A17" s="63"/>
      <c r="B17" s="224"/>
      <c r="C17" s="236"/>
      <c r="D17" s="243" t="s">
        <v>4004</v>
      </c>
      <c r="E17" s="244"/>
      <c r="F17" s="244"/>
      <c r="G17" s="245"/>
      <c r="H17" s="205" t="s">
        <v>91</v>
      </c>
      <c r="I17" s="63"/>
      <c r="J17" s="65"/>
      <c r="K17" s="63"/>
      <c r="L17" s="63"/>
      <c r="M17" s="63"/>
      <c r="N17" s="87">
        <f>AVERAGE(N6:N16)</f>
        <v>12.125</v>
      </c>
      <c r="O17" s="87">
        <f t="shared" ref="O17:AB17" si="0">AVERAGE(O6:O16)</f>
        <v>14.233333333333334</v>
      </c>
      <c r="P17" s="87">
        <f t="shared" si="0"/>
        <v>26.681818181818183</v>
      </c>
      <c r="Q17" s="87">
        <f t="shared" si="0"/>
        <v>66.712500000000006</v>
      </c>
      <c r="R17" s="87">
        <f t="shared" si="0"/>
        <v>49.5</v>
      </c>
      <c r="S17" s="87">
        <f t="shared" si="0"/>
        <v>16.0625</v>
      </c>
      <c r="T17" s="87">
        <f t="shared" si="0"/>
        <v>21.916666666666664</v>
      </c>
      <c r="U17" s="87">
        <f t="shared" si="0"/>
        <v>207.45454545454547</v>
      </c>
      <c r="V17" s="87">
        <f t="shared" si="0"/>
        <v>189.14791666666665</v>
      </c>
      <c r="W17" s="87">
        <f t="shared" si="0"/>
        <v>261.19444444444446</v>
      </c>
      <c r="X17" s="87">
        <f t="shared" si="0"/>
        <v>16</v>
      </c>
      <c r="Y17" s="87">
        <f t="shared" si="0"/>
        <v>21.591666666666665</v>
      </c>
      <c r="Z17" s="87">
        <f t="shared" si="0"/>
        <v>340.96969696969694</v>
      </c>
      <c r="AA17" s="87">
        <f t="shared" si="0"/>
        <v>233.36041666666665</v>
      </c>
      <c r="AB17" s="87">
        <f t="shared" si="0"/>
        <v>423.61111111111109</v>
      </c>
      <c r="AC17" s="63"/>
      <c r="AD17" s="63"/>
    </row>
    <row r="18" spans="1:30" ht="40.15" customHeight="1" x14ac:dyDescent="0.3">
      <c r="A18" s="63"/>
      <c r="B18" s="224"/>
      <c r="C18" s="236">
        <v>1631</v>
      </c>
      <c r="D18" s="240" t="s">
        <v>3952</v>
      </c>
      <c r="E18" s="305">
        <v>20</v>
      </c>
      <c r="F18" s="305">
        <v>22</v>
      </c>
      <c r="G18" s="305">
        <v>31</v>
      </c>
      <c r="H18" s="205" t="s">
        <v>91</v>
      </c>
      <c r="I18" s="63"/>
      <c r="J18" s="65"/>
      <c r="K18" s="355" t="s">
        <v>563</v>
      </c>
      <c r="L18" s="355"/>
      <c r="M18" s="206" t="s">
        <v>564</v>
      </c>
      <c r="N18" s="207"/>
      <c r="O18" s="208"/>
      <c r="P18" s="208"/>
      <c r="Q18" s="208"/>
      <c r="R18" s="303" t="s">
        <v>561</v>
      </c>
      <c r="S18" s="306" t="s">
        <v>567</v>
      </c>
      <c r="T18" s="209"/>
      <c r="U18" s="350" t="s">
        <v>562</v>
      </c>
      <c r="V18" s="350"/>
      <c r="W18" s="210" t="s">
        <v>566</v>
      </c>
      <c r="X18" s="210"/>
      <c r="Y18" s="88"/>
      <c r="Z18" s="88"/>
      <c r="AA18" s="88"/>
      <c r="AB18" s="88"/>
      <c r="AC18" s="63"/>
      <c r="AD18" s="63"/>
    </row>
    <row r="19" spans="1:30" ht="40.15" customHeight="1" x14ac:dyDescent="0.3">
      <c r="A19" s="63"/>
      <c r="B19" s="224"/>
      <c r="C19" s="236">
        <v>1632</v>
      </c>
      <c r="D19" s="240" t="s">
        <v>3953</v>
      </c>
      <c r="E19" s="305">
        <v>75</v>
      </c>
      <c r="F19" s="305">
        <v>90</v>
      </c>
      <c r="G19" s="305">
        <v>118</v>
      </c>
      <c r="H19" s="205" t="s">
        <v>91</v>
      </c>
      <c r="I19" s="63"/>
      <c r="J19" s="65"/>
      <c r="K19" s="349" t="s">
        <v>61</v>
      </c>
      <c r="L19" s="349"/>
      <c r="M19" s="206" t="s">
        <v>565</v>
      </c>
      <c r="N19" s="206"/>
      <c r="O19" s="206"/>
      <c r="P19" s="206"/>
      <c r="Q19" s="206"/>
      <c r="R19" s="303" t="s">
        <v>561</v>
      </c>
      <c r="S19" s="209"/>
      <c r="T19" s="209"/>
      <c r="U19" s="350" t="s">
        <v>562</v>
      </c>
      <c r="V19" s="350"/>
      <c r="W19" s="210"/>
      <c r="X19" s="210"/>
      <c r="Y19" s="63"/>
      <c r="Z19" s="63"/>
      <c r="AA19" s="63"/>
      <c r="AB19" s="63"/>
      <c r="AC19" s="63"/>
      <c r="AD19" s="63"/>
    </row>
    <row r="20" spans="1:30" ht="40.15" customHeight="1" x14ac:dyDescent="0.25">
      <c r="A20" s="63"/>
      <c r="B20" s="224"/>
      <c r="C20" s="236">
        <v>1633</v>
      </c>
      <c r="D20" s="240" t="s">
        <v>3954</v>
      </c>
      <c r="E20" s="305">
        <v>94</v>
      </c>
      <c r="F20" s="305">
        <v>111</v>
      </c>
      <c r="G20" s="305">
        <v>148</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3955</v>
      </c>
      <c r="E21" s="305">
        <v>1</v>
      </c>
      <c r="F21" s="305">
        <v>1</v>
      </c>
      <c r="G21" s="305">
        <v>1</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3956</v>
      </c>
      <c r="E22" s="305">
        <v>57</v>
      </c>
      <c r="F22" s="305">
        <v>73</v>
      </c>
      <c r="G22" s="305">
        <v>73</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4005</v>
      </c>
      <c r="E23" s="305">
        <v>80</v>
      </c>
      <c r="F23" s="305">
        <v>73</v>
      </c>
      <c r="G23" s="305">
        <v>83</v>
      </c>
      <c r="H23" s="205" t="s">
        <v>91</v>
      </c>
      <c r="I23" s="63"/>
      <c r="J23" s="65"/>
      <c r="K23" s="63"/>
      <c r="L23" s="63"/>
      <c r="M23" s="63"/>
      <c r="N23" s="63"/>
      <c r="O23" s="91">
        <v>42644</v>
      </c>
      <c r="P23" s="92">
        <f>N17</f>
        <v>12.125</v>
      </c>
      <c r="Q23" s="93">
        <f>O17</f>
        <v>14.233333333333334</v>
      </c>
      <c r="R23" s="93">
        <f>P17</f>
        <v>26.681818181818183</v>
      </c>
      <c r="S23" s="93">
        <f>Q17</f>
        <v>66.712500000000006</v>
      </c>
      <c r="T23" s="93">
        <f>R17</f>
        <v>49.5</v>
      </c>
      <c r="U23" s="63"/>
      <c r="V23" s="63"/>
      <c r="W23" s="63"/>
      <c r="X23" s="63"/>
      <c r="Y23" s="63"/>
      <c r="Z23" s="63"/>
      <c r="AA23" s="63"/>
      <c r="AB23" s="63"/>
      <c r="AC23" s="63"/>
      <c r="AD23" s="63"/>
    </row>
    <row r="24" spans="1:30" ht="40.15" customHeight="1" x14ac:dyDescent="0.25">
      <c r="A24" s="63"/>
      <c r="B24" s="224"/>
      <c r="C24" s="236">
        <v>1642</v>
      </c>
      <c r="D24" s="240" t="s">
        <v>3956</v>
      </c>
      <c r="E24" s="305">
        <v>71</v>
      </c>
      <c r="F24" s="305">
        <v>64</v>
      </c>
      <c r="G24" s="305">
        <v>81</v>
      </c>
      <c r="H24" s="205" t="s">
        <v>91</v>
      </c>
      <c r="I24" s="63"/>
      <c r="J24" s="65"/>
      <c r="K24" s="63"/>
      <c r="L24" s="63"/>
      <c r="M24" s="63"/>
      <c r="N24" s="63"/>
      <c r="O24" s="91">
        <v>42675</v>
      </c>
      <c r="P24" s="92">
        <f>S17</f>
        <v>16.0625</v>
      </c>
      <c r="Q24" s="93">
        <f>T17</f>
        <v>21.916666666666664</v>
      </c>
      <c r="R24" s="93">
        <f>U17</f>
        <v>207.45454545454547</v>
      </c>
      <c r="S24" s="93">
        <f>V17</f>
        <v>189.14791666666665</v>
      </c>
      <c r="T24" s="93">
        <f>W17</f>
        <v>261.19444444444446</v>
      </c>
      <c r="U24" s="63"/>
      <c r="V24" s="63"/>
      <c r="W24" s="63"/>
      <c r="X24" s="63"/>
      <c r="Y24" s="63"/>
      <c r="Z24" s="63"/>
      <c r="AA24" s="63"/>
      <c r="AB24" s="63"/>
      <c r="AC24" s="63"/>
      <c r="AD24" s="63"/>
    </row>
    <row r="25" spans="1:30" ht="40.15" customHeight="1" x14ac:dyDescent="0.25">
      <c r="A25" s="63"/>
      <c r="B25" s="224"/>
      <c r="C25" s="236">
        <v>1643</v>
      </c>
      <c r="D25" s="240" t="s">
        <v>4006</v>
      </c>
      <c r="E25" s="305">
        <v>95</v>
      </c>
      <c r="F25" s="305">
        <v>112</v>
      </c>
      <c r="G25" s="305">
        <v>149</v>
      </c>
      <c r="H25" s="205" t="s">
        <v>91</v>
      </c>
      <c r="I25" s="63"/>
      <c r="J25" s="63"/>
      <c r="K25" s="63"/>
      <c r="L25" s="63"/>
      <c r="M25" s="63"/>
      <c r="N25" s="63"/>
      <c r="O25" s="91">
        <v>42705</v>
      </c>
      <c r="P25" s="92">
        <f>X17</f>
        <v>16</v>
      </c>
      <c r="Q25" s="93">
        <f>Y17</f>
        <v>21.591666666666665</v>
      </c>
      <c r="R25" s="93">
        <f>Z17</f>
        <v>340.96969696969694</v>
      </c>
      <c r="S25" s="93">
        <f>AA17</f>
        <v>233.36041666666665</v>
      </c>
      <c r="T25" s="93">
        <f>AB17</f>
        <v>423.61111111111109</v>
      </c>
      <c r="U25" s="63"/>
      <c r="V25" s="63"/>
      <c r="W25" s="63"/>
      <c r="X25" s="63"/>
      <c r="Y25" s="63"/>
      <c r="Z25" s="63"/>
      <c r="AA25" s="63"/>
      <c r="AB25" s="63"/>
      <c r="AC25" s="63"/>
      <c r="AD25" s="63"/>
    </row>
    <row r="26" spans="1:30" ht="40.15" customHeight="1" x14ac:dyDescent="0.25">
      <c r="A26" s="63"/>
      <c r="B26" s="224"/>
      <c r="C26" s="236">
        <v>1644</v>
      </c>
      <c r="D26" s="240" t="s">
        <v>4007</v>
      </c>
      <c r="E26" s="305">
        <v>95</v>
      </c>
      <c r="F26" s="305">
        <v>112</v>
      </c>
      <c r="G26" s="305">
        <v>149</v>
      </c>
      <c r="H26" s="205" t="s">
        <v>91</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3958</v>
      </c>
      <c r="E27" s="305">
        <v>124</v>
      </c>
      <c r="F27" s="305">
        <v>153</v>
      </c>
      <c r="G27" s="305">
        <v>195</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3959</v>
      </c>
      <c r="E28" s="305">
        <v>141</v>
      </c>
      <c r="F28" s="305">
        <v>170</v>
      </c>
      <c r="G28" s="305">
        <v>211</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3961</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3962</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3964</v>
      </c>
      <c r="E31" s="305">
        <f ca="1">_xlfn.IFNA(VLOOKUP(C31,Worksheet!$C$3:$G$46,3,FALSE),E31)</f>
        <v>0</v>
      </c>
      <c r="F31" s="305">
        <f ca="1">_xlfn.IFNA(VLOOKUP(C31,Worksheet!$C$3:$G$46,4,FALSE),F31)</f>
        <v>0</v>
      </c>
      <c r="G31" s="305">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3965</v>
      </c>
      <c r="E32" s="305">
        <f ca="1">_xlfn.IFNA(VLOOKUP(C32,Worksheet!$C$3:$G$46,3,FALSE),E32)</f>
        <v>0</v>
      </c>
      <c r="F32" s="305">
        <f ca="1">_xlfn.IFNA(VLOOKUP(C32,Worksheet!$C$3:$G$46,4,FALSE),F32)</f>
        <v>0</v>
      </c>
      <c r="G32" s="305">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3967</v>
      </c>
      <c r="E33" s="305">
        <v>8</v>
      </c>
      <c r="F33" s="305">
        <v>19</v>
      </c>
      <c r="G33" s="305">
        <v>14</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3968</v>
      </c>
      <c r="E34" s="305">
        <v>2</v>
      </c>
      <c r="F34" s="305">
        <v>1</v>
      </c>
      <c r="G34" s="305">
        <v>1</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3512</v>
      </c>
      <c r="G2" s="205" t="s">
        <v>150</v>
      </c>
    </row>
    <row r="3" spans="1:7" ht="45" hidden="1" customHeight="1" x14ac:dyDescent="0.25">
      <c r="A3" s="224"/>
      <c r="B3" s="228" t="s">
        <v>4010</v>
      </c>
      <c r="C3" s="226" t="s">
        <v>3980</v>
      </c>
      <c r="D3" s="226"/>
      <c r="E3" s="229"/>
      <c r="F3" s="298">
        <f ca="1">_xlfn.IFNA(VLOOKUP(B3,Worksheet!$C$3:$G$46,5,FALSE),F3)</f>
        <v>16</v>
      </c>
      <c r="G3" s="205" t="s">
        <v>150</v>
      </c>
    </row>
    <row r="4" spans="1:7" ht="45" hidden="1" customHeight="1" x14ac:dyDescent="0.25">
      <c r="A4" s="224"/>
      <c r="B4" s="228" t="s">
        <v>4011</v>
      </c>
      <c r="C4" s="226" t="s">
        <v>3981</v>
      </c>
      <c r="D4" s="230"/>
      <c r="E4" s="229"/>
      <c r="F4" s="298">
        <f ca="1">_xlfn.IFNA(VLOOKUP(B4,Worksheet!$C$3:$G$46,5,FALSE),F4)</f>
        <v>3410</v>
      </c>
      <c r="G4" s="205" t="s">
        <v>150</v>
      </c>
    </row>
    <row r="5" spans="1:7" ht="45" hidden="1" customHeight="1" x14ac:dyDescent="0.25">
      <c r="A5" s="224"/>
      <c r="B5" s="228" t="s">
        <v>4012</v>
      </c>
      <c r="C5" s="226" t="s">
        <v>3982</v>
      </c>
      <c r="D5" s="226"/>
      <c r="E5" s="229"/>
      <c r="F5" s="298">
        <f ca="1">_xlfn.IFNA(VLOOKUP(B5,Worksheet!$C$3:$G$46,5,FALSE),F5)</f>
        <v>15</v>
      </c>
      <c r="G5" s="205" t="s">
        <v>150</v>
      </c>
    </row>
    <row r="6" spans="1:7" ht="45" hidden="1" customHeight="1" x14ac:dyDescent="0.25">
      <c r="A6" s="224"/>
      <c r="B6" s="231" t="s">
        <v>4013</v>
      </c>
      <c r="C6" s="232" t="s">
        <v>3983</v>
      </c>
      <c r="D6" s="233"/>
      <c r="E6" s="234"/>
      <c r="F6" s="235">
        <f ca="1">_xlfn.IFNA(VLOOKUP(F2,Data_donotedit!$BE$2:$BG$25,3,TRUE),0)</f>
        <v>105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233</v>
      </c>
      <c r="E9" s="299">
        <f ca="1">_xlfn.IFNA(VLOOKUP(B9,Worksheet!$C$3:$G$46,4,FALSE),E9)</f>
        <v>233</v>
      </c>
      <c r="F9" s="299">
        <f ca="1">_xlfn.IFNA(VLOOKUP(B9,Worksheet!$C$3:$G$46,5,FALSE),F9)</f>
        <v>233</v>
      </c>
      <c r="G9" s="205" t="s">
        <v>150</v>
      </c>
    </row>
    <row r="10" spans="1:7" ht="45" hidden="1" customHeight="1" x14ac:dyDescent="0.25">
      <c r="A10" s="224"/>
      <c r="B10" s="236">
        <v>1113</v>
      </c>
      <c r="C10" s="240" t="s">
        <v>3807</v>
      </c>
      <c r="D10" s="299">
        <f ca="1">_xlfn.IFNA(VLOOKUP(B10,Worksheet!$C$3:$G$46,3,FALSE),D10)</f>
        <v>35</v>
      </c>
      <c r="E10" s="299">
        <f ca="1">_xlfn.IFNA(VLOOKUP(B10,Worksheet!$C$3:$G$46,4,FALSE),E10)</f>
        <v>35</v>
      </c>
      <c r="F10" s="299">
        <f ca="1">_xlfn.IFNA(VLOOKUP(B10,Worksheet!$C$3:$G$46,5,FALSE),F10)</f>
        <v>35</v>
      </c>
      <c r="G10" s="205" t="s">
        <v>150</v>
      </c>
    </row>
    <row r="11" spans="1:7" ht="45" hidden="1" customHeight="1" x14ac:dyDescent="0.25">
      <c r="A11" s="224"/>
      <c r="B11" s="236">
        <v>1114</v>
      </c>
      <c r="C11" s="241" t="s">
        <v>3808</v>
      </c>
      <c r="D11" s="299">
        <f ca="1">_xlfn.IFNA(VLOOKUP(B11,Worksheet!$C$3:$G$46,3,FALSE),D11)</f>
        <v>35</v>
      </c>
      <c r="E11" s="299">
        <f ca="1">_xlfn.IFNA(VLOOKUP(B11,Worksheet!$C$3:$G$46,4,FALSE),E11)</f>
        <v>35</v>
      </c>
      <c r="F11" s="299">
        <f ca="1">_xlfn.IFNA(VLOOKUP(B11,Worksheet!$C$3:$G$46,5,FALSE),F11)</f>
        <v>35</v>
      </c>
      <c r="G11" s="205" t="s">
        <v>150</v>
      </c>
    </row>
    <row r="12" spans="1:7" ht="45" hidden="1" customHeight="1" x14ac:dyDescent="0.25">
      <c r="A12" s="224"/>
      <c r="B12" s="236">
        <v>1115</v>
      </c>
      <c r="C12" s="240" t="s">
        <v>3809</v>
      </c>
      <c r="D12" s="299">
        <f ca="1">_xlfn.IFNA(VLOOKUP(B12,Worksheet!$C$3:$G$46,3,FALSE),D12)</f>
        <v>35</v>
      </c>
      <c r="E12" s="299">
        <f ca="1">_xlfn.IFNA(VLOOKUP(B12,Worksheet!$C$3:$G$46,4,FALSE),E12)</f>
        <v>35</v>
      </c>
      <c r="F12" s="299">
        <f ca="1">_xlfn.IFNA(VLOOKUP(B12,Worksheet!$C$3:$G$46,5,FALSE),F12)</f>
        <v>35</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35</v>
      </c>
      <c r="F13" s="299">
        <f ca="1">_xlfn.IFNA(VLOOKUP(B13,Worksheet!$C$3:$G$46,5,FALSE),F13)</f>
        <v>35</v>
      </c>
      <c r="G13" s="205" t="s">
        <v>150</v>
      </c>
    </row>
    <row r="14" spans="1:7" ht="45" hidden="1" customHeight="1" x14ac:dyDescent="0.25">
      <c r="A14" s="224"/>
      <c r="B14" s="236">
        <v>1117</v>
      </c>
      <c r="C14" s="240" t="s">
        <v>3812</v>
      </c>
      <c r="D14" s="299">
        <f ca="1">_xlfn.IFNA(VLOOKUP(B14,Worksheet!$C$3:$G$46,3,FALSE),D14)</f>
        <v>0</v>
      </c>
      <c r="E14" s="299">
        <f ca="1">_xlfn.IFNA(VLOOKUP(B14,Worksheet!$C$3:$G$46,4,FALSE),E14)</f>
        <v>35</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35</v>
      </c>
      <c r="F15" s="300">
        <f t="shared" ca="1" si="0"/>
        <v>35</v>
      </c>
      <c r="G15" s="205"/>
    </row>
    <row r="16" spans="1:7" ht="45" hidden="1" customHeight="1" x14ac:dyDescent="0.25">
      <c r="A16" s="224"/>
      <c r="B16" s="236">
        <v>1122</v>
      </c>
      <c r="C16" s="241" t="s">
        <v>3813</v>
      </c>
      <c r="D16" s="299">
        <f ca="1">_xlfn.IFNA(VLOOKUP(B16,Worksheet!$C$3:$G$46,3,FALSE),D16)</f>
        <v>0</v>
      </c>
      <c r="E16" s="299">
        <f ca="1">_xlfn.IFNA(VLOOKUP(B16,Worksheet!$C$3:$G$46,4,FALSE),E16)</f>
        <v>35</v>
      </c>
      <c r="F16" s="299">
        <f ca="1">_xlfn.IFNA(VLOOKUP(B16,Worksheet!$C$3:$G$46,5,FALSE),F16)</f>
        <v>35</v>
      </c>
      <c r="G16" s="205" t="s">
        <v>150</v>
      </c>
    </row>
    <row r="17" spans="1:7" ht="45" hidden="1" customHeight="1" x14ac:dyDescent="0.25">
      <c r="A17" s="224"/>
      <c r="B17" s="236">
        <v>1123</v>
      </c>
      <c r="C17" s="240" t="s">
        <v>3814</v>
      </c>
      <c r="D17" s="299">
        <f ca="1">_xlfn.IFNA(VLOOKUP(B17,Worksheet!$C$3:$G$46,3,FALSE),D17)</f>
        <v>0</v>
      </c>
      <c r="E17" s="299">
        <f ca="1">_xlfn.IFNA(VLOOKUP(B17,Worksheet!$C$3:$G$46,4,FALSE),E17)</f>
        <v>35</v>
      </c>
      <c r="F17" s="299">
        <f ca="1">_xlfn.IFNA(VLOOKUP(B17,Worksheet!$C$3:$G$46,5,FALSE),F17)</f>
        <v>35</v>
      </c>
      <c r="G17" s="205" t="s">
        <v>150</v>
      </c>
    </row>
    <row r="18" spans="1:7" ht="45" hidden="1" customHeight="1" x14ac:dyDescent="0.25">
      <c r="A18" s="224"/>
      <c r="B18" s="236">
        <v>1124</v>
      </c>
      <c r="C18" s="240" t="s">
        <v>3815</v>
      </c>
      <c r="D18" s="299">
        <f ca="1">_xlfn.IFNA(VLOOKUP(B18,Worksheet!$C$3:$G$46,3,FALSE),D18)</f>
        <v>0</v>
      </c>
      <c r="E18" s="299">
        <f ca="1">_xlfn.IFNA(VLOOKUP(B18,Worksheet!$C$3:$G$46,4,FALSE),E18)</f>
        <v>35</v>
      </c>
      <c r="F18" s="299">
        <f ca="1">_xlfn.IFNA(VLOOKUP(B18,Worksheet!$C$3:$G$46,5,FALSE),F18)</f>
        <v>35</v>
      </c>
      <c r="G18" s="205" t="s">
        <v>150</v>
      </c>
    </row>
    <row r="19" spans="1:7" ht="45" hidden="1" customHeight="1" x14ac:dyDescent="0.25">
      <c r="A19" s="224"/>
      <c r="B19" s="236">
        <v>1125</v>
      </c>
      <c r="C19" s="240" t="s">
        <v>3816</v>
      </c>
      <c r="D19" s="299">
        <f ca="1">_xlfn.IFNA(VLOOKUP(B19,Worksheet!$C$3:$G$46,3,FALSE),D19)</f>
        <v>0</v>
      </c>
      <c r="E19" s="299">
        <f ca="1">_xlfn.IFNA(VLOOKUP(B19,Worksheet!$C$3:$G$46,4,FALSE),E19)</f>
        <v>35</v>
      </c>
      <c r="F19" s="299">
        <f ca="1">_xlfn.IFNA(VLOOKUP(B19,Worksheet!$C$3:$G$46,5,FALSE),F19)</f>
        <v>35</v>
      </c>
      <c r="G19" s="205" t="s">
        <v>150</v>
      </c>
    </row>
    <row r="20" spans="1:7" ht="45" hidden="1" customHeight="1" x14ac:dyDescent="0.25">
      <c r="A20" s="224"/>
      <c r="B20" s="236">
        <v>1126</v>
      </c>
      <c r="C20" s="240" t="s">
        <v>3817</v>
      </c>
      <c r="D20" s="299">
        <f ca="1">_xlfn.IFNA(VLOOKUP(B20,Worksheet!$C$3:$G$46,3,FALSE),D20)</f>
        <v>0</v>
      </c>
      <c r="E20" s="299">
        <f ca="1">_xlfn.IFNA(VLOOKUP(B20,Worksheet!$C$3:$G$46,4,FALSE),E20)</f>
        <v>35</v>
      </c>
      <c r="F20" s="299">
        <f ca="1">_xlfn.IFNA(VLOOKUP(B20,Worksheet!$C$3:$G$46,5,FALSE),F20)</f>
        <v>35</v>
      </c>
      <c r="G20" s="205" t="s">
        <v>150</v>
      </c>
    </row>
    <row r="21" spans="1:7" ht="45" hidden="1" customHeight="1" x14ac:dyDescent="0.25">
      <c r="A21" s="224"/>
      <c r="B21" s="236">
        <v>1127</v>
      </c>
      <c r="C21" s="240" t="s">
        <v>3818</v>
      </c>
      <c r="D21" s="299">
        <f ca="1">_xlfn.IFNA(VLOOKUP(B21,Worksheet!$C$3:$G$46,3,FALSE),D21)</f>
        <v>0</v>
      </c>
      <c r="E21" s="299">
        <f ca="1">_xlfn.IFNA(VLOOKUP(B21,Worksheet!$C$3:$G$46,4,FALSE),E21)</f>
        <v>35</v>
      </c>
      <c r="F21" s="299">
        <f ca="1">_xlfn.IFNA(VLOOKUP(B21,Worksheet!$C$3:$G$46,5,FALSE),F21)</f>
        <v>35</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291</v>
      </c>
      <c r="F23" s="299">
        <f ca="1">_xlfn.IFNA(VLOOKUP(B23,Worksheet!$C$3:$G$46,5,FALSE),F23)</f>
        <v>527</v>
      </c>
      <c r="G23" s="205" t="s">
        <v>150</v>
      </c>
    </row>
    <row r="24" spans="1:7" ht="45" hidden="1" customHeight="1" x14ac:dyDescent="0.25">
      <c r="A24" s="224"/>
      <c r="B24" s="236">
        <v>1132</v>
      </c>
      <c r="C24" s="240" t="s">
        <v>3820</v>
      </c>
      <c r="D24" s="299">
        <f ca="1">_xlfn.IFNA(VLOOKUP(B24,Worksheet!$C$3:$G$46,3,FALSE),D24)</f>
        <v>0</v>
      </c>
      <c r="E24" s="299">
        <f ca="1">_xlfn.IFNA(VLOOKUP(B24,Worksheet!$C$3:$G$46,4,FALSE),E24)</f>
        <v>766</v>
      </c>
      <c r="F24" s="299">
        <f ca="1">_xlfn.IFNA(VLOOKUP(B24,Worksheet!$C$3:$G$46,5,FALSE),F24)</f>
        <v>1246</v>
      </c>
      <c r="G24" s="205" t="s">
        <v>150</v>
      </c>
    </row>
    <row r="25" spans="1:7" ht="45" hidden="1" customHeight="1" x14ac:dyDescent="0.25">
      <c r="A25" s="224"/>
      <c r="B25" s="236">
        <v>1133</v>
      </c>
      <c r="C25" s="240" t="s">
        <v>3821</v>
      </c>
      <c r="D25" s="299">
        <f ca="1">_xlfn.IFNA(VLOOKUP(B25,Worksheet!$C$3:$G$46,3,FALSE),D25)</f>
        <v>114</v>
      </c>
      <c r="E25" s="299">
        <f ca="1">_xlfn.IFNA(VLOOKUP(B25,Worksheet!$C$3:$G$46,4,FALSE),E25)</f>
        <v>982</v>
      </c>
      <c r="F25" s="299">
        <f ca="1">_xlfn.IFNA(VLOOKUP(B25,Worksheet!$C$3:$G$46,5,FALSE),F25)</f>
        <v>1702</v>
      </c>
      <c r="G25" s="205" t="s">
        <v>150</v>
      </c>
    </row>
    <row r="26" spans="1:7" ht="45" hidden="1" customHeight="1" x14ac:dyDescent="0.25">
      <c r="A26" s="224"/>
      <c r="B26" s="236">
        <v>1134</v>
      </c>
      <c r="C26" s="240" t="s">
        <v>3822</v>
      </c>
      <c r="D26" s="299">
        <f ca="1">_xlfn.IFNA(VLOOKUP(B26,Worksheet!$C$3:$G$46,3,FALSE),D26)</f>
        <v>1</v>
      </c>
      <c r="E26" s="299">
        <f ca="1">_xlfn.IFNA(VLOOKUP(B26,Worksheet!$C$3:$G$46,4,FALSE),E26)</f>
        <v>75</v>
      </c>
      <c r="F26" s="299">
        <f ca="1">_xlfn.IFNA(VLOOKUP(B26,Worksheet!$C$3:$G$46,5,FALSE),F26)</f>
        <v>71</v>
      </c>
      <c r="G26" s="205" t="s">
        <v>150</v>
      </c>
    </row>
    <row r="27" spans="1:7" ht="45" hidden="1" customHeight="1" x14ac:dyDescent="0.25">
      <c r="A27" s="224"/>
      <c r="B27" s="236">
        <v>1135</v>
      </c>
      <c r="C27" s="240" t="s">
        <v>3823</v>
      </c>
      <c r="D27" s="299">
        <f ca="1">_xlfn.IFNA(VLOOKUP(B27,Worksheet!$C$3:$G$46,3,FALSE),D27)</f>
        <v>115</v>
      </c>
      <c r="E27" s="299">
        <f ca="1">_xlfn.IFNA(VLOOKUP(B27,Worksheet!$C$3:$G$46,4,FALSE),E27)</f>
        <v>1056</v>
      </c>
      <c r="F27" s="299">
        <f ca="1">_xlfn.IFNA(VLOOKUP(B27,Worksheet!$C$3:$G$46,5,FALSE),F27)</f>
        <v>1773</v>
      </c>
      <c r="G27" s="205" t="s">
        <v>150</v>
      </c>
    </row>
    <row r="28" spans="1:7" ht="45" hidden="1" customHeight="1" x14ac:dyDescent="0.25">
      <c r="A28" s="224"/>
      <c r="B28" s="236">
        <v>1136</v>
      </c>
      <c r="C28" s="240" t="s">
        <v>3824</v>
      </c>
      <c r="D28" s="299">
        <f ca="1">_xlfn.IFNA(VLOOKUP(B28,Worksheet!$C$3:$G$46,3,FALSE),D28)</f>
        <v>0</v>
      </c>
      <c r="E28" s="299">
        <f ca="1">_xlfn.IFNA(VLOOKUP(B28,Worksheet!$C$3:$G$46,4,FALSE),E28)</f>
        <v>1</v>
      </c>
      <c r="F28" s="299">
        <f ca="1">_xlfn.IFNA(VLOOKUP(B28,Worksheet!$C$3:$G$46,5,FALSE),F28)</f>
        <v>0</v>
      </c>
      <c r="G28" s="205" t="s">
        <v>150</v>
      </c>
    </row>
    <row r="29" spans="1:7" ht="45" hidden="1" customHeight="1" x14ac:dyDescent="0.25">
      <c r="A29" s="224"/>
      <c r="B29" s="236">
        <v>1137</v>
      </c>
      <c r="C29" s="240" t="s">
        <v>3825</v>
      </c>
      <c r="D29" s="299">
        <f ca="1">_xlfn.IFNA(VLOOKUP(B29,Worksheet!$C$3:$G$46,3,FALSE),D29)</f>
        <v>1</v>
      </c>
      <c r="E29" s="299">
        <f ca="1">_xlfn.IFNA(VLOOKUP(B29,Worksheet!$C$3:$G$46,4,FALSE),E29)</f>
        <v>16</v>
      </c>
      <c r="F29" s="299">
        <f ca="1">_xlfn.IFNA(VLOOKUP(B29,Worksheet!$C$3:$G$46,5,FALSE),F29)</f>
        <v>13</v>
      </c>
      <c r="G29" s="205" t="s">
        <v>150</v>
      </c>
    </row>
    <row r="30" spans="1:7" ht="45" hidden="1" customHeight="1" x14ac:dyDescent="0.25">
      <c r="A30" s="224"/>
      <c r="B30" s="236">
        <v>1138</v>
      </c>
      <c r="C30" s="240" t="s">
        <v>3826</v>
      </c>
      <c r="D30" s="299">
        <f ca="1">_xlfn.IFNA(VLOOKUP(B30,Worksheet!$C$3:$G$46,3,FALSE),D30)</f>
        <v>114</v>
      </c>
      <c r="E30" s="299">
        <f ca="1">_xlfn.IFNA(VLOOKUP(B30,Worksheet!$C$3:$G$46,4,FALSE),E30)</f>
        <v>1041</v>
      </c>
      <c r="F30" s="299">
        <f ca="1">_xlfn.IFNA(VLOOKUP(B30,Worksheet!$C$3:$G$46,5,FALSE),F30)</f>
        <v>1760</v>
      </c>
      <c r="G30" s="205" t="s">
        <v>150</v>
      </c>
    </row>
    <row r="31" spans="1:7" ht="45" hidden="1" customHeight="1" x14ac:dyDescent="0.25">
      <c r="A31" s="224">
        <v>1116</v>
      </c>
      <c r="B31" s="236">
        <v>1141</v>
      </c>
      <c r="C31" s="240" t="s">
        <v>3827</v>
      </c>
      <c r="D31" s="300">
        <f ca="1">D13</f>
        <v>0</v>
      </c>
      <c r="E31" s="300">
        <f ca="1">E13</f>
        <v>35</v>
      </c>
      <c r="F31" s="300">
        <f ca="1">F13</f>
        <v>35</v>
      </c>
      <c r="G31" s="205"/>
    </row>
    <row r="32" spans="1:7" ht="45" hidden="1" customHeight="1" x14ac:dyDescent="0.25">
      <c r="A32" s="224"/>
      <c r="B32" s="236">
        <v>1142</v>
      </c>
      <c r="C32" s="241" t="s">
        <v>3828</v>
      </c>
      <c r="D32" s="300">
        <f ca="1">D18</f>
        <v>0</v>
      </c>
      <c r="E32" s="300">
        <f ca="1">E18</f>
        <v>35</v>
      </c>
      <c r="F32" s="300">
        <f ca="1">F18</f>
        <v>35</v>
      </c>
      <c r="G32" s="205"/>
    </row>
    <row r="33" spans="1:7" ht="45" hidden="1" customHeight="1" x14ac:dyDescent="0.25">
      <c r="A33" s="224"/>
      <c r="B33" s="236">
        <v>1143</v>
      </c>
      <c r="C33" s="240" t="s">
        <v>3829</v>
      </c>
      <c r="D33" s="299">
        <f ca="1">_xlfn.IFNA(VLOOKUP(B33,Worksheet!$C$3:$G$46,3,FALSE),D33)</f>
        <v>115</v>
      </c>
      <c r="E33" s="299">
        <f ca="1">_xlfn.IFNA(VLOOKUP(B33,Worksheet!$C$3:$G$46,4,FALSE),E33)</f>
        <v>1057</v>
      </c>
      <c r="F33" s="299">
        <f ca="1">_xlfn.IFNA(VLOOKUP(B33,Worksheet!$C$3:$G$46,5,FALSE),F33)</f>
        <v>1173</v>
      </c>
      <c r="G33" s="205" t="s">
        <v>150</v>
      </c>
    </row>
    <row r="34" spans="1:7" ht="45" hidden="1" customHeight="1" x14ac:dyDescent="0.25">
      <c r="A34" s="224"/>
      <c r="B34" s="236">
        <v>1144</v>
      </c>
      <c r="C34" s="240" t="s">
        <v>3830</v>
      </c>
      <c r="D34" s="299">
        <f ca="1">_xlfn.IFNA(VLOOKUP(B34,Worksheet!$C$3:$G$46,3,FALSE),D34)</f>
        <v>115</v>
      </c>
      <c r="E34" s="299">
        <f ca="1">_xlfn.IFNA(VLOOKUP(B34,Worksheet!$C$3:$G$46,4,FALSE),E34)</f>
        <v>1057</v>
      </c>
      <c r="F34" s="299">
        <f ca="1">_xlfn.IFNA(VLOOKUP(B34,Worksheet!$C$3:$G$46,5,FALSE),F34)</f>
        <v>1173</v>
      </c>
      <c r="G34" s="205" t="s">
        <v>150</v>
      </c>
    </row>
    <row r="35" spans="1:7" ht="45" hidden="1" customHeight="1" x14ac:dyDescent="0.25">
      <c r="A35" s="224"/>
      <c r="B35" s="236">
        <v>1145</v>
      </c>
      <c r="C35" s="240" t="s">
        <v>3831</v>
      </c>
      <c r="D35" s="299">
        <f ca="1">_xlfn.IFNA(VLOOKUP(B35,Worksheet!$C$3:$G$46,3,FALSE),D35)</f>
        <v>643</v>
      </c>
      <c r="E35" s="299">
        <f ca="1">_xlfn.IFNA(VLOOKUP(B35,Worksheet!$C$3:$G$46,4,FALSE),E35)</f>
        <v>1130</v>
      </c>
      <c r="F35" s="299">
        <f ca="1">_xlfn.IFNA(VLOOKUP(B35,Worksheet!$C$3:$G$46,5,FALSE),F35)</f>
        <v>1736</v>
      </c>
      <c r="G35" s="205" t="s">
        <v>150</v>
      </c>
    </row>
    <row r="36" spans="1:7" ht="45" hidden="1" customHeight="1" x14ac:dyDescent="0.25">
      <c r="A36" s="224"/>
      <c r="B36" s="236">
        <v>1151</v>
      </c>
      <c r="C36" s="246" t="s">
        <v>3832</v>
      </c>
      <c r="D36" s="247">
        <f ca="1">D37/D38</f>
        <v>0.1952054794520548</v>
      </c>
      <c r="E36" s="247">
        <f t="shared" ref="E36:F36" ca="1" si="1">E37/E38</f>
        <v>0.92033739456419872</v>
      </c>
      <c r="F36" s="247">
        <f t="shared" ca="1" si="1"/>
        <v>1.0234515935057125</v>
      </c>
      <c r="G36" s="205"/>
    </row>
    <row r="37" spans="1:7" ht="45" hidden="1" customHeight="1" x14ac:dyDescent="0.25">
      <c r="A37" s="224"/>
      <c r="B37" s="236">
        <v>1152</v>
      </c>
      <c r="C37" s="240" t="s">
        <v>3833</v>
      </c>
      <c r="D37" s="299">
        <f ca="1">_xlfn.IFNA(VLOOKUP(B37,Worksheet!$C$3:$G$46,3,FALSE),D37)</f>
        <v>114</v>
      </c>
      <c r="E37" s="299">
        <f ca="1">_xlfn.IFNA(VLOOKUP(B37,Worksheet!$C$3:$G$46,4,FALSE),E37)</f>
        <v>982</v>
      </c>
      <c r="F37" s="299">
        <f ca="1">_xlfn.IFNA(VLOOKUP(B37,Worksheet!$C$3:$G$46,5,FALSE),F37)</f>
        <v>1702</v>
      </c>
      <c r="G37" s="205" t="s">
        <v>150</v>
      </c>
    </row>
    <row r="38" spans="1:7" ht="45" hidden="1" customHeight="1" x14ac:dyDescent="0.25">
      <c r="A38" s="224"/>
      <c r="B38" s="236">
        <v>1153</v>
      </c>
      <c r="C38" s="240" t="s">
        <v>3834</v>
      </c>
      <c r="D38" s="299">
        <f ca="1">_xlfn.IFNA(VLOOKUP(B38,Worksheet!$C$3:$G$46,3,FALSE),D38)</f>
        <v>584</v>
      </c>
      <c r="E38" s="299">
        <f ca="1">_xlfn.IFNA(VLOOKUP(B38,Worksheet!$C$3:$G$46,4,FALSE),E38)</f>
        <v>1067</v>
      </c>
      <c r="F38" s="299">
        <f ca="1">_xlfn.IFNA(VLOOKUP(B38,Worksheet!$C$3:$G$46,5,FALSE),F38)</f>
        <v>1663</v>
      </c>
      <c r="G38" s="205" t="s">
        <v>150</v>
      </c>
    </row>
    <row r="39" spans="1:7" ht="45" hidden="1" customHeight="1" x14ac:dyDescent="0.25">
      <c r="A39" s="224"/>
      <c r="B39" s="236">
        <v>1154</v>
      </c>
      <c r="C39" s="246" t="s">
        <v>3835</v>
      </c>
      <c r="D39" s="247">
        <f ca="1">D40/D41</f>
        <v>0.1952054794520548</v>
      </c>
      <c r="E39" s="247">
        <f t="shared" ref="E39:F39" ca="1" si="2">E40/E41</f>
        <v>0.92033739456419872</v>
      </c>
      <c r="F39" s="247">
        <f t="shared" ca="1" si="2"/>
        <v>1.0234515935057125</v>
      </c>
      <c r="G39" s="205"/>
    </row>
    <row r="40" spans="1:7" ht="45" hidden="1" customHeight="1" x14ac:dyDescent="0.25">
      <c r="A40" s="224"/>
      <c r="B40" s="236">
        <v>1155</v>
      </c>
      <c r="C40" s="240" t="s">
        <v>3833</v>
      </c>
      <c r="D40" s="299">
        <f ca="1">_xlfn.IFNA(VLOOKUP(B40,Worksheet!$C$3:$G$46,3,FALSE),D40)</f>
        <v>114</v>
      </c>
      <c r="E40" s="299">
        <f ca="1">_xlfn.IFNA(VLOOKUP(B40,Worksheet!$C$3:$G$46,4,FALSE),E40)</f>
        <v>982</v>
      </c>
      <c r="F40" s="299">
        <f ca="1">_xlfn.IFNA(VLOOKUP(B40,Worksheet!$C$3:$G$46,5,FALSE),F40)</f>
        <v>1702</v>
      </c>
      <c r="G40" s="205" t="s">
        <v>150</v>
      </c>
    </row>
    <row r="41" spans="1:7" ht="45" hidden="1" customHeight="1" x14ac:dyDescent="0.25">
      <c r="A41" s="224"/>
      <c r="B41" s="236">
        <v>1156</v>
      </c>
      <c r="C41" s="240" t="s">
        <v>3836</v>
      </c>
      <c r="D41" s="299">
        <f ca="1">_xlfn.IFNA(VLOOKUP(B41,Worksheet!$C$3:$G$46,3,FALSE),D41)</f>
        <v>584</v>
      </c>
      <c r="E41" s="299">
        <f ca="1">_xlfn.IFNA(VLOOKUP(B41,Worksheet!$C$3:$G$46,4,FALSE),E41)</f>
        <v>1067</v>
      </c>
      <c r="F41" s="299">
        <f ca="1">_xlfn.IFNA(VLOOKUP(B41,Worksheet!$C$3:$G$46,5,FALSE),F41)</f>
        <v>1663</v>
      </c>
      <c r="G41" s="205" t="s">
        <v>150</v>
      </c>
    </row>
    <row r="42" spans="1:7" ht="45" hidden="1" customHeight="1" x14ac:dyDescent="0.25">
      <c r="A42" s="224"/>
      <c r="B42" s="236">
        <v>1157</v>
      </c>
      <c r="C42" s="246" t="s">
        <v>3837</v>
      </c>
      <c r="D42" s="247">
        <f ca="1">D43/D44</f>
        <v>1</v>
      </c>
      <c r="E42" s="247">
        <f t="shared" ref="E42:F42" ca="1" si="3">E43/E44</f>
        <v>1.1428571428571428</v>
      </c>
      <c r="F42" s="247">
        <f t="shared" ca="1" si="3"/>
        <v>0.76470588235294112</v>
      </c>
      <c r="G42" s="205"/>
    </row>
    <row r="43" spans="1:7" ht="45" hidden="1" customHeight="1" x14ac:dyDescent="0.25">
      <c r="A43" s="224"/>
      <c r="B43" s="236">
        <v>1158</v>
      </c>
      <c r="C43" s="240" t="s">
        <v>3838</v>
      </c>
      <c r="D43" s="299">
        <f ca="1">_xlfn.IFNA(VLOOKUP(B43,Worksheet!$C$3:$G$46,3,FALSE),D43)</f>
        <v>1</v>
      </c>
      <c r="E43" s="299">
        <f ca="1">_xlfn.IFNA(VLOOKUP(B43,Worksheet!$C$3:$G$46,4,FALSE),E43)</f>
        <v>16</v>
      </c>
      <c r="F43" s="299">
        <f ca="1">_xlfn.IFNA(VLOOKUP(B43,Worksheet!$C$3:$G$46,5,FALSE),F43)</f>
        <v>13</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14</v>
      </c>
      <c r="F44" s="299">
        <f ca="1">_xlfn.IFNA(VLOOKUP(B44,Worksheet!$C$3:$G$46,5,FALSE),F44)</f>
        <v>17</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102</v>
      </c>
      <c r="G46" s="205" t="s">
        <v>83</v>
      </c>
    </row>
    <row r="47" spans="1:7" s="248" customFormat="1" ht="45" hidden="1" customHeight="1" x14ac:dyDescent="0.25">
      <c r="A47" s="224"/>
      <c r="B47" s="255" t="s">
        <v>4014</v>
      </c>
      <c r="C47" s="226" t="s">
        <v>3975</v>
      </c>
      <c r="D47" s="230"/>
      <c r="E47" s="229"/>
      <c r="F47" s="298">
        <f ca="1">_xlfn.IFNA(VLOOKUP(B47,Worksheet!$C$3:$G$46,5,FALSE),F47)</f>
        <v>1</v>
      </c>
      <c r="G47" s="205" t="s">
        <v>83</v>
      </c>
    </row>
    <row r="48" spans="1:7" ht="45" hidden="1" customHeight="1" x14ac:dyDescent="0.25">
      <c r="A48" s="224"/>
      <c r="B48" s="255" t="s">
        <v>4015</v>
      </c>
      <c r="C48" s="226" t="s">
        <v>3976</v>
      </c>
      <c r="D48" s="226"/>
      <c r="E48" s="256"/>
      <c r="F48" s="298">
        <f ca="1">_xlfn.IFNA(VLOOKUP(B48,Worksheet!$C$3:$G$46,5,FALSE),F48)</f>
        <v>1</v>
      </c>
      <c r="G48" s="205" t="s">
        <v>83</v>
      </c>
    </row>
    <row r="49" spans="1:7" ht="45" hidden="1" customHeight="1" x14ac:dyDescent="0.25">
      <c r="A49" s="224"/>
      <c r="B49" s="257" t="s">
        <v>4016</v>
      </c>
      <c r="C49" s="258" t="s">
        <v>3988</v>
      </c>
      <c r="D49" s="233"/>
      <c r="E49" s="259"/>
      <c r="F49" s="235">
        <f ca="1">_xlfn.IFNA(VLOOKUP(F46,Data_donotedit!$BE$2:$BG$25,3,TRUE),0)</f>
        <v>57</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233</v>
      </c>
      <c r="E52" s="299">
        <f ca="1">_xlfn.IFNA(VLOOKUP(B52,Worksheet!$C$3:$G$46,4,FALSE),E52)</f>
        <v>233</v>
      </c>
      <c r="F52" s="299">
        <f ca="1">_xlfn.IFNA(VLOOKUP(B52,Worksheet!$C$3:$G$46,5,FALSE),F52)</f>
        <v>233</v>
      </c>
      <c r="G52" s="205" t="s">
        <v>83</v>
      </c>
    </row>
    <row r="53" spans="1:7" ht="45" hidden="1" customHeight="1" x14ac:dyDescent="0.25">
      <c r="A53" s="224"/>
      <c r="B53" s="236">
        <v>1213</v>
      </c>
      <c r="C53" s="240" t="s">
        <v>3845</v>
      </c>
      <c r="D53" s="299">
        <f ca="1">_xlfn.IFNA(VLOOKUP(B53,Worksheet!$C$3:$G$46,3,FALSE),D53)</f>
        <v>19</v>
      </c>
      <c r="E53" s="299">
        <f ca="1">_xlfn.IFNA(VLOOKUP(B53,Worksheet!$C$3:$G$46,4,FALSE),E53)</f>
        <v>19</v>
      </c>
      <c r="F53" s="299">
        <f ca="1">_xlfn.IFNA(VLOOKUP(B53,Worksheet!$C$3:$G$46,5,FALSE),F53)</f>
        <v>19</v>
      </c>
      <c r="G53" s="205" t="s">
        <v>83</v>
      </c>
    </row>
    <row r="54" spans="1:7" ht="45" hidden="1" customHeight="1" x14ac:dyDescent="0.25">
      <c r="A54" s="224"/>
      <c r="B54" s="236">
        <v>1214</v>
      </c>
      <c r="C54" s="262" t="s">
        <v>3846</v>
      </c>
      <c r="D54" s="299">
        <f ca="1">_xlfn.IFNA(VLOOKUP(B54,Worksheet!$C$3:$G$46,3,FALSE),D54)</f>
        <v>19</v>
      </c>
      <c r="E54" s="299">
        <f ca="1">_xlfn.IFNA(VLOOKUP(B54,Worksheet!$C$3:$G$46,4,FALSE),E54)</f>
        <v>19</v>
      </c>
      <c r="F54" s="299">
        <f ca="1">_xlfn.IFNA(VLOOKUP(B54,Worksheet!$C$3:$G$46,5,FALSE),F54)</f>
        <v>19</v>
      </c>
      <c r="G54" s="205" t="s">
        <v>83</v>
      </c>
    </row>
    <row r="55" spans="1:7" ht="45" hidden="1" customHeight="1" x14ac:dyDescent="0.25">
      <c r="A55" s="224"/>
      <c r="B55" s="236">
        <v>1215</v>
      </c>
      <c r="C55" s="240" t="s">
        <v>3847</v>
      </c>
      <c r="D55" s="299">
        <f ca="1">_xlfn.IFNA(VLOOKUP(B55,Worksheet!$C$3:$G$46,3,FALSE),D55)</f>
        <v>19</v>
      </c>
      <c r="E55" s="299">
        <f ca="1">_xlfn.IFNA(VLOOKUP(B55,Worksheet!$C$3:$G$46,4,FALSE),E55)</f>
        <v>19</v>
      </c>
      <c r="F55" s="299">
        <f ca="1">_xlfn.IFNA(VLOOKUP(B55,Worksheet!$C$3:$G$46,5,FALSE),F55)</f>
        <v>19</v>
      </c>
      <c r="G55" s="205" t="s">
        <v>83</v>
      </c>
    </row>
    <row r="56" spans="1:7" ht="45" hidden="1" customHeight="1" x14ac:dyDescent="0.25">
      <c r="A56" s="224"/>
      <c r="B56" s="236">
        <v>1216</v>
      </c>
      <c r="C56" s="241" t="s">
        <v>3848</v>
      </c>
      <c r="D56" s="299">
        <f ca="1">_xlfn.IFNA(VLOOKUP(B56,Worksheet!$C$3:$G$46,3,FALSE),D56)</f>
        <v>19</v>
      </c>
      <c r="E56" s="299">
        <f ca="1">_xlfn.IFNA(VLOOKUP(B56,Worksheet!$C$3:$G$46,4,FALSE),E56)</f>
        <v>19</v>
      </c>
      <c r="F56" s="299">
        <f ca="1">_xlfn.IFNA(VLOOKUP(B56,Worksheet!$C$3:$G$46,5,FALSE),F56)</f>
        <v>19</v>
      </c>
      <c r="G56" s="205" t="s">
        <v>83</v>
      </c>
    </row>
    <row r="57" spans="1:7" ht="45" hidden="1"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3850</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3851</v>
      </c>
      <c r="D59" s="299">
        <f ca="1">_xlfn.IFNA(VLOOKUP(B59,Worksheet!$C$3:$G$46,3,FALSE),D59)</f>
        <v>19</v>
      </c>
      <c r="E59" s="299">
        <f ca="1">_xlfn.IFNA(VLOOKUP(B59,Worksheet!$C$3:$G$46,4,FALSE),E59)</f>
        <v>19</v>
      </c>
      <c r="F59" s="299">
        <f ca="1">_xlfn.IFNA(VLOOKUP(B59,Worksheet!$C$3:$G$46,5,FALSE),F59)</f>
        <v>19</v>
      </c>
      <c r="G59" s="205" t="s">
        <v>83</v>
      </c>
    </row>
    <row r="60" spans="1:7" ht="45" hidden="1" customHeight="1" x14ac:dyDescent="0.25">
      <c r="A60" s="224"/>
      <c r="B60" s="236">
        <v>1222</v>
      </c>
      <c r="C60" s="262" t="s">
        <v>3852</v>
      </c>
      <c r="D60" s="299">
        <f ca="1">_xlfn.IFNA(VLOOKUP(B60,Worksheet!$C$3:$G$46,3,FALSE),D60)</f>
        <v>19</v>
      </c>
      <c r="E60" s="299">
        <f ca="1">_xlfn.IFNA(VLOOKUP(B60,Worksheet!$C$3:$G$46,4,FALSE),E60)</f>
        <v>19</v>
      </c>
      <c r="F60" s="299">
        <f ca="1">_xlfn.IFNA(VLOOKUP(B60,Worksheet!$C$3:$G$46,5,FALSE),F60)</f>
        <v>19</v>
      </c>
      <c r="G60" s="205" t="s">
        <v>83</v>
      </c>
    </row>
    <row r="61" spans="1:7" ht="45" hidden="1" customHeight="1" x14ac:dyDescent="0.25">
      <c r="A61" s="224"/>
      <c r="B61" s="236">
        <v>1223</v>
      </c>
      <c r="C61" s="262" t="s">
        <v>3853</v>
      </c>
      <c r="D61" s="299">
        <f ca="1">_xlfn.IFNA(VLOOKUP(B61,Worksheet!$C$3:$G$46,3,FALSE),D61)</f>
        <v>19</v>
      </c>
      <c r="E61" s="299">
        <f ca="1">_xlfn.IFNA(VLOOKUP(B61,Worksheet!$C$3:$G$46,4,FALSE),E61)</f>
        <v>19</v>
      </c>
      <c r="F61" s="299">
        <f ca="1">_xlfn.IFNA(VLOOKUP(B61,Worksheet!$C$3:$G$46,5,FALSE),F61)</f>
        <v>19</v>
      </c>
      <c r="G61" s="205" t="s">
        <v>83</v>
      </c>
    </row>
    <row r="62" spans="1:7" ht="54.6" hidden="1" customHeight="1" x14ac:dyDescent="0.25">
      <c r="A62" s="224"/>
      <c r="B62" s="236">
        <v>1224</v>
      </c>
      <c r="C62" s="262" t="s">
        <v>3854</v>
      </c>
      <c r="D62" s="299">
        <f ca="1">_xlfn.IFNA(VLOOKUP(B62,Worksheet!$C$3:$G$46,3,FALSE),D62)</f>
        <v>19</v>
      </c>
      <c r="E62" s="299">
        <f ca="1">_xlfn.IFNA(VLOOKUP(B62,Worksheet!$C$3:$G$46,4,FALSE),E62)</f>
        <v>19</v>
      </c>
      <c r="F62" s="299">
        <f ca="1">_xlfn.IFNA(VLOOKUP(B62,Worksheet!$C$3:$G$46,5,FALSE),F62)</f>
        <v>19</v>
      </c>
      <c r="G62" s="205" t="s">
        <v>83</v>
      </c>
    </row>
    <row r="63" spans="1:7" ht="66.599999999999994" hidden="1" customHeight="1" x14ac:dyDescent="0.25">
      <c r="A63" s="224"/>
      <c r="B63" s="236">
        <v>1225</v>
      </c>
      <c r="C63" s="262" t="s">
        <v>3855</v>
      </c>
      <c r="D63" s="299">
        <f ca="1">_xlfn.IFNA(VLOOKUP(B63,Worksheet!$C$3:$G$46,3,FALSE),D63)</f>
        <v>19</v>
      </c>
      <c r="E63" s="299">
        <f ca="1">_xlfn.IFNA(VLOOKUP(B63,Worksheet!$C$3:$G$46,4,FALSE),E63)</f>
        <v>19</v>
      </c>
      <c r="F63" s="299">
        <f ca="1">_xlfn.IFNA(VLOOKUP(B63,Worksheet!$C$3:$G$46,5,FALSE),F63)</f>
        <v>19</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1</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1</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40</v>
      </c>
      <c r="E67" s="299">
        <f ca="1">_xlfn.IFNA(VLOOKUP(B67,Worksheet!$C$3:$G$46,4,FALSE),E67)</f>
        <v>32</v>
      </c>
      <c r="F67" s="299">
        <f ca="1">_xlfn.IFNA(VLOOKUP(B67,Worksheet!$C$3:$G$46,5,FALSE),F67)</f>
        <v>29</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40</v>
      </c>
      <c r="E71" s="299">
        <f ca="1">_xlfn.IFNA(VLOOKUP(B71,Worksheet!$C$3:$G$46,4,FALSE),E71)</f>
        <v>32</v>
      </c>
      <c r="F71" s="299">
        <f ca="1">_xlfn.IFNA(VLOOKUP(B71,Worksheet!$C$3:$G$46,5,FALSE),F71)</f>
        <v>28</v>
      </c>
      <c r="G71" s="205" t="s">
        <v>83</v>
      </c>
    </row>
    <row r="72" spans="1:7" ht="45" hidden="1" customHeight="1" x14ac:dyDescent="0.25">
      <c r="A72" s="224"/>
      <c r="B72" s="236">
        <v>1236</v>
      </c>
      <c r="C72" s="240" t="s">
        <v>3863</v>
      </c>
      <c r="D72" s="299">
        <f ca="1">_xlfn.IFNA(VLOOKUP(B72,Worksheet!$C$3:$G$46,3,FALSE),D72)</f>
        <v>0</v>
      </c>
      <c r="E72" s="299">
        <f ca="1">_xlfn.IFNA(VLOOKUP(B72,Worksheet!$C$3:$G$46,4,FALSE),E72)</f>
        <v>1</v>
      </c>
      <c r="F72" s="299">
        <f ca="1">_xlfn.IFNA(VLOOKUP(B72,Worksheet!$C$3:$G$46,5,FALSE),F72)</f>
        <v>0</v>
      </c>
      <c r="G72" s="205" t="s">
        <v>83</v>
      </c>
    </row>
    <row r="73" spans="1:7" ht="45" hidden="1" customHeight="1" x14ac:dyDescent="0.25">
      <c r="A73" s="224"/>
      <c r="B73" s="236">
        <v>1241</v>
      </c>
      <c r="C73" s="240" t="s">
        <v>3864</v>
      </c>
      <c r="D73" s="299">
        <f ca="1">_xlfn.IFNA(VLOOKUP(B73,Worksheet!$C$3:$G$46,3,FALSE),D73)</f>
        <v>40</v>
      </c>
      <c r="E73" s="299">
        <f ca="1">_xlfn.IFNA(VLOOKUP(B73,Worksheet!$C$3:$G$46,4,FALSE),E73)</f>
        <v>32</v>
      </c>
      <c r="F73" s="299">
        <f ca="1">_xlfn.IFNA(VLOOKUP(B73,Worksheet!$C$3:$G$46,5,FALSE),F73)</f>
        <v>28</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1</v>
      </c>
      <c r="G74" s="205" t="s">
        <v>83</v>
      </c>
    </row>
    <row r="75" spans="1:7" ht="45" hidden="1" customHeight="1" x14ac:dyDescent="0.25">
      <c r="A75" s="224"/>
      <c r="B75" s="236">
        <v>1243</v>
      </c>
      <c r="C75" s="241" t="s">
        <v>3866</v>
      </c>
      <c r="D75" s="299">
        <f ca="1">_xlfn.IFNA(VLOOKUP(B75,Worksheet!$C$3:$G$46,3,FALSE),D75)</f>
        <v>40</v>
      </c>
      <c r="E75" s="299">
        <f ca="1">_xlfn.IFNA(VLOOKUP(B75,Worksheet!$C$3:$G$46,4,FALSE),E75)</f>
        <v>32</v>
      </c>
      <c r="F75" s="299">
        <f ca="1">_xlfn.IFNA(VLOOKUP(B75,Worksheet!$C$3:$G$46,5,FALSE),F75)</f>
        <v>28</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3868</v>
      </c>
      <c r="D77" s="299">
        <f ca="1">_xlfn.IFNA(VLOOKUP(B77,Worksheet!$C$3:$G$46,3,FALSE),D77)</f>
        <v>40</v>
      </c>
      <c r="E77" s="299">
        <f ca="1">_xlfn.IFNA(VLOOKUP(B77,Worksheet!$C$3:$G$46,4,FALSE),E77)</f>
        <v>32</v>
      </c>
      <c r="F77" s="299">
        <f ca="1">_xlfn.IFNA(VLOOKUP(B77,Worksheet!$C$3:$G$46,5,FALSE),F77)</f>
        <v>28</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1</v>
      </c>
      <c r="G78" s="205" t="s">
        <v>83</v>
      </c>
    </row>
    <row r="79" spans="1:7" ht="45" hidden="1" customHeight="1" x14ac:dyDescent="0.25">
      <c r="A79" s="224"/>
      <c r="B79" s="236">
        <v>1247</v>
      </c>
      <c r="C79" s="240" t="s">
        <v>3870</v>
      </c>
      <c r="D79" s="299">
        <f ca="1">_xlfn.IFNA(VLOOKUP(B79,Worksheet!$C$3:$G$46,3,FALSE),D79)</f>
        <v>41</v>
      </c>
      <c r="E79" s="299">
        <f ca="1">_xlfn.IFNA(VLOOKUP(B79,Worksheet!$C$3:$G$46,4,FALSE),E79)</f>
        <v>40</v>
      </c>
      <c r="F79" s="299">
        <f ca="1">_xlfn.IFNA(VLOOKUP(B79,Worksheet!$C$3:$G$46,5,FALSE),F79)</f>
        <v>20</v>
      </c>
      <c r="G79" s="205" t="s">
        <v>83</v>
      </c>
    </row>
    <row r="80" spans="1:7" ht="45" hidden="1" customHeight="1" x14ac:dyDescent="0.25">
      <c r="A80" s="224"/>
      <c r="B80" s="236">
        <v>1248</v>
      </c>
      <c r="C80" s="240" t="s">
        <v>3871</v>
      </c>
      <c r="D80" s="299">
        <f ca="1">_xlfn.IFNA(VLOOKUP(B80,Worksheet!$C$3:$G$46,3,FALSE),D80)</f>
        <v>1</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40</v>
      </c>
      <c r="E81" s="263">
        <f t="shared" ref="E81:F81" ca="1" si="4">E82</f>
        <v>32</v>
      </c>
      <c r="F81" s="263">
        <f t="shared" ca="1" si="4"/>
        <v>29</v>
      </c>
      <c r="G81" s="205"/>
    </row>
    <row r="82" spans="1:7" ht="45" hidden="1" customHeight="1" x14ac:dyDescent="0.25">
      <c r="A82" s="224"/>
      <c r="B82" s="236">
        <v>1252</v>
      </c>
      <c r="C82" s="240" t="s">
        <v>3873</v>
      </c>
      <c r="D82" s="299">
        <f ca="1">_xlfn.IFNA(VLOOKUP(B82,Worksheet!$C$3:$G$46,3,FALSE),D82)</f>
        <v>40</v>
      </c>
      <c r="E82" s="299">
        <f ca="1">_xlfn.IFNA(VLOOKUP(B82,Worksheet!$C$3:$G$46,4,FALSE),E82)</f>
        <v>32</v>
      </c>
      <c r="F82" s="299">
        <f ca="1">_xlfn.IFNA(VLOOKUP(B82,Worksheet!$C$3:$G$46,5,FALSE),F82)</f>
        <v>29</v>
      </c>
      <c r="G82" s="205" t="s">
        <v>83</v>
      </c>
    </row>
    <row r="83" spans="1:7" ht="45" hidden="1" customHeight="1" x14ac:dyDescent="0.25">
      <c r="A83" s="224"/>
      <c r="B83" s="236">
        <v>1253</v>
      </c>
      <c r="C83" s="240" t="s">
        <v>3874</v>
      </c>
      <c r="D83" s="299">
        <f ca="1">_xlfn.IFNA(VLOOKUP(B83,Worksheet!$C$3:$G$46,3,FALSE),D83)</f>
        <v>41</v>
      </c>
      <c r="E83" s="299">
        <f ca="1">_xlfn.IFNA(VLOOKUP(B83,Worksheet!$C$3:$G$46,4,FALSE),E83)</f>
        <v>40</v>
      </c>
      <c r="F83" s="299">
        <f ca="1">_xlfn.IFNA(VLOOKUP(B83,Worksheet!$C$3:$G$46,5,FALSE),F83)</f>
        <v>20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1</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1</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3880</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2</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1</v>
      </c>
      <c r="F93" s="299">
        <f ca="1">_xlfn.IFNA(VLOOKUP(B93,Worksheet!$C$3:$G$46,5,FALSE),F93)</f>
        <v>1</v>
      </c>
      <c r="G93" s="264" t="s">
        <v>155</v>
      </c>
    </row>
    <row r="94" spans="1:7" ht="45" hidden="1" customHeight="1" x14ac:dyDescent="0.25">
      <c r="A94" s="224"/>
      <c r="B94" s="236">
        <v>1314</v>
      </c>
      <c r="C94" s="267" t="s">
        <v>3883</v>
      </c>
      <c r="D94" s="299">
        <f ca="1">_xlfn.IFNA(VLOOKUP(B94,Worksheet!$C$3:$G$46,3,FALSE),D94)</f>
        <v>0</v>
      </c>
      <c r="E94" s="299">
        <f ca="1">_xlfn.IFNA(VLOOKUP(B94,Worksheet!$C$3:$G$46,4,FALSE),E94)</f>
        <v>1</v>
      </c>
      <c r="F94" s="299">
        <f ca="1">_xlfn.IFNA(VLOOKUP(B94,Worksheet!$C$3:$G$46,5,FALSE),F94)</f>
        <v>1</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1</v>
      </c>
      <c r="F96" s="299">
        <f ca="1">_xlfn.IFNA(VLOOKUP(B96,Worksheet!$C$3:$G$46,5,FALSE),F96)</f>
        <v>1</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1</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1</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1</v>
      </c>
      <c r="F100" s="299">
        <f ca="1">_xlfn.IFNA(VLOOKUP(B100,Worksheet!$C$3:$G$46,5,FALSE),F100)</f>
        <v>1</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1</v>
      </c>
      <c r="F103" s="299">
        <f ca="1">_xlfn.IFNA(VLOOKUP(B103,Worksheet!$C$3:$G$46,5,FALSE),F103)</f>
        <v>1</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1</v>
      </c>
      <c r="F107" s="269">
        <f ca="1">F94</f>
        <v>1</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1</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1</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2</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2</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2</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2</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2</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1</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2</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2</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2</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2</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2</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2</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77</v>
      </c>
      <c r="G141" s="205" t="s">
        <v>90</v>
      </c>
    </row>
    <row r="142" spans="1:7" ht="45" hidden="1" customHeight="1" x14ac:dyDescent="0.25">
      <c r="A142" s="224"/>
      <c r="B142" s="231" t="s">
        <v>4017</v>
      </c>
      <c r="C142" s="258" t="s">
        <v>3926</v>
      </c>
      <c r="D142" s="233"/>
      <c r="E142" s="274"/>
      <c r="F142" s="235">
        <f ca="1">_xlfn.IFNA(VLOOKUP(F141,Data_donotedit!$BE$2:$BG$25,3,TRUE),0)</f>
        <v>46</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15</v>
      </c>
      <c r="E144" s="299">
        <f ca="1">_xlfn.IFNA(VLOOKUP(B144,Worksheet!$C$3:$G$46,4,FALSE),E144)</f>
        <v>15</v>
      </c>
      <c r="F144" s="299">
        <f ca="1">_xlfn.IFNA(VLOOKUP(B144,Worksheet!$C$3:$G$46,5,FALSE),F144)</f>
        <v>16</v>
      </c>
      <c r="G144" s="205" t="s">
        <v>90</v>
      </c>
    </row>
    <row r="145" spans="1:7" ht="45" hidden="1" customHeight="1" x14ac:dyDescent="0.25">
      <c r="A145" s="224"/>
      <c r="B145" s="236">
        <v>1514</v>
      </c>
      <c r="C145" s="262" t="s">
        <v>3929</v>
      </c>
      <c r="D145" s="299">
        <f ca="1">_xlfn.IFNA(VLOOKUP(B145,Worksheet!$C$3:$G$46,3,FALSE),D145)</f>
        <v>15</v>
      </c>
      <c r="E145" s="299">
        <f ca="1">_xlfn.IFNA(VLOOKUP(B145,Worksheet!$C$3:$G$46,4,FALSE),E145)</f>
        <v>15</v>
      </c>
      <c r="F145" s="299">
        <f ca="1">_xlfn.IFNA(VLOOKUP(B145,Worksheet!$C$3:$G$46,5,FALSE),F145)</f>
        <v>16</v>
      </c>
      <c r="G145" s="205" t="s">
        <v>90</v>
      </c>
    </row>
    <row r="146" spans="1:7" ht="45" hidden="1" customHeight="1" x14ac:dyDescent="0.25">
      <c r="A146" s="224">
        <v>1541</v>
      </c>
      <c r="B146" s="236">
        <v>1515</v>
      </c>
      <c r="C146" s="262" t="s">
        <v>3930</v>
      </c>
      <c r="D146" s="299">
        <f ca="1">_xlfn.IFNA(VLOOKUP(B146,Worksheet!$C$3:$G$46,3,FALSE),D146)</f>
        <v>15</v>
      </c>
      <c r="E146" s="299">
        <f ca="1">_xlfn.IFNA(VLOOKUP(B146,Worksheet!$C$3:$G$46,4,FALSE),E146)</f>
        <v>15</v>
      </c>
      <c r="F146" s="299">
        <f ca="1">_xlfn.IFNA(VLOOKUP(B146,Worksheet!$C$3:$G$46,5,FALSE),F146)</f>
        <v>16</v>
      </c>
      <c r="G146" s="205" t="s">
        <v>90</v>
      </c>
    </row>
    <row r="147" spans="1:7" ht="45" hidden="1" customHeight="1" x14ac:dyDescent="0.25">
      <c r="A147" s="224"/>
      <c r="B147" s="236">
        <v>1521</v>
      </c>
      <c r="C147" s="262" t="s">
        <v>3931</v>
      </c>
      <c r="D147" s="299">
        <f ca="1">_xlfn.IFNA(VLOOKUP(B147,Worksheet!$C$3:$G$46,3,FALSE),D147)</f>
        <v>15</v>
      </c>
      <c r="E147" s="299">
        <f ca="1">_xlfn.IFNA(VLOOKUP(B147,Worksheet!$C$3:$G$46,4,FALSE),E147)</f>
        <v>15</v>
      </c>
      <c r="F147" s="299">
        <f ca="1">_xlfn.IFNA(VLOOKUP(B147,Worksheet!$C$3:$G$46,5,FALSE),F147)</f>
        <v>16</v>
      </c>
      <c r="G147" s="205" t="s">
        <v>90</v>
      </c>
    </row>
    <row r="148" spans="1:7" ht="45" hidden="1" customHeight="1" x14ac:dyDescent="0.25">
      <c r="A148" s="224"/>
      <c r="B148" s="236">
        <v>1522</v>
      </c>
      <c r="C148" s="262" t="s">
        <v>3932</v>
      </c>
      <c r="D148" s="299">
        <f ca="1">_xlfn.IFNA(VLOOKUP(B148,Worksheet!$C$3:$G$46,3,FALSE),D148)</f>
        <v>15</v>
      </c>
      <c r="E148" s="299">
        <f ca="1">_xlfn.IFNA(VLOOKUP(B148,Worksheet!$C$3:$G$46,4,FALSE),E148)</f>
        <v>15</v>
      </c>
      <c r="F148" s="299">
        <f ca="1">_xlfn.IFNA(VLOOKUP(B148,Worksheet!$C$3:$G$46,5,FALSE),F148)</f>
        <v>16</v>
      </c>
      <c r="G148" s="205" t="s">
        <v>90</v>
      </c>
    </row>
    <row r="149" spans="1:7" ht="45" hidden="1" customHeight="1" x14ac:dyDescent="0.25">
      <c r="A149" s="224"/>
      <c r="B149" s="236">
        <v>1523</v>
      </c>
      <c r="C149" s="262" t="s">
        <v>3933</v>
      </c>
      <c r="D149" s="299">
        <f ca="1">_xlfn.IFNA(VLOOKUP(B149,Worksheet!$C$3:$G$46,3,FALSE),D149)</f>
        <v>15</v>
      </c>
      <c r="E149" s="299">
        <f ca="1">_xlfn.IFNA(VLOOKUP(B149,Worksheet!$C$3:$G$46,4,FALSE),E149)</f>
        <v>15</v>
      </c>
      <c r="F149" s="299">
        <f ca="1">_xlfn.IFNA(VLOOKUP(B149,Worksheet!$C$3:$G$46,5,FALSE),F149)</f>
        <v>16</v>
      </c>
      <c r="G149" s="205" t="s">
        <v>90</v>
      </c>
    </row>
    <row r="150" spans="1:7" ht="45" hidden="1" customHeight="1" x14ac:dyDescent="0.25">
      <c r="A150" s="224"/>
      <c r="B150" s="236">
        <v>1524</v>
      </c>
      <c r="C150" s="262" t="s">
        <v>3934</v>
      </c>
      <c r="D150" s="299">
        <f ca="1">_xlfn.IFNA(VLOOKUP(B150,Worksheet!$C$3:$G$46,3,FALSE),D150)</f>
        <v>15</v>
      </c>
      <c r="E150" s="299">
        <f ca="1">_xlfn.IFNA(VLOOKUP(B150,Worksheet!$C$3:$G$46,4,FALSE),E150)</f>
        <v>15</v>
      </c>
      <c r="F150" s="299">
        <f ca="1">_xlfn.IFNA(VLOOKUP(B150,Worksheet!$C$3:$G$46,5,FALSE),F150)</f>
        <v>16</v>
      </c>
      <c r="G150" s="205" t="s">
        <v>90</v>
      </c>
    </row>
    <row r="151" spans="1:7" ht="45" hidden="1" customHeight="1" x14ac:dyDescent="0.25">
      <c r="A151" s="224"/>
      <c r="B151" s="236">
        <v>1531</v>
      </c>
      <c r="C151" s="240" t="s">
        <v>3935</v>
      </c>
      <c r="D151" s="299">
        <f ca="1">_xlfn.IFNA(VLOOKUP(B151,Worksheet!$C$3:$G$46,3,FALSE),D151)</f>
        <v>2</v>
      </c>
      <c r="E151" s="299">
        <f ca="1">_xlfn.IFNA(VLOOKUP(B151,Worksheet!$C$3:$G$46,4,FALSE),E151)</f>
        <v>5</v>
      </c>
      <c r="F151" s="299">
        <f ca="1">_xlfn.IFNA(VLOOKUP(B151,Worksheet!$C$3:$G$46,5,FALSE),F151)</f>
        <v>8</v>
      </c>
      <c r="G151" s="205" t="s">
        <v>90</v>
      </c>
    </row>
    <row r="152" spans="1:7" ht="45" hidden="1" customHeight="1" x14ac:dyDescent="0.25">
      <c r="A152" s="224"/>
      <c r="B152" s="236">
        <v>1532</v>
      </c>
      <c r="C152" s="240" t="s">
        <v>3936</v>
      </c>
      <c r="D152" s="299">
        <f ca="1">_xlfn.IFNA(VLOOKUP(B152,Worksheet!$C$3:$G$46,3,FALSE),D152)</f>
        <v>16</v>
      </c>
      <c r="E152" s="299">
        <f ca="1">_xlfn.IFNA(VLOOKUP(B152,Worksheet!$C$3:$G$46,4,FALSE),E152)</f>
        <v>22</v>
      </c>
      <c r="F152" s="299">
        <f ca="1">_xlfn.IFNA(VLOOKUP(B152,Worksheet!$C$3:$G$46,5,FALSE),F152)</f>
        <v>28</v>
      </c>
      <c r="G152" s="205" t="s">
        <v>90</v>
      </c>
    </row>
    <row r="153" spans="1:7" ht="45" hidden="1" customHeight="1" x14ac:dyDescent="0.25">
      <c r="A153" s="224"/>
      <c r="B153" s="236">
        <v>1533</v>
      </c>
      <c r="C153" s="240" t="s">
        <v>3937</v>
      </c>
      <c r="D153" s="299">
        <f ca="1">_xlfn.IFNA(VLOOKUP(B153,Worksheet!$C$3:$G$46,3,FALSE),D153)</f>
        <v>18</v>
      </c>
      <c r="E153" s="299">
        <f ca="1">_xlfn.IFNA(VLOOKUP(B153,Worksheet!$C$3:$G$46,4,FALSE),E153)</f>
        <v>27</v>
      </c>
      <c r="F153" s="299">
        <f ca="1">_xlfn.IFNA(VLOOKUP(B153,Worksheet!$C$3:$G$46,5,FALSE),F153)</f>
        <v>36</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18</v>
      </c>
      <c r="E155" s="299">
        <f ca="1">_xlfn.IFNA(VLOOKUP(B155,Worksheet!$C$3:$G$46,4,FALSE),E155)</f>
        <v>27</v>
      </c>
      <c r="F155" s="299">
        <f ca="1">_xlfn.IFNA(VLOOKUP(B155,Worksheet!$C$3:$G$46,5,FALSE),F155)</f>
        <v>36</v>
      </c>
      <c r="G155" s="205" t="s">
        <v>90</v>
      </c>
    </row>
    <row r="156" spans="1:7" ht="45" hidden="1" customHeight="1" x14ac:dyDescent="0.25">
      <c r="A156" s="224"/>
      <c r="B156" s="236">
        <v>1542</v>
      </c>
      <c r="C156" s="262" t="s">
        <v>3940</v>
      </c>
      <c r="D156" s="299">
        <f ca="1">_xlfn.IFNA(VLOOKUP(B156,Worksheet!$C$3:$G$46,3,FALSE),D156)</f>
        <v>18</v>
      </c>
      <c r="E156" s="299">
        <f ca="1">_xlfn.IFNA(VLOOKUP(B156,Worksheet!$C$3:$G$46,4,FALSE),E156)</f>
        <v>27</v>
      </c>
      <c r="F156" s="299">
        <f ca="1">_xlfn.IFNA(VLOOKUP(B156,Worksheet!$C$3:$G$46,5,FALSE),F156)</f>
        <v>36</v>
      </c>
      <c r="G156" s="205" t="s">
        <v>90</v>
      </c>
    </row>
    <row r="157" spans="1:7" ht="45" hidden="1" customHeight="1" x14ac:dyDescent="0.25">
      <c r="A157" s="224"/>
      <c r="B157" s="236">
        <v>1543</v>
      </c>
      <c r="C157" s="262" t="s">
        <v>3941</v>
      </c>
      <c r="D157" s="299">
        <f ca="1">_xlfn.IFNA(VLOOKUP(B157,Worksheet!$C$3:$G$46,3,FALSE),D157)</f>
        <v>18</v>
      </c>
      <c r="E157" s="299">
        <f ca="1">_xlfn.IFNA(VLOOKUP(B157,Worksheet!$C$3:$G$46,4,FALSE),E157)</f>
        <v>27</v>
      </c>
      <c r="F157" s="299">
        <f ca="1">_xlfn.IFNA(VLOOKUP(B157,Worksheet!$C$3:$G$46,5,FALSE),F157)</f>
        <v>36</v>
      </c>
      <c r="G157" s="205" t="s">
        <v>90</v>
      </c>
    </row>
    <row r="158" spans="1:7" ht="45" hidden="1" customHeight="1" x14ac:dyDescent="0.25">
      <c r="A158" s="224"/>
      <c r="B158" s="236">
        <v>1544</v>
      </c>
      <c r="C158" s="240" t="s">
        <v>3942</v>
      </c>
      <c r="D158" s="299">
        <f ca="1">_xlfn.IFNA(VLOOKUP(B158,Worksheet!$C$3:$G$46,3,FALSE),D158)</f>
        <v>18</v>
      </c>
      <c r="E158" s="299">
        <f ca="1">_xlfn.IFNA(VLOOKUP(B158,Worksheet!$C$3:$G$46,4,FALSE),E158)</f>
        <v>27</v>
      </c>
      <c r="F158" s="299">
        <f ca="1">_xlfn.IFNA(VLOOKUP(B158,Worksheet!$C$3:$G$46,5,FALSE),F158)</f>
        <v>36</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18</v>
      </c>
      <c r="E160" s="299">
        <f ca="1">_xlfn.IFNA(VLOOKUP(B160,Worksheet!$C$3:$G$46,4,FALSE),E160)</f>
        <v>27</v>
      </c>
      <c r="F160" s="299">
        <f ca="1">_xlfn.IFNA(VLOOKUP(B160,Worksheet!$C$3:$G$46,5,FALSE),F160)</f>
        <v>36</v>
      </c>
      <c r="G160" s="205" t="s">
        <v>90</v>
      </c>
    </row>
    <row r="161" spans="1:7" ht="45" hidden="1" customHeight="1" x14ac:dyDescent="0.25">
      <c r="A161" s="224"/>
      <c r="B161" s="236">
        <v>1553</v>
      </c>
      <c r="C161" s="240" t="s">
        <v>3945</v>
      </c>
      <c r="D161" s="299">
        <f ca="1">_xlfn.IFNA(VLOOKUP(B161,Worksheet!$C$3:$G$46,3,FALSE),D161)</f>
        <v>18</v>
      </c>
      <c r="E161" s="299">
        <f ca="1">_xlfn.IFNA(VLOOKUP(B161,Worksheet!$C$3:$G$46,4,FALSE),E161)</f>
        <v>27</v>
      </c>
      <c r="F161" s="299">
        <f ca="1">_xlfn.IFNA(VLOOKUP(B161,Worksheet!$C$3:$G$46,5,FALSE),F161)</f>
        <v>36</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18</v>
      </c>
      <c r="E163" s="299">
        <f ca="1">_xlfn.IFNA(VLOOKUP(B163,Worksheet!$C$3:$G$46,4,FALSE),E163)</f>
        <v>27</v>
      </c>
      <c r="F163" s="299">
        <f ca="1">_xlfn.IFNA(VLOOKUP(B163,Worksheet!$C$3:$G$46,5,FALSE),F163)</f>
        <v>36</v>
      </c>
      <c r="G163" s="205" t="s">
        <v>90</v>
      </c>
    </row>
    <row r="164" spans="1:7" ht="45" hidden="1" customHeight="1" x14ac:dyDescent="0.25">
      <c r="A164" s="224"/>
      <c r="B164" s="236">
        <v>1556</v>
      </c>
      <c r="C164" s="240" t="s">
        <v>3945</v>
      </c>
      <c r="D164" s="299">
        <f ca="1">_xlfn.IFNA(VLOOKUP(B164,Worksheet!$C$3:$G$46,3,FALSE),D164)</f>
        <v>18</v>
      </c>
      <c r="E164" s="299">
        <f ca="1">_xlfn.IFNA(VLOOKUP(B164,Worksheet!$C$3:$G$46,4,FALSE),E164)</f>
        <v>27</v>
      </c>
      <c r="F164" s="299">
        <f ca="1">_xlfn.IFNA(VLOOKUP(B164,Worksheet!$C$3:$G$46,5,FALSE),F164)</f>
        <v>36</v>
      </c>
      <c r="G164" s="205" t="s">
        <v>90</v>
      </c>
    </row>
    <row r="165" spans="1:7" ht="45" hidden="1" customHeight="1" x14ac:dyDescent="0.25">
      <c r="A165" s="224"/>
      <c r="C165" s="276"/>
      <c r="D165" s="277"/>
      <c r="G165" s="205"/>
    </row>
    <row r="166" spans="1:7" ht="45" customHeight="1" x14ac:dyDescent="0.25">
      <c r="A166" s="224"/>
      <c r="B166" s="279" t="s">
        <v>91</v>
      </c>
      <c r="C166" s="258" t="s">
        <v>3996</v>
      </c>
      <c r="D166" s="226"/>
      <c r="E166" s="229"/>
      <c r="F166" s="298">
        <f ca="1">_xlfn.IFNA(VLOOKUP(B166,Worksheet!$C$3:$G$46,5,FALSE),F166)</f>
        <v>149</v>
      </c>
      <c r="G166" s="205" t="s">
        <v>91</v>
      </c>
    </row>
    <row r="167" spans="1:7" ht="45" customHeight="1" x14ac:dyDescent="0.25">
      <c r="A167" s="224"/>
      <c r="B167" s="280" t="s">
        <v>4018</v>
      </c>
      <c r="C167" s="258" t="s">
        <v>3997</v>
      </c>
      <c r="D167" s="226"/>
      <c r="E167" s="229"/>
      <c r="F167" s="235">
        <f ca="1">_xlfn.IFNA(VLOOKUP(F166,Data_donotedit!$BE$2:$BG$25,3,TRUE),0)</f>
        <v>64</v>
      </c>
      <c r="G167" s="205" t="s">
        <v>91</v>
      </c>
    </row>
    <row r="168" spans="1:7" ht="45" customHeight="1" x14ac:dyDescent="0.25">
      <c r="A168" s="224"/>
      <c r="B168" s="279"/>
      <c r="C168" s="260" t="s">
        <v>3948</v>
      </c>
      <c r="D168" s="238" t="s">
        <v>76</v>
      </c>
      <c r="E168" s="239" t="s">
        <v>77</v>
      </c>
      <c r="F168" s="239" t="s">
        <v>78</v>
      </c>
      <c r="G168" s="205" t="s">
        <v>91</v>
      </c>
    </row>
    <row r="169" spans="1:7" ht="45"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3949</v>
      </c>
      <c r="D170" s="299">
        <f ca="1">_xlfn.IFNA(VLOOKUP(B170,Worksheet!$C$3:$G$46,3,FALSE),D170)</f>
        <v>142</v>
      </c>
      <c r="E170" s="299">
        <f ca="1">_xlfn.IFNA(VLOOKUP(B170,Worksheet!$C$3:$G$46,4,FALSE),E170)</f>
        <v>142</v>
      </c>
      <c r="F170" s="299">
        <f ca="1">_xlfn.IFNA(VLOOKUP(B170,Worksheet!$C$3:$G$46,5,FALSE),F170)</f>
        <v>142</v>
      </c>
      <c r="G170" s="205" t="s">
        <v>91</v>
      </c>
    </row>
    <row r="171" spans="1:7" ht="45" customHeight="1" x14ac:dyDescent="0.25">
      <c r="A171" s="224"/>
      <c r="B171" s="236">
        <v>1613</v>
      </c>
      <c r="C171" s="240" t="s">
        <v>3928</v>
      </c>
      <c r="D171" s="299">
        <f ca="1">_xlfn.IFNA(VLOOKUP(B171,Worksheet!$C$3:$G$46,3,FALSE),D171)</f>
        <v>21</v>
      </c>
      <c r="E171" s="299">
        <f ca="1">_xlfn.IFNA(VLOOKUP(B171,Worksheet!$C$3:$G$46,4,FALSE),E171)</f>
        <v>21</v>
      </c>
      <c r="F171" s="299">
        <f ca="1">_xlfn.IFNA(VLOOKUP(B171,Worksheet!$C$3:$G$46,5,FALSE),F171)</f>
        <v>22</v>
      </c>
      <c r="G171" s="205" t="s">
        <v>91</v>
      </c>
    </row>
    <row r="172" spans="1:7" ht="45" customHeight="1" x14ac:dyDescent="0.25">
      <c r="A172" s="224"/>
      <c r="B172" s="236">
        <v>1614</v>
      </c>
      <c r="C172" s="281" t="s">
        <v>3998</v>
      </c>
      <c r="D172" s="299">
        <f ca="1">_xlfn.IFNA(VLOOKUP(B172,Worksheet!$C$3:$G$46,3,FALSE),D172)</f>
        <v>21</v>
      </c>
      <c r="E172" s="299">
        <f ca="1">_xlfn.IFNA(VLOOKUP(B172,Worksheet!$C$3:$G$46,4,FALSE),E172)</f>
        <v>21</v>
      </c>
      <c r="F172" s="299">
        <f ca="1">_xlfn.IFNA(VLOOKUP(B172,Worksheet!$C$3:$G$46,5,FALSE),F172)</f>
        <v>22</v>
      </c>
      <c r="G172" s="205" t="s">
        <v>91</v>
      </c>
    </row>
    <row r="173" spans="1:7" ht="45" customHeight="1" x14ac:dyDescent="0.25">
      <c r="A173" s="224"/>
      <c r="B173" s="236">
        <v>1615</v>
      </c>
      <c r="C173" s="240" t="s">
        <v>3950</v>
      </c>
      <c r="D173" s="299">
        <f ca="1">_xlfn.IFNA(VLOOKUP(B173,Worksheet!$C$3:$G$46,3,FALSE),D173)</f>
        <v>21</v>
      </c>
      <c r="E173" s="299">
        <f ca="1">_xlfn.IFNA(VLOOKUP(B173,Worksheet!$C$3:$G$46,4,FALSE),E173)</f>
        <v>21</v>
      </c>
      <c r="F173" s="299">
        <f ca="1">_xlfn.IFNA(VLOOKUP(B173,Worksheet!$C$3:$G$46,5,FALSE),F173)</f>
        <v>22</v>
      </c>
      <c r="G173" s="205" t="s">
        <v>91</v>
      </c>
    </row>
    <row r="174" spans="1:7" ht="45" customHeight="1" x14ac:dyDescent="0.25">
      <c r="A174" s="224"/>
      <c r="B174" s="236">
        <v>1616</v>
      </c>
      <c r="C174" s="240" t="s">
        <v>3999</v>
      </c>
      <c r="D174" s="299">
        <f ca="1">_xlfn.IFNA(VLOOKUP(B174,Worksheet!$C$3:$G$46,3,FALSE),D174)</f>
        <v>21</v>
      </c>
      <c r="E174" s="299">
        <f ca="1">_xlfn.IFNA(VLOOKUP(B174,Worksheet!$C$3:$G$46,4,FALSE),E174)</f>
        <v>21</v>
      </c>
      <c r="F174" s="299">
        <f ca="1">_xlfn.IFNA(VLOOKUP(B174,Worksheet!$C$3:$G$46,5,FALSE),F174)</f>
        <v>22</v>
      </c>
      <c r="G174" s="205" t="s">
        <v>91</v>
      </c>
    </row>
    <row r="175" spans="1:7" ht="45" customHeight="1" x14ac:dyDescent="0.25">
      <c r="A175" s="224"/>
      <c r="B175" s="236">
        <v>1621</v>
      </c>
      <c r="C175" s="240" t="s">
        <v>4000</v>
      </c>
      <c r="D175" s="299">
        <f ca="1">_xlfn.IFNA(VLOOKUP(B175,Worksheet!$C$3:$G$46,3,FALSE),D175)</f>
        <v>21</v>
      </c>
      <c r="E175" s="299">
        <f ca="1">_xlfn.IFNA(VLOOKUP(B175,Worksheet!$C$3:$G$46,4,FALSE),E175)</f>
        <v>21</v>
      </c>
      <c r="F175" s="299">
        <f ca="1">_xlfn.IFNA(VLOOKUP(B175,Worksheet!$C$3:$G$46,5,FALSE),F175)</f>
        <v>22</v>
      </c>
      <c r="G175" s="205" t="s">
        <v>91</v>
      </c>
    </row>
    <row r="176" spans="1:7" ht="45" customHeight="1" x14ac:dyDescent="0.25">
      <c r="A176" s="224"/>
      <c r="B176" s="236">
        <v>1622</v>
      </c>
      <c r="C176" s="240" t="s">
        <v>4001</v>
      </c>
      <c r="D176" s="299">
        <f ca="1">_xlfn.IFNA(VLOOKUP(B176,Worksheet!$C$3:$G$46,3,FALSE),D176)</f>
        <v>21</v>
      </c>
      <c r="E176" s="299">
        <f ca="1">_xlfn.IFNA(VLOOKUP(B176,Worksheet!$C$3:$G$46,4,FALSE),E176)</f>
        <v>21</v>
      </c>
      <c r="F176" s="299">
        <f ca="1">_xlfn.IFNA(VLOOKUP(B176,Worksheet!$C$3:$G$46,5,FALSE),F176)</f>
        <v>22</v>
      </c>
      <c r="G176" s="205" t="s">
        <v>91</v>
      </c>
    </row>
    <row r="177" spans="1:7" ht="45" customHeight="1" x14ac:dyDescent="0.25">
      <c r="A177" s="224"/>
      <c r="B177" s="236">
        <v>1623</v>
      </c>
      <c r="C177" s="240" t="s">
        <v>4002</v>
      </c>
      <c r="D177" s="299">
        <f ca="1">_xlfn.IFNA(VLOOKUP(B177,Worksheet!$C$3:$G$46,3,FALSE),D177)</f>
        <v>21</v>
      </c>
      <c r="E177" s="299">
        <f ca="1">_xlfn.IFNA(VLOOKUP(B177,Worksheet!$C$3:$G$46,4,FALSE),E177)</f>
        <v>21</v>
      </c>
      <c r="F177" s="299">
        <f ca="1">_xlfn.IFNA(VLOOKUP(B177,Worksheet!$C$3:$G$46,5,FALSE),F177)</f>
        <v>22</v>
      </c>
      <c r="G177" s="205" t="s">
        <v>91</v>
      </c>
    </row>
    <row r="178" spans="1:7" ht="45" customHeight="1" x14ac:dyDescent="0.25">
      <c r="A178" s="224"/>
      <c r="B178" s="236">
        <v>1624</v>
      </c>
      <c r="C178" s="240" t="s">
        <v>4003</v>
      </c>
      <c r="D178" s="299">
        <f ca="1">_xlfn.IFNA(VLOOKUP(B178,Worksheet!$C$3:$G$46,3,FALSE),D178)</f>
        <v>17</v>
      </c>
      <c r="E178" s="299">
        <f ca="1">_xlfn.IFNA(VLOOKUP(B178,Worksheet!$C$3:$G$46,4,FALSE),E178)</f>
        <v>11</v>
      </c>
      <c r="F178" s="299">
        <f ca="1">_xlfn.IFNA(VLOOKUP(B178,Worksheet!$C$3:$G$46,5,FALSE),F178)</f>
        <v>19</v>
      </c>
      <c r="G178" s="205" t="s">
        <v>91</v>
      </c>
    </row>
    <row r="179" spans="1:7" ht="45" customHeight="1" x14ac:dyDescent="0.25">
      <c r="A179" s="224"/>
      <c r="B179" s="236">
        <v>1625</v>
      </c>
      <c r="C179" s="240" t="s">
        <v>3951</v>
      </c>
      <c r="D179" s="299">
        <f ca="1">_xlfn.IFNA(VLOOKUP(B179,Worksheet!$C$3:$G$46,3,FALSE),D179)</f>
        <v>21</v>
      </c>
      <c r="E179" s="299">
        <f ca="1">_xlfn.IFNA(VLOOKUP(B179,Worksheet!$C$3:$G$46,4,FALSE),E179)</f>
        <v>21</v>
      </c>
      <c r="F179" s="299">
        <f ca="1">_xlfn.IFNA(VLOOKUP(B179,Worksheet!$C$3:$G$46,5,FALSE),F179)</f>
        <v>22</v>
      </c>
      <c r="G179" s="205" t="s">
        <v>91</v>
      </c>
    </row>
    <row r="180" spans="1:7" ht="45" customHeight="1" x14ac:dyDescent="0.25">
      <c r="A180" s="224"/>
      <c r="B180" s="236"/>
      <c r="C180" s="243" t="s">
        <v>4004</v>
      </c>
      <c r="D180" s="244"/>
      <c r="E180" s="244"/>
      <c r="F180" s="245"/>
      <c r="G180" s="205" t="s">
        <v>91</v>
      </c>
    </row>
    <row r="181" spans="1:7" ht="45" customHeight="1" x14ac:dyDescent="0.25">
      <c r="A181" s="224"/>
      <c r="B181" s="236">
        <v>1631</v>
      </c>
      <c r="C181" s="240" t="s">
        <v>3952</v>
      </c>
      <c r="D181" s="299">
        <f>_xlfn.IFNA(VLOOKUP(B181,Worksheet!$C$3:$G$46,3,FALSE),D181)</f>
        <v>20</v>
      </c>
      <c r="E181" s="299">
        <f>_xlfn.IFNA(VLOOKUP(B181,Worksheet!$C$3:$G$46,4,FALSE),E181)</f>
        <v>22</v>
      </c>
      <c r="F181" s="299">
        <f>_xlfn.IFNA(VLOOKUP(B181,Worksheet!$C$3:$G$46,5,FALSE),F181)</f>
        <v>31</v>
      </c>
      <c r="G181" s="205" t="s">
        <v>91</v>
      </c>
    </row>
    <row r="182" spans="1:7" ht="45" customHeight="1" x14ac:dyDescent="0.25">
      <c r="A182" s="224"/>
      <c r="B182" s="236">
        <v>1632</v>
      </c>
      <c r="C182" s="240" t="s">
        <v>3953</v>
      </c>
      <c r="D182" s="299">
        <f>_xlfn.IFNA(VLOOKUP(B182,Worksheet!$C$3:$G$46,3,FALSE),D182)</f>
        <v>75</v>
      </c>
      <c r="E182" s="299">
        <f>_xlfn.IFNA(VLOOKUP(B182,Worksheet!$C$3:$G$46,4,FALSE),E182)</f>
        <v>90</v>
      </c>
      <c r="F182" s="299">
        <f>_xlfn.IFNA(VLOOKUP(B182,Worksheet!$C$3:$G$46,5,FALSE),F182)</f>
        <v>118</v>
      </c>
      <c r="G182" s="205" t="s">
        <v>91</v>
      </c>
    </row>
    <row r="183" spans="1:7" ht="45" customHeight="1" x14ac:dyDescent="0.25">
      <c r="A183" s="224"/>
      <c r="B183" s="236">
        <v>1633</v>
      </c>
      <c r="C183" s="240" t="s">
        <v>3954</v>
      </c>
      <c r="D183" s="299">
        <f>_xlfn.IFNA(VLOOKUP(B183,Worksheet!$C$3:$G$46,3,FALSE),D183)</f>
        <v>94</v>
      </c>
      <c r="E183" s="299">
        <f>_xlfn.IFNA(VLOOKUP(B183,Worksheet!$C$3:$G$46,4,FALSE),E183)</f>
        <v>111</v>
      </c>
      <c r="F183" s="299">
        <f>_xlfn.IFNA(VLOOKUP(B183,Worksheet!$C$3:$G$46,5,FALSE),F183)</f>
        <v>148</v>
      </c>
      <c r="G183" s="205" t="s">
        <v>91</v>
      </c>
    </row>
    <row r="184" spans="1:7" ht="45" customHeight="1" x14ac:dyDescent="0.25">
      <c r="A184" s="224"/>
      <c r="B184" s="236">
        <v>1634</v>
      </c>
      <c r="C184" s="240" t="s">
        <v>3955</v>
      </c>
      <c r="D184" s="299">
        <f>_xlfn.IFNA(VLOOKUP(B184,Worksheet!$C$3:$G$46,3,FALSE),D184)</f>
        <v>1</v>
      </c>
      <c r="E184" s="299">
        <f>_xlfn.IFNA(VLOOKUP(B184,Worksheet!$C$3:$G$46,4,FALSE),E184)</f>
        <v>1</v>
      </c>
      <c r="F184" s="299">
        <f>_xlfn.IFNA(VLOOKUP(B184,Worksheet!$C$3:$G$46,5,FALSE),F184)</f>
        <v>1</v>
      </c>
      <c r="G184" s="205" t="s">
        <v>91</v>
      </c>
    </row>
    <row r="185" spans="1:7" ht="45" customHeight="1" x14ac:dyDescent="0.25">
      <c r="A185" s="224"/>
      <c r="B185" s="236">
        <v>1635</v>
      </c>
      <c r="C185" s="240" t="s">
        <v>3956</v>
      </c>
      <c r="D185" s="299">
        <f>_xlfn.IFNA(VLOOKUP(B185,Worksheet!$C$3:$G$46,3,FALSE),D185)</f>
        <v>57</v>
      </c>
      <c r="E185" s="299">
        <f>_xlfn.IFNA(VLOOKUP(B185,Worksheet!$C$3:$G$46,4,FALSE),E185)</f>
        <v>73</v>
      </c>
      <c r="F185" s="299">
        <f>_xlfn.IFNA(VLOOKUP(B185,Worksheet!$C$3:$G$46,5,FALSE),F185)</f>
        <v>73</v>
      </c>
      <c r="G185" s="205" t="s">
        <v>91</v>
      </c>
    </row>
    <row r="186" spans="1:7" ht="45" customHeight="1" x14ac:dyDescent="0.25">
      <c r="A186" s="224"/>
      <c r="B186" s="236">
        <v>1641</v>
      </c>
      <c r="C186" s="240" t="s">
        <v>4005</v>
      </c>
      <c r="D186" s="299">
        <f>_xlfn.IFNA(VLOOKUP(B186,Worksheet!$C$3:$G$46,3,FALSE),D186)</f>
        <v>80</v>
      </c>
      <c r="E186" s="299">
        <f>_xlfn.IFNA(VLOOKUP(B186,Worksheet!$C$3:$G$46,4,FALSE),E186)</f>
        <v>73</v>
      </c>
      <c r="F186" s="299">
        <f>_xlfn.IFNA(VLOOKUP(B186,Worksheet!$C$3:$G$46,5,FALSE),F186)</f>
        <v>83</v>
      </c>
      <c r="G186" s="205" t="s">
        <v>91</v>
      </c>
    </row>
    <row r="187" spans="1:7" ht="45" customHeight="1" x14ac:dyDescent="0.25">
      <c r="A187" s="224"/>
      <c r="B187" s="236">
        <v>1642</v>
      </c>
      <c r="C187" s="240" t="s">
        <v>3956</v>
      </c>
      <c r="D187" s="299">
        <f>_xlfn.IFNA(VLOOKUP(B187,Worksheet!$C$3:$G$46,3,FALSE),D187)</f>
        <v>71</v>
      </c>
      <c r="E187" s="299">
        <f>_xlfn.IFNA(VLOOKUP(B187,Worksheet!$C$3:$G$46,4,FALSE),E187)</f>
        <v>64</v>
      </c>
      <c r="F187" s="299">
        <f>_xlfn.IFNA(VLOOKUP(B187,Worksheet!$C$3:$G$46,5,FALSE),F187)</f>
        <v>81</v>
      </c>
      <c r="G187" s="205" t="s">
        <v>91</v>
      </c>
    </row>
    <row r="188" spans="1:7" ht="45" customHeight="1" x14ac:dyDescent="0.25">
      <c r="A188" s="224"/>
      <c r="B188" s="236">
        <v>1643</v>
      </c>
      <c r="C188" s="240" t="s">
        <v>4006</v>
      </c>
      <c r="D188" s="299">
        <f>_xlfn.IFNA(VLOOKUP(B188,Worksheet!$C$3:$G$46,3,FALSE),D188)</f>
        <v>95</v>
      </c>
      <c r="E188" s="299">
        <f>_xlfn.IFNA(VLOOKUP(B188,Worksheet!$C$3:$G$46,4,FALSE),E188)</f>
        <v>112</v>
      </c>
      <c r="F188" s="299">
        <f>_xlfn.IFNA(VLOOKUP(B188,Worksheet!$C$3:$G$46,5,FALSE),F188)</f>
        <v>149</v>
      </c>
      <c r="G188" s="205" t="s">
        <v>91</v>
      </c>
    </row>
    <row r="189" spans="1:7" ht="45" customHeight="1" x14ac:dyDescent="0.25">
      <c r="A189" s="224"/>
      <c r="B189" s="236">
        <v>1644</v>
      </c>
      <c r="C189" s="240" t="s">
        <v>4007</v>
      </c>
      <c r="D189" s="299">
        <f>_xlfn.IFNA(VLOOKUP(B189,Worksheet!$C$3:$G$46,3,FALSE),D189)</f>
        <v>95</v>
      </c>
      <c r="E189" s="299">
        <f>_xlfn.IFNA(VLOOKUP(B189,Worksheet!$C$3:$G$46,4,FALSE),E189)</f>
        <v>112</v>
      </c>
      <c r="F189" s="299">
        <f>_xlfn.IFNA(VLOOKUP(B189,Worksheet!$C$3:$G$46,5,FALSE),F189)</f>
        <v>149</v>
      </c>
      <c r="G189" s="205" t="s">
        <v>91</v>
      </c>
    </row>
    <row r="190" spans="1:7" ht="45" hidden="1" customHeight="1" x14ac:dyDescent="0.25">
      <c r="A190" s="224"/>
      <c r="B190" s="236">
        <v>1651</v>
      </c>
      <c r="C190" s="219" t="s">
        <v>3957</v>
      </c>
      <c r="D190" s="282">
        <f>D191/D192</f>
        <v>0.87943262411347523</v>
      </c>
      <c r="E190" s="282">
        <f t="shared" ref="E190:F190" si="7">E191/E192</f>
        <v>0.9</v>
      </c>
      <c r="F190" s="282">
        <f t="shared" si="7"/>
        <v>0.92417061611374407</v>
      </c>
      <c r="G190" s="205"/>
    </row>
    <row r="191" spans="1:7" ht="45" customHeight="1" x14ac:dyDescent="0.25">
      <c r="A191" s="224"/>
      <c r="B191" s="236">
        <v>1652</v>
      </c>
      <c r="C191" s="240" t="s">
        <v>3958</v>
      </c>
      <c r="D191" s="299">
        <f>_xlfn.IFNA(VLOOKUP(B191,Worksheet!$C$3:$G$46,3,FALSE),D191)</f>
        <v>124</v>
      </c>
      <c r="E191" s="299">
        <f>_xlfn.IFNA(VLOOKUP(B191,Worksheet!$C$3:$G$46,4,FALSE),E191)</f>
        <v>153</v>
      </c>
      <c r="F191" s="299">
        <f>_xlfn.IFNA(VLOOKUP(B191,Worksheet!$C$3:$G$46,5,FALSE),F191)</f>
        <v>195</v>
      </c>
      <c r="G191" s="205" t="s">
        <v>91</v>
      </c>
    </row>
    <row r="192" spans="1:7" ht="45" customHeight="1" x14ac:dyDescent="0.25">
      <c r="A192" s="224"/>
      <c r="B192" s="236">
        <v>1653</v>
      </c>
      <c r="C192" s="240" t="s">
        <v>3959</v>
      </c>
      <c r="D192" s="299">
        <f>_xlfn.IFNA(VLOOKUP(B192,Worksheet!$C$3:$G$46,3,FALSE),D192)</f>
        <v>141</v>
      </c>
      <c r="E192" s="299">
        <f>_xlfn.IFNA(VLOOKUP(B192,Worksheet!$C$3:$G$46,4,FALSE),E192)</f>
        <v>170</v>
      </c>
      <c r="F192" s="299">
        <f>_xlfn.IFNA(VLOOKUP(B192,Worksheet!$C$3:$G$46,5,FALSE),F192)</f>
        <v>211</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customHeight="1" x14ac:dyDescent="0.25">
      <c r="A200" s="224"/>
      <c r="B200" s="236">
        <v>1661</v>
      </c>
      <c r="C200" s="240" t="s">
        <v>3967</v>
      </c>
      <c r="D200" s="299">
        <f>_xlfn.IFNA(VLOOKUP(B200,Worksheet!$C$3:$G$46,3,FALSE),D200)</f>
        <v>8</v>
      </c>
      <c r="E200" s="299">
        <f>_xlfn.IFNA(VLOOKUP(B200,Worksheet!$C$3:$G$46,4,FALSE),E200)</f>
        <v>19</v>
      </c>
      <c r="F200" s="299">
        <f>_xlfn.IFNA(VLOOKUP(B200,Worksheet!$C$3:$G$46,5,FALSE),F200)</f>
        <v>14</v>
      </c>
      <c r="G200" s="205" t="s">
        <v>91</v>
      </c>
    </row>
    <row r="201" spans="1:7" ht="45" customHeight="1" x14ac:dyDescent="0.25">
      <c r="A201" s="224"/>
      <c r="B201" s="236">
        <v>1662</v>
      </c>
      <c r="C201" s="240" t="s">
        <v>3968</v>
      </c>
      <c r="D201" s="299">
        <f>_xlfn.IFNA(VLOOKUP(B201,Worksheet!$C$3:$G$46,3,FALSE),D201)</f>
        <v>2</v>
      </c>
      <c r="E201" s="299">
        <f>_xlfn.IFNA(VLOOKUP(B201,Worksheet!$C$3:$G$46,4,FALSE),E201)</f>
        <v>1</v>
      </c>
      <c r="F201" s="299">
        <f>_xlfn.IFNA(VLOOKUP(B201,Worksheet!$C$3:$G$46,5,FALSE),F201)</f>
        <v>1</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2017-02-23T07:20:00Z</dcterms:modified>
</cp:coreProperties>
</file>