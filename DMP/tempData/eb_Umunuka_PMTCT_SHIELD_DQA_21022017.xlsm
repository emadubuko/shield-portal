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ani\Desktop\Sheild DQA stuffs\Completed\"/>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R23" i="11" s="1"/>
  <c r="Q17" i="11"/>
  <c r="S23" i="11" s="1"/>
  <c r="R17" i="11"/>
  <c r="S17" i="11"/>
  <c r="T17" i="11"/>
  <c r="Q24" i="11" s="1"/>
  <c r="U17" i="11"/>
  <c r="R24" i="11" s="1"/>
  <c r="V17" i="11"/>
  <c r="W17" i="11"/>
  <c r="X17" i="11"/>
  <c r="Y17" i="11"/>
  <c r="Q25" i="11" s="1"/>
  <c r="Z17" i="11"/>
  <c r="AA17" i="11"/>
  <c r="AB17" i="11"/>
  <c r="T25" i="11"/>
  <c r="S25" i="11"/>
  <c r="R25" i="11"/>
  <c r="P25" i="11"/>
  <c r="T24" i="11"/>
  <c r="S24" i="11"/>
  <c r="P24" i="11"/>
  <c r="T23"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8" i="10" l="1"/>
  <c r="E8" i="10"/>
  <c r="F8" i="10"/>
  <c r="F9" i="10"/>
  <c r="E9" i="10"/>
  <c r="D9" i="10"/>
  <c r="D10" i="10"/>
  <c r="E10" i="10"/>
  <c r="F10" i="10"/>
  <c r="D11" i="10"/>
  <c r="E11" i="10"/>
  <c r="F11" i="10"/>
  <c r="D12" i="10"/>
  <c r="E12" i="10"/>
  <c r="F12" i="10"/>
  <c r="D13" i="10"/>
  <c r="D15" i="10" l="1"/>
  <c r="D31" i="10"/>
  <c r="E13" i="10"/>
  <c r="E15" i="10" s="1"/>
  <c r="E31" i="10" l="1"/>
  <c r="F13" i="10"/>
  <c r="F31" i="10" s="1"/>
  <c r="F15" i="10" l="1"/>
  <c r="D14" i="10"/>
  <c r="D10" i="12" l="1"/>
  <c r="E14" i="10"/>
  <c r="I10" i="12" s="1"/>
  <c r="F14" i="10"/>
  <c r="N10" i="12" l="1"/>
  <c r="D16" i="10"/>
  <c r="E16" i="10"/>
  <c r="F16" i="10"/>
  <c r="D17" i="10"/>
  <c r="E17" i="10"/>
  <c r="F17" i="10"/>
  <c r="D18" i="10"/>
  <c r="D32" i="10" l="1"/>
  <c r="E18" i="10"/>
  <c r="E32" i="10" s="1"/>
  <c r="F18" i="10"/>
  <c r="F32" i="10" l="1"/>
  <c r="D19" i="10"/>
  <c r="E19" i="10"/>
  <c r="F19" i="10"/>
  <c r="D20" i="10"/>
  <c r="E20" i="10"/>
  <c r="F20" i="10"/>
  <c r="D21" i="10"/>
  <c r="E10" i="12" l="1"/>
  <c r="E21" i="10"/>
  <c r="J10" i="12" s="1"/>
  <c r="F21" i="10"/>
  <c r="O10" i="12" s="1"/>
  <c r="D23" i="10"/>
  <c r="D24" i="10"/>
  <c r="D25" i="10"/>
  <c r="D26" i="10"/>
  <c r="D27" i="10"/>
  <c r="D30" i="10"/>
  <c r="D33" i="10"/>
  <c r="D34" i="10"/>
  <c r="D35" i="10"/>
  <c r="D37" i="10"/>
  <c r="G10" i="12" l="1"/>
  <c r="D38" i="10"/>
  <c r="D36" i="10" s="1"/>
  <c r="D40" i="10"/>
  <c r="H10" i="12" s="1"/>
  <c r="D41" i="10"/>
  <c r="E23" i="10"/>
  <c r="D39" i="10" l="1"/>
  <c r="E24" i="10"/>
  <c r="E25" i="10"/>
  <c r="E26" i="10"/>
  <c r="E27" i="10"/>
  <c r="E30" i="10"/>
  <c r="E33" i="10"/>
  <c r="E35" i="10"/>
  <c r="E37" i="10"/>
  <c r="E38" i="10"/>
  <c r="E40" i="10"/>
  <c r="E36" i="10" l="1"/>
  <c r="M10" i="12"/>
  <c r="E41" i="10"/>
  <c r="E39" i="10" s="1"/>
  <c r="E34" i="10"/>
  <c r="L10" i="12" s="1"/>
  <c r="F23" i="10"/>
  <c r="F24" i="10"/>
  <c r="F25" i="10"/>
  <c r="F26" i="10"/>
  <c r="F27" i="10"/>
  <c r="F30" i="10"/>
  <c r="F33" i="10"/>
  <c r="F34" i="10"/>
  <c r="F35" i="10"/>
  <c r="Q10" i="12" l="1"/>
  <c r="F37" i="10"/>
  <c r="F38" i="10"/>
  <c r="F40" i="10"/>
  <c r="R10" i="12" l="1"/>
  <c r="F36" i="10"/>
  <c r="F41" i="10"/>
  <c r="F39" i="10" s="1"/>
  <c r="H16" i="12" l="1"/>
  <c r="D111" i="10"/>
  <c r="D110" i="10"/>
  <c r="S16" i="12"/>
  <c r="F91" i="10"/>
  <c r="D74" i="10"/>
  <c r="G14" i="12"/>
  <c r="E190" i="10"/>
  <c r="E191" i="10"/>
  <c r="M18" i="12"/>
  <c r="O18" i="12"/>
  <c r="F175" i="10"/>
  <c r="R18" i="12"/>
  <c r="F191" i="10"/>
  <c r="F190" i="10"/>
  <c r="D106" i="10"/>
  <c r="G16" i="12"/>
  <c r="F97" i="10"/>
  <c r="O16" i="12"/>
  <c r="D69" i="10"/>
  <c r="F14" i="12"/>
  <c r="D68" i="10"/>
  <c r="R16" i="12"/>
  <c r="F111" i="10"/>
  <c r="F110" i="10"/>
  <c r="S18" i="12"/>
  <c r="F166" i="10"/>
  <c r="F167" i="10"/>
  <c r="D121" i="10"/>
  <c r="E15" i="12"/>
  <c r="E113" i="10"/>
  <c r="E114" i="10"/>
  <c r="E94" i="10"/>
  <c r="E107" i="10"/>
  <c r="E201" i="10"/>
  <c r="F88" i="10"/>
  <c r="R14" i="12"/>
  <c r="D190" i="10"/>
  <c r="D191" i="10"/>
  <c r="H18" i="12"/>
  <c r="G15" i="12"/>
  <c r="D131" i="10"/>
  <c r="F147" i="10"/>
  <c r="O17" i="12"/>
  <c r="G17" i="12"/>
  <c r="D155" i="10"/>
  <c r="F49" i="10"/>
  <c r="F46" i="10"/>
  <c r="S12" i="12"/>
  <c r="F89" i="10"/>
  <c r="D186" i="10"/>
  <c r="G18" i="12"/>
  <c r="I18" i="12"/>
  <c r="E171" i="10"/>
  <c r="D56" i="10"/>
  <c r="E131" i="10"/>
  <c r="L15" i="12"/>
  <c r="M15" i="12"/>
  <c r="E135" i="10"/>
  <c r="E93" i="10"/>
  <c r="I16" i="12"/>
  <c r="S11" i="12"/>
  <c r="F93" i="10"/>
  <c r="N16" i="12"/>
  <c r="E145" i="10"/>
  <c r="F69" i="10"/>
  <c r="E52" i="10"/>
  <c r="F195" i="10"/>
  <c r="P14" i="12"/>
  <c r="F75" i="10"/>
  <c r="E110" i="10"/>
  <c r="M16" i="12"/>
  <c r="E111" i="10"/>
  <c r="F142" i="10"/>
  <c r="S17" i="12"/>
  <c r="F141" i="10"/>
  <c r="P10" i="12"/>
  <c r="P8" i="12"/>
  <c r="D194" i="10"/>
  <c r="D193" i="10"/>
  <c r="F39" i="11"/>
  <c r="E44" i="10"/>
  <c r="D161" i="10"/>
  <c r="J18" i="12"/>
  <c r="E175" i="10"/>
  <c r="F98" i="10"/>
  <c r="Q15" i="12"/>
  <c r="F131" i="10"/>
  <c r="R15" i="12"/>
  <c r="K18" i="12"/>
  <c r="E181" i="10"/>
  <c r="I8" i="12"/>
  <c r="P17" i="12"/>
  <c r="F151" i="10"/>
  <c r="F62" i="10"/>
  <c r="D78" i="10"/>
  <c r="D67" i="10"/>
  <c r="F12" i="12"/>
  <c r="F120" i="10"/>
  <c r="F132" i="10"/>
  <c r="J16" i="12"/>
  <c r="E97" i="10"/>
  <c r="D96" i="10"/>
  <c r="E58" i="10"/>
  <c r="F144" i="10"/>
  <c r="N17" i="12"/>
  <c r="I15" i="12"/>
  <c r="E119" i="10"/>
  <c r="D97" i="10"/>
  <c r="E16" i="12"/>
  <c r="H13" i="12"/>
  <c r="D85" i="10"/>
  <c r="E63" i="10"/>
  <c r="F15" i="12"/>
  <c r="D126" i="10"/>
  <c r="S8" i="12"/>
  <c r="F6" i="10"/>
  <c r="L14" i="12"/>
  <c r="E74" i="10"/>
  <c r="E88" i="10"/>
  <c r="M14" i="12"/>
  <c r="E120" i="10"/>
  <c r="E132" i="10"/>
  <c r="G28" i="11"/>
  <c r="F28" i="10"/>
  <c r="F173" i="10"/>
  <c r="J17" i="12"/>
  <c r="E147" i="10"/>
  <c r="F122" i="10"/>
  <c r="N14" i="12"/>
  <c r="F57" i="10"/>
  <c r="P16" i="12"/>
  <c r="F101" i="10"/>
  <c r="K15" i="12"/>
  <c r="E126" i="10"/>
  <c r="D77" i="10"/>
  <c r="E200" i="10"/>
  <c r="D200" i="10"/>
  <c r="D128" i="10"/>
  <c r="F149" i="10"/>
  <c r="F123" i="10"/>
  <c r="P11" i="12"/>
  <c r="P9" i="12"/>
  <c r="E133" i="10"/>
  <c r="D146" i="10"/>
  <c r="F172" i="10"/>
  <c r="F117" i="10"/>
  <c r="S15" i="12"/>
  <c r="F106" i="10"/>
  <c r="Q16" i="12"/>
  <c r="E155" i="10"/>
  <c r="L17" i="12"/>
  <c r="K14" i="12"/>
  <c r="E69" i="10"/>
  <c r="E194" i="10"/>
  <c r="E193" i="10"/>
  <c r="F67" i="10"/>
  <c r="P12" i="12"/>
  <c r="L18" i="12"/>
  <c r="E186" i="10"/>
  <c r="F181" i="10"/>
  <c r="P18" i="12"/>
  <c r="D114" i="10"/>
  <c r="D113" i="10"/>
  <c r="F170" i="10"/>
  <c r="K10" i="12"/>
  <c r="K8" i="12"/>
  <c r="F135" i="10"/>
  <c r="P13" i="12"/>
  <c r="F72" i="10"/>
  <c r="H17" i="12"/>
  <c r="D160" i="10"/>
  <c r="I17" i="12"/>
  <c r="E144" i="10"/>
  <c r="F28" i="11"/>
  <c r="E28" i="10"/>
  <c r="H15" i="12"/>
  <c r="D135" i="10"/>
  <c r="E187" i="10"/>
  <c r="E154" i="10"/>
  <c r="F169" i="10"/>
  <c r="J14" i="12"/>
  <c r="O14" i="12"/>
  <c r="E64" i="10"/>
  <c r="D94" i="10"/>
  <c r="D107" i="10"/>
  <c r="F160" i="10"/>
  <c r="R17" i="12"/>
  <c r="F100" i="10"/>
  <c r="D44" i="10"/>
  <c r="E39" i="11"/>
  <c r="D195" i="10"/>
  <c r="H14" i="12"/>
  <c r="D88" i="10"/>
  <c r="E18" i="12"/>
  <c r="D175" i="10"/>
  <c r="I12" i="12"/>
  <c r="E55" i="10"/>
  <c r="G7" i="11"/>
  <c r="F2" i="10"/>
  <c r="G3" i="11"/>
  <c r="F164" i="10"/>
  <c r="F17" i="12"/>
  <c r="D109" i="10"/>
  <c r="D89" i="10"/>
  <c r="D148" i="10"/>
  <c r="Q17" i="12"/>
  <c r="F155" i="10"/>
  <c r="D101" i="10"/>
  <c r="F16" i="12"/>
  <c r="S14" i="12"/>
  <c r="F48" i="10"/>
  <c r="J15" i="12"/>
  <c r="E121" i="10"/>
  <c r="D64" i="10"/>
  <c r="E14" i="12"/>
  <c r="D98" i="10"/>
  <c r="D182" i="10"/>
  <c r="K12" i="12"/>
  <c r="E67" i="10"/>
  <c r="F193" i="10"/>
  <c r="F194" i="10"/>
  <c r="E176" i="10"/>
  <c r="E195" i="10"/>
  <c r="D178" i="10"/>
  <c r="E129" i="10"/>
  <c r="D176" i="10"/>
  <c r="F115" i="10"/>
  <c r="D188" i="10"/>
  <c r="D177" i="10"/>
  <c r="E59" i="10"/>
  <c r="F102" i="10"/>
  <c r="F186" i="10"/>
  <c r="Q18" i="12"/>
  <c r="D144" i="10"/>
  <c r="D17" i="12"/>
  <c r="T17" i="12"/>
  <c r="F113" i="10"/>
  <c r="F114" i="10"/>
  <c r="D95" i="10"/>
  <c r="F95" i="10"/>
  <c r="D151" i="10"/>
  <c r="R13" i="12"/>
  <c r="F85" i="10"/>
  <c r="E151" i="10"/>
  <c r="K17" i="12"/>
  <c r="D103" i="10"/>
  <c r="F124" i="10"/>
  <c r="E106" i="10"/>
  <c r="L16" i="12"/>
  <c r="D80" i="10"/>
  <c r="D198" i="10"/>
  <c r="E85" i="10"/>
  <c r="M13" i="12"/>
  <c r="D171" i="10"/>
  <c r="D18" i="12"/>
  <c r="D183" i="10"/>
  <c r="F5" i="10"/>
  <c r="G6" i="11"/>
  <c r="Q8" i="12"/>
  <c r="D157" i="10"/>
  <c r="D133" i="10"/>
  <c r="D86" i="10"/>
  <c r="S9" i="12"/>
  <c r="E124" i="10"/>
  <c r="E70" i="10"/>
  <c r="E81" i="10"/>
  <c r="F104" i="10"/>
  <c r="E123" i="10"/>
  <c r="F8" i="12"/>
  <c r="F129" i="10"/>
  <c r="E61" i="10"/>
  <c r="F86" i="10"/>
  <c r="E184" i="10"/>
  <c r="D75" i="10"/>
  <c r="F201" i="10"/>
  <c r="F128" i="10"/>
  <c r="E157" i="10"/>
  <c r="E146" i="10"/>
  <c r="F99" i="10"/>
  <c r="F177" i="10"/>
  <c r="F47" i="10"/>
  <c r="S13" i="12"/>
  <c r="E183" i="10"/>
  <c r="F108" i="10"/>
  <c r="F81" i="10"/>
  <c r="E174" i="10"/>
  <c r="D189" i="10"/>
  <c r="F139" i="10"/>
  <c r="F64" i="10"/>
  <c r="D112" i="10"/>
  <c r="F127" i="10"/>
  <c r="F3" i="10"/>
  <c r="G4" i="11"/>
  <c r="E103" i="10"/>
  <c r="F154" i="10"/>
  <c r="K11" i="12"/>
  <c r="F29" i="11"/>
  <c r="E29" i="10"/>
  <c r="K9" i="12"/>
  <c r="T12" i="12"/>
  <c r="E65" i="10"/>
  <c r="F174" i="10"/>
  <c r="E185" i="10"/>
  <c r="F184" i="10"/>
  <c r="D76" i="10"/>
  <c r="E182" i="10"/>
  <c r="F188" i="10"/>
  <c r="F145" i="10"/>
  <c r="E173" i="10"/>
  <c r="F56" i="10"/>
  <c r="E170" i="10"/>
  <c r="E122" i="10"/>
  <c r="E100" i="10"/>
  <c r="E82" i="10"/>
  <c r="M12" i="12"/>
  <c r="M8" i="12"/>
  <c r="F63" i="10"/>
  <c r="F79" i="10"/>
  <c r="E28" i="11"/>
  <c r="D28" i="10"/>
  <c r="F10" i="12"/>
  <c r="T10" i="12"/>
  <c r="D59" i="10"/>
  <c r="E79" i="10"/>
  <c r="E98" i="10"/>
  <c r="E127" i="10"/>
  <c r="E139" i="10"/>
  <c r="G29" i="11"/>
  <c r="F29" i="10"/>
  <c r="D71" i="10"/>
  <c r="F182" i="10"/>
  <c r="E75" i="10"/>
  <c r="D51" i="10"/>
  <c r="E156" i="10"/>
  <c r="F146" i="10"/>
  <c r="F58" i="10"/>
  <c r="F82" i="10"/>
  <c r="R12" i="12"/>
  <c r="R8" i="12"/>
  <c r="E177" i="10"/>
  <c r="F148" i="10"/>
  <c r="F112" i="10"/>
  <c r="F59" i="10"/>
  <c r="D172" i="10"/>
  <c r="F197" i="10"/>
  <c r="F42" i="10"/>
  <c r="F150" i="10"/>
  <c r="E96" i="10"/>
  <c r="F187" i="10"/>
  <c r="H8" i="12"/>
  <c r="D158" i="10"/>
  <c r="F44" i="10"/>
  <c r="G39" i="11"/>
  <c r="E160" i="10"/>
  <c r="M17" i="12"/>
  <c r="D132" i="10"/>
  <c r="D120" i="10"/>
  <c r="P15" i="12"/>
  <c r="F126" i="10"/>
  <c r="F105" i="10"/>
  <c r="F107" i="10"/>
  <c r="F94" i="10"/>
  <c r="F65" i="10"/>
  <c r="D60" i="10"/>
  <c r="E12" i="12"/>
  <c r="E8" i="12"/>
  <c r="E72" i="10"/>
  <c r="K13" i="12"/>
  <c r="F121" i="10"/>
  <c r="O15" i="12"/>
  <c r="D147" i="10"/>
  <c r="E17" i="12"/>
  <c r="D102" i="10"/>
  <c r="E115" i="10"/>
  <c r="G5" i="11"/>
  <c r="F4" i="10"/>
  <c r="S10" i="12"/>
  <c r="F55" i="10"/>
  <c r="N12" i="12"/>
  <c r="N8" i="12"/>
  <c r="D192" i="10"/>
  <c r="E99" i="10"/>
  <c r="E71" i="10"/>
  <c r="D122" i="10"/>
  <c r="E57" i="10"/>
  <c r="I14" i="12"/>
  <c r="F179" i="10"/>
  <c r="E83" i="10"/>
  <c r="E78" i="10"/>
  <c r="D145" i="10"/>
  <c r="D185" i="10"/>
  <c r="F38" i="11"/>
  <c r="E43" i="10"/>
  <c r="E42" i="10"/>
  <c r="D139" i="10"/>
  <c r="F68" i="10"/>
  <c r="E178" i="10"/>
  <c r="D174" i="10"/>
  <c r="F96" i="10"/>
  <c r="D173" i="10"/>
  <c r="F192" i="10"/>
  <c r="E161" i="10"/>
  <c r="E80" i="10"/>
  <c r="E136" i="10"/>
  <c r="D54" i="10"/>
  <c r="D52" i="10"/>
  <c r="E163" i="10"/>
  <c r="F161" i="10"/>
  <c r="D105" i="10"/>
  <c r="F152" i="10"/>
  <c r="D108" i="10"/>
  <c r="D184" i="10"/>
  <c r="E198" i="10"/>
  <c r="D8" i="12"/>
  <c r="T8" i="12"/>
  <c r="F189" i="10"/>
  <c r="N18" i="12"/>
  <c r="F171" i="10"/>
  <c r="D72" i="10"/>
  <c r="F13" i="12"/>
  <c r="T13" i="12"/>
  <c r="F133" i="10"/>
  <c r="F73" i="10"/>
  <c r="Q12" i="12"/>
  <c r="D119" i="10"/>
  <c r="D15" i="12"/>
  <c r="T15" i="12"/>
  <c r="D179" i="10"/>
  <c r="F80" i="10"/>
  <c r="E138" i="10"/>
  <c r="F9" i="12"/>
  <c r="T9" i="12"/>
  <c r="E112" i="10"/>
  <c r="F200" i="10"/>
  <c r="F176" i="10"/>
  <c r="F183" i="10"/>
  <c r="E77" i="10"/>
  <c r="F53" i="10"/>
  <c r="D154" i="10"/>
  <c r="D130" i="10"/>
  <c r="E108" i="10"/>
  <c r="E148" i="10"/>
  <c r="D149" i="10"/>
  <c r="E73" i="10"/>
  <c r="L12" i="12"/>
  <c r="L8" i="12"/>
  <c r="D100" i="10"/>
  <c r="E29" i="11"/>
  <c r="D29" i="10"/>
  <c r="F11" i="12"/>
  <c r="T11" i="12"/>
  <c r="F51" i="10"/>
  <c r="D152" i="10"/>
  <c r="E76" i="10"/>
  <c r="E179" i="10"/>
  <c r="E152" i="10"/>
  <c r="F156" i="10"/>
  <c r="E51" i="10"/>
  <c r="E189" i="10"/>
  <c r="E102" i="10"/>
  <c r="E158" i="10"/>
  <c r="F70" i="10"/>
  <c r="D124" i="10"/>
  <c r="E164" i="10"/>
  <c r="E105" i="10"/>
  <c r="E130" i="10"/>
  <c r="F185" i="10"/>
  <c r="E56" i="10"/>
  <c r="D153" i="10"/>
  <c r="D57" i="10"/>
  <c r="D14" i="12"/>
  <c r="T14" i="12"/>
  <c r="H12" i="12"/>
  <c r="D82" i="10"/>
  <c r="D81" i="10"/>
  <c r="E62" i="10"/>
  <c r="F83" i="10"/>
  <c r="D170" i="10"/>
  <c r="D181" i="10"/>
  <c r="F18" i="12"/>
  <c r="T18" i="12"/>
  <c r="D83" i="10"/>
  <c r="F77" i="10"/>
  <c r="E54" i="10"/>
  <c r="D79" i="10"/>
  <c r="D93" i="10"/>
  <c r="D16" i="12"/>
  <c r="T16" i="12"/>
  <c r="F153" i="10"/>
  <c r="E68" i="10"/>
  <c r="D53" i="10"/>
  <c r="D169" i="10"/>
  <c r="D55" i="10"/>
  <c r="D12" i="12"/>
  <c r="F158" i="10"/>
  <c r="N15" i="12"/>
  <c r="F119" i="10"/>
  <c r="E101" i="10"/>
  <c r="K16" i="12"/>
  <c r="E169" i="10"/>
  <c r="D58" i="10"/>
  <c r="F74" i="10"/>
  <c r="Q14" i="12"/>
  <c r="D129" i="10"/>
  <c r="E153" i="10"/>
  <c r="E149" i="10"/>
  <c r="E104" i="10"/>
  <c r="D164" i="10"/>
  <c r="E89" i="10"/>
  <c r="F54" i="10"/>
  <c r="G38" i="11"/>
  <c r="F43" i="10"/>
  <c r="F163" i="10"/>
  <c r="D115" i="10"/>
  <c r="D104" i="10"/>
  <c r="E172" i="10"/>
  <c r="D138" i="10"/>
  <c r="D197" i="10"/>
  <c r="D156" i="10"/>
  <c r="E192" i="10"/>
  <c r="F130" i="10"/>
  <c r="D61" i="10"/>
  <c r="F109" i="10"/>
  <c r="F60" i="10"/>
  <c r="O12" i="12"/>
  <c r="O8" i="12"/>
  <c r="F138" i="10"/>
  <c r="E150" i="10"/>
  <c r="D127" i="10"/>
  <c r="D63" i="10"/>
  <c r="E109" i="10"/>
  <c r="E60" i="10"/>
  <c r="J12" i="12"/>
  <c r="J8" i="12"/>
  <c r="E53" i="10"/>
  <c r="D123" i="10"/>
  <c r="D99" i="10"/>
  <c r="E86" i="10"/>
  <c r="D70" i="10"/>
  <c r="E38" i="11"/>
  <c r="D43" i="10"/>
  <c r="D42" i="10"/>
  <c r="D150" i="10"/>
  <c r="E128" i="10"/>
  <c r="D201" i="10"/>
  <c r="D136" i="10"/>
  <c r="E197" i="10"/>
  <c r="F52" i="10"/>
  <c r="F103" i="10"/>
  <c r="F178" i="10"/>
  <c r="D73" i="10"/>
  <c r="G12" i="12"/>
  <c r="G8" i="12"/>
  <c r="F198" i="10"/>
  <c r="E188" i="10"/>
  <c r="D163" i="10"/>
  <c r="F136" i="10"/>
  <c r="F157" i="10"/>
  <c r="E95" i="10"/>
  <c r="D65" i="10"/>
  <c r="F61" i="10"/>
  <c r="D187" i="10"/>
  <c r="F78" i="10"/>
  <c r="D62" i="10"/>
  <c r="F76" i="10"/>
  <c r="F71" i="10"/>
</calcChain>
</file>

<file path=xl/sharedStrings.xml><?xml version="1.0" encoding="utf-8"?>
<sst xmlns="http://schemas.openxmlformats.org/spreadsheetml/2006/main" count="27105" uniqueCount="4025">
  <si>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</si>
  <si>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</si>
  <si>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</si>
  <si>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</si>
  <si>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</si>
  <si>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</si>
  <si>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</si>
  <si>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</si>
  <si>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</si>
  <si>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</si>
  <si>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</si>
  <si>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</si>
  <si>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</si>
  <si>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</si>
  <si>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</si>
  <si>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</si>
  <si>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</si>
  <si>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</si>
  <si>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</si>
  <si>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</si>
  <si>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</si>
  <si>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</si>
  <si>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</si>
  <si>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</si>
  <si>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</si>
  <si>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</si>
  <si>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</si>
  <si>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</si>
  <si>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</si>
  <si>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</si>
  <si>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</si>
  <si>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</si>
  <si>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</si>
  <si>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</si>
  <si>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</si>
  <si>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</si>
  <si>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</si>
  <si>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</si>
  <si>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</si>
  <si>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</si>
  <si>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</si>
  <si>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</si>
  <si>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</si>
  <si>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</si>
  <si>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</si>
  <si>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</si>
  <si>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</si>
  <si>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</si>
  <si>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</si>
  <si>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</si>
  <si>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</si>
  <si>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</si>
  <si>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</si>
  <si>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</si>
  <si>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</si>
  <si>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</si>
  <si>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</si>
  <si>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</si>
  <si>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</si>
  <si>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</si>
  <si>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</si>
  <si>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</si>
  <si>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</si>
  <si>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</si>
  <si>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</si>
  <si>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</si>
  <si>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</si>
  <si>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</si>
  <si>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</si>
  <si>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</si>
  <si>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</si>
  <si>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</si>
  <si>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</si>
  <si>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</si>
  <si>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</si>
  <si>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</si>
  <si>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</si>
  <si>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</si>
  <si>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</si>
  <si>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</si>
  <si>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</si>
  <si>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</si>
  <si>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</si>
  <si>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</si>
  <si>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</si>
  <si>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</si>
  <si>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</si>
  <si>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</si>
  <si>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</si>
  <si>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</si>
  <si>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</si>
  <si>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</si>
  <si>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</si>
  <si>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</si>
  <si>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</si>
  <si>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</si>
  <si>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</si>
  <si>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</si>
  <si>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</si>
  <si>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</si>
  <si>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</si>
  <si>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</si>
  <si>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</si>
  <si>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</si>
  <si>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</si>
  <si>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</si>
  <si>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</si>
  <si>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</si>
  <si>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</si>
  <si>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</si>
  <si>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</si>
  <si>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</si>
  <si>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</si>
  <si>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</si>
  <si>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</si>
  <si>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</si>
  <si>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</si>
  <si>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</si>
  <si>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</si>
  <si>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</si>
  <si>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</si>
  <si>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</si>
  <si>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</si>
  <si>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</si>
  <si>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</si>
  <si>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</si>
  <si>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</si>
  <si>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</si>
  <si>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</si>
  <si>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</si>
  <si>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</si>
  <si>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</si>
  <si>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</si>
  <si>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</si>
  <si>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</si>
  <si>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</si>
  <si>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</si>
  <si>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</si>
  <si>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</si>
  <si>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</si>
  <si>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</si>
  <si>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</si>
  <si>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</si>
  <si>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</si>
  <si>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</si>
  <si>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</si>
  <si>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</si>
  <si>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</si>
  <si>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</si>
  <si>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</si>
  <si>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</si>
  <si>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</si>
  <si>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</si>
  <si>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</si>
  <si>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</si>
  <si>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</si>
  <si>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</si>
  <si>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</si>
  <si>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</si>
  <si>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</si>
  <si>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</si>
  <si>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</si>
  <si>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</si>
  <si>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</si>
  <si>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</si>
  <si>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</si>
  <si>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</si>
  <si>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</si>
  <si>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</si>
  <si>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</si>
  <si>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</si>
  <si>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</si>
  <si>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</si>
  <si>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</si>
  <si>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</si>
  <si>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</si>
  <si>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</si>
  <si>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</si>
  <si>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</si>
  <si>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</si>
  <si>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</si>
  <si>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</si>
  <si>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</si>
  <si>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</si>
  <si>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</si>
  <si>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</si>
  <si>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</si>
  <si>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</si>
  <si>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</si>
  <si>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</si>
  <si>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</si>
  <si>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</si>
  <si>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</si>
  <si>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</si>
  <si>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</si>
  <si>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</si>
  <si>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</si>
  <si>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</si>
  <si>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</si>
  <si>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</si>
  <si>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</si>
  <si>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</si>
  <si>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</si>
  <si>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</si>
  <si>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</si>
  <si>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</si>
  <si>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</si>
  <si>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</si>
  <si>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</si>
  <si>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</si>
  <si>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</si>
  <si>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</si>
  <si>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</si>
  <si>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</si>
  <si>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</si>
  <si>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</si>
  <si>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</si>
  <si>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</si>
  <si>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</si>
  <si>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</si>
  <si>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</si>
  <si>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</si>
  <si>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</si>
  <si>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</si>
  <si>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</si>
  <si>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</si>
  <si>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</si>
  <si>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</si>
  <si>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</si>
  <si>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</si>
  <si>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</si>
  <si>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</si>
  <si>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</si>
  <si>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</si>
  <si>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</si>
  <si>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</si>
  <si>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</si>
  <si>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</si>
  <si>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</si>
  <si>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</si>
  <si>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</si>
  <si>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</si>
  <si>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</si>
  <si>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</si>
  <si>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</si>
  <si>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</si>
  <si>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</si>
  <si>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</si>
  <si>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</si>
  <si>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</si>
  <si>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</si>
  <si>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</si>
  <si>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</si>
  <si>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</si>
  <si>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</si>
  <si>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</si>
  <si>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</si>
  <si>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</si>
  <si>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</si>
  <si>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</si>
  <si>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</si>
  <si>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</si>
  <si>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</si>
  <si>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</si>
  <si>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</si>
  <si>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</si>
  <si>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</si>
  <si>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</si>
  <si>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</si>
  <si>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</si>
  <si>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</si>
  <si>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</si>
  <si>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</si>
  <si>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</si>
  <si>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</si>
  <si>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</si>
  <si>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</si>
  <si>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</si>
  <si>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</si>
  <si>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</si>
  <si>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</si>
  <si>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</si>
  <si>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</si>
  <si>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</si>
  <si>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</si>
  <si>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</si>
  <si>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</si>
  <si>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</si>
  <si>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</si>
  <si>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</si>
  <si>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</si>
  <si>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</si>
  <si>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</si>
  <si>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</si>
  <si>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</si>
  <si>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</si>
  <si>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</si>
  <si>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</si>
  <si>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</si>
  <si>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</si>
  <si>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</si>
  <si>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</si>
  <si>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</si>
  <si>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</si>
  <si>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</si>
  <si>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</si>
  <si>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</si>
  <si>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</si>
  <si>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</si>
  <si>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</si>
  <si>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</si>
  <si>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</si>
  <si>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</si>
  <si>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</si>
  <si>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</si>
  <si>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</si>
  <si>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</si>
  <si>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</si>
  <si>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</si>
  <si>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</si>
  <si>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</si>
  <si>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</si>
  <si>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</si>
  <si>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</si>
  <si>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</si>
  <si>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</si>
  <si>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</si>
  <si>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</si>
  <si>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</si>
  <si>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</si>
  <si>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</si>
  <si>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</si>
  <si>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</si>
  <si>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</si>
  <si>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</si>
  <si>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</si>
  <si>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</si>
  <si>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</si>
  <si>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</si>
  <si>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</si>
  <si>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</si>
  <si>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</si>
  <si>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</si>
  <si>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</si>
  <si>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</si>
  <si>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</si>
  <si>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</si>
  <si>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</si>
  <si>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</si>
  <si>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</si>
  <si>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</si>
  <si>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</si>
  <si>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</si>
  <si>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</si>
  <si>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</si>
  <si>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</si>
  <si>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</si>
  <si>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</si>
  <si>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</si>
  <si>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</si>
  <si>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</si>
  <si>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</si>
  <si>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</si>
  <si>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</si>
  <si>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</si>
  <si>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</si>
  <si>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</si>
  <si>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</si>
  <si>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</si>
  <si>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</si>
  <si>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</si>
  <si>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</si>
  <si>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</si>
  <si>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</si>
  <si>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</si>
  <si>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</si>
  <si>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</si>
  <si>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</si>
  <si>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</si>
  <si>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</si>
  <si>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</si>
  <si>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</si>
  <si>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</si>
  <si>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</si>
  <si>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</si>
  <si>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</si>
  <si>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</si>
  <si>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</si>
  <si>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</si>
  <si>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</si>
  <si>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</si>
  <si>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</si>
  <si>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</si>
  <si>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</si>
  <si>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</si>
  <si>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</si>
  <si>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</si>
  <si>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</si>
  <si>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</si>
  <si>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</si>
  <si>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</si>
  <si>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</si>
  <si>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</si>
  <si>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</si>
  <si>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</si>
  <si>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</si>
  <si>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</si>
  <si>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</si>
  <si>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</si>
  <si>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</si>
  <si>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</si>
  <si>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</si>
  <si>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</si>
  <si>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</si>
  <si>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</si>
  <si>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</si>
  <si>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</si>
  <si>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</si>
  <si>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</si>
  <si>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</si>
  <si>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</si>
  <si>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</si>
  <si>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</si>
  <si>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</si>
  <si>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</si>
  <si>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</si>
  <si>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</si>
  <si>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</si>
  <si>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</si>
  <si>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</si>
  <si>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</si>
  <si>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</si>
  <si>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</si>
  <si>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</si>
  <si>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</si>
  <si>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</si>
  <si>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</si>
  <si>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</si>
  <si>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</si>
  <si>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</si>
  <si>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</si>
  <si>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</si>
  <si>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</si>
  <si>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</si>
  <si>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</si>
  <si>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</si>
  <si>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</si>
  <si>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</si>
  <si>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</si>
  <si>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</si>
  <si>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</si>
  <si>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</si>
  <si>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</si>
  <si>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</si>
  <si>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</si>
  <si>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</si>
  <si>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</si>
  <si>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</si>
  <si>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</si>
  <si>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</si>
  <si>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</si>
  <si>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</si>
  <si>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</si>
  <si>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</si>
  <si>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</si>
  <si>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</si>
  <si>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</si>
  <si>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</si>
  <si>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</si>
  <si>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</si>
  <si>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</si>
  <si>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</si>
  <si>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</si>
  <si>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</si>
  <si>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</si>
  <si>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</si>
  <si>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</si>
  <si>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</si>
  <si>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</si>
  <si>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</si>
  <si>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</si>
  <si>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</si>
  <si>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</si>
  <si>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</si>
  <si>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</si>
  <si>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</si>
  <si>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</si>
  <si>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</si>
  <si>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</si>
  <si>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</si>
  <si>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</si>
  <si>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</si>
  <si>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</si>
  <si>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</si>
  <si>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</si>
  <si>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</si>
  <si>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</si>
  <si>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</si>
  <si>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</si>
  <si>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</si>
  <si>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</si>
  <si>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</si>
  <si>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</si>
  <si>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</si>
  <si>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</si>
  <si>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</si>
  <si>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</si>
  <si>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</si>
  <si>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</si>
  <si>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</si>
  <si>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</si>
  <si>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</si>
  <si>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</si>
  <si>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</si>
  <si>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</si>
  <si>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</si>
  <si>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</si>
  <si>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</si>
  <si>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</si>
  <si>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</si>
  <si>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</si>
  <si>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</si>
  <si>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</si>
  <si>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</si>
  <si>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</si>
  <si>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</si>
  <si>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</si>
  <si>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</si>
  <si>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</si>
  <si>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</si>
  <si>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</si>
  <si>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</si>
  <si>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</si>
  <si>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</si>
  <si>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</si>
  <si>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</si>
  <si>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</si>
  <si>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</si>
  <si>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</si>
  <si>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</si>
  <si>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</si>
  <si>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</si>
  <si>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</si>
  <si>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</si>
  <si>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</si>
  <si>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</si>
  <si>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</si>
  <si>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</si>
  <si>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</si>
  <si>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</si>
  <si>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</si>
  <si>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</si>
  <si>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</si>
  <si>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</si>
  <si>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</si>
  <si>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</si>
  <si>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</si>
  <si>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</si>
  <si>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</si>
  <si>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</si>
  <si>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</si>
  <si>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</si>
  <si>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</si>
  <si>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</si>
  <si>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</si>
  <si>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</si>
  <si>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</si>
  <si>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</si>
  <si>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</si>
  <si>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</si>
  <si>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</si>
  <si>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</si>
  <si>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</si>
  <si>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</si>
  <si>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</si>
  <si>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</si>
  <si>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</si>
  <si>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</si>
  <si>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</si>
  <si>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</si>
  <si>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</si>
  <si>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</si>
  <si>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</si>
  <si>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</si>
  <si>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</si>
  <si>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</si>
  <si>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</si>
  <si>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</si>
  <si>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</si>
  <si>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</si>
  <si>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</si>
  <si>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</si>
  <si>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</si>
  <si>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</si>
  <si>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</si>
  <si>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</si>
  <si>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</si>
  <si>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</si>
  <si>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</si>
  <si>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</si>
  <si>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</si>
  <si>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</si>
  <si>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</si>
  <si>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</si>
  <si>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</si>
  <si>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</si>
  <si>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</si>
  <si>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</si>
  <si>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</si>
  <si>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</si>
  <si>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</si>
  <si>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</si>
  <si>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</si>
  <si>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</si>
  <si>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</si>
  <si>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</si>
  <si>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</si>
  <si>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</si>
  <si>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</si>
  <si>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</si>
  <si>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</si>
  <si>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</si>
  <si>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</si>
  <si>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</si>
  <si>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</si>
  <si>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</si>
  <si>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</si>
  <si>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</si>
  <si>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</si>
  <si>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</si>
  <si>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</si>
  <si>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</si>
  <si>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</si>
  <si>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</si>
  <si>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</si>
  <si>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</si>
  <si>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</si>
  <si>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</si>
  <si>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</si>
  <si>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</si>
  <si>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</si>
  <si>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</si>
  <si>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</si>
  <si>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</si>
  <si>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</si>
  <si>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</si>
  <si>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</si>
  <si>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</si>
  <si>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</si>
  <si>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</si>
  <si>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</si>
  <si>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</si>
  <si>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</si>
  <si>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</si>
  <si>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</si>
  <si>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</si>
  <si>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</si>
  <si>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</si>
  <si>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</si>
  <si>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</si>
  <si>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</si>
  <si>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</si>
  <si>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</si>
  <si>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</si>
  <si>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</si>
  <si>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</si>
  <si>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</si>
  <si>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</si>
  <si>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</si>
  <si>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</si>
  <si>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</si>
  <si>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</si>
  <si>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</si>
  <si>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</si>
  <si>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</si>
  <si>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</si>
  <si>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</si>
  <si>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</si>
  <si>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</si>
  <si>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</si>
  <si>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</si>
  <si>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</si>
  <si>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</si>
  <si>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</si>
  <si>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</si>
  <si>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</si>
  <si>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</si>
  <si>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</si>
  <si>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</si>
  <si>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</si>
  <si>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</si>
  <si>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</si>
  <si>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</si>
  <si>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</si>
  <si>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</si>
  <si>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</si>
  <si>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</si>
  <si>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</si>
  <si>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</si>
  <si>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</si>
  <si>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</si>
  <si>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</si>
  <si>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</si>
  <si>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</si>
  <si>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</si>
  <si>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</si>
  <si>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</si>
  <si>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</si>
  <si>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</si>
  <si>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</si>
  <si>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</si>
  <si>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</si>
  <si>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</si>
  <si>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</si>
  <si>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</si>
  <si>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</si>
  <si>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</si>
  <si>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</si>
  <si>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</si>
  <si>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</si>
  <si>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</si>
  <si>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</si>
  <si>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</si>
  <si>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</si>
  <si>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</si>
  <si>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</si>
  <si>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</si>
  <si>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</si>
  <si>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</si>
  <si>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</si>
  <si>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</si>
  <si>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</si>
  <si>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</si>
  <si>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</si>
  <si>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</si>
  <si>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</si>
  <si>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</si>
  <si>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</si>
  <si>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</si>
  <si>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</si>
  <si>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</si>
  <si>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</si>
  <si>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</si>
  <si>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</si>
  <si>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</si>
  <si>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</si>
  <si>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</si>
  <si>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</si>
  <si>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</si>
  <si>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</si>
  <si>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</si>
  <si>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</si>
  <si>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</si>
  <si>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</si>
  <si>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</si>
  <si>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</si>
  <si>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</si>
  <si>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</si>
  <si>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</si>
  <si>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</si>
  <si>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</si>
  <si>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</si>
  <si>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</si>
  <si>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</si>
  <si>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</si>
  <si>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</si>
  <si>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</si>
  <si>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</si>
  <si>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</si>
  <si>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</si>
  <si>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</si>
  <si>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</si>
  <si>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</si>
  <si>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</si>
  <si>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</si>
  <si>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</si>
  <si>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</si>
  <si>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</si>
  <si>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</si>
  <si>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</si>
  <si>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</si>
  <si>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</si>
  <si>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</si>
  <si>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</si>
  <si>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</si>
  <si>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</si>
  <si>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</si>
  <si>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</si>
  <si>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</si>
  <si>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</si>
  <si>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</si>
  <si>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</si>
  <si>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</si>
  <si>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</si>
  <si>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</si>
  <si>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</si>
  <si>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</si>
  <si>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</si>
  <si>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</si>
  <si>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</si>
  <si>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</si>
  <si>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</si>
  <si>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</si>
  <si>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</si>
  <si>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</si>
  <si>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</si>
  <si>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</si>
  <si>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</si>
  <si>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</si>
  <si>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</si>
  <si>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</si>
  <si>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</si>
  <si>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</si>
  <si>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</si>
  <si>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</si>
  <si>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</si>
  <si>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</si>
  <si>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</si>
  <si>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</si>
  <si>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</si>
  <si>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</si>
  <si>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</si>
  <si>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</si>
  <si>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</si>
  <si>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</si>
  <si>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</si>
  <si>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</si>
  <si>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</si>
  <si>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</si>
  <si>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</si>
  <si>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</si>
  <si>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</si>
  <si>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</si>
  <si>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</si>
  <si>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</si>
  <si>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</si>
  <si>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</si>
  <si>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</si>
  <si>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</si>
  <si>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</si>
  <si>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</si>
  <si>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</si>
  <si>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</si>
  <si>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</si>
  <si>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</si>
  <si>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</si>
  <si>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</si>
  <si>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</si>
  <si>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</si>
  <si>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</si>
  <si>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</si>
  <si>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</si>
  <si>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</si>
  <si>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</si>
  <si>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</si>
  <si>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</si>
  <si>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</si>
  <si>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</si>
  <si>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</si>
  <si>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</si>
  <si>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</si>
  <si>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</si>
  <si>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</si>
  <si>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</si>
  <si>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</si>
  <si>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</si>
  <si>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</si>
  <si>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</si>
  <si>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</si>
  <si>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</si>
  <si>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</si>
  <si>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</si>
  <si>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</si>
  <si>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</si>
  <si>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</si>
  <si>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</si>
  <si>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</si>
  <si>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</si>
  <si>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</si>
  <si>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</si>
  <si>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</si>
  <si>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</si>
  <si>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</si>
  <si>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</si>
  <si>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</si>
  <si>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</si>
  <si>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</si>
  <si>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</si>
  <si>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</si>
  <si>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</si>
  <si>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</si>
  <si>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</si>
  <si>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</si>
  <si>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</si>
  <si>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</si>
  <si>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</si>
  <si>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</si>
  <si>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</si>
  <si>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</si>
  <si>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</si>
  <si>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</si>
  <si>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</si>
  <si>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</si>
  <si>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</si>
  <si>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</si>
  <si>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</si>
  <si>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</si>
  <si>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</si>
  <si>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</si>
  <si>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</si>
  <si>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</si>
  <si>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</si>
  <si>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</si>
  <si>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</si>
  <si>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</si>
  <si>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</si>
  <si>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</si>
  <si>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</si>
  <si>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</si>
  <si>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</si>
  <si>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</si>
  <si>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</si>
  <si>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</si>
  <si>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</si>
  <si>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</si>
  <si>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</si>
  <si>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</si>
  <si>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</si>
  <si>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</si>
  <si>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</si>
  <si>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</si>
  <si>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</si>
  <si>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</si>
  <si>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</si>
  <si>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</si>
  <si>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</si>
  <si>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</si>
  <si>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</si>
  <si>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</si>
  <si>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</si>
  <si>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</si>
  <si>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</si>
  <si>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</si>
  <si>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</si>
  <si>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</si>
  <si>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</si>
  <si>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</si>
  <si>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</si>
  <si>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</si>
  <si>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</si>
  <si>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</si>
  <si>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</si>
  <si>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</si>
  <si>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</si>
  <si>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</si>
  <si>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</si>
  <si>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</si>
  <si>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</si>
  <si>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</si>
  <si>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</si>
  <si>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</si>
  <si>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</si>
  <si>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</si>
  <si>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</si>
  <si>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</si>
  <si>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</si>
  <si>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</si>
  <si>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</si>
  <si>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</si>
  <si>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</si>
  <si>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</si>
  <si>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</si>
  <si>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</si>
  <si>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</si>
  <si>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</si>
  <si>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</si>
  <si>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</si>
  <si>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</si>
  <si>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</si>
  <si>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</si>
  <si>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</si>
  <si>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</si>
  <si>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</si>
  <si>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</si>
  <si>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</si>
  <si>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</si>
  <si>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</si>
  <si>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</si>
  <si>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</si>
  <si>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</si>
  <si>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</si>
  <si>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</si>
  <si>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</si>
  <si>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</si>
  <si>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</si>
  <si>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</si>
  <si>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</si>
  <si>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</si>
  <si>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</si>
  <si>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</si>
  <si>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</si>
  <si>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</si>
  <si>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</si>
  <si>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</si>
  <si>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</si>
  <si>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</si>
  <si>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</si>
  <si>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</si>
  <si>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</si>
  <si>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</si>
  <si>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</si>
  <si>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</si>
  <si>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</si>
  <si>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</si>
  <si>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</si>
  <si>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</si>
  <si>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</si>
  <si>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</si>
  <si>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</si>
  <si>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</si>
  <si>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</si>
  <si>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</si>
  <si>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</si>
  <si>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</si>
  <si>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</si>
  <si>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</si>
  <si>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</si>
  <si>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</si>
  <si>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</si>
  <si>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</si>
  <si>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</si>
  <si>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</si>
  <si>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</si>
  <si>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</si>
  <si>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</si>
  <si>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</si>
  <si>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</si>
  <si>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</si>
  <si>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</si>
  <si>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</si>
  <si>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</si>
  <si>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</si>
  <si>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</si>
  <si>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</si>
  <si>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</si>
  <si>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</si>
  <si>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</si>
  <si>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</si>
  <si>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</si>
  <si>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</si>
  <si>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</si>
  <si>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</si>
  <si>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</si>
  <si>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</si>
  <si>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</si>
  <si>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</si>
  <si>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</si>
  <si>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</si>
  <si>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</si>
  <si>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</si>
  <si>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</si>
  <si>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</si>
  <si>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</si>
  <si>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</si>
  <si>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</si>
  <si>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</si>
  <si>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</si>
  <si>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</si>
  <si>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</si>
  <si>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</si>
  <si>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</si>
  <si>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</si>
  <si>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</si>
  <si>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</si>
  <si>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</si>
  <si>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</si>
  <si>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</si>
  <si>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</si>
  <si>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</si>
  <si>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</si>
  <si>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</si>
  <si>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</si>
  <si>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</si>
  <si>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</si>
  <si>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</si>
  <si>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</si>
  <si>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</si>
  <si>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</si>
  <si>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</si>
  <si>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</si>
  <si>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</si>
  <si>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</si>
  <si>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</si>
  <si>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</si>
  <si>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</si>
  <si>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</si>
  <si>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</si>
  <si>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</si>
  <si>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</si>
  <si>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</si>
  <si>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</si>
  <si>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</si>
  <si>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</si>
  <si>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</si>
  <si>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</si>
  <si>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</si>
  <si>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</si>
  <si>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</si>
  <si>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</si>
  <si>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</si>
  <si>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</si>
  <si>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</si>
  <si>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</si>
  <si>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</si>
  <si>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</si>
  <si>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</si>
  <si>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</si>
  <si>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</si>
  <si>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</si>
  <si>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</si>
  <si>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</si>
  <si>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</si>
  <si>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</si>
  <si>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</si>
  <si>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</si>
  <si>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</si>
  <si>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</si>
  <si>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</si>
  <si>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</si>
  <si>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</si>
  <si>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</si>
  <si>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</si>
  <si>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</si>
  <si>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</si>
  <si>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</si>
  <si>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</si>
  <si>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</si>
  <si>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</si>
  <si>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</si>
  <si>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</si>
  <si>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</si>
  <si>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</si>
  <si>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</si>
  <si>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</si>
  <si>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</si>
  <si>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</si>
  <si>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</si>
  <si>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</si>
  <si>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</si>
  <si>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</si>
  <si>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</si>
  <si>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</si>
  <si>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</si>
  <si>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</si>
  <si>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</si>
  <si>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</si>
  <si>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</si>
  <si>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</si>
  <si>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</si>
  <si>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</si>
  <si>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</si>
  <si>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</si>
  <si>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</si>
  <si>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</si>
  <si>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</si>
  <si>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</si>
  <si>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</si>
  <si>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</si>
  <si>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</si>
  <si>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</si>
  <si>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</si>
  <si>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</si>
  <si>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</si>
  <si>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</si>
  <si>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</si>
  <si>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</si>
  <si>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</si>
  <si>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</si>
  <si>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</si>
  <si>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</si>
  <si>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</si>
  <si>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</si>
  <si>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</si>
  <si>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</si>
  <si>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</si>
  <si>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</si>
  <si>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</si>
  <si>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</si>
  <si>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</si>
  <si>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</si>
  <si>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</si>
  <si>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</si>
  <si>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</si>
  <si>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</si>
  <si>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</si>
  <si>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</si>
  <si>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</si>
  <si>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</si>
  <si>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</si>
  <si>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</si>
  <si>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</si>
  <si>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</si>
  <si>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</si>
  <si>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</si>
  <si>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</si>
  <si>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</si>
  <si>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</si>
  <si>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</si>
  <si>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</si>
  <si>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</si>
  <si>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</si>
  <si>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</si>
  <si>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</si>
  <si>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</si>
  <si>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</si>
  <si>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</si>
  <si>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</si>
  <si>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</si>
  <si>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</si>
  <si>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</si>
  <si>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</si>
  <si>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</si>
  <si>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</si>
  <si>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</si>
  <si>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</si>
  <si>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</si>
  <si>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</si>
  <si>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</si>
  <si>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</si>
  <si>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</si>
  <si>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</si>
  <si>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</si>
  <si>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</si>
  <si>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</si>
  <si>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</si>
  <si>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</si>
  <si>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</si>
  <si>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</si>
  <si>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</si>
  <si>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</si>
  <si>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</si>
  <si>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</si>
  <si>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</si>
  <si>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</si>
  <si>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</si>
  <si>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</si>
  <si>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</si>
  <si>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</si>
  <si>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</si>
  <si>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</si>
  <si>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</si>
  <si>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</si>
  <si>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</si>
  <si>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</si>
  <si>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</si>
  <si>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</si>
  <si>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</si>
  <si>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</si>
  <si>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</si>
  <si>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</si>
  <si>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</si>
  <si>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</si>
  <si>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</si>
  <si>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</si>
  <si>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</si>
  <si>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</si>
  <si>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</si>
  <si>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</si>
  <si>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</si>
  <si>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</si>
  <si>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</si>
  <si>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</si>
  <si>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</si>
  <si>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</si>
  <si>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</si>
  <si>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</si>
  <si>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</si>
  <si>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</si>
  <si>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</si>
  <si>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</si>
  <si>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</si>
  <si>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</si>
  <si>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</si>
  <si>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</si>
  <si>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</si>
  <si>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</si>
  <si>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</si>
  <si>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</si>
  <si>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</si>
  <si>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</si>
  <si>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</si>
  <si>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</si>
  <si>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</si>
  <si>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</si>
  <si>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</si>
  <si>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</si>
  <si>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</si>
  <si>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</si>
  <si>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</si>
  <si>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</si>
  <si>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</si>
  <si>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</si>
  <si>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</si>
  <si>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</si>
  <si>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</si>
  <si>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</si>
  <si>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</si>
  <si>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</si>
  <si>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</si>
  <si>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</si>
  <si>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</si>
  <si>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</si>
  <si>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</si>
  <si>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</si>
  <si>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</si>
  <si>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</si>
  <si>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</si>
  <si>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</si>
  <si>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</si>
  <si>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</si>
  <si>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</si>
  <si>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</si>
  <si>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</si>
  <si>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</si>
  <si>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</si>
  <si>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</si>
  <si>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</si>
  <si>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</si>
  <si>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</si>
  <si>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</si>
  <si>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</si>
  <si>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</si>
  <si>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</si>
  <si>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</si>
  <si>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</si>
  <si>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</si>
  <si>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</si>
  <si>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</si>
  <si>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</si>
  <si>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</si>
  <si>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</si>
  <si>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</si>
  <si>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</si>
  <si>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</si>
  <si>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</si>
  <si>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</si>
  <si>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</si>
  <si>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</si>
  <si>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</si>
  <si>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</si>
  <si>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</si>
  <si>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</si>
  <si>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</si>
  <si>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</si>
  <si>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</si>
  <si>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</si>
  <si>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</si>
  <si>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</si>
  <si>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</si>
  <si>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</si>
  <si>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</si>
  <si>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</si>
  <si>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</si>
  <si>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</si>
  <si>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</si>
  <si>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</si>
  <si>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</si>
  <si>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</si>
  <si>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</si>
  <si>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</si>
  <si>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</si>
  <si>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</si>
  <si>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</si>
  <si>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</si>
  <si>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</si>
  <si>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</si>
  <si>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</si>
  <si>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</si>
  <si>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</si>
  <si>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</si>
  <si>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</si>
  <si>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</si>
  <si>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</si>
  <si>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</si>
  <si>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</si>
  <si>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</si>
  <si>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</si>
  <si>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</si>
  <si>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</si>
  <si>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</si>
  <si>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</si>
  <si>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</si>
  <si>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</si>
  <si>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</si>
  <si>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</si>
  <si>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</si>
  <si>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</si>
  <si>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</si>
  <si>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</si>
  <si>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</si>
  <si>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</si>
  <si>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</si>
  <si>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</si>
  <si>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</si>
  <si>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</si>
  <si>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</si>
  <si>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</si>
  <si>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</si>
  <si>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</si>
  <si>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</si>
  <si>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</si>
  <si>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</si>
  <si>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</si>
  <si>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</si>
  <si>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</si>
  <si>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</si>
  <si>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</si>
  <si>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</si>
  <si>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</si>
  <si>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</si>
  <si>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</si>
  <si>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</si>
  <si>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</si>
  <si>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</si>
  <si>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</si>
  <si>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</si>
  <si>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</si>
  <si>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</si>
  <si>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</si>
  <si>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</si>
  <si>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</si>
  <si>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</si>
  <si>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</si>
  <si>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</si>
  <si>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</si>
  <si>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</si>
  <si>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</si>
  <si>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</si>
  <si>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</si>
  <si>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</si>
  <si>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</si>
  <si>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</si>
  <si>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</si>
  <si>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</si>
  <si>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</si>
  <si>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</si>
  <si>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</si>
  <si>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</si>
  <si>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</si>
  <si>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</si>
  <si>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</si>
  <si>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</si>
  <si>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</si>
  <si>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</si>
  <si>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</si>
  <si>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</si>
  <si>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</si>
  <si>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</si>
  <si>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</si>
  <si>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</si>
  <si>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</si>
  <si>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</si>
  <si>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</si>
  <si>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</si>
  <si>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</si>
  <si>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</si>
  <si>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</si>
  <si>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</si>
  <si>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</si>
  <si>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</si>
  <si>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</si>
  <si>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</si>
  <si>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</si>
  <si>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</si>
  <si>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</si>
  <si>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</si>
  <si>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</si>
  <si>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</si>
  <si>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</si>
  <si>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</si>
  <si>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</si>
  <si>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</si>
  <si>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</si>
  <si>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</si>
  <si>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</si>
  <si>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</si>
  <si>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</si>
  <si>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</si>
  <si>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</si>
  <si>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</si>
  <si>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</si>
  <si>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</si>
  <si>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</si>
  <si>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</si>
  <si>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</si>
  <si>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</si>
  <si>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</si>
  <si>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</si>
  <si>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</si>
  <si>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</si>
  <si>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</si>
  <si>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</si>
  <si>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</si>
  <si>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</si>
  <si>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</si>
  <si>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</si>
  <si>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</si>
  <si>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</si>
  <si>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</si>
  <si>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</si>
  <si>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</si>
  <si>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</si>
  <si>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</si>
  <si>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</si>
  <si>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</si>
  <si>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</si>
  <si>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</si>
  <si>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</si>
  <si>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</si>
  <si>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</si>
  <si>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</si>
  <si>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</si>
  <si>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</si>
  <si>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</si>
  <si>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</si>
  <si>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</si>
  <si>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</si>
  <si>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</si>
  <si>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</si>
  <si>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</si>
  <si>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</si>
  <si>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</si>
  <si>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</si>
  <si>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</si>
  <si>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</si>
  <si>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</si>
  <si>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</si>
  <si>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</si>
  <si>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</si>
  <si>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</si>
  <si>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</si>
  <si>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</si>
  <si>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</si>
  <si>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</si>
  <si>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</si>
  <si>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</si>
  <si>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</si>
  <si>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</si>
  <si>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</si>
  <si>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</si>
  <si>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</si>
  <si>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</si>
  <si>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</si>
  <si>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</si>
  <si>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</si>
  <si>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</si>
  <si>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</si>
  <si>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</si>
  <si>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</si>
  <si>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</si>
  <si>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</si>
  <si>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</si>
  <si>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</si>
  <si>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</si>
  <si>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</si>
  <si>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</si>
  <si>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</si>
  <si>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</si>
  <si>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</si>
  <si>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</si>
  <si>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</si>
  <si>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</si>
  <si>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</si>
  <si>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</si>
  <si>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</si>
  <si>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</si>
  <si>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</si>
  <si>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</si>
  <si>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</si>
  <si>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</si>
  <si>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</si>
  <si>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</si>
  <si>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</si>
  <si>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</si>
  <si>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</si>
  <si>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</si>
  <si>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</si>
  <si>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</si>
  <si>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</si>
  <si>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</si>
  <si>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</si>
  <si>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</si>
  <si>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</si>
  <si>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</si>
  <si>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</si>
  <si>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</si>
  <si>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</si>
  <si>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</si>
  <si>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</si>
  <si>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</si>
  <si>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</si>
  <si>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</si>
  <si>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</si>
  <si>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</si>
  <si>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</si>
  <si>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</si>
  <si>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</si>
  <si>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</si>
  <si>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</si>
  <si>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</si>
  <si>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</si>
  <si>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</si>
  <si>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</si>
  <si>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</si>
  <si>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</si>
  <si>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</si>
  <si>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</si>
  <si>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</si>
  <si>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</si>
  <si>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</si>
  <si>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</si>
  <si>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</si>
  <si>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</si>
  <si>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</si>
  <si>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</si>
  <si>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</si>
  <si>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</si>
  <si>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</si>
  <si>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</si>
  <si>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</si>
  <si>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</si>
  <si>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</si>
  <si>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</si>
  <si>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</si>
  <si>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</si>
  <si>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</si>
  <si>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</si>
  <si>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</si>
  <si>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</si>
  <si>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</si>
  <si>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</si>
  <si>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</si>
  <si>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</si>
  <si>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</si>
  <si>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</si>
  <si>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</si>
  <si>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</si>
  <si>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</si>
  <si>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</si>
  <si>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</si>
  <si>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</si>
  <si>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</si>
  <si>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</si>
  <si>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</si>
  <si>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</si>
  <si>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</si>
  <si>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</si>
  <si>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</si>
  <si>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</si>
  <si>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</si>
  <si>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</si>
  <si>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</si>
  <si>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</si>
  <si>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</si>
  <si>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</si>
  <si>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</si>
  <si>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</si>
  <si>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</si>
  <si>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</si>
  <si>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</si>
  <si>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</si>
  <si>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</si>
  <si>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</si>
  <si>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</si>
  <si>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</si>
  <si>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</si>
  <si>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</si>
  <si>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</si>
  <si>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</si>
  <si>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</si>
  <si>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</si>
  <si>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</si>
  <si>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</si>
  <si>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</si>
  <si>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</si>
  <si>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</si>
  <si>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</si>
  <si>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</si>
  <si>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</si>
  <si>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</si>
  <si>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</si>
  <si>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</si>
  <si>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</si>
  <si>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</si>
  <si>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</si>
  <si>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</si>
  <si>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</si>
  <si>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</si>
  <si>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</si>
  <si>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</si>
  <si>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</si>
  <si>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</si>
  <si>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</si>
  <si>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</si>
  <si>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</si>
  <si>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</si>
  <si>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</si>
  <si>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</si>
  <si>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</si>
  <si>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</si>
  <si>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</si>
  <si>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</si>
  <si>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</si>
  <si>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</si>
  <si>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</si>
  <si>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</si>
  <si>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</si>
  <si>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</si>
  <si>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</si>
  <si>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</si>
  <si>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</si>
  <si>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</si>
  <si>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</si>
  <si>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</si>
  <si>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</si>
  <si>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</si>
  <si>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</si>
  <si>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</si>
  <si>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</si>
  <si>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</si>
  <si>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</si>
  <si>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</si>
  <si>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</si>
  <si>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</si>
  <si>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</si>
  <si>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</si>
  <si>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</si>
  <si>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</si>
  <si>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</si>
  <si>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</si>
  <si>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</si>
  <si>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</si>
  <si>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</si>
  <si>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</si>
  <si>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</si>
  <si>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</si>
  <si>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</si>
  <si>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</si>
  <si>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</si>
  <si>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</si>
  <si>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</si>
  <si>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</si>
  <si>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</si>
  <si>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</si>
  <si>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</si>
  <si>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</si>
  <si>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</si>
  <si>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</si>
  <si>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</si>
  <si>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</si>
  <si>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</si>
  <si>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</si>
  <si>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</si>
  <si>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</si>
  <si>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</si>
  <si>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</si>
  <si>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</si>
  <si>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</si>
  <si>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</si>
  <si>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</si>
  <si>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</si>
  <si>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</si>
  <si>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</si>
  <si>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</si>
  <si>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</si>
  <si>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</si>
  <si>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</si>
  <si>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</si>
  <si>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</si>
  <si>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</si>
  <si>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</si>
  <si>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</si>
  <si>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</si>
  <si>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</si>
  <si>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</si>
  <si>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</si>
  <si>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</si>
  <si>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</si>
  <si>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</si>
  <si>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</si>
  <si>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</si>
  <si>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</si>
  <si>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</si>
  <si>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</si>
  <si>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</si>
  <si>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</si>
  <si>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</si>
  <si>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</si>
  <si>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</si>
  <si>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</si>
  <si>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</si>
  <si>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</si>
  <si>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</si>
  <si>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</si>
  <si>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</si>
  <si>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</si>
  <si>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</si>
  <si>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</si>
  <si>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</si>
  <si>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</si>
  <si>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</si>
  <si>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</si>
  <si>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</si>
  <si>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</si>
  <si>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</si>
  <si>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</si>
  <si>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</si>
  <si>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</si>
  <si>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</si>
  <si>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</si>
  <si>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</si>
  <si>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</si>
  <si>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</si>
  <si>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</si>
  <si>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</si>
  <si>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</si>
  <si>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</si>
  <si>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</si>
  <si>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</si>
  <si>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</si>
  <si>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</si>
  <si>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</si>
  <si>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</si>
  <si>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</si>
  <si>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</si>
  <si>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</si>
  <si>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</si>
  <si>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</si>
  <si>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</si>
  <si>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</si>
  <si>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</si>
  <si>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</si>
  <si>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</si>
  <si>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</si>
  <si>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</si>
  <si>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</si>
  <si>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</si>
  <si>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</si>
  <si>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</si>
  <si>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</si>
  <si>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</si>
  <si>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</si>
  <si>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</si>
  <si>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</si>
  <si>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</si>
  <si>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</si>
  <si>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</si>
  <si>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</si>
  <si>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</si>
  <si>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</si>
  <si>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</si>
  <si>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</si>
  <si>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</si>
  <si>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</si>
  <si>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</si>
  <si>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</si>
  <si>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</si>
  <si>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</si>
  <si>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</si>
  <si>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</si>
  <si>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</si>
  <si>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</si>
  <si>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</si>
  <si>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</si>
  <si>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</si>
  <si>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</si>
  <si>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</si>
  <si>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</si>
  <si>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</si>
  <si>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</si>
  <si>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</si>
  <si>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</si>
  <si>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</si>
  <si>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</si>
  <si>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</si>
  <si>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</si>
  <si>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</si>
  <si>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</si>
  <si>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</si>
  <si>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</si>
  <si>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</si>
  <si>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</si>
  <si>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</si>
  <si>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</si>
  <si>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</si>
  <si>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</si>
  <si>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</si>
  <si>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</si>
  <si>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</si>
  <si>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</si>
  <si>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</si>
  <si>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</si>
  <si>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</si>
  <si>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</si>
  <si>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</si>
  <si>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</si>
  <si>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</si>
  <si>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</si>
  <si>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</si>
  <si>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</si>
  <si>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</si>
  <si>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</si>
  <si>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</si>
  <si>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</si>
  <si>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</si>
  <si>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</si>
  <si>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</si>
  <si>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</si>
  <si>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</si>
  <si>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</si>
  <si>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</si>
  <si>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</si>
  <si>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</si>
  <si>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</si>
  <si>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</si>
  <si>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</si>
  <si>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</si>
  <si>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</si>
  <si>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</si>
  <si>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</si>
  <si>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</si>
  <si>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</si>
  <si>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</si>
  <si>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</si>
  <si>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</si>
  <si>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</si>
  <si>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</si>
  <si>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</si>
  <si>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</si>
  <si>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</si>
  <si>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</si>
  <si>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</si>
  <si>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</si>
  <si>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</si>
  <si>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</si>
  <si>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</si>
  <si>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</si>
  <si>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</si>
  <si>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</si>
  <si>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</si>
  <si>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</si>
  <si>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</si>
  <si>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</si>
  <si>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</si>
  <si>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</si>
  <si>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</si>
  <si>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</si>
  <si>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</si>
  <si>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</si>
  <si>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</si>
  <si>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</si>
  <si>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</si>
  <si>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</si>
  <si>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</si>
  <si>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</si>
  <si>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</si>
  <si>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</si>
  <si>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</si>
  <si>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</si>
  <si>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</si>
  <si>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</si>
  <si>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</si>
  <si>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</si>
  <si>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</si>
  <si>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</si>
  <si>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</si>
  <si>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</si>
  <si>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</si>
  <si>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</si>
  <si>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</si>
  <si>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</si>
  <si>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</si>
  <si>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</si>
  <si>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</si>
  <si>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</si>
  <si>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</si>
  <si>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</si>
  <si>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</si>
  <si>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</si>
  <si>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</si>
  <si>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</si>
  <si>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</si>
  <si>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</si>
  <si>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</si>
  <si>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</si>
  <si>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</si>
  <si>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</si>
  <si>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</si>
  <si>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</si>
  <si>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</si>
  <si>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</si>
  <si>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</si>
  <si>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</si>
  <si>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</si>
  <si>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</si>
  <si>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</si>
  <si>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</si>
  <si>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</si>
  <si>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</si>
  <si>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</si>
  <si>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</si>
  <si>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</si>
  <si>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</si>
  <si>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</si>
  <si>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</si>
  <si>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</si>
  <si>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</si>
  <si>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</si>
  <si>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</si>
  <si>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</si>
  <si>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</si>
  <si>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</si>
  <si>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</si>
  <si>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</si>
  <si>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</si>
  <si>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</si>
  <si>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</si>
  <si>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</si>
  <si>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</si>
  <si>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</si>
  <si>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</si>
  <si>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</si>
  <si>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</si>
  <si>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</si>
  <si>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</si>
  <si>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</si>
  <si>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</si>
  <si>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</si>
  <si>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</si>
  <si>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</si>
  <si>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</si>
  <si>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</si>
  <si>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</si>
  <si>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</si>
  <si>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</si>
  <si>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</si>
  <si>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</si>
  <si>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</si>
  <si>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</si>
  <si>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</si>
  <si>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</si>
  <si>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</si>
  <si>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</si>
  <si>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</si>
  <si>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</si>
  <si>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</si>
  <si>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</si>
  <si>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</si>
  <si>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</si>
  <si>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</si>
  <si>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</si>
  <si>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</si>
  <si>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</si>
  <si>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</si>
  <si>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</si>
  <si>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</si>
  <si>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</si>
  <si>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</si>
  <si>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</si>
  <si>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</si>
  <si>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</si>
  <si>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</si>
  <si>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</si>
  <si>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</si>
  <si>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</si>
  <si>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</si>
  <si>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</si>
  <si>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</si>
  <si>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</si>
  <si>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</si>
  <si>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</si>
  <si>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</si>
  <si>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</si>
  <si>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</si>
  <si>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</si>
  <si>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</si>
  <si>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</si>
  <si>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</si>
  <si>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</si>
  <si>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</si>
  <si>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</si>
  <si>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</si>
  <si>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</si>
  <si>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</si>
  <si>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</si>
  <si>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</si>
  <si>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</si>
  <si>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</si>
  <si>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</si>
  <si>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</si>
  <si>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</si>
  <si>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</si>
  <si>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</si>
  <si>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</si>
  <si>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</si>
  <si>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</si>
  <si>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</si>
  <si>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</si>
  <si>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</si>
  <si>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</si>
  <si>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</si>
  <si>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</si>
  <si>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</si>
  <si>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</si>
  <si>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</si>
  <si>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</si>
  <si>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</si>
  <si>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</si>
  <si>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</si>
  <si>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</si>
  <si>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</si>
  <si>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</si>
  <si>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</si>
  <si>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</si>
  <si>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</si>
  <si>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</si>
  <si>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</si>
  <si>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</si>
  <si>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</si>
  <si>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</si>
  <si>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</si>
  <si>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</si>
  <si>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</si>
  <si>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</si>
  <si>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</si>
  <si>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</si>
  <si>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</si>
  <si>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</si>
  <si>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</si>
  <si>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</si>
  <si>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</si>
  <si>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</si>
  <si>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</si>
  <si>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</si>
  <si>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</si>
  <si>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</si>
  <si>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</si>
  <si>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</si>
  <si>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</si>
  <si>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</si>
  <si>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</si>
  <si>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</si>
  <si>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</si>
  <si>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</si>
  <si>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</si>
  <si>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</si>
  <si>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</si>
  <si>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</si>
  <si>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</si>
  <si>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</si>
  <si>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</si>
  <si>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</si>
  <si>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</si>
  <si>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</si>
  <si>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</si>
  <si>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</si>
  <si>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</si>
  <si>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</si>
  <si>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</si>
  <si>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</si>
  <si>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</si>
  <si>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</si>
  <si>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</si>
  <si>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</si>
  <si>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</si>
  <si>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</si>
  <si>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</si>
  <si>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</si>
  <si>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</si>
  <si>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</si>
  <si>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</si>
  <si>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</si>
  <si>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</si>
  <si>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</si>
  <si>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</si>
  <si>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</si>
  <si>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</si>
  <si>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</si>
  <si>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</si>
  <si>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</si>
  <si>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</si>
  <si>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</si>
  <si>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</si>
  <si>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</si>
  <si>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</si>
  <si>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</si>
  <si>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</si>
  <si>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</si>
  <si>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</si>
  <si>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</si>
  <si>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</si>
  <si>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</si>
  <si>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</si>
  <si>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</si>
  <si>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</si>
  <si>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</si>
  <si>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</si>
  <si>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</si>
  <si>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</si>
  <si>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</si>
  <si>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</si>
  <si>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</si>
  <si>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</si>
  <si>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</si>
  <si>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</si>
  <si>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</si>
  <si>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</si>
  <si>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</si>
  <si>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</si>
  <si>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</si>
  <si>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</si>
  <si>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</si>
  <si>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</si>
  <si>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</si>
  <si>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</si>
  <si>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</si>
  <si>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</si>
  <si>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</si>
  <si>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</si>
  <si>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</si>
  <si>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</si>
  <si>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</si>
  <si>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</si>
  <si>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</si>
  <si>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</si>
  <si>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</si>
  <si>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</si>
  <si>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</si>
  <si>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</si>
  <si>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</si>
  <si>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</si>
  <si>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</si>
  <si>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</si>
  <si>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</si>
  <si>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</si>
  <si>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</si>
  <si>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</si>
  <si>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</si>
  <si>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</si>
  <si>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</si>
  <si>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</si>
  <si>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</si>
  <si>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</si>
  <si>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</si>
  <si>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</si>
  <si>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</si>
  <si>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</si>
  <si>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</si>
  <si>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</si>
  <si>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</si>
  <si>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</si>
  <si>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</si>
  <si>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</si>
  <si>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</si>
  <si>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</si>
  <si>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</si>
  <si>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</si>
  <si>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</si>
  <si>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</si>
  <si>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</si>
  <si>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</si>
  <si>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</si>
  <si>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</si>
  <si>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</si>
  <si>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</si>
  <si>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</si>
  <si>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</si>
  <si>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</si>
  <si>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</si>
  <si>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</si>
  <si>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</si>
  <si>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</si>
  <si>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</si>
  <si>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</si>
  <si>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</si>
  <si>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</si>
  <si>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</si>
  <si>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</si>
  <si>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</si>
  <si>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</si>
  <si>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</si>
  <si>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</si>
  <si>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</si>
  <si>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</si>
  <si>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</si>
  <si>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</si>
  <si>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</si>
  <si>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</si>
  <si>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</si>
  <si>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</si>
  <si>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</si>
  <si>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</si>
  <si>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</si>
  <si>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</si>
  <si>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</si>
  <si>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</si>
  <si>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</si>
  <si>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</si>
  <si>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</si>
  <si>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</si>
  <si>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</si>
  <si>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</si>
  <si>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</si>
  <si>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</si>
  <si>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</si>
  <si>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</si>
  <si>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</si>
  <si>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</si>
  <si>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</si>
  <si>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</si>
  <si>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</si>
  <si>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</si>
  <si>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</si>
  <si>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</si>
  <si>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</si>
  <si>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</si>
  <si>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</si>
  <si>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</si>
  <si>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</si>
  <si>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</si>
  <si>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</si>
  <si>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</si>
  <si>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</si>
  <si>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</si>
  <si>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</si>
  <si>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</si>
  <si>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</si>
  <si>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</si>
  <si>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</si>
  <si>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</si>
  <si>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</si>
  <si>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</si>
  <si>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</si>
  <si>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</si>
  <si>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</si>
  <si>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</si>
  <si>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</si>
  <si>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</si>
  <si>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</si>
  <si>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</si>
  <si>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</si>
  <si>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</si>
  <si>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</si>
  <si>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</si>
  <si>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</si>
  <si>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</si>
  <si>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</si>
  <si>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</si>
  <si>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</si>
  <si>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</si>
  <si>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</si>
  <si>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</si>
  <si>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</si>
  <si>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</si>
  <si>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</si>
  <si>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</si>
  <si>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</si>
  <si>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</si>
  <si>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</si>
  <si>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</si>
  <si>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</si>
  <si>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</si>
  <si>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</si>
  <si>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</si>
  <si>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</si>
  <si>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</si>
  <si>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</si>
  <si>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</si>
  <si>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</si>
  <si>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</si>
  <si>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</si>
  <si>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</si>
  <si>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</si>
  <si>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</si>
  <si>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</si>
  <si>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</si>
  <si>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</si>
  <si>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</si>
  <si>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</si>
  <si>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</si>
  <si>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</si>
  <si>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</si>
  <si>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</si>
  <si>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</si>
  <si>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</si>
  <si>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</si>
  <si>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</si>
  <si>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</si>
  <si>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</si>
  <si>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</si>
  <si>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</si>
  <si>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</si>
  <si>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</si>
  <si>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</si>
  <si>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</si>
  <si>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</si>
  <si>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</si>
  <si>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</si>
  <si>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</si>
  <si>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</si>
  <si>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</si>
  <si>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</si>
  <si>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</si>
  <si>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</si>
  <si>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</si>
  <si>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</si>
  <si>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</si>
  <si>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</si>
  <si>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</si>
  <si>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</si>
  <si>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</si>
  <si>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</si>
  <si>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</si>
  <si>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</si>
  <si>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</si>
  <si>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</si>
  <si>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</si>
  <si>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</si>
  <si>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</si>
  <si>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</si>
  <si>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</si>
  <si>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</si>
  <si>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</si>
  <si>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</si>
  <si>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</si>
  <si>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</si>
  <si>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</si>
  <si>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</si>
  <si>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</si>
  <si>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</si>
  <si>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</si>
  <si>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</si>
  <si>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</si>
  <si>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</si>
  <si>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</si>
  <si>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</si>
  <si>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</si>
  <si>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</si>
  <si>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</si>
  <si>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</si>
  <si>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</si>
  <si>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</si>
  <si>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</si>
  <si>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</si>
  <si>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</si>
  <si>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</si>
  <si>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</si>
  <si>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</si>
  <si>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</si>
  <si>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</si>
  <si>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</si>
  <si>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</si>
  <si>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</si>
  <si>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</si>
  <si>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</si>
  <si>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</si>
  <si>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</si>
  <si>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</si>
  <si>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</si>
  <si>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</si>
  <si>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</si>
  <si>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</si>
  <si>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</si>
  <si>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</si>
  <si>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</si>
  <si>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</si>
  <si>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</si>
  <si>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</si>
  <si>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</si>
  <si>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</si>
  <si>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</si>
  <si>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</si>
  <si>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</si>
  <si>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</si>
  <si>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</si>
  <si>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</si>
  <si>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</si>
  <si>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</si>
  <si>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</si>
  <si>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</si>
  <si>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</si>
  <si>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</si>
  <si>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</si>
  <si>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</si>
  <si>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</si>
  <si>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</si>
  <si>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</si>
  <si>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</si>
  <si>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</si>
  <si>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</si>
  <si>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</si>
  <si>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</si>
  <si>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</si>
  <si>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</si>
  <si>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</si>
  <si>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</si>
  <si>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</si>
  <si>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</si>
  <si>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</si>
  <si>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</si>
  <si>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</si>
  <si>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</si>
  <si>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</si>
  <si>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</si>
  <si>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</si>
  <si>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</si>
  <si>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</si>
  <si>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</si>
  <si>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</si>
  <si>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</si>
  <si>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</si>
  <si>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</si>
  <si>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</si>
  <si>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</si>
  <si>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</si>
  <si>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</si>
  <si>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</si>
  <si>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</si>
  <si>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</si>
  <si>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</si>
  <si>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</si>
  <si>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</si>
  <si>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</si>
  <si>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</si>
  <si>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</si>
  <si>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</si>
  <si>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</si>
  <si>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</si>
  <si>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</si>
  <si>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</si>
  <si>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</si>
  <si>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</si>
  <si>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</si>
  <si>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</si>
  <si>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</si>
  <si>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</si>
  <si>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</si>
  <si>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</si>
  <si>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</si>
  <si>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</si>
  <si>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</si>
  <si>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</si>
  <si>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</si>
  <si>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</si>
  <si>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</si>
  <si>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</si>
  <si>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</si>
  <si>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</si>
  <si>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</si>
  <si>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</si>
  <si>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</si>
  <si>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</si>
  <si>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</si>
  <si>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</si>
  <si>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</si>
  <si>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</si>
  <si>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</si>
  <si>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</si>
  <si>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</si>
  <si>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</si>
  <si>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</si>
  <si>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</si>
  <si>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</si>
  <si>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</si>
  <si>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</si>
  <si>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</si>
  <si>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</si>
  <si>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</si>
  <si>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</si>
  <si>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</si>
  <si>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</si>
  <si>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</si>
  <si>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</si>
  <si>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</si>
  <si>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</si>
  <si>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</si>
  <si>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</si>
  <si>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</si>
  <si>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</si>
  <si>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</si>
  <si>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</si>
  <si>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</si>
  <si>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</si>
  <si>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</si>
  <si>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</si>
  <si>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</si>
  <si>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</si>
  <si>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</si>
  <si>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</si>
  <si>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</si>
  <si>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</si>
  <si>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</si>
  <si>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</si>
  <si>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</si>
  <si>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</si>
  <si>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</si>
  <si>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</si>
  <si>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</si>
  <si>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</si>
  <si>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</si>
  <si>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</si>
  <si>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</si>
  <si>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</si>
  <si>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</si>
  <si>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</si>
  <si>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</si>
  <si>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</si>
  <si>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</si>
  <si>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</si>
  <si>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</si>
  <si>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</si>
  <si>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</si>
  <si>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</si>
  <si>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</si>
  <si>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</si>
  <si>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</si>
  <si>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</si>
  <si>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</si>
  <si>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</si>
  <si>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</si>
  <si>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</si>
  <si>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</si>
  <si>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</si>
  <si>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</si>
  <si>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</si>
  <si>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</si>
  <si>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</si>
  <si>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</si>
  <si>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</si>
  <si>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</si>
  <si>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</si>
  <si>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</si>
  <si>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</si>
  <si>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</si>
  <si>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</si>
  <si>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</si>
  <si>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</si>
  <si>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</si>
  <si>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</si>
  <si>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</si>
  <si>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</si>
  <si>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</si>
  <si>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</si>
  <si>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</si>
  <si>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</si>
  <si>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</si>
  <si>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</si>
  <si>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</si>
  <si>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</si>
  <si>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</si>
  <si>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</si>
  <si>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</si>
  <si>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</si>
  <si>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</si>
  <si>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</si>
  <si>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</si>
  <si>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</si>
  <si>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</si>
  <si>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</si>
  <si>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</si>
  <si>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</si>
  <si>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</si>
  <si>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</si>
  <si>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</si>
  <si>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</si>
  <si>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</si>
  <si>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</si>
  <si>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</si>
  <si>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</si>
  <si>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</si>
  <si>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</si>
  <si>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</si>
  <si>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</si>
  <si>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</si>
  <si>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</si>
  <si>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</si>
  <si>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</si>
  <si>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</si>
  <si>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</si>
  <si>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</si>
  <si>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</si>
  <si>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</si>
  <si>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</si>
  <si>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</si>
  <si>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</si>
  <si>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</si>
  <si>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</si>
  <si>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</si>
  <si>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</si>
  <si>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</si>
  <si>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</si>
  <si>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</si>
  <si>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</si>
  <si>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</si>
  <si>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</si>
  <si>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</si>
  <si>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</si>
  <si>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</si>
  <si>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</si>
  <si>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</si>
  <si>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</si>
  <si>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</si>
  <si>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</si>
  <si>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</si>
  <si>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</si>
  <si>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</si>
  <si>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</si>
  <si>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</si>
  <si>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</si>
  <si>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</si>
  <si>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</si>
  <si>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</si>
  <si>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</si>
  <si>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</si>
  <si>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</si>
  <si>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</si>
  <si>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</si>
  <si>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</si>
  <si>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</si>
  <si>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</si>
  <si>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</si>
  <si>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</si>
  <si>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</si>
  <si>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</si>
  <si>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</si>
  <si>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</si>
  <si>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</si>
  <si>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</si>
  <si>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</si>
  <si>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</si>
  <si>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</si>
  <si>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</si>
  <si>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</si>
  <si>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</si>
  <si>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</si>
  <si>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</si>
  <si>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</si>
  <si>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</si>
  <si>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</si>
  <si>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</si>
  <si>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</si>
  <si>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</si>
  <si>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</si>
  <si>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</si>
  <si>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</si>
  <si>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</si>
  <si>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</si>
  <si>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</si>
  <si>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</si>
  <si>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</si>
  <si>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</si>
  <si>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</si>
  <si>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</si>
  <si>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</si>
  <si>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</si>
  <si>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</si>
  <si>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</si>
  <si>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</si>
  <si>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</si>
  <si>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</si>
  <si>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</si>
  <si>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</si>
  <si>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</si>
  <si>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</si>
  <si>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</si>
  <si>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</si>
  <si>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</si>
  <si>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</si>
  <si>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</si>
  <si>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</si>
  <si>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</si>
  <si>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</si>
  <si>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</si>
  <si>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</si>
  <si>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</si>
  <si>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</si>
  <si>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</si>
  <si>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</si>
  <si>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</si>
  <si>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</si>
  <si>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</si>
  <si>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</si>
  <si>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</si>
  <si>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</si>
  <si>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</si>
  <si>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</si>
  <si>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</si>
  <si>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</si>
  <si>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</si>
  <si>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</si>
  <si>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</si>
  <si>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</si>
  <si>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</si>
  <si>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</si>
  <si>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</si>
  <si>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</si>
  <si>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</si>
  <si>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</si>
  <si>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</si>
  <si>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</si>
  <si>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</si>
  <si>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</si>
  <si>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</si>
  <si>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</si>
  <si>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</si>
  <si>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</si>
  <si>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</si>
  <si>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</si>
  <si>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</si>
  <si>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</si>
  <si>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</si>
  <si>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</si>
  <si>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</si>
  <si>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</si>
  <si>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</si>
  <si>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</si>
  <si>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</si>
  <si>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</si>
  <si>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</si>
  <si>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</si>
  <si>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</si>
  <si>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</si>
  <si>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</si>
  <si>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</si>
  <si>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</si>
  <si>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</si>
  <si>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</si>
  <si>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</si>
  <si>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</si>
  <si>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</si>
  <si>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</si>
  <si>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</si>
  <si>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</si>
  <si>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</si>
  <si>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</si>
  <si>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</si>
  <si>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</si>
  <si>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</si>
  <si>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</si>
  <si>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</si>
  <si>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</si>
  <si>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</si>
  <si>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</si>
  <si>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</si>
  <si>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</si>
  <si>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</si>
  <si>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</si>
  <si>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</si>
  <si>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</si>
  <si>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</si>
  <si>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</si>
  <si>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</si>
  <si>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</si>
  <si>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</si>
  <si>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</si>
  <si>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</si>
  <si>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</si>
  <si>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</si>
  <si>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</si>
  <si>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</si>
  <si>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</si>
  <si>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</si>
  <si>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</si>
  <si>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</si>
  <si>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</si>
  <si>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</si>
  <si>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</si>
  <si>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</si>
  <si>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</si>
  <si>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</si>
  <si>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</si>
  <si>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</si>
  <si>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</si>
  <si>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</si>
  <si>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</si>
  <si>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</si>
  <si>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</si>
  <si>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</si>
  <si>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</si>
  <si>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</si>
  <si>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</si>
  <si>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</si>
  <si>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</si>
  <si>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</si>
  <si>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</si>
  <si>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</si>
  <si>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</si>
  <si>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</si>
  <si>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</si>
  <si>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</si>
  <si>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</si>
  <si>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</si>
  <si>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</si>
  <si>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</si>
  <si>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</si>
  <si>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</si>
  <si>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</si>
  <si>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</si>
  <si>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</si>
  <si>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</si>
  <si>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</si>
  <si>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</si>
  <si>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</si>
  <si>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</si>
  <si>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</si>
  <si>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</si>
  <si>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</si>
  <si>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</si>
  <si>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</si>
  <si>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</si>
  <si>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</si>
  <si>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</si>
  <si>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</si>
  <si>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</si>
  <si>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</si>
  <si>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</si>
  <si>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</si>
  <si>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</si>
  <si>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</si>
  <si>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</si>
  <si>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</si>
  <si>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</si>
  <si>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</si>
  <si>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</si>
  <si>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</si>
  <si>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</si>
  <si>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</si>
  <si>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</si>
  <si>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</si>
  <si>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</si>
  <si>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</si>
  <si>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</si>
  <si>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</si>
  <si>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</si>
  <si>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</si>
  <si>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</si>
  <si>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</si>
  <si>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</si>
  <si>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</si>
  <si>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</si>
  <si>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</si>
  <si>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</si>
  <si>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</si>
  <si>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</si>
  <si>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</si>
  <si>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</si>
  <si>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</si>
  <si>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</si>
  <si>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</si>
  <si>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</si>
  <si>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</si>
  <si>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</si>
  <si>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</si>
  <si>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</si>
  <si>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</si>
  <si>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</si>
  <si>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</si>
  <si>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</si>
  <si>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</si>
  <si>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</si>
  <si>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</si>
  <si>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</si>
  <si>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</si>
  <si>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</si>
  <si>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</si>
  <si>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</si>
  <si>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</si>
  <si>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</si>
  <si>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</si>
  <si>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</si>
  <si>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</si>
  <si>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</si>
  <si>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</si>
  <si>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</si>
  <si>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</si>
  <si>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</si>
  <si>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</si>
  <si>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</si>
  <si>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</si>
  <si>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</si>
  <si>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</si>
  <si>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</si>
  <si>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</si>
  <si>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</si>
  <si>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</si>
  <si>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</si>
  <si>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</si>
  <si>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</si>
  <si>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</si>
  <si>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</si>
  <si>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</si>
  <si>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</si>
  <si>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</si>
  <si>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</si>
  <si>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</si>
  <si>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</si>
  <si>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</si>
  <si>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</si>
  <si>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</si>
  <si>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</si>
  <si>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</si>
  <si>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</si>
  <si>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</si>
  <si>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</si>
  <si>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</si>
  <si>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</si>
  <si>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</si>
  <si>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</si>
  <si>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</si>
  <si>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</si>
  <si>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</si>
  <si>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</si>
  <si>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</si>
  <si>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</si>
  <si>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</si>
  <si>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</si>
  <si>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</si>
  <si>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</si>
  <si>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</si>
  <si>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</si>
  <si>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</si>
  <si>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</si>
  <si>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</si>
  <si>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</si>
  <si>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</si>
  <si>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</si>
  <si>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</si>
  <si>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</si>
  <si>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</si>
  <si>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</si>
  <si>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</si>
  <si>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</si>
  <si>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</si>
  <si>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</si>
  <si>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</si>
  <si>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</si>
  <si>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</si>
  <si>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</si>
  <si>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</si>
  <si>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</si>
  <si>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</si>
  <si>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</si>
  <si>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</si>
  <si>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</si>
  <si>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</si>
  <si>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</si>
  <si>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</si>
  <si>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</si>
  <si>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</si>
  <si>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</si>
  <si>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</si>
  <si>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</si>
  <si>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</si>
  <si>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</si>
  <si>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</si>
  <si>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</si>
  <si>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</si>
  <si>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</si>
  <si>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</si>
  <si>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</si>
  <si>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</si>
  <si>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</si>
  <si>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</si>
  <si>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</si>
  <si>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</si>
  <si>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</si>
  <si>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</si>
  <si>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</si>
  <si>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</si>
  <si>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</si>
  <si>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</si>
  <si>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</si>
  <si>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</si>
  <si>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</si>
  <si>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</si>
  <si>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</si>
  <si>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</si>
  <si>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</si>
  <si>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</si>
  <si>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</si>
  <si>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</si>
  <si>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</si>
  <si>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</si>
  <si>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</si>
  <si>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</si>
  <si>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</si>
  <si>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</si>
  <si>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</si>
  <si>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</si>
  <si>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</si>
  <si>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</si>
  <si>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</si>
  <si>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</si>
  <si>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</si>
  <si>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</si>
  <si>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</si>
  <si>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</si>
  <si>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</si>
  <si>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</si>
  <si>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</si>
  <si>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</si>
  <si>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</si>
  <si>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</si>
  <si>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</si>
  <si>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</si>
  <si>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</si>
  <si>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</si>
  <si>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</si>
  <si>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</si>
  <si>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</si>
  <si>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</si>
  <si>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</si>
  <si>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</si>
  <si>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</si>
  <si>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</si>
  <si>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</si>
  <si>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</si>
  <si>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</si>
  <si>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</si>
  <si>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</si>
  <si>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</si>
  <si>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</si>
  <si>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</si>
  <si>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</si>
  <si>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</si>
  <si>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</si>
  <si>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</si>
  <si>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</si>
  <si>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</si>
  <si>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</si>
  <si>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</si>
  <si>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</si>
  <si>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</si>
  <si>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</si>
  <si>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</si>
  <si>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</si>
  <si>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</si>
  <si>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</si>
  <si>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</si>
  <si>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</si>
  <si>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</si>
  <si>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</si>
  <si>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</si>
  <si>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</si>
  <si>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</si>
  <si>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</si>
  <si>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</si>
  <si>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</si>
  <si>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</si>
  <si>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</si>
  <si>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</si>
  <si>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</si>
  <si>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</si>
  <si>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</si>
  <si>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</si>
  <si>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</si>
  <si>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</si>
  <si>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</si>
  <si>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</si>
  <si>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</si>
  <si>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</si>
  <si>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</si>
  <si>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</si>
  <si>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</si>
  <si>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</si>
  <si>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</si>
  <si>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</si>
  <si>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</si>
  <si>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</si>
  <si>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</si>
  <si>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</si>
  <si>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</si>
  <si>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</si>
  <si>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</si>
  <si>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</si>
  <si>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</si>
  <si>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</si>
  <si>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</si>
  <si>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</si>
  <si>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</si>
  <si>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</si>
  <si>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</si>
  <si>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</si>
  <si>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</si>
  <si>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</si>
  <si>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</si>
  <si>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</si>
  <si>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</si>
  <si>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</si>
  <si>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</si>
  <si>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</si>
  <si>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</si>
  <si>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</si>
  <si>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</si>
  <si>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</si>
  <si>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</si>
  <si>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</si>
  <si>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</si>
  <si>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</si>
  <si>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</si>
  <si>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</si>
  <si>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</si>
  <si>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</si>
  <si>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</si>
  <si>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</si>
  <si>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</si>
  <si>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</si>
  <si>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</si>
  <si>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</si>
  <si>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</si>
  <si>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</si>
  <si>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</si>
  <si>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</si>
  <si>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</si>
  <si>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</si>
  <si>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</si>
  <si>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</si>
  <si>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</si>
  <si>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</si>
  <si>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</si>
  <si>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</si>
  <si>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</si>
  <si>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</si>
  <si>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</si>
  <si>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</si>
  <si>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</si>
  <si>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</si>
  <si>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</si>
  <si>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</si>
  <si>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</si>
  <si>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</si>
  <si>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</si>
  <si>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</si>
  <si>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</si>
  <si>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</si>
  <si>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</si>
  <si>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</si>
  <si>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</si>
  <si>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</si>
  <si>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</si>
  <si>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</si>
  <si>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</si>
  <si>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</si>
  <si>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</si>
  <si>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</si>
  <si>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</si>
  <si>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</si>
  <si>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</si>
  <si>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</si>
  <si>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</si>
  <si>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</si>
  <si>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</si>
  <si>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</si>
  <si>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</si>
  <si>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</si>
  <si>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</si>
  <si>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</si>
  <si>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</si>
  <si>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</si>
  <si>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</si>
  <si>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</si>
  <si>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</si>
  <si>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</si>
  <si>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</si>
  <si>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</si>
  <si>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</si>
  <si>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</si>
  <si>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</si>
  <si>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</si>
  <si>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</si>
  <si>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</si>
  <si>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</si>
  <si>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</si>
  <si>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</si>
  <si>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</si>
  <si>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</si>
  <si>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</si>
  <si>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</si>
  <si>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</si>
  <si>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</si>
  <si>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</si>
  <si>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</si>
  <si>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</si>
  <si>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</si>
  <si>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</si>
  <si>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</si>
  <si>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</si>
  <si>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</si>
  <si>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</si>
  <si>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</si>
  <si>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</si>
  <si>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</si>
  <si>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</si>
  <si>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</si>
  <si>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</si>
  <si>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</si>
  <si>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</si>
  <si>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</si>
  <si>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</si>
  <si>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</si>
  <si>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</si>
  <si>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</si>
  <si>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</si>
  <si>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</si>
  <si>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</si>
  <si>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</si>
  <si>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</si>
  <si>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</si>
  <si>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</si>
  <si>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</si>
  <si>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</si>
  <si>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</si>
  <si>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</si>
  <si>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</si>
  <si>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</si>
  <si>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</si>
  <si>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</si>
  <si>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</si>
  <si>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</si>
  <si>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</si>
  <si>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</si>
  <si>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</si>
  <si>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</si>
  <si>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</si>
  <si>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</si>
  <si>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</si>
  <si>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</si>
  <si>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</si>
  <si>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</si>
  <si>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</si>
  <si>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</si>
  <si>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</si>
  <si>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</si>
  <si>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</si>
  <si>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</si>
  <si>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</si>
  <si>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</si>
  <si>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</si>
  <si>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</si>
  <si>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</si>
  <si>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</si>
  <si>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</si>
  <si>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</si>
  <si>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</si>
  <si>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</si>
  <si>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</si>
  <si>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</si>
  <si>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</si>
  <si>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</si>
  <si>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</si>
  <si>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</si>
  <si>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</si>
  <si>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</si>
  <si>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</si>
  <si>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</si>
  <si>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</si>
  <si>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</si>
  <si>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</si>
  <si>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</si>
  <si>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</si>
  <si>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</si>
  <si>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</si>
  <si>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</si>
  <si>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</si>
  <si>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</si>
  <si>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</si>
  <si>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</si>
  <si>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</si>
  <si>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</si>
  <si>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</si>
  <si>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</si>
  <si>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</si>
  <si>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</si>
  <si>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</si>
  <si>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</si>
  <si>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</si>
  <si>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</si>
  <si>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</si>
  <si>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</si>
  <si>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</si>
  <si>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</si>
  <si>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</si>
  <si>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</si>
  <si>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</si>
  <si>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</si>
  <si>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</si>
  <si>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</si>
  <si>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</si>
  <si>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</si>
  <si>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</si>
  <si>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</si>
  <si>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</si>
  <si>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</si>
  <si>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</si>
  <si>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</si>
  <si>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</si>
  <si>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</si>
  <si>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</si>
  <si>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</si>
  <si>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</si>
  <si>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</si>
  <si>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</si>
  <si>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</si>
  <si>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</si>
  <si>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</si>
  <si>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</si>
  <si>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</si>
  <si>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</si>
  <si>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</si>
  <si>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</si>
  <si>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</si>
  <si>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</si>
  <si>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</si>
  <si>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</si>
  <si>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</si>
  <si>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</si>
  <si>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</si>
  <si>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</si>
  <si>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</si>
  <si>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</si>
  <si>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</si>
  <si>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</si>
  <si>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</si>
  <si>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</si>
  <si>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</si>
  <si>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</si>
  <si>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</si>
  <si>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</si>
  <si>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</si>
  <si>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</si>
  <si>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</si>
  <si>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</si>
  <si>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</si>
  <si>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</si>
  <si>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</si>
  <si>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</si>
  <si>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</si>
  <si>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</si>
  <si>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</si>
  <si>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</si>
  <si>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</si>
  <si>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</si>
  <si>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</si>
  <si>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</si>
  <si>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</si>
  <si>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</si>
  <si>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</si>
  <si>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</si>
  <si>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</si>
  <si>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</si>
  <si>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</si>
  <si>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</si>
  <si>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</si>
  <si>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</si>
  <si>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</si>
  <si>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</si>
  <si>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</si>
  <si>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</si>
  <si>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</si>
  <si>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</si>
  <si>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</si>
  <si>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</si>
  <si>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</si>
  <si>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</si>
  <si>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</si>
  <si>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</si>
  <si>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</si>
  <si>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</si>
  <si>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</si>
  <si>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</si>
  <si>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</si>
  <si>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</si>
  <si>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</si>
  <si>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</si>
  <si>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</si>
  <si>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</si>
  <si>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</si>
  <si>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</si>
  <si>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</si>
  <si>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</si>
  <si>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</si>
  <si>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</si>
  <si>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</si>
  <si>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</si>
  <si>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</si>
  <si>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</si>
  <si>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</si>
  <si>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</si>
  <si>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</si>
  <si>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</si>
  <si>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</si>
  <si>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</si>
  <si>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</si>
  <si>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</si>
  <si>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</si>
  <si>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</si>
  <si>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</si>
  <si>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</si>
  <si>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</si>
  <si>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</si>
  <si>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</si>
  <si>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</si>
  <si>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</si>
  <si>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</si>
  <si>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</si>
  <si>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</si>
  <si>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</si>
  <si>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</si>
  <si>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</si>
  <si>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</si>
  <si>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</si>
  <si>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</si>
  <si>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</si>
  <si>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</si>
  <si>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</si>
  <si>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</si>
  <si>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</si>
  <si>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</si>
  <si>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</si>
  <si>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</si>
  <si>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</si>
  <si>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</si>
  <si>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</si>
  <si>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</si>
  <si>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</si>
  <si>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</si>
  <si>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</si>
  <si>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</si>
  <si>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</si>
  <si>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</si>
  <si>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</si>
  <si>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</si>
  <si>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</si>
  <si>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</si>
  <si>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</si>
  <si>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</si>
  <si>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</si>
  <si>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</si>
  <si>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</si>
  <si>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</si>
  <si>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</si>
  <si>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</si>
  <si>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</si>
  <si>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</si>
  <si>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</si>
  <si>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</si>
  <si>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</si>
  <si>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</si>
  <si>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</si>
  <si>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</si>
  <si>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</si>
  <si>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</si>
  <si>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</si>
  <si>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</si>
  <si>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</si>
  <si>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</si>
  <si>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</si>
  <si>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</si>
  <si>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</si>
  <si>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</si>
  <si>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</si>
  <si>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</si>
  <si>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</si>
  <si>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</si>
  <si>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</si>
  <si>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</si>
  <si>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</si>
  <si>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</si>
  <si>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</si>
  <si>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</si>
  <si>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</si>
  <si>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</si>
  <si>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</si>
  <si>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</si>
  <si>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</si>
  <si>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</si>
  <si>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</si>
  <si>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</si>
  <si>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</si>
  <si>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</si>
  <si>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</si>
  <si>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</si>
  <si>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</si>
  <si>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</si>
  <si>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</si>
  <si>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</si>
  <si>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</si>
  <si>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</si>
  <si>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</si>
  <si>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</si>
  <si>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</si>
  <si>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</si>
  <si>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</si>
  <si>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</si>
  <si>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</si>
  <si>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</si>
  <si>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</si>
  <si>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</si>
  <si>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</si>
  <si>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</si>
  <si>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</si>
  <si>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</si>
  <si>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</si>
  <si>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</si>
  <si>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</si>
  <si>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</si>
  <si>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</si>
  <si>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</si>
  <si>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</si>
  <si>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</si>
  <si>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</si>
  <si>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</si>
  <si>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</si>
  <si>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</si>
  <si>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</si>
  <si>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</si>
  <si>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</si>
  <si>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</si>
  <si>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</si>
  <si>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</si>
  <si>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</si>
  <si>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</si>
  <si>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</si>
  <si>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</si>
  <si>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</si>
  <si>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</si>
  <si>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</si>
  <si>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</si>
  <si>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</si>
  <si>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</si>
  <si>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</si>
  <si>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</si>
  <si>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</si>
  <si>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</si>
  <si>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</si>
  <si>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</si>
  <si>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</si>
  <si>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</si>
  <si>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</si>
  <si>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</si>
  <si>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</si>
  <si>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</si>
  <si>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</si>
  <si>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</si>
  <si>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</si>
  <si>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</si>
  <si>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</si>
  <si>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</si>
  <si>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</si>
  <si>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</si>
  <si>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</si>
  <si>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</si>
  <si>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</si>
  <si>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</si>
  <si>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</si>
  <si>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</si>
  <si>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</si>
  <si>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</si>
  <si>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</si>
  <si>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</si>
  <si>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</si>
  <si>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</si>
  <si>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</si>
  <si>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</si>
  <si>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</si>
  <si>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</si>
  <si>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</si>
  <si>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</si>
  <si>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</si>
  <si>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</si>
  <si>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</si>
  <si>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</si>
  <si>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</si>
  <si>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</si>
  <si>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</si>
  <si>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</si>
  <si>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</si>
  <si>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</si>
  <si>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</si>
  <si>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</si>
  <si>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</si>
  <si>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</si>
  <si>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</si>
  <si>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</si>
  <si>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</si>
  <si>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</si>
  <si>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</si>
  <si>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</si>
  <si>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</si>
  <si>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</si>
  <si>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</si>
  <si>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</si>
  <si>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</si>
  <si>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</si>
  <si>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</si>
  <si>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</si>
  <si>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</si>
  <si>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</si>
  <si>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</si>
  <si>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</si>
  <si>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</si>
  <si>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</si>
  <si>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</si>
  <si>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</si>
  <si>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</si>
  <si>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</si>
  <si>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</si>
  <si>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</si>
  <si>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</si>
  <si>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</si>
  <si>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</si>
  <si>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</si>
  <si>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</si>
  <si>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</si>
  <si>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</si>
  <si>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</si>
  <si>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</si>
  <si>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</si>
  <si>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</si>
  <si>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</si>
  <si>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</si>
  <si>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</si>
  <si>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</si>
  <si>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</si>
  <si>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</si>
  <si>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</si>
  <si>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</si>
  <si>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</si>
  <si>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</si>
  <si>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</si>
  <si>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</si>
  <si>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</si>
  <si>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</si>
  <si>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</si>
  <si>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</si>
  <si>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</si>
  <si>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</si>
  <si>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</si>
  <si>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</si>
  <si>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</si>
  <si>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</si>
  <si>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</si>
  <si>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</si>
  <si>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</si>
  <si>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</si>
  <si>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</si>
  <si>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</si>
  <si>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</si>
  <si>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</si>
  <si>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</si>
  <si>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</si>
  <si>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</si>
  <si>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</si>
  <si>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</si>
  <si>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</si>
  <si>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</si>
  <si>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</si>
  <si>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</si>
  <si>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</si>
  <si>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</si>
  <si>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</si>
  <si>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</si>
  <si>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</si>
  <si>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</si>
  <si>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</si>
  <si>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</si>
  <si>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</si>
  <si>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</si>
  <si>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</si>
  <si>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</si>
  <si>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</si>
  <si>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</si>
  <si>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</si>
  <si>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</si>
  <si>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</si>
  <si>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</si>
  <si>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</si>
  <si>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</si>
  <si>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</si>
  <si>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</si>
  <si>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</si>
  <si>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</si>
  <si>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</si>
  <si>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</si>
  <si>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</si>
  <si>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</si>
  <si>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</si>
  <si>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</si>
  <si>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</si>
  <si>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</si>
  <si>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</si>
  <si>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</si>
  <si>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</si>
  <si>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</si>
  <si>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</si>
  <si>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</si>
  <si>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</si>
  <si>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</si>
  <si>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</si>
  <si>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</si>
  <si>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</si>
  <si>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</si>
  <si>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</si>
  <si>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</si>
  <si>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</si>
  <si>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</si>
  <si>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</si>
  <si>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</si>
  <si>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</si>
  <si>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</si>
  <si>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</si>
  <si>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</si>
  <si>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</si>
  <si>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</si>
  <si>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</si>
  <si>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</si>
  <si>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</si>
  <si>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</si>
  <si>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</si>
  <si>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</si>
  <si>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</si>
  <si>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</si>
  <si>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</si>
  <si>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</si>
  <si>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</si>
  <si>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</si>
  <si>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</si>
  <si>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</si>
  <si>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</si>
  <si>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</si>
  <si>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</si>
  <si>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</si>
  <si>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</si>
  <si>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</si>
  <si>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</si>
  <si>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</si>
  <si>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</si>
  <si>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</si>
  <si>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</si>
  <si>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</si>
  <si>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</si>
  <si>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</si>
  <si>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</si>
  <si>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</si>
  <si>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</si>
  <si>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</si>
  <si>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</si>
  <si>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</si>
  <si>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</si>
  <si>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</si>
  <si>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</si>
  <si>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</si>
  <si>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</si>
  <si>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</si>
  <si>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</si>
  <si>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</si>
  <si>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</si>
  <si>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</si>
  <si>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</si>
  <si>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</si>
  <si>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</si>
  <si>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</si>
  <si>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</si>
  <si>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</si>
  <si>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</si>
  <si>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</si>
  <si>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</si>
  <si>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</si>
  <si>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</si>
  <si>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</si>
  <si>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</si>
  <si>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</si>
  <si>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</si>
  <si>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</si>
  <si>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</si>
  <si>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</si>
  <si>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</si>
  <si>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</si>
  <si>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</si>
  <si>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</si>
  <si>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</si>
  <si>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</si>
  <si>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</si>
  <si>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</si>
  <si>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</si>
  <si>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</si>
  <si>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</si>
  <si>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</si>
  <si>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</si>
  <si>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</si>
  <si>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</si>
  <si>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</si>
  <si>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</si>
  <si>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</si>
  <si>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</si>
  <si>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</si>
  <si>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</si>
  <si>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</si>
  <si>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</si>
  <si>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</si>
  <si>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</si>
  <si>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</si>
  <si>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</si>
  <si>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</si>
  <si>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</si>
  <si>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</si>
  <si>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</si>
  <si>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</si>
  <si>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</si>
  <si>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</si>
  <si>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</si>
  <si>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</si>
  <si>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</si>
  <si>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</si>
  <si>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</si>
  <si>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</si>
  <si>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</si>
  <si>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</si>
  <si>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</si>
  <si>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</si>
  <si>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</si>
  <si>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</si>
  <si>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</si>
  <si>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</si>
  <si>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</si>
  <si>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</si>
  <si>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</si>
  <si>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</si>
  <si>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</si>
  <si>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</si>
  <si>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</si>
  <si>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</si>
  <si>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</si>
  <si>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</si>
  <si>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</si>
  <si>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</si>
  <si>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</si>
  <si>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</si>
  <si>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</si>
  <si>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</si>
  <si>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</si>
  <si>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</si>
  <si>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</si>
  <si>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</si>
  <si>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</si>
  <si>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</si>
  <si>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</si>
  <si>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</si>
  <si>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</si>
  <si>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</si>
  <si>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</si>
  <si>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</si>
  <si>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</si>
  <si>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</si>
  <si>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</si>
  <si>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</si>
  <si>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</si>
  <si>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</si>
  <si>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</si>
  <si>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</si>
  <si>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</si>
  <si>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</si>
  <si>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</si>
  <si>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</si>
  <si>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</si>
  <si>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</si>
  <si>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</si>
  <si>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</si>
  <si>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</si>
  <si>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</si>
  <si>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</si>
  <si>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</si>
  <si>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</si>
  <si>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</si>
  <si>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</si>
  <si>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</si>
  <si>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</si>
  <si>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</si>
  <si>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</si>
  <si>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</si>
  <si>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</si>
  <si>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</si>
  <si>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</si>
  <si>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</si>
  <si>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</si>
  <si>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</si>
  <si>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</si>
  <si>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</si>
  <si>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</si>
  <si>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</si>
  <si>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</si>
  <si>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</si>
  <si>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</si>
  <si>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</si>
  <si>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</si>
  <si>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</si>
  <si>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</si>
  <si>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</si>
  <si>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</si>
  <si>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</si>
  <si>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</si>
  <si>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</si>
  <si>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</si>
  <si>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</si>
  <si>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</si>
  <si>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</si>
  <si>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</si>
  <si>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</si>
  <si>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</si>
  <si>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</si>
  <si>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</si>
  <si>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Abu Daniel Sambe</t>
  </si>
  <si>
    <t>Madam Lucy</t>
  </si>
  <si>
    <t>ADS</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</si>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</sst>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85.728571428571428</c:v>
                </c:pt>
                <c:pt idx="1">
                  <c:v>23.190476190476186</c:v>
                </c:pt>
                <c:pt idx="2">
                  <c:v>52.191666666666677</c:v>
                </c:pt>
                <c:pt idx="3">
                  <c:v>106.11875000000001</c:v>
                </c:pt>
                <c:pt idx="4">
                  <c:v>167.61111111111111</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72.042857142857144</c:v>
                </c:pt>
                <c:pt idx="1">
                  <c:v>19.761904761904763</c:v>
                </c:pt>
                <c:pt idx="2">
                  <c:v>45.3</c:v>
                </c:pt>
                <c:pt idx="3">
                  <c:v>72.962500000000006</c:v>
                </c:pt>
                <c:pt idx="4">
                  <c:v>123.55555555555556</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77.785714285714292</c:v>
                </c:pt>
                <c:pt idx="1">
                  <c:v>13.238095238095239</c:v>
                </c:pt>
                <c:pt idx="2">
                  <c:v>45.68333333333333</c:v>
                </c:pt>
                <c:pt idx="3">
                  <c:v>58.375</c:v>
                </c:pt>
                <c:pt idx="4">
                  <c:v>120.66666666666667</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595131976"/>
        <c:axId val="595131584"/>
      </c:radarChart>
      <c:catAx>
        <c:axId val="595131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95131584"/>
        <c:crosses val="autoZero"/>
        <c:auto val="1"/>
        <c:lblAlgn val="ctr"/>
        <c:lblOffset val="100"/>
        <c:noMultiLvlLbl val="0"/>
      </c:catAx>
      <c:valAx>
        <c:axId val="5951315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513197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CCCRN</v>
      </c>
      <c r="E2" s="319"/>
      <c r="F2" s="319"/>
      <c r="G2" s="319"/>
      <c r="H2" s="319"/>
      <c r="I2" s="319"/>
      <c r="J2" s="320"/>
      <c r="K2" s="321" t="s">
        <v>4018</v>
      </c>
      <c r="L2" s="322"/>
      <c r="M2" s="322"/>
      <c r="N2" s="322"/>
      <c r="O2" s="323" t="str">
        <f>Worksheet!M18</f>
        <v>Abu Daniel Sambe</v>
      </c>
      <c r="P2" s="324"/>
      <c r="Q2" s="324"/>
      <c r="R2" s="324"/>
      <c r="S2" s="324"/>
      <c r="T2" s="325"/>
    </row>
    <row r="3" spans="1:20" ht="24" thickBot="1" x14ac:dyDescent="0.4">
      <c r="A3" s="315" t="s">
        <v>94</v>
      </c>
      <c r="B3" s="316" t="s">
        <v>1</v>
      </c>
      <c r="C3" s="317"/>
      <c r="D3" s="318" t="str">
        <f>Worksheet!R2</f>
        <v>Ebonyi</v>
      </c>
      <c r="E3" s="319"/>
      <c r="F3" s="319"/>
      <c r="G3" s="319"/>
      <c r="H3" s="319"/>
      <c r="I3" s="319"/>
      <c r="J3" s="320"/>
      <c r="K3" s="321" t="s">
        <v>3965</v>
      </c>
      <c r="L3" s="322"/>
      <c r="M3" s="322"/>
      <c r="N3" s="322"/>
      <c r="O3" s="323">
        <f>Worksheet!W18</f>
        <v>42791</v>
      </c>
      <c r="P3" s="324"/>
      <c r="Q3" s="324"/>
      <c r="R3" s="324"/>
      <c r="S3" s="324"/>
      <c r="T3" s="325"/>
    </row>
    <row r="4" spans="1:20" ht="24" thickBot="1" x14ac:dyDescent="0.4">
      <c r="A4" s="315" t="s">
        <v>93</v>
      </c>
      <c r="B4" s="316"/>
      <c r="C4" s="317" t="s">
        <v>3</v>
      </c>
      <c r="D4" s="318" t="str">
        <f>Worksheet!T2</f>
        <v>eb Ohaozara</v>
      </c>
      <c r="E4" s="319"/>
      <c r="F4" s="319"/>
      <c r="G4" s="319"/>
      <c r="H4" s="319"/>
      <c r="I4" s="319"/>
      <c r="J4" s="320"/>
      <c r="K4" s="321" t="s">
        <v>4019</v>
      </c>
      <c r="L4" s="322"/>
      <c r="M4" s="322"/>
      <c r="N4" s="322"/>
      <c r="O4" s="323" t="str">
        <f>Worksheet!M19</f>
        <v>Madam Lucy</v>
      </c>
      <c r="P4" s="324"/>
      <c r="Q4" s="324"/>
      <c r="R4" s="324"/>
      <c r="S4" s="324"/>
      <c r="T4" s="325"/>
    </row>
    <row r="5" spans="1:20" ht="24" thickBot="1" x14ac:dyDescent="0.4">
      <c r="A5" s="315" t="s">
        <v>92</v>
      </c>
      <c r="B5" s="316"/>
      <c r="C5" s="317" t="s">
        <v>6</v>
      </c>
      <c r="D5" s="318" t="str">
        <f>Worksheet!V2</f>
        <v>Umunuka Health Center</v>
      </c>
      <c r="E5" s="319"/>
      <c r="F5" s="319"/>
      <c r="G5" s="319"/>
      <c r="H5" s="319"/>
      <c r="I5" s="319"/>
      <c r="J5" s="320"/>
      <c r="K5" s="321" t="s">
        <v>3965</v>
      </c>
      <c r="L5" s="322"/>
      <c r="M5" s="322"/>
      <c r="N5" s="322"/>
      <c r="O5" s="323">
        <f>Worksheet!W19</f>
        <v>0</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554.1</v>
      </c>
      <c r="E8" s="152">
        <f ca="1">SUM('All Questions'!D15:D21)/7+E12</f>
        <v>48.666666666666664</v>
      </c>
      <c r="F8" s="152">
        <f ca="1">SUM('All Questions'!D23:D30)/4+F12</f>
        <v>457.91666666666669</v>
      </c>
      <c r="G8" s="152">
        <f ca="1">SUM('All Questions'!D31:D35)/5+G12</f>
        <v>389.15</v>
      </c>
      <c r="H8" s="153">
        <f ca="1">SUM('All Questions'!D37,'All Questions'!D40)/2+'All Questions'!D26+H12</f>
        <v>829.5</v>
      </c>
      <c r="I8" s="154">
        <f ca="1">(SUM('All Questions'!E10:E14)/5)+I12</f>
        <v>457.8</v>
      </c>
      <c r="J8" s="152">
        <f ca="1">SUM('All Questions'!E15:E21)/7+J12</f>
        <v>43.333333333333336</v>
      </c>
      <c r="K8" s="152">
        <f ca="1">SUM('All Questions'!E23:E30)/4+K12</f>
        <v>408.33333333333331</v>
      </c>
      <c r="L8" s="152">
        <f ca="1">SUM('All Questions'!E31:E35)/5+L12</f>
        <v>330.5</v>
      </c>
      <c r="M8" s="153">
        <f ca="1">('All Questions'!E37+'All Questions'!E40)/2+'All Questions'!E26+M12</f>
        <v>758</v>
      </c>
      <c r="N8" s="154">
        <f ca="1">(SUM('All Questions'!F10:F14)/5)+N12</f>
        <v>498.5</v>
      </c>
      <c r="O8" s="152">
        <f ca="1">SUM('All Questions'!F15:F21)/7+O12</f>
        <v>39</v>
      </c>
      <c r="P8" s="152">
        <f ca="1">SUM('All Questions'!F23:F30)/4+P12</f>
        <v>446.83333333333331</v>
      </c>
      <c r="Q8" s="152">
        <f ca="1">SUM('All Questions'!F31:F35)/5+Q12</f>
        <v>345</v>
      </c>
      <c r="R8" s="153">
        <f ca="1">('All Questions'!F37+'All Questions'!F40)/2+'All Questions'!F26+R12</f>
        <v>910</v>
      </c>
      <c r="S8" s="138">
        <f ca="1">'All Questions'!F2</f>
        <v>1209</v>
      </c>
      <c r="T8" s="139">
        <f t="shared" ref="T8:T17" ca="1" si="0">(((SUM(D8:H8)/5)+(SUM(I8:M8)/5)+(SUM(N8:R8)/5)))/S8</f>
        <v>1.3033266666666665</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3968</v>
      </c>
      <c r="D10" s="156">
        <f>(SUM('All Questions'!D10:D14)/5)</f>
        <v>35</v>
      </c>
      <c r="E10" s="156">
        <f>SUM('All Questions'!D15:D21)/7</f>
        <v>35</v>
      </c>
      <c r="F10" s="156">
        <f ca="1">(SUM('All Questions'!D23:D24)+SUM('All Questions'!D25:D26)+SUM('All Questions'!D27:D28)+SUM('All Questions'!D29:D30))/4</f>
        <v>0</v>
      </c>
      <c r="G10" s="156">
        <f>SUM('All Questions'!D31:D35)/5</f>
        <v>363.8</v>
      </c>
      <c r="H10" s="159">
        <f>('All Questions'!D37+'All Questions'!D40)/2+'All Questions'!D26</f>
        <v>583</v>
      </c>
      <c r="I10" s="160">
        <f>(SUM('All Questions'!E10:E14)/5)</f>
        <v>35</v>
      </c>
      <c r="J10" s="161">
        <f>SUM('All Questions'!E15:E21)/7</f>
        <v>35</v>
      </c>
      <c r="K10" s="161">
        <f ca="1">(SUM('All Questions'!E23:E24)+SUM('All Questions'!E25:E26)+SUM('All Questions'!E27:E28)+SUM('All Questions'!E29:E30))/4</f>
        <v>0</v>
      </c>
      <c r="L10" s="161">
        <f>SUM('All Questions'!E31:E35)/5</f>
        <v>186.2</v>
      </c>
      <c r="M10" s="162">
        <f>('All Questions'!E37+'All Questions'!E40)/2+'All Questions'!E26</f>
        <v>287</v>
      </c>
      <c r="N10" s="163">
        <f>(SUM('All Questions'!F10:F14)/5)</f>
        <v>35</v>
      </c>
      <c r="O10" s="161">
        <f>SUM('All Questions'!F15:F21)/7</f>
        <v>35</v>
      </c>
      <c r="P10" s="161">
        <f ca="1">(SUM('All Questions'!F23:F24)+SUM('All Questions'!F25:F26)+SUM('All Questions'!F27:F28)+SUM('All Questions'!F29:F30))/4</f>
        <v>0</v>
      </c>
      <c r="Q10" s="161">
        <f>SUM('All Questions'!F31:F35)/5</f>
        <v>116</v>
      </c>
      <c r="R10" s="162">
        <f>('All Questions'!F37+'All Questions'!F40)/2+'All Questions'!F26</f>
        <v>170</v>
      </c>
      <c r="S10" s="138">
        <f ca="1">'All Questions'!F4</f>
        <v>1040</v>
      </c>
      <c r="T10" s="140">
        <f t="shared" ca="1" si="0"/>
        <v>0</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11</v>
      </c>
      <c r="E12" s="170">
        <f ca="1">SUM('All Questions'!D60:D75)/6</f>
        <v>78.666666666666671</v>
      </c>
      <c r="F12" s="170">
        <f ca="1">SUM('All Questions'!D67:D72)/3</f>
        <v>64</v>
      </c>
      <c r="G12" s="170">
        <f ca="1">SUM('All Questions'!D73:D80)/4</f>
        <v>96</v>
      </c>
      <c r="H12" s="171">
        <f ca="1">SUM('All Questions'!D82:D83)/2</f>
        <v>96</v>
      </c>
      <c r="I12" s="172">
        <f ca="1">SUM('All Questions'!E55:E58)/4</f>
        <v>11.5</v>
      </c>
      <c r="J12" s="173">
        <f ca="1">SUM('All Questions'!E60:E75)/6</f>
        <v>60</v>
      </c>
      <c r="K12" s="173">
        <f ca="1">SUM('All Questions'!E67:E72)/3</f>
        <v>44.666666666666664</v>
      </c>
      <c r="L12" s="173">
        <f ca="1">SUM('All Questions'!E73:E80)/4</f>
        <v>67</v>
      </c>
      <c r="M12" s="174">
        <f ca="1">SUM('All Questions'!E82:E83)/2</f>
        <v>67</v>
      </c>
      <c r="N12" s="175">
        <f ca="1">SUM('All Questions'!F55:F58)/4</f>
        <v>11</v>
      </c>
      <c r="O12" s="173">
        <f ca="1">SUM('All Questions'!F60:F75)/6</f>
        <v>18.666666666666668</v>
      </c>
      <c r="P12" s="173">
        <f ca="1">SUM('All Questions'!F67:F72)/3</f>
        <v>4</v>
      </c>
      <c r="Q12" s="173">
        <f ca="1">SUM('All Questions'!F73:F80)/4</f>
        <v>6</v>
      </c>
      <c r="R12" s="174">
        <f ca="1">SUM('All Questions'!F82:F83)/2</f>
        <v>6</v>
      </c>
      <c r="S12" s="142">
        <f ca="1">'All Questions'!F46</f>
        <v>169</v>
      </c>
      <c r="T12" s="143">
        <f t="shared" ca="1" si="0"/>
        <v>0.75917159763313613</v>
      </c>
    </row>
    <row r="13" spans="1:20" ht="72.599999999999994" customHeight="1" x14ac:dyDescent="0.25">
      <c r="A13" s="105">
        <v>2.1</v>
      </c>
      <c r="B13" s="106" t="s">
        <v>83</v>
      </c>
      <c r="C13" s="114" t="s">
        <v>3971</v>
      </c>
      <c r="D13" s="158"/>
      <c r="E13" s="155"/>
      <c r="F13" s="176" t="str">
        <f ca="1">'All Questions'!D72</f>
        <v>NA</v>
      </c>
      <c r="G13" s="155"/>
      <c r="H13" s="177">
        <f ca="1">SUM('All Questions'!D85:D86)/2</f>
        <v>0</v>
      </c>
      <c r="I13" s="178"/>
      <c r="J13" s="179"/>
      <c r="K13" s="180" t="str">
        <f ca="1">'All Questions'!E72</f>
        <v>NA</v>
      </c>
      <c r="L13" s="179"/>
      <c r="M13" s="181">
        <f ca="1">SUM('All Questions'!E85:E86)/2</f>
        <v>0</v>
      </c>
      <c r="N13" s="182"/>
      <c r="O13" s="179"/>
      <c r="P13" s="180" t="str">
        <f ca="1">'All Questions'!F72</f>
        <v>NA</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t="str">
        <f ca="1">'All Questions'!D57</f>
        <v>NA</v>
      </c>
      <c r="E14" s="176" t="str">
        <f ca="1">'All Questions'!D64</f>
        <v>NA</v>
      </c>
      <c r="F14" s="176">
        <f ca="1">SUM('All Questions'!D69:D70)</f>
        <v>0</v>
      </c>
      <c r="G14" s="176">
        <f ca="1">SUM('All Questions'!D74,'All Questions'!D76,'All Questions'!D78,'All Questions'!D80)/4</f>
        <v>0</v>
      </c>
      <c r="H14" s="177">
        <f ca="1">SUM('All Questions'!D88:D89)/2</f>
        <v>0</v>
      </c>
      <c r="I14" s="184" t="str">
        <f ca="1">'All Questions'!E57</f>
        <v>NA</v>
      </c>
      <c r="J14" s="180" t="str">
        <f ca="1">'All Questions'!E64</f>
        <v>NA</v>
      </c>
      <c r="K14" s="180">
        <f ca="1">SUM('All Questions'!E69:E70)</f>
        <v>0</v>
      </c>
      <c r="L14" s="180">
        <f ca="1">SUM('All Questions'!E74,'All Questions'!E76,'All Questions'!E78,'All Questions'!E80)/4</f>
        <v>0</v>
      </c>
      <c r="M14" s="181">
        <f ca="1">SUM('All Questions'!E88:E89)/2</f>
        <v>0</v>
      </c>
      <c r="N14" s="185" t="str">
        <f ca="1">'All Questions'!F57</f>
        <v>NA</v>
      </c>
      <c r="O14" s="180" t="str">
        <f ca="1">'All Questions'!E64</f>
        <v>NA</v>
      </c>
      <c r="P14" s="180">
        <f ca="1">SUM('All Questions'!F75:F76)</f>
        <v>6</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150</v>
      </c>
      <c r="N2" s="355" t="s">
        <v>158</v>
      </c>
      <c r="O2" s="355"/>
      <c r="P2" s="66" t="s">
        <v>143</v>
      </c>
      <c r="Q2" s="302" t="s">
        <v>1</v>
      </c>
      <c r="R2" s="66" t="s">
        <v>171</v>
      </c>
      <c r="S2" s="302" t="s">
        <v>3</v>
      </c>
      <c r="T2" s="66" t="s">
        <v>605</v>
      </c>
      <c r="U2" s="67" t="s">
        <v>159</v>
      </c>
      <c r="V2" s="66" t="s">
        <v>1353</v>
      </c>
      <c r="W2" s="66"/>
      <c r="X2" s="67" t="s">
        <v>160</v>
      </c>
      <c r="Y2" s="66" t="s">
        <v>149</v>
      </c>
      <c r="Z2" s="96" t="s">
        <v>3799</v>
      </c>
      <c r="AA2" s="68" t="str">
        <f>VLOOKUP(V2,[2]Data_donotedit!AY2:AZ1504,2,FALSE)</f>
        <v>XWWpLgOdOlO</v>
      </c>
      <c r="AB2" s="68"/>
      <c r="AC2" s="68"/>
      <c r="AD2" s="68"/>
    </row>
    <row r="3" spans="1:30" ht="40.15" customHeight="1" x14ac:dyDescent="0.25">
      <c r="A3" s="63"/>
      <c r="B3" s="224"/>
      <c r="C3" s="225" t="s">
        <v>150</v>
      </c>
      <c r="D3" s="226" t="s">
        <v>3975</v>
      </c>
      <c r="E3" s="226"/>
      <c r="F3" s="227"/>
      <c r="G3" s="478">
        <f ca="1">_xlfn.IFNA(VLOOKUP(C3,Worksheet!$C$3:$G$46,5,FALSE),G3)</f>
        <v>1209</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f ca="1">_xlfn.IFNA(VLOOKUP(C4,Worksheet!$C$3:$G$46,5,FALSE),G4)</f>
        <v>0</v>
      </c>
      <c r="H4" s="205" t="s">
        <v>150</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28" t="s">
        <v>4007</v>
      </c>
      <c r="D5" s="226" t="s">
        <v>3977</v>
      </c>
      <c r="E5" s="230"/>
      <c r="F5" s="229"/>
      <c r="G5" s="478">
        <f ca="1">_xlfn.IFNA(VLOOKUP(C5,Worksheet!$C$3:$G$46,5,FALSE),G5)</f>
        <v>1040</v>
      </c>
      <c r="H5" s="205" t="s">
        <v>150</v>
      </c>
      <c r="I5" s="63"/>
      <c r="J5" s="63"/>
      <c r="K5" s="360"/>
      <c r="L5" s="351" t="s">
        <v>82</v>
      </c>
      <c r="M5" s="352"/>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28" t="s">
        <v>4008</v>
      </c>
      <c r="D6" s="226" t="s">
        <v>3978</v>
      </c>
      <c r="E6" s="226"/>
      <c r="F6" s="229"/>
      <c r="G6" s="478">
        <f ca="1">_xlfn.IFNA(VLOOKUP(C6,Worksheet!$C$3:$G$46,5,FALSE),G6)</f>
        <v>0</v>
      </c>
      <c r="H6" s="205" t="s">
        <v>150</v>
      </c>
      <c r="I6" s="63"/>
      <c r="J6" s="63"/>
      <c r="K6" s="132" t="s">
        <v>89</v>
      </c>
      <c r="L6" s="346" t="s">
        <v>3966</v>
      </c>
      <c r="M6" s="347"/>
      <c r="N6" s="71">
        <v>554.1</v>
      </c>
      <c r="O6" s="71">
        <v>48.666666666666664</v>
      </c>
      <c r="P6" s="71">
        <v>457.91666666666669</v>
      </c>
      <c r="Q6" s="71">
        <v>389.15</v>
      </c>
      <c r="R6" s="72">
        <v>829.5</v>
      </c>
      <c r="S6" s="71">
        <v>457.8</v>
      </c>
      <c r="T6" s="71">
        <v>43.333333333333336</v>
      </c>
      <c r="U6" s="71">
        <v>408.33333333333331</v>
      </c>
      <c r="V6" s="71">
        <v>330.5</v>
      </c>
      <c r="W6" s="72">
        <v>758</v>
      </c>
      <c r="X6" s="71">
        <v>498.5</v>
      </c>
      <c r="Y6" s="71">
        <v>39</v>
      </c>
      <c r="Z6" s="71">
        <v>446.83333333333331</v>
      </c>
      <c r="AA6" s="71">
        <v>345</v>
      </c>
      <c r="AB6" s="71">
        <v>910</v>
      </c>
      <c r="AC6" s="73">
        <v>1209</v>
      </c>
      <c r="AD6" s="74">
        <v>1.3033266666666665</v>
      </c>
    </row>
    <row r="7" spans="1:30" ht="40.15" customHeight="1" x14ac:dyDescent="0.25">
      <c r="A7" s="63"/>
      <c r="B7" s="224"/>
      <c r="C7" s="231" t="s">
        <v>4009</v>
      </c>
      <c r="D7" s="232" t="s">
        <v>3979</v>
      </c>
      <c r="E7" s="233"/>
      <c r="F7" s="234"/>
      <c r="G7" s="235">
        <f ca="1">_xlfn.IFNA(VLOOKUP(G3,Data_donotedit!$BE$2:$BG$25,3,TRUE),0)</f>
        <v>105</v>
      </c>
      <c r="H7" s="205" t="s">
        <v>150</v>
      </c>
      <c r="I7" s="63"/>
      <c r="J7" s="65"/>
      <c r="K7" s="59" t="s">
        <v>89</v>
      </c>
      <c r="L7" s="333" t="s">
        <v>3967</v>
      </c>
      <c r="M7" s="334"/>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24"/>
      <c r="C8" s="236"/>
      <c r="D8" s="237" t="s">
        <v>3980</v>
      </c>
      <c r="E8" s="238" t="s">
        <v>3981</v>
      </c>
      <c r="F8" s="238" t="s">
        <v>77</v>
      </c>
      <c r="G8" s="239" t="s">
        <v>78</v>
      </c>
      <c r="H8" s="205" t="s">
        <v>150</v>
      </c>
      <c r="I8" s="63"/>
      <c r="J8" s="70"/>
      <c r="K8" s="58" t="s">
        <v>79</v>
      </c>
      <c r="L8" s="331" t="s">
        <v>3968</v>
      </c>
      <c r="M8" s="332"/>
      <c r="N8" s="71">
        <v>35</v>
      </c>
      <c r="O8" s="71">
        <v>35</v>
      </c>
      <c r="P8" s="71">
        <v>0</v>
      </c>
      <c r="Q8" s="71">
        <v>363.8</v>
      </c>
      <c r="R8" s="72">
        <v>583</v>
      </c>
      <c r="S8" s="71">
        <v>35</v>
      </c>
      <c r="T8" s="71">
        <v>35</v>
      </c>
      <c r="U8" s="71">
        <v>0</v>
      </c>
      <c r="V8" s="71">
        <v>186.2</v>
      </c>
      <c r="W8" s="72">
        <v>287</v>
      </c>
      <c r="X8" s="71">
        <v>35</v>
      </c>
      <c r="Y8" s="71">
        <v>35</v>
      </c>
      <c r="Z8" s="71">
        <v>0</v>
      </c>
      <c r="AA8" s="71">
        <v>116</v>
      </c>
      <c r="AB8" s="71">
        <v>170</v>
      </c>
      <c r="AC8" s="75">
        <v>1040</v>
      </c>
      <c r="AD8" s="76">
        <v>0</v>
      </c>
    </row>
    <row r="9" spans="1:30" ht="40.15" customHeight="1" x14ac:dyDescent="0.25">
      <c r="A9" s="63"/>
      <c r="B9" s="224"/>
      <c r="C9" s="236">
        <v>1111</v>
      </c>
      <c r="D9" s="240" t="s">
        <v>3801</v>
      </c>
      <c r="E9" s="479">
        <v>1</v>
      </c>
      <c r="F9" s="479">
        <v>1</v>
      </c>
      <c r="G9" s="479">
        <v>1</v>
      </c>
      <c r="H9" s="205" t="s">
        <v>150</v>
      </c>
      <c r="I9" s="63"/>
      <c r="J9" s="70"/>
      <c r="K9" s="59" t="s">
        <v>79</v>
      </c>
      <c r="L9" s="333" t="s">
        <v>88</v>
      </c>
      <c r="M9" s="334"/>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1112</v>
      </c>
      <c r="D10" s="240" t="s">
        <v>3802</v>
      </c>
      <c r="E10" s="479">
        <v>1</v>
      </c>
      <c r="F10" s="479">
        <v>1</v>
      </c>
      <c r="G10" s="479">
        <v>1</v>
      </c>
      <c r="H10" s="205" t="s">
        <v>150</v>
      </c>
      <c r="I10" s="63"/>
      <c r="J10" s="70"/>
      <c r="K10" s="121" t="s">
        <v>83</v>
      </c>
      <c r="L10" s="335" t="s">
        <v>3970</v>
      </c>
      <c r="M10" s="336"/>
      <c r="N10" s="122">
        <v>11</v>
      </c>
      <c r="O10" s="71">
        <v>78.666666666666671</v>
      </c>
      <c r="P10" s="71">
        <v>64</v>
      </c>
      <c r="Q10" s="71">
        <v>96</v>
      </c>
      <c r="R10" s="71">
        <v>96</v>
      </c>
      <c r="S10" s="122">
        <v>11.5</v>
      </c>
      <c r="T10" s="71">
        <v>60</v>
      </c>
      <c r="U10" s="71">
        <v>44.666666666666664</v>
      </c>
      <c r="V10" s="71">
        <v>67</v>
      </c>
      <c r="W10" s="71">
        <v>67</v>
      </c>
      <c r="X10" s="122">
        <v>11</v>
      </c>
      <c r="Y10" s="71">
        <v>18.666666666666668</v>
      </c>
      <c r="Z10" s="71">
        <v>4</v>
      </c>
      <c r="AA10" s="71">
        <v>6</v>
      </c>
      <c r="AB10" s="71">
        <v>6</v>
      </c>
      <c r="AC10" s="124">
        <v>169</v>
      </c>
      <c r="AD10" s="125">
        <v>0.75917159763313613</v>
      </c>
    </row>
    <row r="11" spans="1:30" ht="50.45" customHeight="1" x14ac:dyDescent="0.25">
      <c r="A11" s="63"/>
      <c r="B11" s="224"/>
      <c r="C11" s="236">
        <v>1113</v>
      </c>
      <c r="D11" s="240" t="s">
        <v>3803</v>
      </c>
      <c r="E11" s="479">
        <v>35</v>
      </c>
      <c r="F11" s="479">
        <v>35</v>
      </c>
      <c r="G11" s="479">
        <v>35</v>
      </c>
      <c r="H11" s="205" t="s">
        <v>150</v>
      </c>
      <c r="I11" s="63"/>
      <c r="J11" s="65"/>
      <c r="K11" s="120" t="s">
        <v>83</v>
      </c>
      <c r="L11" s="337" t="s">
        <v>3971</v>
      </c>
      <c r="M11" s="338"/>
      <c r="N11" s="135"/>
      <c r="O11" s="136"/>
      <c r="P11" s="71" t="s">
        <v>4024</v>
      </c>
      <c r="Q11" s="136"/>
      <c r="R11" s="71">
        <v>0</v>
      </c>
      <c r="S11" s="135"/>
      <c r="T11" s="136"/>
      <c r="U11" s="71" t="s">
        <v>4024</v>
      </c>
      <c r="V11" s="136"/>
      <c r="W11" s="71">
        <v>0</v>
      </c>
      <c r="X11" s="135"/>
      <c r="Y11" s="136"/>
      <c r="Z11" s="71" t="s">
        <v>4024</v>
      </c>
      <c r="AA11" s="136"/>
      <c r="AB11" s="71">
        <v>0</v>
      </c>
      <c r="AC11" s="123">
        <v>0</v>
      </c>
      <c r="AD11" s="126" t="e">
        <v>#DIV/0!</v>
      </c>
    </row>
    <row r="12" spans="1:30" ht="48.6" customHeight="1" x14ac:dyDescent="0.25">
      <c r="A12" s="63"/>
      <c r="B12" s="224"/>
      <c r="C12" s="236">
        <v>1114</v>
      </c>
      <c r="D12" s="241" t="s">
        <v>3804</v>
      </c>
      <c r="E12" s="479">
        <v>35</v>
      </c>
      <c r="F12" s="479">
        <v>35</v>
      </c>
      <c r="G12" s="479">
        <v>35</v>
      </c>
      <c r="H12" s="205" t="s">
        <v>150</v>
      </c>
      <c r="I12" s="63"/>
      <c r="J12" s="65"/>
      <c r="K12" s="127" t="s">
        <v>83</v>
      </c>
      <c r="L12" s="339" t="s">
        <v>3972</v>
      </c>
      <c r="M12" s="340"/>
      <c r="N12" s="77" t="s">
        <v>4024</v>
      </c>
      <c r="O12" s="78" t="s">
        <v>4024</v>
      </c>
      <c r="P12" s="78">
        <v>0</v>
      </c>
      <c r="Q12" s="78">
        <v>0</v>
      </c>
      <c r="R12" s="78">
        <v>0</v>
      </c>
      <c r="S12" s="77" t="s">
        <v>4024</v>
      </c>
      <c r="T12" s="78" t="s">
        <v>4024</v>
      </c>
      <c r="U12" s="78">
        <v>0</v>
      </c>
      <c r="V12" s="78">
        <v>0</v>
      </c>
      <c r="W12" s="78">
        <v>0</v>
      </c>
      <c r="X12" s="77" t="s">
        <v>4024</v>
      </c>
      <c r="Y12" s="78" t="s">
        <v>4024</v>
      </c>
      <c r="Z12" s="78">
        <v>6</v>
      </c>
      <c r="AA12" s="78">
        <v>0</v>
      </c>
      <c r="AB12" s="78">
        <v>0</v>
      </c>
      <c r="AC12" s="128">
        <v>0</v>
      </c>
      <c r="AD12" s="129" t="e">
        <v>#DIV/0!</v>
      </c>
    </row>
    <row r="13" spans="1:30" ht="48.6" customHeight="1" x14ac:dyDescent="0.25">
      <c r="A13" s="63"/>
      <c r="B13" s="224"/>
      <c r="C13" s="236">
        <v>1115</v>
      </c>
      <c r="D13" s="240" t="s">
        <v>3805</v>
      </c>
      <c r="E13" s="479">
        <v>35</v>
      </c>
      <c r="F13" s="479">
        <v>35</v>
      </c>
      <c r="G13" s="479">
        <v>35</v>
      </c>
      <c r="H13" s="205" t="s">
        <v>150</v>
      </c>
      <c r="I13" s="63"/>
      <c r="J13" s="65"/>
      <c r="K13" s="60" t="s">
        <v>86</v>
      </c>
      <c r="L13" s="329" t="s">
        <v>87</v>
      </c>
      <c r="M13" s="33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t="s">
        <v>3806</v>
      </c>
      <c r="C14" s="236">
        <v>1116</v>
      </c>
      <c r="D14" s="240" t="s">
        <v>3807</v>
      </c>
      <c r="E14" s="479">
        <v>35</v>
      </c>
      <c r="F14" s="479">
        <v>35</v>
      </c>
      <c r="G14" s="479">
        <v>35</v>
      </c>
      <c r="H14" s="205" t="s">
        <v>150</v>
      </c>
      <c r="I14" s="63"/>
      <c r="J14" s="70"/>
      <c r="K14" s="59" t="s">
        <v>84</v>
      </c>
      <c r="L14" s="339" t="s">
        <v>85</v>
      </c>
      <c r="M14" s="344"/>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1117</v>
      </c>
      <c r="D15" s="240" t="s">
        <v>3808</v>
      </c>
      <c r="E15" s="479">
        <v>35</v>
      </c>
      <c r="F15" s="479">
        <v>35</v>
      </c>
      <c r="G15" s="479">
        <v>35</v>
      </c>
      <c r="H15" s="205" t="s">
        <v>150</v>
      </c>
      <c r="I15" s="63"/>
      <c r="J15" s="70"/>
      <c r="K15" s="60" t="s">
        <v>90</v>
      </c>
      <c r="L15" s="329" t="s">
        <v>74</v>
      </c>
      <c r="M15" s="343"/>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1122</v>
      </c>
      <c r="D16" s="241" t="s">
        <v>3809</v>
      </c>
      <c r="E16" s="479">
        <v>35</v>
      </c>
      <c r="F16" s="479">
        <v>35</v>
      </c>
      <c r="G16" s="479">
        <v>35</v>
      </c>
      <c r="H16" s="205" t="s">
        <v>150</v>
      </c>
      <c r="I16" s="63"/>
      <c r="J16" s="70"/>
      <c r="K16" s="60" t="s">
        <v>91</v>
      </c>
      <c r="L16" s="329" t="s">
        <v>75</v>
      </c>
      <c r="M16" s="343"/>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1123</v>
      </c>
      <c r="D17" s="240" t="s">
        <v>3810</v>
      </c>
      <c r="E17" s="479">
        <v>35</v>
      </c>
      <c r="F17" s="479">
        <v>35</v>
      </c>
      <c r="G17" s="479">
        <v>35</v>
      </c>
      <c r="H17" s="205" t="s">
        <v>150</v>
      </c>
      <c r="I17" s="63"/>
      <c r="J17" s="65"/>
      <c r="K17" s="63"/>
      <c r="L17" s="63"/>
      <c r="M17" s="63"/>
      <c r="N17" s="87">
        <f>AVERAGE(N6:N16)</f>
        <v>85.728571428571428</v>
      </c>
      <c r="O17" s="87">
        <f t="shared" ref="O17:AB17" si="0">AVERAGE(O6:O16)</f>
        <v>23.190476190476186</v>
      </c>
      <c r="P17" s="87">
        <f t="shared" si="0"/>
        <v>52.191666666666677</v>
      </c>
      <c r="Q17" s="87">
        <f t="shared" si="0"/>
        <v>106.11875000000001</v>
      </c>
      <c r="R17" s="87">
        <f t="shared" si="0"/>
        <v>167.61111111111111</v>
      </c>
      <c r="S17" s="87">
        <f t="shared" si="0"/>
        <v>72.042857142857144</v>
      </c>
      <c r="T17" s="87">
        <f t="shared" si="0"/>
        <v>19.761904761904763</v>
      </c>
      <c r="U17" s="87">
        <f t="shared" si="0"/>
        <v>45.3</v>
      </c>
      <c r="V17" s="87">
        <f t="shared" si="0"/>
        <v>72.962500000000006</v>
      </c>
      <c r="W17" s="87">
        <f t="shared" si="0"/>
        <v>123.55555555555556</v>
      </c>
      <c r="X17" s="87">
        <f t="shared" si="0"/>
        <v>77.785714285714292</v>
      </c>
      <c r="Y17" s="87">
        <f t="shared" si="0"/>
        <v>13.238095238095239</v>
      </c>
      <c r="Z17" s="87">
        <f t="shared" si="0"/>
        <v>45.68333333333333</v>
      </c>
      <c r="AA17" s="87">
        <f t="shared" si="0"/>
        <v>58.375</v>
      </c>
      <c r="AB17" s="87">
        <f t="shared" si="0"/>
        <v>120.66666666666667</v>
      </c>
      <c r="AC17" s="63"/>
      <c r="AD17" s="63"/>
    </row>
    <row r="18" spans="1:30" ht="40.15" customHeight="1" x14ac:dyDescent="0.3">
      <c r="A18" s="63"/>
      <c r="B18" s="224"/>
      <c r="C18" s="236">
        <v>1124</v>
      </c>
      <c r="D18" s="240" t="s">
        <v>3811</v>
      </c>
      <c r="E18" s="479">
        <v>35</v>
      </c>
      <c r="F18" s="479">
        <v>35</v>
      </c>
      <c r="G18" s="479">
        <v>35</v>
      </c>
      <c r="H18" s="205" t="s">
        <v>150</v>
      </c>
      <c r="I18" s="63"/>
      <c r="J18" s="65"/>
      <c r="K18" s="345" t="s">
        <v>563</v>
      </c>
      <c r="L18" s="345"/>
      <c r="M18" s="206" t="s">
        <v>4021</v>
      </c>
      <c r="N18" s="207"/>
      <c r="O18" s="208"/>
      <c r="P18" s="208"/>
      <c r="Q18" s="208"/>
      <c r="R18" s="303" t="s">
        <v>561</v>
      </c>
      <c r="S18" s="480" t="s">
        <v>4023</v>
      </c>
      <c r="T18" s="209"/>
      <c r="U18" s="342" t="s">
        <v>562</v>
      </c>
      <c r="V18" s="342"/>
      <c r="W18" s="481">
        <v>42791</v>
      </c>
      <c r="X18" s="210"/>
      <c r="Y18" s="88"/>
      <c r="Z18" s="88"/>
      <c r="AA18" s="88"/>
      <c r="AB18" s="88"/>
      <c r="AC18" s="63"/>
      <c r="AD18" s="63"/>
    </row>
    <row r="19" spans="1:30" ht="40.15" customHeight="1" x14ac:dyDescent="0.3">
      <c r="A19" s="63"/>
      <c r="B19" s="224"/>
      <c r="C19" s="236">
        <v>1125</v>
      </c>
      <c r="D19" s="240" t="s">
        <v>3812</v>
      </c>
      <c r="E19" s="479">
        <v>35</v>
      </c>
      <c r="F19" s="479">
        <v>35</v>
      </c>
      <c r="G19" s="479">
        <v>35</v>
      </c>
      <c r="H19" s="205" t="s">
        <v>150</v>
      </c>
      <c r="I19" s="63"/>
      <c r="J19" s="65"/>
      <c r="K19" s="341" t="s">
        <v>61</v>
      </c>
      <c r="L19" s="341"/>
      <c r="M19" s="206" t="s">
        <v>4022</v>
      </c>
      <c r="N19" s="206"/>
      <c r="O19" s="206"/>
      <c r="P19" s="206"/>
      <c r="Q19" s="206"/>
      <c r="R19" s="303" t="s">
        <v>561</v>
      </c>
      <c r="S19" s="209"/>
      <c r="T19" s="209"/>
      <c r="U19" s="342" t="s">
        <v>562</v>
      </c>
      <c r="V19" s="342"/>
      <c r="W19" s="210"/>
      <c r="X19" s="210"/>
      <c r="Y19" s="63"/>
      <c r="Z19" s="63"/>
      <c r="AA19" s="63"/>
      <c r="AB19" s="63"/>
      <c r="AC19" s="63"/>
      <c r="AD19" s="63"/>
    </row>
    <row r="20" spans="1:30" ht="40.15" customHeight="1" x14ac:dyDescent="0.25">
      <c r="A20" s="63"/>
      <c r="B20" s="224"/>
      <c r="C20" s="236">
        <v>1126</v>
      </c>
      <c r="D20" s="240" t="s">
        <v>3813</v>
      </c>
      <c r="E20" s="479">
        <v>35</v>
      </c>
      <c r="F20" s="479">
        <v>35</v>
      </c>
      <c r="G20" s="479">
        <v>35</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v>35</v>
      </c>
      <c r="F21" s="479">
        <v>35</v>
      </c>
      <c r="G21" s="479">
        <v>35</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v>236</v>
      </c>
      <c r="F23" s="479">
        <v>117</v>
      </c>
      <c r="G23" s="479">
        <v>68</v>
      </c>
      <c r="H23" s="205" t="s">
        <v>150</v>
      </c>
      <c r="I23" s="63"/>
      <c r="J23" s="65"/>
      <c r="K23" s="63"/>
      <c r="L23" s="63"/>
      <c r="M23" s="63"/>
      <c r="N23" s="63"/>
      <c r="O23" s="91">
        <v>42644</v>
      </c>
      <c r="P23" s="92">
        <f>N17</f>
        <v>85.728571428571428</v>
      </c>
      <c r="Q23" s="93">
        <f>O17</f>
        <v>23.190476190476186</v>
      </c>
      <c r="R23" s="93">
        <f>P17</f>
        <v>52.191666666666677</v>
      </c>
      <c r="S23" s="93">
        <f>Q17</f>
        <v>106.11875000000001</v>
      </c>
      <c r="T23" s="93">
        <f>R17</f>
        <v>167.61111111111111</v>
      </c>
      <c r="U23" s="63"/>
      <c r="V23" s="63"/>
      <c r="W23" s="63"/>
      <c r="X23" s="63"/>
      <c r="Y23" s="63"/>
      <c r="Z23" s="63"/>
      <c r="AA23" s="63"/>
      <c r="AB23" s="63"/>
      <c r="AC23" s="63"/>
      <c r="AD23" s="63"/>
    </row>
    <row r="24" spans="1:30" ht="40.15" customHeight="1" x14ac:dyDescent="0.25">
      <c r="A24" s="63"/>
      <c r="B24" s="224"/>
      <c r="C24" s="236">
        <v>1132</v>
      </c>
      <c r="D24" s="240" t="s">
        <v>3816</v>
      </c>
      <c r="E24" s="479">
        <v>347</v>
      </c>
      <c r="F24" s="479">
        <v>170</v>
      </c>
      <c r="G24" s="479">
        <v>102</v>
      </c>
      <c r="H24" s="205" t="s">
        <v>150</v>
      </c>
      <c r="I24" s="63"/>
      <c r="J24" s="65"/>
      <c r="K24" s="63"/>
      <c r="L24" s="63"/>
      <c r="M24" s="63"/>
      <c r="N24" s="63"/>
      <c r="O24" s="91">
        <v>42675</v>
      </c>
      <c r="P24" s="92">
        <f>S17</f>
        <v>72.042857142857144</v>
      </c>
      <c r="Q24" s="93">
        <f>T17</f>
        <v>19.761904761904763</v>
      </c>
      <c r="R24" s="93">
        <f>U17</f>
        <v>45.3</v>
      </c>
      <c r="S24" s="93">
        <f>V17</f>
        <v>72.962500000000006</v>
      </c>
      <c r="T24" s="93">
        <f>W17</f>
        <v>123.55555555555556</v>
      </c>
      <c r="U24" s="63"/>
      <c r="V24" s="63"/>
      <c r="W24" s="63"/>
      <c r="X24" s="63"/>
      <c r="Y24" s="63"/>
      <c r="Z24" s="63"/>
      <c r="AA24" s="63"/>
      <c r="AB24" s="63"/>
      <c r="AC24" s="63"/>
      <c r="AD24" s="63"/>
    </row>
    <row r="25" spans="1:30" ht="40.15" customHeight="1" x14ac:dyDescent="0.25">
      <c r="A25" s="63"/>
      <c r="B25" s="224"/>
      <c r="C25" s="236">
        <v>1133</v>
      </c>
      <c r="D25" s="240" t="s">
        <v>3817</v>
      </c>
      <c r="E25" s="479">
        <v>509</v>
      </c>
      <c r="F25" s="479">
        <v>234</v>
      </c>
      <c r="G25" s="479">
        <v>137</v>
      </c>
      <c r="H25" s="205" t="s">
        <v>150</v>
      </c>
      <c r="I25" s="63"/>
      <c r="J25" s="63"/>
      <c r="K25" s="63"/>
      <c r="L25" s="63"/>
      <c r="M25" s="63"/>
      <c r="N25" s="63"/>
      <c r="O25" s="91">
        <v>42705</v>
      </c>
      <c r="P25" s="92">
        <f>X17</f>
        <v>77.785714285714292</v>
      </c>
      <c r="Q25" s="93">
        <f>Y17</f>
        <v>13.238095238095239</v>
      </c>
      <c r="R25" s="93">
        <f>Z17</f>
        <v>45.68333333333333</v>
      </c>
      <c r="S25" s="93">
        <f>AA17</f>
        <v>58.375</v>
      </c>
      <c r="T25" s="93">
        <f>AB17</f>
        <v>120.66666666666667</v>
      </c>
      <c r="U25" s="63"/>
      <c r="V25" s="63"/>
      <c r="W25" s="63"/>
      <c r="X25" s="63"/>
      <c r="Y25" s="63"/>
      <c r="Z25" s="63"/>
      <c r="AA25" s="63"/>
      <c r="AB25" s="63"/>
      <c r="AC25" s="63"/>
      <c r="AD25" s="63"/>
    </row>
    <row r="26" spans="1:30" ht="40.15" customHeight="1" x14ac:dyDescent="0.25">
      <c r="A26" s="63"/>
      <c r="B26" s="224"/>
      <c r="C26" s="236">
        <v>1134</v>
      </c>
      <c r="D26" s="240" t="s">
        <v>3818</v>
      </c>
      <c r="E26" s="479">
        <v>74</v>
      </c>
      <c r="F26" s="479">
        <v>53</v>
      </c>
      <c r="G26" s="479">
        <v>33</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v>583</v>
      </c>
      <c r="F27" s="479">
        <v>287</v>
      </c>
      <c r="G27" s="479">
        <v>170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0</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f ca="1">_xlfn.IFNA(VLOOKUP(C29,Worksheet!$C$3:$G$46,3,FALSE),E29)</f>
        <v>0</v>
      </c>
      <c r="F29" s="479">
        <f ca="1">_xlfn.IFNA(VLOOKUP(C29,Worksheet!$C$3:$G$46,4,FALSE),F29)</f>
        <v>0</v>
      </c>
      <c r="G29" s="479">
        <f ca="1">_xlfn.IFNA(VLOOKUP(C29,Worksheet!$C$3:$G$46,5,FALSE),G29)</f>
        <v>0</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v>583</v>
      </c>
      <c r="F30" s="479">
        <v>287</v>
      </c>
      <c r="G30" s="479">
        <v>170</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v>583</v>
      </c>
      <c r="F31" s="479">
        <v>287</v>
      </c>
      <c r="G31" s="479">
        <v>170</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v>583</v>
      </c>
      <c r="F32" s="479">
        <v>287</v>
      </c>
      <c r="G32" s="479">
        <v>170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v>583</v>
      </c>
      <c r="F33" s="479">
        <v>287</v>
      </c>
      <c r="G33" s="479">
        <v>170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v>509</v>
      </c>
      <c r="F34" s="479">
        <v>234</v>
      </c>
      <c r="G34" s="479">
        <v>137</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v>509</v>
      </c>
      <c r="F35" s="479">
        <v>234</v>
      </c>
      <c r="G35" s="479">
        <v>137</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v>509</v>
      </c>
      <c r="F36" s="479">
        <v>234</v>
      </c>
      <c r="G36" s="479">
        <v>137</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v>509</v>
      </c>
      <c r="F37" s="479">
        <v>234</v>
      </c>
      <c r="G37" s="479">
        <v>137</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f ca="1">_xlfn.IFNA(VLOOKUP(C38,Worksheet!$C$3:$G$46,3,FALSE),E38)</f>
        <v>0</v>
      </c>
      <c r="F38" s="479">
        <f ca="1">_xlfn.IFNA(VLOOKUP(C38,Worksheet!$C$3:$G$46,4,FALSE),F38)</f>
        <v>0</v>
      </c>
      <c r="G38" s="479">
        <f ca="1">_xlfn.IFNA(VLOOKUP(C38,Worksheet!$C$3:$G$46,5,FALSE),G38)</f>
        <v>0</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f ca="1">_xlfn.IFNA(VLOOKUP(C39,Worksheet!$C$3:$G$46,3,FALSE),E39)</f>
        <v>0</v>
      </c>
      <c r="F39" s="479">
        <f ca="1">_xlfn.IFNA(VLOOKUP(C39,Worksheet!$C$3:$G$46,4,FALSE),F39)</f>
        <v>0</v>
      </c>
      <c r="G39" s="479">
        <f ca="1">_xlfn.IFNA(VLOOKUP(C39,Worksheet!$C$3:$G$46,5,FALSE),G39)</f>
        <v>0</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Add/fXeA+8vj6pnUToPx5rKWpvLT0bMS6B9rTYx+O2w80z8XdYRPuPGEk7C7VRSGNDbWatQvFJhTO14k7b9VJA==" saltValue="L9mbixh5qOnz4dIL2dFDnQ=="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1209</v>
      </c>
      <c r="G2" s="205" t="s">
        <v>150</v>
      </c>
    </row>
    <row r="3" spans="1:7" ht="45" customHeight="1" x14ac:dyDescent="0.25">
      <c r="A3" s="224"/>
      <c r="B3" s="228" t="s">
        <v>4006</v>
      </c>
      <c r="C3" s="226" t="s">
        <v>3976</v>
      </c>
      <c r="D3" s="226"/>
      <c r="E3" s="229"/>
      <c r="F3" s="298">
        <f ca="1">_xlfn.IFNA(VLOOKUP(B3,Worksheet!$C$3:$G$46,5,FALSE),F3)</f>
        <v>0</v>
      </c>
      <c r="G3" s="205" t="s">
        <v>150</v>
      </c>
    </row>
    <row r="4" spans="1:7" ht="45" customHeight="1" x14ac:dyDescent="0.25">
      <c r="A4" s="224"/>
      <c r="B4" s="228" t="s">
        <v>4007</v>
      </c>
      <c r="C4" s="226" t="s">
        <v>3977</v>
      </c>
      <c r="D4" s="230"/>
      <c r="E4" s="229"/>
      <c r="F4" s="298">
        <f ca="1">_xlfn.IFNA(VLOOKUP(B4,Worksheet!$C$3:$G$46,5,FALSE),F4)</f>
        <v>1040</v>
      </c>
      <c r="G4" s="205" t="s">
        <v>150</v>
      </c>
    </row>
    <row r="5" spans="1:7" ht="45" customHeight="1" x14ac:dyDescent="0.25">
      <c r="A5" s="224"/>
      <c r="B5" s="228" t="s">
        <v>4008</v>
      </c>
      <c r="C5" s="226" t="s">
        <v>3978</v>
      </c>
      <c r="D5" s="226"/>
      <c r="E5" s="229"/>
      <c r="F5" s="298">
        <f ca="1">_xlfn.IFNA(VLOOKUP(B5,Worksheet!$C$3:$G$46,5,FALSE),F5)</f>
        <v>0</v>
      </c>
      <c r="G5" s="205" t="s">
        <v>150</v>
      </c>
    </row>
    <row r="6" spans="1:7" ht="45" customHeight="1" x14ac:dyDescent="0.25">
      <c r="A6" s="224"/>
      <c r="B6" s="231" t="s">
        <v>4009</v>
      </c>
      <c r="C6" s="232" t="s">
        <v>3979</v>
      </c>
      <c r="D6" s="233"/>
      <c r="E6" s="234"/>
      <c r="F6" s="235">
        <f ca="1">_xlfn.IFNA(VLOOKUP(F2,Data_donotedit!$BE$2:$BG$25,3,TRUE),0)</f>
        <v>105</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_xlfn.IFNA(VLOOKUP(B8,Worksheet!$C$3:$G$46,3,FALSE),D8)</f>
        <v>1</v>
      </c>
      <c r="E8" s="299">
        <f>_xlfn.IFNA(VLOOKUP(B8,Worksheet!$C$3:$G$46,4,FALSE),E8)</f>
        <v>1</v>
      </c>
      <c r="F8" s="299">
        <f>_xlfn.IFNA(VLOOKUP(B8,Worksheet!$C$3:$G$46,5,FALSE),F8)</f>
        <v>1</v>
      </c>
      <c r="G8" s="205" t="s">
        <v>150</v>
      </c>
    </row>
    <row r="9" spans="1:7" ht="45" customHeight="1" x14ac:dyDescent="0.25">
      <c r="A9" s="224"/>
      <c r="B9" s="236">
        <v>1112</v>
      </c>
      <c r="C9" s="240" t="s">
        <v>3802</v>
      </c>
      <c r="D9" s="299">
        <f>_xlfn.IFNA(VLOOKUP(B9,Worksheet!$C$3:$G$46,3,FALSE),D9)</f>
        <v>1</v>
      </c>
      <c r="E9" s="299">
        <f>_xlfn.IFNA(VLOOKUP(B9,Worksheet!$C$3:$G$46,4,FALSE),E9)</f>
        <v>1</v>
      </c>
      <c r="F9" s="299">
        <f>_xlfn.IFNA(VLOOKUP(B9,Worksheet!$C$3:$G$46,5,FALSE),F9)</f>
        <v>1</v>
      </c>
      <c r="G9" s="205" t="s">
        <v>150</v>
      </c>
    </row>
    <row r="10" spans="1:7" ht="45" customHeight="1" x14ac:dyDescent="0.25">
      <c r="A10" s="224"/>
      <c r="B10" s="236">
        <v>1113</v>
      </c>
      <c r="C10" s="240" t="s">
        <v>3803</v>
      </c>
      <c r="D10" s="299">
        <f>_xlfn.IFNA(VLOOKUP(B10,Worksheet!$C$3:$G$46,3,FALSE),D10)</f>
        <v>35</v>
      </c>
      <c r="E10" s="299">
        <f>_xlfn.IFNA(VLOOKUP(B10,Worksheet!$C$3:$G$46,4,FALSE),E10)</f>
        <v>35</v>
      </c>
      <c r="F10" s="299">
        <f>_xlfn.IFNA(VLOOKUP(B10,Worksheet!$C$3:$G$46,5,FALSE),F10)</f>
        <v>35</v>
      </c>
      <c r="G10" s="205" t="s">
        <v>150</v>
      </c>
    </row>
    <row r="11" spans="1:7" ht="45" customHeight="1" x14ac:dyDescent="0.25">
      <c r="A11" s="224"/>
      <c r="B11" s="236">
        <v>1114</v>
      </c>
      <c r="C11" s="241" t="s">
        <v>3804</v>
      </c>
      <c r="D11" s="299">
        <f>_xlfn.IFNA(VLOOKUP(B11,Worksheet!$C$3:$G$46,3,FALSE),D11)</f>
        <v>35</v>
      </c>
      <c r="E11" s="299">
        <f>_xlfn.IFNA(VLOOKUP(B11,Worksheet!$C$3:$G$46,4,FALSE),E11)</f>
        <v>35</v>
      </c>
      <c r="F11" s="299">
        <f>_xlfn.IFNA(VLOOKUP(B11,Worksheet!$C$3:$G$46,5,FALSE),F11)</f>
        <v>35</v>
      </c>
      <c r="G11" s="205" t="s">
        <v>150</v>
      </c>
    </row>
    <row r="12" spans="1:7" ht="45" customHeight="1" x14ac:dyDescent="0.25">
      <c r="A12" s="224"/>
      <c r="B12" s="236">
        <v>1115</v>
      </c>
      <c r="C12" s="240" t="s">
        <v>3805</v>
      </c>
      <c r="D12" s="299">
        <f>_xlfn.IFNA(VLOOKUP(B12,Worksheet!$C$3:$G$46,3,FALSE),D12)</f>
        <v>35</v>
      </c>
      <c r="E12" s="299">
        <f>_xlfn.IFNA(VLOOKUP(B12,Worksheet!$C$3:$G$46,4,FALSE),E12)</f>
        <v>35</v>
      </c>
      <c r="F12" s="299">
        <f>_xlfn.IFNA(VLOOKUP(B12,Worksheet!$C$3:$G$46,5,FALSE),F12)</f>
        <v>35</v>
      </c>
      <c r="G12" s="205" t="s">
        <v>150</v>
      </c>
    </row>
    <row r="13" spans="1:7" ht="45" customHeight="1" x14ac:dyDescent="0.25">
      <c r="A13" s="224" t="s">
        <v>3806</v>
      </c>
      <c r="B13" s="236">
        <v>1116</v>
      </c>
      <c r="C13" s="240" t="s">
        <v>3807</v>
      </c>
      <c r="D13" s="299">
        <f>_xlfn.IFNA(VLOOKUP(B13,Worksheet!$C$3:$G$46,3,FALSE),D13)</f>
        <v>35</v>
      </c>
      <c r="E13" s="299">
        <f>_xlfn.IFNA(VLOOKUP(B13,Worksheet!$C$3:$G$46,4,FALSE),E13)</f>
        <v>35</v>
      </c>
      <c r="F13" s="299">
        <f>_xlfn.IFNA(VLOOKUP(B13,Worksheet!$C$3:$G$46,5,FALSE),F13)</f>
        <v>35</v>
      </c>
      <c r="G13" s="205" t="s">
        <v>150</v>
      </c>
    </row>
    <row r="14" spans="1:7" ht="45" customHeight="1" x14ac:dyDescent="0.25">
      <c r="A14" s="224"/>
      <c r="B14" s="236">
        <v>1117</v>
      </c>
      <c r="C14" s="240" t="s">
        <v>3808</v>
      </c>
      <c r="D14" s="299">
        <f>_xlfn.IFNA(VLOOKUP(B14,Worksheet!$C$3:$G$46,3,FALSE),D14)</f>
        <v>35</v>
      </c>
      <c r="E14" s="299">
        <f>_xlfn.IFNA(VLOOKUP(B14,Worksheet!$C$3:$G$46,4,FALSE),E14)</f>
        <v>35</v>
      </c>
      <c r="F14" s="299">
        <f>_xlfn.IFNA(VLOOKUP(B14,Worksheet!$C$3:$G$46,5,FALSE),F14)</f>
        <v>35</v>
      </c>
      <c r="G14" s="205" t="s">
        <v>150</v>
      </c>
    </row>
    <row r="15" spans="1:7" ht="45" hidden="1" customHeight="1" x14ac:dyDescent="0.25">
      <c r="A15" s="224">
        <v>1116</v>
      </c>
      <c r="B15" s="236">
        <v>1121</v>
      </c>
      <c r="C15" s="241" t="str">
        <f>C13</f>
        <v xml:space="preserve">How many HTC clients have a completed Client intake form </v>
      </c>
      <c r="D15" s="300">
        <f>D13</f>
        <v>35</v>
      </c>
      <c r="E15" s="300">
        <f t="shared" ref="E15:F15" si="0">E13</f>
        <v>35</v>
      </c>
      <c r="F15" s="300">
        <f t="shared" si="0"/>
        <v>35</v>
      </c>
      <c r="G15" s="205"/>
    </row>
    <row r="16" spans="1:7" ht="45" customHeight="1" x14ac:dyDescent="0.25">
      <c r="A16" s="224"/>
      <c r="B16" s="236">
        <v>1122</v>
      </c>
      <c r="C16" s="241" t="s">
        <v>3809</v>
      </c>
      <c r="D16" s="299">
        <f>_xlfn.IFNA(VLOOKUP(B16,Worksheet!$C$3:$G$46,3,FALSE),D16)</f>
        <v>35</v>
      </c>
      <c r="E16" s="299">
        <f>_xlfn.IFNA(VLOOKUP(B16,Worksheet!$C$3:$G$46,4,FALSE),E16)</f>
        <v>35</v>
      </c>
      <c r="F16" s="299">
        <f>_xlfn.IFNA(VLOOKUP(B16,Worksheet!$C$3:$G$46,5,FALSE),F16)</f>
        <v>35</v>
      </c>
      <c r="G16" s="205" t="s">
        <v>150</v>
      </c>
    </row>
    <row r="17" spans="1:7" ht="45" customHeight="1" x14ac:dyDescent="0.25">
      <c r="A17" s="224"/>
      <c r="B17" s="236">
        <v>1123</v>
      </c>
      <c r="C17" s="240" t="s">
        <v>3810</v>
      </c>
      <c r="D17" s="299">
        <f>_xlfn.IFNA(VLOOKUP(B17,Worksheet!$C$3:$G$46,3,FALSE),D17)</f>
        <v>35</v>
      </c>
      <c r="E17" s="299">
        <f>_xlfn.IFNA(VLOOKUP(B17,Worksheet!$C$3:$G$46,4,FALSE),E17)</f>
        <v>35</v>
      </c>
      <c r="F17" s="299">
        <f>_xlfn.IFNA(VLOOKUP(B17,Worksheet!$C$3:$G$46,5,FALSE),F17)</f>
        <v>35</v>
      </c>
      <c r="G17" s="205" t="s">
        <v>150</v>
      </c>
    </row>
    <row r="18" spans="1:7" ht="45" customHeight="1" x14ac:dyDescent="0.25">
      <c r="A18" s="224"/>
      <c r="B18" s="236">
        <v>1124</v>
      </c>
      <c r="C18" s="240" t="s">
        <v>3811</v>
      </c>
      <c r="D18" s="299">
        <f>_xlfn.IFNA(VLOOKUP(B18,Worksheet!$C$3:$G$46,3,FALSE),D18)</f>
        <v>35</v>
      </c>
      <c r="E18" s="299">
        <f>_xlfn.IFNA(VLOOKUP(B18,Worksheet!$C$3:$G$46,4,FALSE),E18)</f>
        <v>35</v>
      </c>
      <c r="F18" s="299">
        <f>_xlfn.IFNA(VLOOKUP(B18,Worksheet!$C$3:$G$46,5,FALSE),F18)</f>
        <v>35</v>
      </c>
      <c r="G18" s="205" t="s">
        <v>150</v>
      </c>
    </row>
    <row r="19" spans="1:7" ht="45" customHeight="1" x14ac:dyDescent="0.25">
      <c r="A19" s="224"/>
      <c r="B19" s="236">
        <v>1125</v>
      </c>
      <c r="C19" s="240" t="s">
        <v>3812</v>
      </c>
      <c r="D19" s="299">
        <f>_xlfn.IFNA(VLOOKUP(B19,Worksheet!$C$3:$G$46,3,FALSE),D19)</f>
        <v>35</v>
      </c>
      <c r="E19" s="299">
        <f>_xlfn.IFNA(VLOOKUP(B19,Worksheet!$C$3:$G$46,4,FALSE),E19)</f>
        <v>35</v>
      </c>
      <c r="F19" s="299">
        <f>_xlfn.IFNA(VLOOKUP(B19,Worksheet!$C$3:$G$46,5,FALSE),F19)</f>
        <v>35</v>
      </c>
      <c r="G19" s="205" t="s">
        <v>150</v>
      </c>
    </row>
    <row r="20" spans="1:7" ht="45" customHeight="1" x14ac:dyDescent="0.25">
      <c r="A20" s="224"/>
      <c r="B20" s="236">
        <v>1126</v>
      </c>
      <c r="C20" s="240" t="s">
        <v>3813</v>
      </c>
      <c r="D20" s="299">
        <f>_xlfn.IFNA(VLOOKUP(B20,Worksheet!$C$3:$G$46,3,FALSE),D20)</f>
        <v>35</v>
      </c>
      <c r="E20" s="299">
        <f>_xlfn.IFNA(VLOOKUP(B20,Worksheet!$C$3:$G$46,4,FALSE),E20)</f>
        <v>35</v>
      </c>
      <c r="F20" s="299">
        <f>_xlfn.IFNA(VLOOKUP(B20,Worksheet!$C$3:$G$46,5,FALSE),F20)</f>
        <v>35</v>
      </c>
      <c r="G20" s="205" t="s">
        <v>150</v>
      </c>
    </row>
    <row r="21" spans="1:7" ht="45" customHeight="1" x14ac:dyDescent="0.25">
      <c r="A21" s="224"/>
      <c r="B21" s="236">
        <v>1127</v>
      </c>
      <c r="C21" s="240" t="s">
        <v>3814</v>
      </c>
      <c r="D21" s="299">
        <f>_xlfn.IFNA(VLOOKUP(B21,Worksheet!$C$3:$G$46,3,FALSE),D21)</f>
        <v>35</v>
      </c>
      <c r="E21" s="299">
        <f>_xlfn.IFNA(VLOOKUP(B21,Worksheet!$C$3:$G$46,4,FALSE),E21)</f>
        <v>35</v>
      </c>
      <c r="F21" s="299">
        <f>_xlfn.IFNA(VLOOKUP(B21,Worksheet!$C$3:$G$46,5,FALSE),F21)</f>
        <v>35</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_xlfn.IFNA(VLOOKUP(B23,Worksheet!$C$3:$G$46,3,FALSE),D23)</f>
        <v>236</v>
      </c>
      <c r="E23" s="299">
        <f>_xlfn.IFNA(VLOOKUP(B23,Worksheet!$C$3:$G$46,4,FALSE),E23)</f>
        <v>117</v>
      </c>
      <c r="F23" s="299">
        <f>_xlfn.IFNA(VLOOKUP(B23,Worksheet!$C$3:$G$46,5,FALSE),F23)</f>
        <v>68</v>
      </c>
      <c r="G23" s="205" t="s">
        <v>150</v>
      </c>
    </row>
    <row r="24" spans="1:7" ht="45" customHeight="1" x14ac:dyDescent="0.25">
      <c r="A24" s="224"/>
      <c r="B24" s="236">
        <v>1132</v>
      </c>
      <c r="C24" s="240" t="s">
        <v>3816</v>
      </c>
      <c r="D24" s="299">
        <f>_xlfn.IFNA(VLOOKUP(B24,Worksheet!$C$3:$G$46,3,FALSE),D24)</f>
        <v>347</v>
      </c>
      <c r="E24" s="299">
        <f>_xlfn.IFNA(VLOOKUP(B24,Worksheet!$C$3:$G$46,4,FALSE),E24)</f>
        <v>170</v>
      </c>
      <c r="F24" s="299">
        <f>_xlfn.IFNA(VLOOKUP(B24,Worksheet!$C$3:$G$46,5,FALSE),F24)</f>
        <v>102</v>
      </c>
      <c r="G24" s="205" t="s">
        <v>150</v>
      </c>
    </row>
    <row r="25" spans="1:7" ht="45" customHeight="1" x14ac:dyDescent="0.25">
      <c r="A25" s="224"/>
      <c r="B25" s="236">
        <v>1133</v>
      </c>
      <c r="C25" s="240" t="s">
        <v>3817</v>
      </c>
      <c r="D25" s="299">
        <f>_xlfn.IFNA(VLOOKUP(B25,Worksheet!$C$3:$G$46,3,FALSE),D25)</f>
        <v>509</v>
      </c>
      <c r="E25" s="299">
        <f>_xlfn.IFNA(VLOOKUP(B25,Worksheet!$C$3:$G$46,4,FALSE),E25)</f>
        <v>234</v>
      </c>
      <c r="F25" s="299">
        <f>_xlfn.IFNA(VLOOKUP(B25,Worksheet!$C$3:$G$46,5,FALSE),F25)</f>
        <v>137</v>
      </c>
      <c r="G25" s="205" t="s">
        <v>150</v>
      </c>
    </row>
    <row r="26" spans="1:7" ht="45" customHeight="1" x14ac:dyDescent="0.25">
      <c r="A26" s="224"/>
      <c r="B26" s="236">
        <v>1134</v>
      </c>
      <c r="C26" s="240" t="s">
        <v>3818</v>
      </c>
      <c r="D26" s="299">
        <f>_xlfn.IFNA(VLOOKUP(B26,Worksheet!$C$3:$G$46,3,FALSE),D26)</f>
        <v>74</v>
      </c>
      <c r="E26" s="299">
        <f>_xlfn.IFNA(VLOOKUP(B26,Worksheet!$C$3:$G$46,4,FALSE),E26)</f>
        <v>53</v>
      </c>
      <c r="F26" s="299">
        <f>_xlfn.IFNA(VLOOKUP(B26,Worksheet!$C$3:$G$46,5,FALSE),F26)</f>
        <v>33</v>
      </c>
      <c r="G26" s="205" t="s">
        <v>150</v>
      </c>
    </row>
    <row r="27" spans="1:7" ht="45" customHeight="1" x14ac:dyDescent="0.25">
      <c r="A27" s="224"/>
      <c r="B27" s="236">
        <v>1135</v>
      </c>
      <c r="C27" s="240" t="s">
        <v>3819</v>
      </c>
      <c r="D27" s="299">
        <f>_xlfn.IFNA(VLOOKUP(B27,Worksheet!$C$3:$G$46,3,FALSE),D27)</f>
        <v>583</v>
      </c>
      <c r="E27" s="299">
        <f>_xlfn.IFNA(VLOOKUP(B27,Worksheet!$C$3:$G$46,4,FALSE),E27)</f>
        <v>287</v>
      </c>
      <c r="F27" s="299">
        <f>_xlfn.IFNA(VLOOKUP(B27,Worksheet!$C$3:$G$46,5,FALSE),F27)</f>
        <v>170</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customHeight="1" x14ac:dyDescent="0.25">
      <c r="A30" s="224"/>
      <c r="B30" s="236">
        <v>1138</v>
      </c>
      <c r="C30" s="240" t="s">
        <v>3822</v>
      </c>
      <c r="D30" s="299">
        <f>_xlfn.IFNA(VLOOKUP(B30,Worksheet!$C$3:$G$46,3,FALSE),D30)</f>
        <v>583</v>
      </c>
      <c r="E30" s="299">
        <f>_xlfn.IFNA(VLOOKUP(B30,Worksheet!$C$3:$G$46,4,FALSE),E30)</f>
        <v>287</v>
      </c>
      <c r="F30" s="299">
        <f>_xlfn.IFNA(VLOOKUP(B30,Worksheet!$C$3:$G$46,5,FALSE),F30)</f>
        <v>170</v>
      </c>
      <c r="G30" s="205" t="s">
        <v>150</v>
      </c>
    </row>
    <row r="31" spans="1:7" ht="45" hidden="1" customHeight="1" x14ac:dyDescent="0.25">
      <c r="A31" s="224">
        <v>1116</v>
      </c>
      <c r="B31" s="236">
        <v>1141</v>
      </c>
      <c r="C31" s="240" t="s">
        <v>3823</v>
      </c>
      <c r="D31" s="300">
        <f>D13</f>
        <v>35</v>
      </c>
      <c r="E31" s="300">
        <f>E13</f>
        <v>35</v>
      </c>
      <c r="F31" s="300">
        <f>F13</f>
        <v>35</v>
      </c>
      <c r="G31" s="205"/>
    </row>
    <row r="32" spans="1:7" ht="45" hidden="1" customHeight="1" x14ac:dyDescent="0.25">
      <c r="A32" s="224"/>
      <c r="B32" s="236">
        <v>1142</v>
      </c>
      <c r="C32" s="241" t="s">
        <v>3824</v>
      </c>
      <c r="D32" s="300">
        <f>D18</f>
        <v>35</v>
      </c>
      <c r="E32" s="300">
        <f>E18</f>
        <v>35</v>
      </c>
      <c r="F32" s="300">
        <f>F18</f>
        <v>35</v>
      </c>
      <c r="G32" s="205"/>
    </row>
    <row r="33" spans="1:7" ht="45" customHeight="1" x14ac:dyDescent="0.25">
      <c r="A33" s="224"/>
      <c r="B33" s="236">
        <v>1143</v>
      </c>
      <c r="C33" s="240" t="s">
        <v>3825</v>
      </c>
      <c r="D33" s="299">
        <f>_xlfn.IFNA(VLOOKUP(B33,Worksheet!$C$3:$G$46,3,FALSE),D33)</f>
        <v>583</v>
      </c>
      <c r="E33" s="299">
        <f>_xlfn.IFNA(VLOOKUP(B33,Worksheet!$C$3:$G$46,4,FALSE),E33)</f>
        <v>287</v>
      </c>
      <c r="F33" s="299">
        <f>_xlfn.IFNA(VLOOKUP(B33,Worksheet!$C$3:$G$46,5,FALSE),F33)</f>
        <v>170</v>
      </c>
      <c r="G33" s="205" t="s">
        <v>150</v>
      </c>
    </row>
    <row r="34" spans="1:7" ht="45" customHeight="1" x14ac:dyDescent="0.25">
      <c r="A34" s="224"/>
      <c r="B34" s="236">
        <v>1144</v>
      </c>
      <c r="C34" s="240" t="s">
        <v>3826</v>
      </c>
      <c r="D34" s="299">
        <f>_xlfn.IFNA(VLOOKUP(B34,Worksheet!$C$3:$G$46,3,FALSE),D34)</f>
        <v>583</v>
      </c>
      <c r="E34" s="299">
        <f>_xlfn.IFNA(VLOOKUP(B34,Worksheet!$C$3:$G$46,4,FALSE),E34)</f>
        <v>287</v>
      </c>
      <c r="F34" s="299">
        <f>_xlfn.IFNA(VLOOKUP(B34,Worksheet!$C$3:$G$46,5,FALSE),F34)</f>
        <v>170</v>
      </c>
      <c r="G34" s="205" t="s">
        <v>150</v>
      </c>
    </row>
    <row r="35" spans="1:7" ht="45" customHeight="1" x14ac:dyDescent="0.25">
      <c r="A35" s="224"/>
      <c r="B35" s="236">
        <v>1145</v>
      </c>
      <c r="C35" s="240" t="s">
        <v>3827</v>
      </c>
      <c r="D35" s="299">
        <f>_xlfn.IFNA(VLOOKUP(B35,Worksheet!$C$3:$G$46,3,FALSE),D35)</f>
        <v>583</v>
      </c>
      <c r="E35" s="299">
        <f>_xlfn.IFNA(VLOOKUP(B35,Worksheet!$C$3:$G$46,4,FALSE),E35)</f>
        <v>287</v>
      </c>
      <c r="F35" s="299">
        <f>_xlfn.IFNA(VLOOKUP(B35,Worksheet!$C$3:$G$46,5,FALSE),F35)</f>
        <v>170</v>
      </c>
      <c r="G35" s="205" t="s">
        <v>150</v>
      </c>
    </row>
    <row r="36" spans="1:7" ht="45" hidden="1" customHeight="1" x14ac:dyDescent="0.25">
      <c r="A36" s="224"/>
      <c r="B36" s="236">
        <v>1151</v>
      </c>
      <c r="C36" s="246" t="s">
        <v>3828</v>
      </c>
      <c r="D36" s="247">
        <f>D37/D38</f>
        <v>1</v>
      </c>
      <c r="E36" s="247">
        <f t="shared" ref="E36:F36" si="1">E37/E38</f>
        <v>1</v>
      </c>
      <c r="F36" s="247">
        <f t="shared" si="1"/>
        <v>1</v>
      </c>
      <c r="G36" s="205"/>
    </row>
    <row r="37" spans="1:7" ht="45" customHeight="1" x14ac:dyDescent="0.25">
      <c r="A37" s="224"/>
      <c r="B37" s="236">
        <v>1152</v>
      </c>
      <c r="C37" s="240" t="s">
        <v>3829</v>
      </c>
      <c r="D37" s="299">
        <f>_xlfn.IFNA(VLOOKUP(B37,Worksheet!$C$3:$G$46,3,FALSE),D37)</f>
        <v>509</v>
      </c>
      <c r="E37" s="299">
        <f>_xlfn.IFNA(VLOOKUP(B37,Worksheet!$C$3:$G$46,4,FALSE),E37)</f>
        <v>234</v>
      </c>
      <c r="F37" s="299">
        <f>_xlfn.IFNA(VLOOKUP(B37,Worksheet!$C$3:$G$46,5,FALSE),F37)</f>
        <v>137</v>
      </c>
      <c r="G37" s="205" t="s">
        <v>150</v>
      </c>
    </row>
    <row r="38" spans="1:7" ht="45" customHeight="1" x14ac:dyDescent="0.25">
      <c r="A38" s="224"/>
      <c r="B38" s="236">
        <v>1153</v>
      </c>
      <c r="C38" s="240" t="s">
        <v>3830</v>
      </c>
      <c r="D38" s="299">
        <f>_xlfn.IFNA(VLOOKUP(B38,Worksheet!$C$3:$G$46,3,FALSE),D38)</f>
        <v>509</v>
      </c>
      <c r="E38" s="299">
        <f>_xlfn.IFNA(VLOOKUP(B38,Worksheet!$C$3:$G$46,4,FALSE),E38)</f>
        <v>234</v>
      </c>
      <c r="F38" s="299">
        <f>_xlfn.IFNA(VLOOKUP(B38,Worksheet!$C$3:$G$46,5,FALSE),F38)</f>
        <v>137</v>
      </c>
      <c r="G38" s="205" t="s">
        <v>150</v>
      </c>
    </row>
    <row r="39" spans="1:7" ht="45" hidden="1" customHeight="1" x14ac:dyDescent="0.25">
      <c r="A39" s="224"/>
      <c r="B39" s="236">
        <v>1154</v>
      </c>
      <c r="C39" s="246" t="s">
        <v>3831</v>
      </c>
      <c r="D39" s="247">
        <f>D40/D41</f>
        <v>1</v>
      </c>
      <c r="E39" s="247">
        <f t="shared" ref="E39:F39" si="2">E40/E41</f>
        <v>1</v>
      </c>
      <c r="F39" s="247">
        <f t="shared" si="2"/>
        <v>1</v>
      </c>
      <c r="G39" s="205"/>
    </row>
    <row r="40" spans="1:7" ht="45" customHeight="1" x14ac:dyDescent="0.25">
      <c r="A40" s="224"/>
      <c r="B40" s="236">
        <v>1155</v>
      </c>
      <c r="C40" s="240" t="s">
        <v>3829</v>
      </c>
      <c r="D40" s="299">
        <f>_xlfn.IFNA(VLOOKUP(B40,Worksheet!$C$3:$G$46,3,FALSE),D40)</f>
        <v>509</v>
      </c>
      <c r="E40" s="299">
        <f>_xlfn.IFNA(VLOOKUP(B40,Worksheet!$C$3:$G$46,4,FALSE),E40)</f>
        <v>234</v>
      </c>
      <c r="F40" s="299">
        <f>_xlfn.IFNA(VLOOKUP(B40,Worksheet!$C$3:$G$46,5,FALSE),F40)</f>
        <v>137</v>
      </c>
      <c r="G40" s="205" t="s">
        <v>150</v>
      </c>
    </row>
    <row r="41" spans="1:7" ht="45" customHeight="1" x14ac:dyDescent="0.25">
      <c r="A41" s="224"/>
      <c r="B41" s="236">
        <v>1156</v>
      </c>
      <c r="C41" s="240" t="s">
        <v>3832</v>
      </c>
      <c r="D41" s="299">
        <f>_xlfn.IFNA(VLOOKUP(B41,Worksheet!$C$3:$G$46,3,FALSE),D41)</f>
        <v>509</v>
      </c>
      <c r="E41" s="299">
        <f>_xlfn.IFNA(VLOOKUP(B41,Worksheet!$C$3:$G$46,4,FALSE),E41)</f>
        <v>234</v>
      </c>
      <c r="F41" s="299">
        <f>_xlfn.IFNA(VLOOKUP(B41,Worksheet!$C$3:$G$46,5,FALSE),F41)</f>
        <v>137</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customHeight="1" x14ac:dyDescent="0.25">
      <c r="A43" s="224"/>
      <c r="B43" s="236">
        <v>1158</v>
      </c>
      <c r="C43" s="240" t="s">
        <v>3834</v>
      </c>
      <c r="D43" s="299">
        <f ca="1">_xlfn.IFNA(VLOOKUP(B43,Worksheet!$C$3:$G$46,3,FALSE),D43)</f>
        <v>0</v>
      </c>
      <c r="E43" s="299">
        <f ca="1">_xlfn.IFNA(VLOOKUP(B43,Worksheet!$C$3:$G$46,4,FALSE),E43)</f>
        <v>0</v>
      </c>
      <c r="F43" s="299">
        <f ca="1">_xlfn.IFNA(VLOOKUP(B43,Worksheet!$C$3:$G$46,5,FALSE),F43)</f>
        <v>0</v>
      </c>
      <c r="G43" s="205" t="s">
        <v>150</v>
      </c>
    </row>
    <row r="44" spans="1:7" s="248" customFormat="1" ht="45"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169</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67</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22</v>
      </c>
      <c r="E53" s="299">
        <f ca="1">_xlfn.IFNA(VLOOKUP(B53,Worksheet!$C$3:$G$46,4,FALSE),E53)</f>
        <v>23</v>
      </c>
      <c r="F53" s="299">
        <f ca="1">_xlfn.IFNA(VLOOKUP(B53,Worksheet!$C$3:$G$46,5,FALSE),F53)</f>
        <v>22</v>
      </c>
      <c r="G53" s="205" t="s">
        <v>83</v>
      </c>
    </row>
    <row r="54" spans="1:7" ht="45" hidden="1" customHeight="1" x14ac:dyDescent="0.25">
      <c r="A54" s="224"/>
      <c r="B54" s="236">
        <v>1214</v>
      </c>
      <c r="C54" s="262" t="s">
        <v>3842</v>
      </c>
      <c r="D54" s="299">
        <f ca="1">_xlfn.IFNA(VLOOKUP(B54,Worksheet!$C$3:$G$46,3,FALSE),D54)</f>
        <v>22</v>
      </c>
      <c r="E54" s="299">
        <f ca="1">_xlfn.IFNA(VLOOKUP(B54,Worksheet!$C$3:$G$46,4,FALSE),E54)</f>
        <v>23</v>
      </c>
      <c r="F54" s="299">
        <f ca="1">_xlfn.IFNA(VLOOKUP(B54,Worksheet!$C$3:$G$46,5,FALSE),F54)</f>
        <v>22</v>
      </c>
      <c r="G54" s="205" t="s">
        <v>83</v>
      </c>
    </row>
    <row r="55" spans="1:7" ht="45" hidden="1" customHeight="1" x14ac:dyDescent="0.25">
      <c r="A55" s="224"/>
      <c r="B55" s="236">
        <v>1215</v>
      </c>
      <c r="C55" s="240" t="s">
        <v>3843</v>
      </c>
      <c r="D55" s="299">
        <f ca="1">_xlfn.IFNA(VLOOKUP(B55,Worksheet!$C$3:$G$46,3,FALSE),D55)</f>
        <v>22</v>
      </c>
      <c r="E55" s="299">
        <f ca="1">_xlfn.IFNA(VLOOKUP(B55,Worksheet!$C$3:$G$46,4,FALSE),E55)</f>
        <v>23</v>
      </c>
      <c r="F55" s="299">
        <f ca="1">_xlfn.IFNA(VLOOKUP(B55,Worksheet!$C$3:$G$46,5,FALSE),F55)</f>
        <v>22</v>
      </c>
      <c r="G55" s="205" t="s">
        <v>83</v>
      </c>
    </row>
    <row r="56" spans="1:7" ht="45" hidden="1" customHeight="1" x14ac:dyDescent="0.25">
      <c r="A56" s="224"/>
      <c r="B56" s="236">
        <v>1216</v>
      </c>
      <c r="C56" s="241" t="s">
        <v>3844</v>
      </c>
      <c r="D56" s="299">
        <f ca="1">_xlfn.IFNA(VLOOKUP(B56,Worksheet!$C$3:$G$46,3,FALSE),D56)</f>
        <v>22</v>
      </c>
      <c r="E56" s="299">
        <f ca="1">_xlfn.IFNA(VLOOKUP(B56,Worksheet!$C$3:$G$46,4,FALSE),E56)</f>
        <v>23</v>
      </c>
      <c r="F56" s="299">
        <f ca="1">_xlfn.IFNA(VLOOKUP(B56,Worksheet!$C$3:$G$46,5,FALSE),F56)</f>
        <v>22</v>
      </c>
      <c r="G56" s="205" t="s">
        <v>83</v>
      </c>
    </row>
    <row r="57" spans="1:7" ht="45" hidden="1" customHeight="1" x14ac:dyDescent="0.25">
      <c r="A57" s="224"/>
      <c r="B57" s="236">
        <v>1217</v>
      </c>
      <c r="C57" s="241" t="s">
        <v>3845</v>
      </c>
      <c r="D57" s="299" t="str">
        <f ca="1">_xlfn.IFNA(VLOOKUP(B57,Worksheet!$C$3:$G$46,3,FALSE),D57)</f>
        <v>NA</v>
      </c>
      <c r="E57" s="299" t="str">
        <f ca="1">_xlfn.IFNA(VLOOKUP(B57,Worksheet!$C$3:$G$46,4,FALSE),E57)</f>
        <v>NA</v>
      </c>
      <c r="F57" s="299" t="str">
        <f ca="1">_xlfn.IFNA(VLOOKUP(B57,Worksheet!$C$3:$G$46,5,FALSE),F57)</f>
        <v>NA</v>
      </c>
      <c r="G57" s="205" t="s">
        <v>83</v>
      </c>
    </row>
    <row r="58" spans="1:7" ht="45" hidden="1" customHeight="1" x14ac:dyDescent="0.25">
      <c r="A58" s="224"/>
      <c r="B58" s="236">
        <v>1218</v>
      </c>
      <c r="C58" s="241" t="s">
        <v>3846</v>
      </c>
      <c r="D58" s="299" t="str">
        <f ca="1">_xlfn.IFNA(VLOOKUP(B58,Worksheet!$C$3:$G$46,3,FALSE),D58)</f>
        <v>NA</v>
      </c>
      <c r="E58" s="299" t="str">
        <f ca="1">_xlfn.IFNA(VLOOKUP(B58,Worksheet!$C$3:$G$46,4,FALSE),E58)</f>
        <v>NA</v>
      </c>
      <c r="F58" s="299" t="str">
        <f ca="1">_xlfn.IFNA(VLOOKUP(B58,Worksheet!$C$3:$G$46,5,FALSE),F58)</f>
        <v>NA</v>
      </c>
      <c r="G58" s="205" t="s">
        <v>83</v>
      </c>
    </row>
    <row r="59" spans="1:7" ht="45" hidden="1" customHeight="1" x14ac:dyDescent="0.25">
      <c r="A59" s="224"/>
      <c r="B59" s="236">
        <v>1221</v>
      </c>
      <c r="C59" s="262" t="s">
        <v>3847</v>
      </c>
      <c r="D59" s="299">
        <f ca="1">_xlfn.IFNA(VLOOKUP(B59,Worksheet!$C$3:$G$46,3,FALSE),D59)</f>
        <v>22</v>
      </c>
      <c r="E59" s="299">
        <f ca="1">_xlfn.IFNA(VLOOKUP(B59,Worksheet!$C$3:$G$46,4,FALSE),E59)</f>
        <v>23</v>
      </c>
      <c r="F59" s="299">
        <f ca="1">_xlfn.IFNA(VLOOKUP(B59,Worksheet!$C$3:$G$46,5,FALSE),F59)</f>
        <v>22</v>
      </c>
      <c r="G59" s="205" t="s">
        <v>83</v>
      </c>
    </row>
    <row r="60" spans="1:7" ht="45" hidden="1" customHeight="1" x14ac:dyDescent="0.25">
      <c r="A60" s="224"/>
      <c r="B60" s="236">
        <v>1222</v>
      </c>
      <c r="C60" s="262" t="s">
        <v>3848</v>
      </c>
      <c r="D60" s="299">
        <f ca="1">_xlfn.IFNA(VLOOKUP(B60,Worksheet!$C$3:$G$46,3,FALSE),D60)</f>
        <v>22</v>
      </c>
      <c r="E60" s="299">
        <f ca="1">_xlfn.IFNA(VLOOKUP(B60,Worksheet!$C$3:$G$46,4,FALSE),E60)</f>
        <v>23</v>
      </c>
      <c r="F60" s="299">
        <f ca="1">_xlfn.IFNA(VLOOKUP(B60,Worksheet!$C$3:$G$46,5,FALSE),F60)</f>
        <v>22</v>
      </c>
      <c r="G60" s="205" t="s">
        <v>83</v>
      </c>
    </row>
    <row r="61" spans="1:7" ht="45" hidden="1" customHeight="1" x14ac:dyDescent="0.25">
      <c r="A61" s="224"/>
      <c r="B61" s="236">
        <v>1223</v>
      </c>
      <c r="C61" s="262" t="s">
        <v>3849</v>
      </c>
      <c r="D61" s="299">
        <f ca="1">_xlfn.IFNA(VLOOKUP(B61,Worksheet!$C$3:$G$46,3,FALSE),D61)</f>
        <v>22</v>
      </c>
      <c r="E61" s="299">
        <f ca="1">_xlfn.IFNA(VLOOKUP(B61,Worksheet!$C$3:$G$46,4,FALSE),E61)</f>
        <v>23</v>
      </c>
      <c r="F61" s="299">
        <f ca="1">_xlfn.IFNA(VLOOKUP(B61,Worksheet!$C$3:$G$46,5,FALSE),F61)</f>
        <v>22</v>
      </c>
      <c r="G61" s="205" t="s">
        <v>83</v>
      </c>
    </row>
    <row r="62" spans="1:7" ht="54.6" hidden="1" customHeight="1" x14ac:dyDescent="0.25">
      <c r="A62" s="224"/>
      <c r="B62" s="236">
        <v>1224</v>
      </c>
      <c r="C62" s="262" t="s">
        <v>3850</v>
      </c>
      <c r="D62" s="299">
        <f ca="1">_xlfn.IFNA(VLOOKUP(B62,Worksheet!$C$3:$G$46,3,FALSE),D62)</f>
        <v>22</v>
      </c>
      <c r="E62" s="299">
        <f ca="1">_xlfn.IFNA(VLOOKUP(B62,Worksheet!$C$3:$G$46,4,FALSE),E62)</f>
        <v>23</v>
      </c>
      <c r="F62" s="299">
        <f ca="1">_xlfn.IFNA(VLOOKUP(B62,Worksheet!$C$3:$G$46,5,FALSE),F62)</f>
        <v>22</v>
      </c>
      <c r="G62" s="205" t="s">
        <v>83</v>
      </c>
    </row>
    <row r="63" spans="1:7" ht="66.599999999999994" hidden="1" customHeight="1" x14ac:dyDescent="0.25">
      <c r="A63" s="224"/>
      <c r="B63" s="236">
        <v>1225</v>
      </c>
      <c r="C63" s="262" t="s">
        <v>3851</v>
      </c>
      <c r="D63" s="299">
        <f ca="1">_xlfn.IFNA(VLOOKUP(B63,Worksheet!$C$3:$G$46,3,FALSE),D63)</f>
        <v>22</v>
      </c>
      <c r="E63" s="299">
        <f ca="1">_xlfn.IFNA(VLOOKUP(B63,Worksheet!$C$3:$G$46,4,FALSE),E63)</f>
        <v>23</v>
      </c>
      <c r="F63" s="299">
        <f ca="1">_xlfn.IFNA(VLOOKUP(B63,Worksheet!$C$3:$G$46,5,FALSE),F63)</f>
        <v>22</v>
      </c>
      <c r="G63" s="205" t="s">
        <v>83</v>
      </c>
    </row>
    <row r="64" spans="1:7" ht="45" hidden="1" customHeight="1" x14ac:dyDescent="0.25">
      <c r="A64" s="224"/>
      <c r="B64" s="236">
        <v>1226</v>
      </c>
      <c r="C64" s="262" t="s">
        <v>3852</v>
      </c>
      <c r="D64" s="299" t="str">
        <f ca="1">_xlfn.IFNA(VLOOKUP(B64,Worksheet!$C$3:$G$46,3,FALSE),D64)</f>
        <v>NA</v>
      </c>
      <c r="E64" s="299" t="str">
        <f ca="1">_xlfn.IFNA(VLOOKUP(B64,Worksheet!$C$3:$G$46,4,FALSE),E64)</f>
        <v>NA</v>
      </c>
      <c r="F64" s="299" t="str">
        <f ca="1">_xlfn.IFNA(VLOOKUP(B64,Worksheet!$C$3:$G$46,5,FALSE),F64)</f>
        <v>NA</v>
      </c>
      <c r="G64" s="205" t="s">
        <v>83</v>
      </c>
    </row>
    <row r="65" spans="1:7" ht="45" hidden="1" customHeight="1" x14ac:dyDescent="0.25">
      <c r="A65" s="224"/>
      <c r="B65" s="236">
        <v>1227</v>
      </c>
      <c r="C65" s="262" t="s">
        <v>3853</v>
      </c>
      <c r="D65" s="299" t="str">
        <f ca="1">_xlfn.IFNA(VLOOKUP(B65,Worksheet!$C$3:$G$46,3,FALSE),D65)</f>
        <v>NA</v>
      </c>
      <c r="E65" s="299" t="str">
        <f ca="1">_xlfn.IFNA(VLOOKUP(B65,Worksheet!$C$3:$G$46,4,FALSE),E65)</f>
        <v>NA</v>
      </c>
      <c r="F65" s="299" t="str">
        <f ca="1">_xlfn.IFNA(VLOOKUP(B65,Worksheet!$C$3:$G$46,5,FALSE),F65)</f>
        <v>NA</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96</v>
      </c>
      <c r="E67" s="299">
        <f ca="1">_xlfn.IFNA(VLOOKUP(B67,Worksheet!$C$3:$G$46,4,FALSE),E67)</f>
        <v>67</v>
      </c>
      <c r="F67" s="299">
        <f ca="1">_xlfn.IFNA(VLOOKUP(B67,Worksheet!$C$3:$G$46,5,FALSE),F67)</f>
        <v>6</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96</v>
      </c>
      <c r="E71" s="299">
        <f ca="1">_xlfn.IFNA(VLOOKUP(B71,Worksheet!$C$3:$G$46,4,FALSE),E71)</f>
        <v>67</v>
      </c>
      <c r="F71" s="299">
        <f ca="1">_xlfn.IFNA(VLOOKUP(B71,Worksheet!$C$3:$G$46,5,FALSE),F71)</f>
        <v>6</v>
      </c>
      <c r="G71" s="205" t="s">
        <v>83</v>
      </c>
    </row>
    <row r="72" spans="1:7" ht="45" hidden="1" customHeight="1" x14ac:dyDescent="0.25">
      <c r="A72" s="224"/>
      <c r="B72" s="236">
        <v>1236</v>
      </c>
      <c r="C72" s="240" t="s">
        <v>3859</v>
      </c>
      <c r="D72" s="299" t="str">
        <f ca="1">_xlfn.IFNA(VLOOKUP(B72,Worksheet!$C$3:$G$46,3,FALSE),D72)</f>
        <v>NA</v>
      </c>
      <c r="E72" s="299" t="str">
        <f ca="1">_xlfn.IFNA(VLOOKUP(B72,Worksheet!$C$3:$G$46,4,FALSE),E72)</f>
        <v>NA</v>
      </c>
      <c r="F72" s="299" t="str">
        <f ca="1">_xlfn.IFNA(VLOOKUP(B72,Worksheet!$C$3:$G$46,5,FALSE),F72)</f>
        <v>NA</v>
      </c>
      <c r="G72" s="205" t="s">
        <v>83</v>
      </c>
    </row>
    <row r="73" spans="1:7" ht="45" hidden="1" customHeight="1" x14ac:dyDescent="0.25">
      <c r="A73" s="224"/>
      <c r="B73" s="236">
        <v>1241</v>
      </c>
      <c r="C73" s="240" t="s">
        <v>3860</v>
      </c>
      <c r="D73" s="299">
        <f ca="1">_xlfn.IFNA(VLOOKUP(B73,Worksheet!$C$3:$G$46,3,FALSE),D73)</f>
        <v>96</v>
      </c>
      <c r="E73" s="299">
        <f ca="1">_xlfn.IFNA(VLOOKUP(B73,Worksheet!$C$3:$G$46,4,FALSE),E73)</f>
        <v>67</v>
      </c>
      <c r="F73" s="299">
        <f ca="1">_xlfn.IFNA(VLOOKUP(B73,Worksheet!$C$3:$G$46,5,FALSE),F73)</f>
        <v>6</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96</v>
      </c>
      <c r="E75" s="299">
        <f ca="1">_xlfn.IFNA(VLOOKUP(B75,Worksheet!$C$3:$G$46,4,FALSE),E75)</f>
        <v>67</v>
      </c>
      <c r="F75" s="299">
        <f ca="1">_xlfn.IFNA(VLOOKUP(B75,Worksheet!$C$3:$G$46,5,FALSE),F75)</f>
        <v>6</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96</v>
      </c>
      <c r="E77" s="299">
        <f ca="1">_xlfn.IFNA(VLOOKUP(B77,Worksheet!$C$3:$G$46,4,FALSE),E77)</f>
        <v>67</v>
      </c>
      <c r="F77" s="299">
        <f ca="1">_xlfn.IFNA(VLOOKUP(B77,Worksheet!$C$3:$G$46,5,FALSE),F77)</f>
        <v>6</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96</v>
      </c>
      <c r="E79" s="299">
        <f ca="1">_xlfn.IFNA(VLOOKUP(B79,Worksheet!$C$3:$G$46,4,FALSE),E79)</f>
        <v>67</v>
      </c>
      <c r="F79" s="299">
        <f ca="1">_xlfn.IFNA(VLOOKUP(B79,Worksheet!$C$3:$G$46,5,FALSE),F79)</f>
        <v>6</v>
      </c>
      <c r="G79" s="205" t="s">
        <v>83</v>
      </c>
    </row>
    <row r="80" spans="1:7" ht="45" hidden="1" customHeight="1" x14ac:dyDescent="0.25">
      <c r="A80" s="224"/>
      <c r="B80" s="236">
        <v>1248</v>
      </c>
      <c r="C80" s="240" t="s">
        <v>3867</v>
      </c>
      <c r="D80" s="299" t="str">
        <f ca="1">_xlfn.IFNA(VLOOKUP(B80,Worksheet!$C$3:$G$46,3,FALSE),D80)</f>
        <v>NA</v>
      </c>
      <c r="E80" s="299" t="str">
        <f ca="1">_xlfn.IFNA(VLOOKUP(B80,Worksheet!$C$3:$G$46,4,FALSE),E80)</f>
        <v>NA</v>
      </c>
      <c r="F80" s="299" t="str">
        <f ca="1">_xlfn.IFNA(VLOOKUP(B80,Worksheet!$C$3:$G$46,5,FALSE),F80)</f>
        <v>NA</v>
      </c>
      <c r="G80" s="205" t="s">
        <v>83</v>
      </c>
    </row>
    <row r="81" spans="1:7" ht="45" hidden="1" customHeight="1" x14ac:dyDescent="0.25">
      <c r="A81" s="217"/>
      <c r="B81" s="236">
        <v>1251</v>
      </c>
      <c r="C81" s="219" t="s">
        <v>3868</v>
      </c>
      <c r="D81" s="263">
        <f ca="1">D82</f>
        <v>96</v>
      </c>
      <c r="E81" s="263">
        <f t="shared" ref="E81:F81" ca="1" si="4">E82</f>
        <v>67</v>
      </c>
      <c r="F81" s="263">
        <f t="shared" ca="1" si="4"/>
        <v>6</v>
      </c>
      <c r="G81" s="205"/>
    </row>
    <row r="82" spans="1:7" ht="45" hidden="1" customHeight="1" x14ac:dyDescent="0.25">
      <c r="A82" s="224"/>
      <c r="B82" s="236">
        <v>1252</v>
      </c>
      <c r="C82" s="240" t="s">
        <v>3869</v>
      </c>
      <c r="D82" s="299">
        <f ca="1">_xlfn.IFNA(VLOOKUP(B82,Worksheet!$C$3:$G$46,3,FALSE),D82)</f>
        <v>96</v>
      </c>
      <c r="E82" s="299">
        <f ca="1">_xlfn.IFNA(VLOOKUP(B82,Worksheet!$C$3:$G$46,4,FALSE),E82)</f>
        <v>67</v>
      </c>
      <c r="F82" s="299">
        <f ca="1">_xlfn.IFNA(VLOOKUP(B82,Worksheet!$C$3:$G$46,5,FALSE),F82)</f>
        <v>6</v>
      </c>
      <c r="G82" s="205" t="s">
        <v>83</v>
      </c>
    </row>
    <row r="83" spans="1:7" ht="45" hidden="1" customHeight="1" x14ac:dyDescent="0.25">
      <c r="A83" s="224"/>
      <c r="B83" s="236">
        <v>1253</v>
      </c>
      <c r="C83" s="240" t="s">
        <v>3870</v>
      </c>
      <c r="D83" s="299">
        <f ca="1">_xlfn.IFNA(VLOOKUP(B83,Worksheet!$C$3:$G$46,3,FALSE),D83)</f>
        <v>96</v>
      </c>
      <c r="E83" s="299">
        <f ca="1">_xlfn.IFNA(VLOOKUP(B83,Worksheet!$C$3:$G$46,4,FALSE),E83)</f>
        <v>67</v>
      </c>
      <c r="F83" s="299">
        <f ca="1">_xlfn.IFNA(VLOOKUP(B83,Worksheet!$C$3:$G$46,5,FALSE),F83)</f>
        <v>6</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t="str">
        <f ca="1">_xlfn.IFNA(VLOOKUP(B95,Worksheet!$C$3:$G$46,3,FALSE),D95)</f>
        <v>NA</v>
      </c>
      <c r="E95" s="299" t="str">
        <f ca="1">_xlfn.IFNA(VLOOKUP(B95,Worksheet!$C$3:$G$46,4,FALSE),E95)</f>
        <v>NA</v>
      </c>
      <c r="F95" s="299" t="str">
        <f ca="1">_xlfn.IFNA(VLOOKUP(B95,Worksheet!$C$3:$G$46,5,FALSE),F95)</f>
        <v>NA</v>
      </c>
      <c r="G95" s="264" t="s">
        <v>155</v>
      </c>
    </row>
    <row r="96" spans="1:7" s="268" customFormat="1" ht="45" hidden="1" customHeight="1" x14ac:dyDescent="0.25">
      <c r="A96" s="224"/>
      <c r="B96" s="236">
        <v>1316</v>
      </c>
      <c r="C96" s="241" t="s">
        <v>3881</v>
      </c>
      <c r="D96" s="299" t="str">
        <f ca="1">_xlfn.IFNA(VLOOKUP(B96,Worksheet!$C$3:$G$46,3,FALSE),D96)</f>
        <v>NA</v>
      </c>
      <c r="E96" s="299" t="str">
        <f ca="1">_xlfn.IFNA(VLOOKUP(B96,Worksheet!$C$3:$G$46,4,FALSE),E96)</f>
        <v>NA</v>
      </c>
      <c r="F96" s="299" t="str">
        <f ca="1">_xlfn.IFNA(VLOOKUP(B96,Worksheet!$C$3:$G$46,5,FALSE),F96)</f>
        <v>NA</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1cYLSmkcKNTD4w5iNggAJekonBDDJnEyzWkTFYzhzDgb08aZF707sE0pWvuqYoACyxfmNhyPyduHDszMKq1o1w==" saltValue="Hw1dQ0U1ye0/RSJe48fKUg=="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Dani</cp:lastModifiedBy>
  <cp:lastPrinted>2017-01-11T15:12:50Z</cp:lastPrinted>
  <dcterms:created xsi:type="dcterms:W3CDTF">2017-01-08T13:42:03Z</dcterms:created>
  <dcterms:modified xsi:type="dcterms:W3CDTF">2017-02-27T16:02:53Z</dcterms:modified>
</cp:coreProperties>
</file>