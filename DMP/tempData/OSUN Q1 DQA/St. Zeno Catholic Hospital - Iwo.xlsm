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wtay\Desktop\FILLED NOT CCOMPLETED\"/>
    </mc:Choice>
  </mc:AlternateContent>
  <workbookProtection workbookAlgorithmName="SHA-512" workbookHashValue="7DgBvElyPXLT1KRyIyO5ApASn5jA99ytn22+KUj8HyWrqK+R5Lit4aY4p/bi68BTThq5P8At+w6BtYj6xVRB/g==" workbookSaltValue="X8GZG6aH6d8WQ2B+vU7Wvg==" workbookSpinCount="100000" lockStructure="1"/>
  <bookViews>
    <workbookView xWindow="0" yWindow="0" windowWidth="20490" windowHeight="7460" tabRatio="591" firstSheet="1" activeTab="1"/>
  </bookViews>
  <sheets>
    <sheet name="DQA Summary (Map to Quest Ans)" sheetId="12" state="hidden" r:id="rId1"/>
    <sheet name="Worksheet" sheetId="11" r:id="rId2"/>
    <sheet name="All Questions" sheetId="10" state="hidden" r:id="rId3"/>
    <sheet name="TX_CURR" sheetId="13" r:id="rId4"/>
    <sheet name="TX_RET" sheetId="16" state="hidden"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3">TX_CURR!$A$1:$Z$108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504" i="9" l="1"/>
  <c r="N1503" i="9"/>
  <c r="N1502" i="9"/>
  <c r="N1501" i="9"/>
  <c r="N1500" i="9"/>
  <c r="N1499" i="9"/>
  <c r="N1498" i="9"/>
  <c r="N1497" i="9"/>
  <c r="N1496" i="9"/>
  <c r="N1495" i="9"/>
  <c r="N1494" i="9"/>
  <c r="N1493" i="9"/>
  <c r="N1492" i="9"/>
  <c r="N1491" i="9"/>
  <c r="N1490" i="9"/>
  <c r="N1489" i="9"/>
  <c r="N1488" i="9"/>
  <c r="N1487" i="9"/>
  <c r="N1486" i="9"/>
  <c r="N1485" i="9"/>
  <c r="N1484" i="9"/>
  <c r="N1483" i="9"/>
  <c r="N1482" i="9"/>
  <c r="N1481" i="9"/>
  <c r="N1480" i="9"/>
  <c r="N1479" i="9"/>
  <c r="N1478" i="9"/>
  <c r="N1477" i="9"/>
  <c r="N1476" i="9"/>
  <c r="N1475" i="9"/>
  <c r="N1474" i="9"/>
  <c r="N1473" i="9"/>
  <c r="N1472" i="9"/>
  <c r="N1471" i="9"/>
  <c r="N1470" i="9"/>
  <c r="N1469" i="9"/>
  <c r="N1468" i="9"/>
  <c r="N1467" i="9"/>
  <c r="N1466" i="9"/>
  <c r="N1465" i="9"/>
  <c r="N1464" i="9"/>
  <c r="N1463" i="9"/>
  <c r="N1462" i="9"/>
  <c r="N1461" i="9"/>
  <c r="N1460" i="9"/>
  <c r="N1459" i="9"/>
  <c r="N1458" i="9"/>
  <c r="N1457" i="9"/>
  <c r="N1456" i="9"/>
  <c r="N1455" i="9"/>
  <c r="N1454" i="9"/>
  <c r="N1453" i="9"/>
  <c r="N1452" i="9"/>
  <c r="N1451" i="9"/>
  <c r="N1450" i="9"/>
  <c r="N1449" i="9"/>
  <c r="N1448" i="9"/>
  <c r="N1447" i="9"/>
  <c r="N1446" i="9"/>
  <c r="N1445" i="9"/>
  <c r="N1444" i="9"/>
  <c r="N1443" i="9"/>
  <c r="N1442" i="9"/>
  <c r="N1441" i="9"/>
  <c r="N1440" i="9"/>
  <c r="N1439" i="9"/>
  <c r="N1438" i="9"/>
  <c r="N1437" i="9"/>
  <c r="N1436" i="9"/>
  <c r="N1435" i="9"/>
  <c r="N1434" i="9"/>
  <c r="N1433" i="9"/>
  <c r="N1432" i="9"/>
  <c r="N1431" i="9"/>
  <c r="N1430" i="9"/>
  <c r="N1429" i="9"/>
  <c r="N1428" i="9"/>
  <c r="N1427" i="9"/>
  <c r="N1426" i="9"/>
  <c r="N1425" i="9"/>
  <c r="N1424" i="9"/>
  <c r="N1423" i="9"/>
  <c r="N1422" i="9"/>
  <c r="N1421" i="9"/>
  <c r="N1420" i="9"/>
  <c r="N1419" i="9"/>
  <c r="N1418" i="9"/>
  <c r="N1417" i="9"/>
  <c r="N1416" i="9"/>
  <c r="N1415" i="9"/>
  <c r="N1414" i="9"/>
  <c r="N1413" i="9"/>
  <c r="N1412" i="9"/>
  <c r="N1411" i="9"/>
  <c r="N1410" i="9"/>
  <c r="N1409" i="9"/>
  <c r="N1408" i="9"/>
  <c r="N1407" i="9"/>
  <c r="N1406" i="9"/>
  <c r="N1405" i="9"/>
  <c r="N1404" i="9"/>
  <c r="N1403" i="9"/>
  <c r="N1402" i="9"/>
  <c r="N1401" i="9"/>
  <c r="N1400" i="9"/>
  <c r="N1399" i="9"/>
  <c r="N1398" i="9"/>
  <c r="N1397" i="9"/>
  <c r="N1396" i="9"/>
  <c r="N1395" i="9"/>
  <c r="N1394" i="9"/>
  <c r="N1393" i="9"/>
  <c r="N1392" i="9"/>
  <c r="N1391" i="9"/>
  <c r="N1390" i="9"/>
  <c r="N1389" i="9"/>
  <c r="N1388" i="9"/>
  <c r="N1387" i="9"/>
  <c r="N1386" i="9"/>
  <c r="N1385" i="9"/>
  <c r="N1384" i="9"/>
  <c r="N1383" i="9"/>
  <c r="N1382" i="9"/>
  <c r="N1381" i="9"/>
  <c r="N1380" i="9"/>
  <c r="N1379" i="9"/>
  <c r="N1378" i="9"/>
  <c r="N1377" i="9"/>
  <c r="N1376" i="9"/>
  <c r="N1375" i="9"/>
  <c r="N1374" i="9"/>
  <c r="N1373" i="9"/>
  <c r="N1372" i="9"/>
  <c r="N1371" i="9"/>
  <c r="N1370" i="9"/>
  <c r="N1369" i="9"/>
  <c r="N1368" i="9"/>
  <c r="N1367" i="9"/>
  <c r="N1366" i="9"/>
  <c r="N1365" i="9"/>
  <c r="N1364" i="9"/>
  <c r="N1363" i="9"/>
  <c r="N1362" i="9"/>
  <c r="N1361" i="9"/>
  <c r="N1360" i="9"/>
  <c r="N1359" i="9"/>
  <c r="N1358" i="9"/>
  <c r="N1357" i="9"/>
  <c r="N1356" i="9"/>
  <c r="N1355" i="9"/>
  <c r="N1354" i="9"/>
  <c r="N1353" i="9"/>
  <c r="N1352" i="9"/>
  <c r="N1351" i="9"/>
  <c r="N1350" i="9"/>
  <c r="N1349" i="9"/>
  <c r="N1348" i="9"/>
  <c r="N1347" i="9"/>
  <c r="N1346" i="9"/>
  <c r="N1345" i="9"/>
  <c r="N1344" i="9"/>
  <c r="N1343" i="9"/>
  <c r="N1342" i="9"/>
  <c r="N1341" i="9"/>
  <c r="N1340" i="9"/>
  <c r="N1339" i="9"/>
  <c r="N1338" i="9"/>
  <c r="N1337" i="9"/>
  <c r="N1336" i="9"/>
  <c r="N1335" i="9"/>
  <c r="N1334" i="9"/>
  <c r="N1333" i="9"/>
  <c r="N1332" i="9"/>
  <c r="N1331" i="9"/>
  <c r="N1330" i="9"/>
  <c r="N1329" i="9"/>
  <c r="N1328" i="9"/>
  <c r="N1327" i="9"/>
  <c r="N1326" i="9"/>
  <c r="N1325" i="9"/>
  <c r="N1324" i="9"/>
  <c r="N1323" i="9"/>
  <c r="N1322" i="9"/>
  <c r="N1321" i="9"/>
  <c r="N1320" i="9"/>
  <c r="N1319" i="9"/>
  <c r="N1318" i="9"/>
  <c r="N1317" i="9"/>
  <c r="N1316" i="9"/>
  <c r="N1315" i="9"/>
  <c r="N1314" i="9"/>
  <c r="N1313" i="9"/>
  <c r="N1312" i="9"/>
  <c r="N1311" i="9"/>
  <c r="N1310" i="9"/>
  <c r="N1309" i="9"/>
  <c r="N1308" i="9"/>
  <c r="N1307" i="9"/>
  <c r="N1306" i="9"/>
  <c r="N1305" i="9"/>
  <c r="N1304" i="9"/>
  <c r="N1303" i="9"/>
  <c r="N1302" i="9"/>
  <c r="N1301" i="9"/>
  <c r="N1300" i="9"/>
  <c r="N1299" i="9"/>
  <c r="N1298" i="9"/>
  <c r="N1297" i="9"/>
  <c r="N1296" i="9"/>
  <c r="N1295" i="9"/>
  <c r="N1294" i="9"/>
  <c r="N1293" i="9"/>
  <c r="N1292" i="9"/>
  <c r="N1291" i="9"/>
  <c r="N1290" i="9"/>
  <c r="N1289" i="9"/>
  <c r="N1288" i="9"/>
  <c r="N1287" i="9"/>
  <c r="N1286" i="9"/>
  <c r="N1285" i="9"/>
  <c r="N1284" i="9"/>
  <c r="N1283" i="9"/>
  <c r="N1282" i="9"/>
  <c r="N1281" i="9"/>
  <c r="N1280" i="9"/>
  <c r="N1279" i="9"/>
  <c r="N1278" i="9"/>
  <c r="N1277" i="9"/>
  <c r="N1276" i="9"/>
  <c r="N1275" i="9"/>
  <c r="N1274" i="9"/>
  <c r="N1273" i="9"/>
  <c r="N1272" i="9"/>
  <c r="N1271" i="9"/>
  <c r="N1270" i="9"/>
  <c r="N1269" i="9"/>
  <c r="N1268" i="9"/>
  <c r="N1267" i="9"/>
  <c r="N1266" i="9"/>
  <c r="N1265" i="9"/>
  <c r="N1264" i="9"/>
  <c r="N1263" i="9"/>
  <c r="N1262" i="9"/>
  <c r="N1261" i="9"/>
  <c r="N1260" i="9"/>
  <c r="N1259" i="9"/>
  <c r="N1258" i="9"/>
  <c r="N1257" i="9"/>
  <c r="N1256" i="9"/>
  <c r="N1255" i="9"/>
  <c r="N1254" i="9"/>
  <c r="N1253" i="9"/>
  <c r="N1252" i="9"/>
  <c r="N1251" i="9"/>
  <c r="N1250" i="9"/>
  <c r="N1249" i="9"/>
  <c r="N1248" i="9"/>
  <c r="N1247" i="9"/>
  <c r="N1246" i="9"/>
  <c r="N1245" i="9"/>
  <c r="N1244" i="9"/>
  <c r="N1243" i="9"/>
  <c r="N1242" i="9"/>
  <c r="N1241" i="9"/>
  <c r="N1240" i="9"/>
  <c r="N1239" i="9"/>
  <c r="N1238" i="9"/>
  <c r="N1237" i="9"/>
  <c r="N1236" i="9"/>
  <c r="N1235" i="9"/>
  <c r="N1234" i="9"/>
  <c r="N1233" i="9"/>
  <c r="N1232" i="9"/>
  <c r="N1231" i="9"/>
  <c r="N1230" i="9"/>
  <c r="N1229" i="9"/>
  <c r="N1228" i="9"/>
  <c r="N1227" i="9"/>
  <c r="N1226" i="9"/>
  <c r="N1225" i="9"/>
  <c r="N1224" i="9"/>
  <c r="N1223" i="9"/>
  <c r="N1222" i="9"/>
  <c r="N1221" i="9"/>
  <c r="N1220" i="9"/>
  <c r="N1219" i="9"/>
  <c r="N1218" i="9"/>
  <c r="N1217" i="9"/>
  <c r="N1216" i="9"/>
  <c r="N1215" i="9"/>
  <c r="N1214" i="9"/>
  <c r="N1213" i="9"/>
  <c r="N1212" i="9"/>
  <c r="N1211" i="9"/>
  <c r="N1210" i="9"/>
  <c r="N1209" i="9"/>
  <c r="N1208" i="9"/>
  <c r="N1207" i="9"/>
  <c r="N1206" i="9"/>
  <c r="N1205" i="9"/>
  <c r="N1204" i="9"/>
  <c r="N1203" i="9"/>
  <c r="N1202" i="9"/>
  <c r="N1201" i="9"/>
  <c r="N1200" i="9"/>
  <c r="N1199" i="9"/>
  <c r="N1198" i="9"/>
  <c r="N1197" i="9"/>
  <c r="N1196" i="9"/>
  <c r="N1195" i="9"/>
  <c r="N1194" i="9"/>
  <c r="N1193" i="9"/>
  <c r="N1192" i="9"/>
  <c r="N1191" i="9"/>
  <c r="N1190" i="9"/>
  <c r="N1189" i="9"/>
  <c r="N1188" i="9"/>
  <c r="N1187" i="9"/>
  <c r="N1186" i="9"/>
  <c r="N1185" i="9"/>
  <c r="N1184" i="9"/>
  <c r="N1183" i="9"/>
  <c r="N1182" i="9"/>
  <c r="N1181" i="9"/>
  <c r="N1180" i="9"/>
  <c r="N1179" i="9"/>
  <c r="N1178" i="9"/>
  <c r="N1177" i="9"/>
  <c r="N1176" i="9"/>
  <c r="N1175" i="9"/>
  <c r="N1174" i="9"/>
  <c r="N1173" i="9"/>
  <c r="N1172" i="9"/>
  <c r="N1171" i="9"/>
  <c r="N1170" i="9"/>
  <c r="N1169" i="9"/>
  <c r="N1168" i="9"/>
  <c r="N1167" i="9"/>
  <c r="N1166" i="9"/>
  <c r="N1165" i="9"/>
  <c r="N1164" i="9"/>
  <c r="N1163" i="9"/>
  <c r="N1162" i="9"/>
  <c r="N1161" i="9"/>
  <c r="N1160" i="9"/>
  <c r="N1159" i="9"/>
  <c r="N1158" i="9"/>
  <c r="N1157" i="9"/>
  <c r="N1156" i="9"/>
  <c r="N1155" i="9"/>
  <c r="N1154" i="9"/>
  <c r="N1153" i="9"/>
  <c r="N1152" i="9"/>
  <c r="N1151" i="9"/>
  <c r="N1150" i="9"/>
  <c r="N1149" i="9"/>
  <c r="N1148" i="9"/>
  <c r="N1147" i="9"/>
  <c r="N1146" i="9"/>
  <c r="N1145" i="9"/>
  <c r="N1144" i="9"/>
  <c r="N1143" i="9"/>
  <c r="N1142" i="9"/>
  <c r="N1141" i="9"/>
  <c r="N1140" i="9"/>
  <c r="N1139" i="9"/>
  <c r="N1138" i="9"/>
  <c r="N1137" i="9"/>
  <c r="N1136" i="9"/>
  <c r="N1135" i="9"/>
  <c r="N1134" i="9"/>
  <c r="N1133" i="9"/>
  <c r="N1132" i="9"/>
  <c r="N1131" i="9"/>
  <c r="N1130" i="9"/>
  <c r="N1129" i="9"/>
  <c r="N1128" i="9"/>
  <c r="N1127" i="9"/>
  <c r="N1126" i="9"/>
  <c r="N1125" i="9"/>
  <c r="N1124" i="9"/>
  <c r="N1123" i="9"/>
  <c r="N1122" i="9"/>
  <c r="N1121" i="9"/>
  <c r="N1120" i="9"/>
  <c r="N1119" i="9"/>
  <c r="N1118" i="9"/>
  <c r="N1117" i="9"/>
  <c r="N1116" i="9"/>
  <c r="N1115" i="9"/>
  <c r="N1114" i="9"/>
  <c r="N1113" i="9"/>
  <c r="N1112" i="9"/>
  <c r="N1111" i="9"/>
  <c r="N1110" i="9"/>
  <c r="N1109" i="9"/>
  <c r="N1108" i="9"/>
  <c r="N1107" i="9"/>
  <c r="N1106" i="9"/>
  <c r="N1105" i="9"/>
  <c r="N1104" i="9"/>
  <c r="N1103" i="9"/>
  <c r="N1102" i="9"/>
  <c r="N1101" i="9"/>
  <c r="N1100" i="9"/>
  <c r="N1099" i="9"/>
  <c r="N1098" i="9"/>
  <c r="N1097" i="9"/>
  <c r="N1096" i="9"/>
  <c r="N1095" i="9"/>
  <c r="N1094" i="9"/>
  <c r="N1093" i="9"/>
  <c r="N1092" i="9"/>
  <c r="N1091" i="9"/>
  <c r="N1090" i="9"/>
  <c r="N1089" i="9"/>
  <c r="N1088" i="9"/>
  <c r="N1087" i="9"/>
  <c r="N1086" i="9"/>
  <c r="N1085" i="9"/>
  <c r="N1084" i="9"/>
  <c r="N1083" i="9"/>
  <c r="N1082" i="9"/>
  <c r="N1081" i="9"/>
  <c r="N1080" i="9"/>
  <c r="N1079" i="9"/>
  <c r="N1078" i="9"/>
  <c r="N1077" i="9"/>
  <c r="N1076" i="9"/>
  <c r="N1075" i="9"/>
  <c r="N1074" i="9"/>
  <c r="N1073" i="9"/>
  <c r="N1072" i="9"/>
  <c r="N1071" i="9"/>
  <c r="N1070" i="9"/>
  <c r="N1069" i="9"/>
  <c r="N1068" i="9"/>
  <c r="N1067" i="9"/>
  <c r="N1066" i="9"/>
  <c r="N1065" i="9"/>
  <c r="N1064" i="9"/>
  <c r="N1063" i="9"/>
  <c r="N1062" i="9"/>
  <c r="N1061" i="9"/>
  <c r="N1060" i="9"/>
  <c r="N1059" i="9"/>
  <c r="N1058" i="9"/>
  <c r="N1057" i="9"/>
  <c r="N1056" i="9"/>
  <c r="N1055" i="9"/>
  <c r="N1054" i="9"/>
  <c r="N1053" i="9"/>
  <c r="N1052" i="9"/>
  <c r="N1051" i="9"/>
  <c r="N1050" i="9"/>
  <c r="N1049" i="9"/>
  <c r="N1048" i="9"/>
  <c r="N1047" i="9"/>
  <c r="N1046" i="9"/>
  <c r="N1045" i="9"/>
  <c r="N1044" i="9"/>
  <c r="N1043" i="9"/>
  <c r="N1042" i="9"/>
  <c r="N1041" i="9"/>
  <c r="N1040" i="9"/>
  <c r="N1039" i="9"/>
  <c r="N1038" i="9"/>
  <c r="N1037" i="9"/>
  <c r="N1036" i="9"/>
  <c r="N1035" i="9"/>
  <c r="N1034" i="9"/>
  <c r="N1033" i="9"/>
  <c r="N1032" i="9"/>
  <c r="N1031" i="9"/>
  <c r="N1030" i="9"/>
  <c r="N1029" i="9"/>
  <c r="N1028" i="9"/>
  <c r="N1027" i="9"/>
  <c r="N1026" i="9"/>
  <c r="N1025" i="9"/>
  <c r="N1024" i="9"/>
  <c r="N1023" i="9"/>
  <c r="N1022" i="9"/>
  <c r="N1021" i="9"/>
  <c r="N1020" i="9"/>
  <c r="N1019" i="9"/>
  <c r="N1018" i="9"/>
  <c r="N1017" i="9"/>
  <c r="N1016" i="9"/>
  <c r="N1015" i="9"/>
  <c r="N1014" i="9"/>
  <c r="N1013" i="9"/>
  <c r="N1012" i="9"/>
  <c r="N1011" i="9"/>
  <c r="N1010" i="9"/>
  <c r="N1009" i="9"/>
  <c r="N1008" i="9"/>
  <c r="N1007" i="9"/>
  <c r="N1006" i="9"/>
  <c r="N1005" i="9"/>
  <c r="N1004" i="9"/>
  <c r="N1003" i="9"/>
  <c r="N1002" i="9"/>
  <c r="N1001" i="9"/>
  <c r="N1000" i="9"/>
  <c r="N999" i="9"/>
  <c r="N998" i="9"/>
  <c r="N997" i="9"/>
  <c r="N996" i="9"/>
  <c r="N995" i="9"/>
  <c r="N994" i="9"/>
  <c r="N993" i="9"/>
  <c r="N992" i="9"/>
  <c r="N991" i="9"/>
  <c r="N990" i="9"/>
  <c r="N989" i="9"/>
  <c r="N988" i="9"/>
  <c r="N987" i="9"/>
  <c r="N986" i="9"/>
  <c r="N985" i="9"/>
  <c r="N984" i="9"/>
  <c r="N983" i="9"/>
  <c r="N982" i="9"/>
  <c r="N981" i="9"/>
  <c r="N980" i="9"/>
  <c r="N979" i="9"/>
  <c r="N978" i="9"/>
  <c r="N977" i="9"/>
  <c r="N976" i="9"/>
  <c r="N975" i="9"/>
  <c r="N974" i="9"/>
  <c r="N973" i="9"/>
  <c r="N972" i="9"/>
  <c r="N971" i="9"/>
  <c r="N970" i="9"/>
  <c r="N969" i="9"/>
  <c r="N968" i="9"/>
  <c r="N967" i="9"/>
  <c r="N966" i="9"/>
  <c r="N965" i="9"/>
  <c r="N964" i="9"/>
  <c r="N963" i="9"/>
  <c r="N962" i="9"/>
  <c r="N961" i="9"/>
  <c r="N960" i="9"/>
  <c r="N959" i="9"/>
  <c r="N958" i="9"/>
  <c r="N957" i="9"/>
  <c r="N956" i="9"/>
  <c r="N955" i="9"/>
  <c r="N954" i="9"/>
  <c r="N953" i="9"/>
  <c r="N952" i="9"/>
  <c r="N951" i="9"/>
  <c r="N950" i="9"/>
  <c r="N949" i="9"/>
  <c r="N948" i="9"/>
  <c r="N947" i="9"/>
  <c r="N946" i="9"/>
  <c r="N945" i="9"/>
  <c r="N944" i="9"/>
  <c r="N943" i="9"/>
  <c r="N942" i="9"/>
  <c r="N941" i="9"/>
  <c r="N940" i="9"/>
  <c r="N939" i="9"/>
  <c r="N938" i="9"/>
  <c r="N937" i="9"/>
  <c r="N936" i="9"/>
  <c r="N935" i="9"/>
  <c r="N934" i="9"/>
  <c r="N933" i="9"/>
  <c r="N932" i="9"/>
  <c r="N931" i="9"/>
  <c r="N930" i="9"/>
  <c r="N929" i="9"/>
  <c r="N928" i="9"/>
  <c r="N927" i="9"/>
  <c r="N926" i="9"/>
  <c r="N925" i="9"/>
  <c r="N924" i="9"/>
  <c r="N923" i="9"/>
  <c r="N922" i="9"/>
  <c r="N921" i="9"/>
  <c r="N920" i="9"/>
  <c r="N919" i="9"/>
  <c r="N918" i="9"/>
  <c r="N917" i="9"/>
  <c r="N916" i="9"/>
  <c r="N915" i="9"/>
  <c r="N914" i="9"/>
  <c r="N913" i="9"/>
  <c r="N912" i="9"/>
  <c r="N911" i="9"/>
  <c r="N910" i="9"/>
  <c r="N909" i="9"/>
  <c r="N908" i="9"/>
  <c r="N907" i="9"/>
  <c r="N906" i="9"/>
  <c r="N905" i="9"/>
  <c r="N904" i="9"/>
  <c r="N903" i="9"/>
  <c r="N902" i="9"/>
  <c r="N901" i="9"/>
  <c r="N900" i="9"/>
  <c r="N899" i="9"/>
  <c r="N898" i="9"/>
  <c r="N897" i="9"/>
  <c r="N896" i="9"/>
  <c r="N895" i="9"/>
  <c r="N894" i="9"/>
  <c r="N893" i="9"/>
  <c r="N892" i="9"/>
  <c r="N891" i="9"/>
  <c r="N890" i="9"/>
  <c r="N889" i="9"/>
  <c r="N888" i="9"/>
  <c r="N887" i="9"/>
  <c r="N886" i="9"/>
  <c r="N885" i="9"/>
  <c r="N884" i="9"/>
  <c r="N883" i="9"/>
  <c r="N882" i="9"/>
  <c r="N881" i="9"/>
  <c r="N880" i="9"/>
  <c r="N879" i="9"/>
  <c r="N878" i="9"/>
  <c r="N877" i="9"/>
  <c r="N876" i="9"/>
  <c r="N875" i="9"/>
  <c r="N874" i="9"/>
  <c r="N873" i="9"/>
  <c r="N872" i="9"/>
  <c r="N871" i="9"/>
  <c r="N870" i="9"/>
  <c r="N869" i="9"/>
  <c r="N868" i="9"/>
  <c r="N867" i="9"/>
  <c r="N866" i="9"/>
  <c r="N865" i="9"/>
  <c r="N864" i="9"/>
  <c r="N863" i="9"/>
  <c r="N862" i="9"/>
  <c r="N861" i="9"/>
  <c r="N860" i="9"/>
  <c r="N859" i="9"/>
  <c r="N858" i="9"/>
  <c r="N857" i="9"/>
  <c r="N856" i="9"/>
  <c r="N855" i="9"/>
  <c r="N854" i="9"/>
  <c r="N853" i="9"/>
  <c r="N852" i="9"/>
  <c r="N851" i="9"/>
  <c r="N850" i="9"/>
  <c r="N849" i="9"/>
  <c r="N848" i="9"/>
  <c r="N847" i="9"/>
  <c r="N846" i="9"/>
  <c r="N845" i="9"/>
  <c r="N844" i="9"/>
  <c r="N843" i="9"/>
  <c r="N842" i="9"/>
  <c r="N841" i="9"/>
  <c r="N840" i="9"/>
  <c r="N839" i="9"/>
  <c r="N838" i="9"/>
  <c r="N837" i="9"/>
  <c r="N836" i="9"/>
  <c r="N835" i="9"/>
  <c r="N834" i="9"/>
  <c r="N833" i="9"/>
  <c r="N832" i="9"/>
  <c r="N831" i="9"/>
  <c r="N830" i="9"/>
  <c r="N829" i="9"/>
  <c r="N828" i="9"/>
  <c r="N827" i="9"/>
  <c r="N826" i="9"/>
  <c r="N825" i="9"/>
  <c r="N824" i="9"/>
  <c r="N823" i="9"/>
  <c r="N822" i="9"/>
  <c r="N821" i="9"/>
  <c r="N820" i="9"/>
  <c r="N819" i="9"/>
  <c r="N818" i="9"/>
  <c r="N817" i="9"/>
  <c r="N816" i="9"/>
  <c r="N815" i="9"/>
  <c r="N814" i="9"/>
  <c r="N813" i="9"/>
  <c r="N812" i="9"/>
  <c r="N811" i="9"/>
  <c r="N810" i="9"/>
  <c r="N809" i="9"/>
  <c r="N808" i="9"/>
  <c r="N807" i="9"/>
  <c r="N806" i="9"/>
  <c r="N805" i="9"/>
  <c r="N804" i="9"/>
  <c r="N803" i="9"/>
  <c r="N802" i="9"/>
  <c r="N801" i="9"/>
  <c r="N800" i="9"/>
  <c r="N799" i="9"/>
  <c r="N798" i="9"/>
  <c r="N797" i="9"/>
  <c r="N796" i="9"/>
  <c r="N795" i="9"/>
  <c r="N794" i="9"/>
  <c r="N793" i="9"/>
  <c r="N792" i="9"/>
  <c r="N791" i="9"/>
  <c r="N790" i="9"/>
  <c r="N789" i="9"/>
  <c r="N788" i="9"/>
  <c r="N787" i="9"/>
  <c r="N786" i="9"/>
  <c r="N785" i="9"/>
  <c r="N784" i="9"/>
  <c r="N783" i="9"/>
  <c r="N782" i="9"/>
  <c r="N781" i="9"/>
  <c r="N780" i="9"/>
  <c r="N779" i="9"/>
  <c r="N778" i="9"/>
  <c r="N777" i="9"/>
  <c r="N776" i="9"/>
  <c r="N775" i="9"/>
  <c r="N774" i="9"/>
  <c r="N773" i="9"/>
  <c r="N772" i="9"/>
  <c r="N771" i="9"/>
  <c r="N770" i="9"/>
  <c r="N769" i="9"/>
  <c r="N768" i="9"/>
  <c r="N767" i="9"/>
  <c r="N766" i="9"/>
  <c r="N765" i="9"/>
  <c r="N764" i="9"/>
  <c r="N763" i="9"/>
  <c r="N762" i="9"/>
  <c r="N761" i="9"/>
  <c r="N760" i="9"/>
  <c r="N759" i="9"/>
  <c r="N758" i="9"/>
  <c r="N757" i="9"/>
  <c r="N756" i="9"/>
  <c r="N755" i="9"/>
  <c r="N754" i="9"/>
  <c r="N753" i="9"/>
  <c r="N752" i="9"/>
  <c r="N751" i="9"/>
  <c r="N750" i="9"/>
  <c r="N749" i="9"/>
  <c r="N748" i="9"/>
  <c r="N747" i="9"/>
  <c r="N746" i="9"/>
  <c r="N745" i="9"/>
  <c r="N744" i="9"/>
  <c r="N743" i="9"/>
  <c r="N742" i="9"/>
  <c r="N741" i="9"/>
  <c r="N740" i="9"/>
  <c r="N739" i="9"/>
  <c r="N738" i="9"/>
  <c r="N737" i="9"/>
  <c r="N736" i="9"/>
  <c r="N735" i="9"/>
  <c r="N734" i="9"/>
  <c r="N733" i="9"/>
  <c r="N732" i="9"/>
  <c r="N731" i="9"/>
  <c r="N730" i="9"/>
  <c r="N729" i="9"/>
  <c r="N728" i="9"/>
  <c r="N727" i="9"/>
  <c r="N726" i="9"/>
  <c r="N725" i="9"/>
  <c r="N724" i="9"/>
  <c r="N723" i="9"/>
  <c r="N722" i="9"/>
  <c r="N721" i="9"/>
  <c r="N720" i="9"/>
  <c r="N719" i="9"/>
  <c r="N718" i="9"/>
  <c r="N717" i="9"/>
  <c r="N716" i="9"/>
  <c r="N715" i="9"/>
  <c r="N714" i="9"/>
  <c r="N713" i="9"/>
  <c r="N712" i="9"/>
  <c r="N711" i="9"/>
  <c r="N710" i="9"/>
  <c r="N709" i="9"/>
  <c r="N708" i="9"/>
  <c r="N707" i="9"/>
  <c r="N706" i="9"/>
  <c r="N705" i="9"/>
  <c r="N704" i="9"/>
  <c r="N703" i="9"/>
  <c r="N702" i="9"/>
  <c r="N701" i="9"/>
  <c r="N700" i="9"/>
  <c r="N699" i="9"/>
  <c r="N698" i="9"/>
  <c r="N697" i="9"/>
  <c r="N696" i="9"/>
  <c r="N695" i="9"/>
  <c r="N694" i="9"/>
  <c r="N693" i="9"/>
  <c r="N692" i="9"/>
  <c r="N691" i="9"/>
  <c r="N690" i="9"/>
  <c r="N689" i="9"/>
  <c r="N688" i="9"/>
  <c r="N687" i="9"/>
  <c r="N686" i="9"/>
  <c r="N685" i="9"/>
  <c r="N684" i="9"/>
  <c r="N683" i="9"/>
  <c r="N682" i="9"/>
  <c r="N681" i="9"/>
  <c r="N680" i="9"/>
  <c r="N679" i="9"/>
  <c r="N678" i="9"/>
  <c r="N677" i="9"/>
  <c r="N676" i="9"/>
  <c r="N675" i="9"/>
  <c r="N674" i="9"/>
  <c r="N673" i="9"/>
  <c r="N672" i="9"/>
  <c r="N671" i="9"/>
  <c r="N670" i="9"/>
  <c r="N669" i="9"/>
  <c r="N668" i="9"/>
  <c r="N667" i="9"/>
  <c r="N666" i="9"/>
  <c r="N665" i="9"/>
  <c r="N664" i="9"/>
  <c r="N663" i="9"/>
  <c r="N662" i="9"/>
  <c r="N661" i="9"/>
  <c r="N660" i="9"/>
  <c r="N659" i="9"/>
  <c r="N658" i="9"/>
  <c r="N657" i="9"/>
  <c r="N656" i="9"/>
  <c r="N655" i="9"/>
  <c r="N654" i="9"/>
  <c r="N653" i="9"/>
  <c r="N652" i="9"/>
  <c r="N651" i="9"/>
  <c r="N650" i="9"/>
  <c r="N649" i="9"/>
  <c r="N648" i="9"/>
  <c r="N647" i="9"/>
  <c r="N646" i="9"/>
  <c r="N645" i="9"/>
  <c r="N644" i="9"/>
  <c r="N643" i="9"/>
  <c r="N642" i="9"/>
  <c r="N641" i="9"/>
  <c r="N640" i="9"/>
  <c r="N639" i="9"/>
  <c r="N638" i="9"/>
  <c r="N637" i="9"/>
  <c r="N636" i="9"/>
  <c r="N635" i="9"/>
  <c r="N634" i="9"/>
  <c r="N633" i="9"/>
  <c r="N632" i="9"/>
  <c r="N631" i="9"/>
  <c r="N630" i="9"/>
  <c r="N629" i="9"/>
  <c r="N628" i="9"/>
  <c r="N627" i="9"/>
  <c r="N626" i="9"/>
  <c r="N625" i="9"/>
  <c r="N624" i="9"/>
  <c r="N623" i="9"/>
  <c r="N622" i="9"/>
  <c r="N621" i="9"/>
  <c r="N620" i="9"/>
  <c r="N619" i="9"/>
  <c r="N618" i="9"/>
  <c r="N617" i="9"/>
  <c r="N616" i="9"/>
  <c r="N615" i="9"/>
  <c r="N614" i="9"/>
  <c r="N613" i="9"/>
  <c r="N612" i="9"/>
  <c r="N611" i="9"/>
  <c r="N610" i="9"/>
  <c r="N609" i="9"/>
  <c r="N608" i="9"/>
  <c r="N607" i="9"/>
  <c r="N606" i="9"/>
  <c r="N605" i="9"/>
  <c r="N604" i="9"/>
  <c r="N603" i="9"/>
  <c r="N602" i="9"/>
  <c r="N601" i="9"/>
  <c r="N600" i="9"/>
  <c r="N599" i="9"/>
  <c r="N598" i="9"/>
  <c r="N597" i="9"/>
  <c r="N596" i="9"/>
  <c r="N595" i="9"/>
  <c r="N594" i="9"/>
  <c r="N593" i="9"/>
  <c r="N592" i="9"/>
  <c r="N591" i="9"/>
  <c r="N590" i="9"/>
  <c r="N589" i="9"/>
  <c r="N588" i="9"/>
  <c r="N587" i="9"/>
  <c r="N586" i="9"/>
  <c r="N585" i="9"/>
  <c r="N584" i="9"/>
  <c r="N583" i="9"/>
  <c r="N582" i="9"/>
  <c r="N581" i="9"/>
  <c r="N580" i="9"/>
  <c r="N579" i="9"/>
  <c r="N578" i="9"/>
  <c r="N577" i="9"/>
  <c r="N576" i="9"/>
  <c r="N575" i="9"/>
  <c r="N574" i="9"/>
  <c r="N573" i="9"/>
  <c r="N572" i="9"/>
  <c r="N571" i="9"/>
  <c r="N570" i="9"/>
  <c r="N569" i="9"/>
  <c r="N568" i="9"/>
  <c r="N567" i="9"/>
  <c r="N566" i="9"/>
  <c r="N565" i="9"/>
  <c r="N564" i="9"/>
  <c r="N563" i="9"/>
  <c r="N562" i="9"/>
  <c r="N561" i="9"/>
  <c r="N560" i="9"/>
  <c r="N559" i="9"/>
  <c r="N558" i="9"/>
  <c r="N557" i="9"/>
  <c r="N556" i="9"/>
  <c r="N555" i="9"/>
  <c r="N554" i="9"/>
  <c r="N553" i="9"/>
  <c r="N552" i="9"/>
  <c r="N551" i="9"/>
  <c r="N550" i="9"/>
  <c r="N549" i="9"/>
  <c r="N548" i="9"/>
  <c r="N547" i="9"/>
  <c r="N546" i="9"/>
  <c r="N545" i="9"/>
  <c r="N544" i="9"/>
  <c r="N543" i="9"/>
  <c r="N542" i="9"/>
  <c r="N541" i="9"/>
  <c r="N540" i="9"/>
  <c r="N539" i="9"/>
  <c r="N538" i="9"/>
  <c r="N537" i="9"/>
  <c r="N536" i="9"/>
  <c r="N535" i="9"/>
  <c r="N534" i="9"/>
  <c r="N533" i="9"/>
  <c r="N532" i="9"/>
  <c r="N531" i="9"/>
  <c r="N530" i="9"/>
  <c r="N529" i="9"/>
  <c r="N528" i="9"/>
  <c r="N527" i="9"/>
  <c r="N526" i="9"/>
  <c r="N525" i="9"/>
  <c r="N524" i="9"/>
  <c r="N523" i="9"/>
  <c r="N522" i="9"/>
  <c r="N521" i="9"/>
  <c r="N520" i="9"/>
  <c r="N519" i="9"/>
  <c r="N518" i="9"/>
  <c r="N517" i="9"/>
  <c r="N516" i="9"/>
  <c r="N515" i="9"/>
  <c r="N514" i="9"/>
  <c r="N513" i="9"/>
  <c r="N512" i="9"/>
  <c r="N511" i="9"/>
  <c r="N510" i="9"/>
  <c r="N509" i="9"/>
  <c r="N508" i="9"/>
  <c r="N507" i="9"/>
  <c r="N506" i="9"/>
  <c r="N505" i="9"/>
  <c r="N504" i="9"/>
  <c r="N503" i="9"/>
  <c r="N502" i="9"/>
  <c r="N501" i="9"/>
  <c r="N500" i="9"/>
  <c r="N499" i="9"/>
  <c r="N498" i="9"/>
  <c r="N497" i="9"/>
  <c r="N496" i="9"/>
  <c r="N495" i="9"/>
  <c r="N494" i="9"/>
  <c r="N493" i="9"/>
  <c r="N492" i="9"/>
  <c r="N491" i="9"/>
  <c r="N490" i="9"/>
  <c r="N489" i="9"/>
  <c r="N488" i="9"/>
  <c r="N487" i="9"/>
  <c r="N486" i="9"/>
  <c r="N485" i="9"/>
  <c r="N484" i="9"/>
  <c r="N483" i="9"/>
  <c r="N482" i="9"/>
  <c r="N481" i="9"/>
  <c r="N480" i="9"/>
  <c r="N479" i="9"/>
  <c r="N478" i="9"/>
  <c r="N477" i="9"/>
  <c r="N476" i="9"/>
  <c r="N475" i="9"/>
  <c r="N474" i="9"/>
  <c r="N473" i="9"/>
  <c r="N472" i="9"/>
  <c r="N471" i="9"/>
  <c r="N470" i="9"/>
  <c r="N469" i="9"/>
  <c r="N468" i="9"/>
  <c r="N467" i="9"/>
  <c r="N466" i="9"/>
  <c r="N465" i="9"/>
  <c r="N464" i="9"/>
  <c r="N463" i="9"/>
  <c r="N462" i="9"/>
  <c r="N461" i="9"/>
  <c r="N460" i="9"/>
  <c r="N459" i="9"/>
  <c r="N458" i="9"/>
  <c r="N457" i="9"/>
  <c r="N456" i="9"/>
  <c r="N455" i="9"/>
  <c r="N454" i="9"/>
  <c r="N453" i="9"/>
  <c r="N452" i="9"/>
  <c r="N451" i="9"/>
  <c r="N450" i="9"/>
  <c r="N449" i="9"/>
  <c r="N448" i="9"/>
  <c r="N447" i="9"/>
  <c r="N446" i="9"/>
  <c r="N445" i="9"/>
  <c r="N444" i="9"/>
  <c r="N443" i="9"/>
  <c r="N442" i="9"/>
  <c r="N441" i="9"/>
  <c r="N440" i="9"/>
  <c r="N439" i="9"/>
  <c r="N438" i="9"/>
  <c r="N437" i="9"/>
  <c r="N436" i="9"/>
  <c r="N435" i="9"/>
  <c r="N434" i="9"/>
  <c r="N433" i="9"/>
  <c r="N432" i="9"/>
  <c r="N431" i="9"/>
  <c r="N430" i="9"/>
  <c r="N429" i="9"/>
  <c r="N428" i="9"/>
  <c r="N427" i="9"/>
  <c r="N426" i="9"/>
  <c r="N425" i="9"/>
  <c r="N424" i="9"/>
  <c r="N423" i="9"/>
  <c r="N422" i="9"/>
  <c r="N421" i="9"/>
  <c r="N420" i="9"/>
  <c r="N419" i="9"/>
  <c r="N418" i="9"/>
  <c r="N417" i="9"/>
  <c r="N416" i="9"/>
  <c r="N415" i="9"/>
  <c r="N414" i="9"/>
  <c r="N413" i="9"/>
  <c r="N412" i="9"/>
  <c r="N411" i="9"/>
  <c r="N410" i="9"/>
  <c r="N409" i="9"/>
  <c r="N408" i="9"/>
  <c r="N407" i="9"/>
  <c r="N406" i="9"/>
  <c r="N405" i="9"/>
  <c r="N404" i="9"/>
  <c r="N403" i="9"/>
  <c r="N402" i="9"/>
  <c r="N401" i="9"/>
  <c r="N400" i="9"/>
  <c r="N399" i="9"/>
  <c r="N398" i="9"/>
  <c r="N397" i="9"/>
  <c r="N396" i="9"/>
  <c r="N395" i="9"/>
  <c r="N394" i="9"/>
  <c r="N393" i="9"/>
  <c r="N392" i="9"/>
  <c r="N391" i="9"/>
  <c r="N390" i="9"/>
  <c r="N389" i="9"/>
  <c r="N388" i="9"/>
  <c r="N387" i="9"/>
  <c r="N386" i="9"/>
  <c r="N385" i="9"/>
  <c r="N384" i="9"/>
  <c r="N383" i="9"/>
  <c r="N382" i="9"/>
  <c r="N381" i="9"/>
  <c r="N380" i="9"/>
  <c r="N379" i="9"/>
  <c r="N378" i="9"/>
  <c r="N377" i="9"/>
  <c r="N376" i="9"/>
  <c r="N375" i="9"/>
  <c r="N374" i="9"/>
  <c r="N373" i="9"/>
  <c r="N372" i="9"/>
  <c r="N371" i="9"/>
  <c r="N370" i="9"/>
  <c r="N369" i="9"/>
  <c r="N368" i="9"/>
  <c r="N367" i="9"/>
  <c r="N366" i="9"/>
  <c r="N365" i="9"/>
  <c r="N364" i="9"/>
  <c r="N363" i="9"/>
  <c r="N362" i="9"/>
  <c r="N361" i="9"/>
  <c r="N360" i="9"/>
  <c r="N359" i="9"/>
  <c r="N358" i="9"/>
  <c r="N357" i="9"/>
  <c r="N356" i="9"/>
  <c r="N355" i="9"/>
  <c r="N354" i="9"/>
  <c r="N353" i="9"/>
  <c r="N352" i="9"/>
  <c r="N351" i="9"/>
  <c r="N350" i="9"/>
  <c r="N349" i="9"/>
  <c r="N348" i="9"/>
  <c r="N347" i="9"/>
  <c r="N346" i="9"/>
  <c r="N345" i="9"/>
  <c r="N344" i="9"/>
  <c r="N343" i="9"/>
  <c r="N342" i="9"/>
  <c r="N341" i="9"/>
  <c r="N340" i="9"/>
  <c r="N339" i="9"/>
  <c r="N338" i="9"/>
  <c r="N337" i="9"/>
  <c r="N336" i="9"/>
  <c r="N335" i="9"/>
  <c r="N334" i="9"/>
  <c r="N333" i="9"/>
  <c r="N332" i="9"/>
  <c r="N331" i="9"/>
  <c r="N330" i="9"/>
  <c r="N329" i="9"/>
  <c r="N328" i="9"/>
  <c r="N327" i="9"/>
  <c r="N326" i="9"/>
  <c r="N325" i="9"/>
  <c r="N324" i="9"/>
  <c r="N323" i="9"/>
  <c r="N322" i="9"/>
  <c r="N321" i="9"/>
  <c r="N320" i="9"/>
  <c r="N319" i="9"/>
  <c r="N318" i="9"/>
  <c r="N317" i="9"/>
  <c r="N316" i="9"/>
  <c r="N315" i="9"/>
  <c r="N314" i="9"/>
  <c r="N313" i="9"/>
  <c r="N312" i="9"/>
  <c r="N311" i="9"/>
  <c r="N310" i="9"/>
  <c r="N309" i="9"/>
  <c r="N308" i="9"/>
  <c r="N307" i="9"/>
  <c r="N306" i="9"/>
  <c r="N305" i="9"/>
  <c r="N304" i="9"/>
  <c r="N303" i="9"/>
  <c r="N302" i="9"/>
  <c r="N301" i="9"/>
  <c r="N300" i="9"/>
  <c r="N299" i="9"/>
  <c r="N298" i="9"/>
  <c r="N297" i="9"/>
  <c r="N296" i="9"/>
  <c r="N295" i="9"/>
  <c r="N294" i="9"/>
  <c r="N293" i="9"/>
  <c r="N292" i="9"/>
  <c r="N291" i="9"/>
  <c r="N290" i="9"/>
  <c r="N289" i="9"/>
  <c r="N288" i="9"/>
  <c r="N287" i="9"/>
  <c r="N286" i="9"/>
  <c r="N285" i="9"/>
  <c r="N284" i="9"/>
  <c r="N283" i="9"/>
  <c r="N282" i="9"/>
  <c r="N281" i="9"/>
  <c r="N280" i="9"/>
  <c r="N279" i="9"/>
  <c r="N278" i="9"/>
  <c r="N277" i="9"/>
  <c r="N276" i="9"/>
  <c r="N275" i="9"/>
  <c r="N274" i="9"/>
  <c r="N273" i="9"/>
  <c r="N272" i="9"/>
  <c r="N271" i="9"/>
  <c r="N270" i="9"/>
  <c r="N269" i="9"/>
  <c r="N268" i="9"/>
  <c r="N267" i="9"/>
  <c r="N266" i="9"/>
  <c r="N265" i="9"/>
  <c r="N264" i="9"/>
  <c r="N263" i="9"/>
  <c r="N262" i="9"/>
  <c r="N261" i="9"/>
  <c r="N260" i="9"/>
  <c r="N259" i="9"/>
  <c r="N258" i="9"/>
  <c r="N257" i="9"/>
  <c r="N256" i="9"/>
  <c r="N255" i="9"/>
  <c r="N254" i="9"/>
  <c r="N253" i="9"/>
  <c r="N252" i="9"/>
  <c r="N251" i="9"/>
  <c r="N250" i="9"/>
  <c r="N249" i="9"/>
  <c r="N248" i="9"/>
  <c r="N247" i="9"/>
  <c r="N246" i="9"/>
  <c r="N245" i="9"/>
  <c r="N244" i="9"/>
  <c r="N243" i="9"/>
  <c r="N242" i="9"/>
  <c r="N241" i="9"/>
  <c r="N240" i="9"/>
  <c r="N239" i="9"/>
  <c r="N238" i="9"/>
  <c r="N237" i="9"/>
  <c r="N236" i="9"/>
  <c r="N235" i="9"/>
  <c r="N234" i="9"/>
  <c r="N233" i="9"/>
  <c r="N232" i="9"/>
  <c r="N231" i="9"/>
  <c r="N230" i="9"/>
  <c r="N229" i="9"/>
  <c r="N228" i="9"/>
  <c r="N227" i="9"/>
  <c r="N226" i="9"/>
  <c r="N225" i="9"/>
  <c r="N224" i="9"/>
  <c r="N223" i="9"/>
  <c r="N222" i="9"/>
  <c r="N221" i="9"/>
  <c r="N220" i="9"/>
  <c r="N219" i="9"/>
  <c r="N218" i="9"/>
  <c r="N217" i="9"/>
  <c r="N216" i="9"/>
  <c r="N215" i="9"/>
  <c r="N214" i="9"/>
  <c r="N213" i="9"/>
  <c r="N212" i="9"/>
  <c r="N211" i="9"/>
  <c r="N210" i="9"/>
  <c r="N209" i="9"/>
  <c r="N208" i="9"/>
  <c r="N207" i="9"/>
  <c r="N206" i="9"/>
  <c r="N205" i="9"/>
  <c r="N204" i="9"/>
  <c r="N203" i="9"/>
  <c r="N202" i="9"/>
  <c r="N201" i="9"/>
  <c r="N200" i="9"/>
  <c r="N199" i="9"/>
  <c r="N198" i="9"/>
  <c r="N197" i="9"/>
  <c r="N196" i="9"/>
  <c r="N195" i="9"/>
  <c r="N194" i="9"/>
  <c r="N193" i="9"/>
  <c r="N192" i="9"/>
  <c r="N191" i="9"/>
  <c r="N190" i="9"/>
  <c r="N189" i="9"/>
  <c r="N188" i="9"/>
  <c r="N187" i="9"/>
  <c r="N186" i="9"/>
  <c r="N185" i="9"/>
  <c r="N184" i="9"/>
  <c r="N183" i="9"/>
  <c r="N182" i="9"/>
  <c r="N181" i="9"/>
  <c r="N180" i="9"/>
  <c r="N179" i="9"/>
  <c r="N178" i="9"/>
  <c r="N177" i="9"/>
  <c r="N176" i="9"/>
  <c r="N175" i="9"/>
  <c r="N174" i="9"/>
  <c r="N173" i="9"/>
  <c r="N172" i="9"/>
  <c r="N171" i="9"/>
  <c r="N170" i="9"/>
  <c r="N169" i="9"/>
  <c r="N168" i="9"/>
  <c r="N167" i="9"/>
  <c r="N166" i="9"/>
  <c r="N165" i="9"/>
  <c r="N164" i="9"/>
  <c r="N163" i="9"/>
  <c r="N162" i="9"/>
  <c r="N161" i="9"/>
  <c r="N160" i="9"/>
  <c r="N159" i="9"/>
  <c r="N158" i="9"/>
  <c r="N157" i="9"/>
  <c r="N156" i="9"/>
  <c r="N155" i="9"/>
  <c r="N154" i="9"/>
  <c r="N153" i="9"/>
  <c r="N152" i="9"/>
  <c r="N151" i="9"/>
  <c r="N150" i="9"/>
  <c r="N149" i="9"/>
  <c r="N148" i="9"/>
  <c r="N147" i="9"/>
  <c r="N146" i="9"/>
  <c r="N145" i="9"/>
  <c r="N144" i="9"/>
  <c r="N143" i="9"/>
  <c r="N142" i="9"/>
  <c r="N141" i="9"/>
  <c r="N140" i="9"/>
  <c r="N139" i="9"/>
  <c r="N138" i="9"/>
  <c r="N137" i="9"/>
  <c r="N136" i="9"/>
  <c r="N135" i="9"/>
  <c r="N134" i="9"/>
  <c r="N133" i="9"/>
  <c r="N132" i="9"/>
  <c r="N131" i="9"/>
  <c r="N130" i="9"/>
  <c r="N129" i="9"/>
  <c r="N128" i="9"/>
  <c r="N127" i="9"/>
  <c r="N126" i="9"/>
  <c r="N125" i="9"/>
  <c r="N124" i="9"/>
  <c r="N123" i="9"/>
  <c r="N122" i="9"/>
  <c r="N121" i="9"/>
  <c r="N120" i="9"/>
  <c r="N119" i="9"/>
  <c r="N118" i="9"/>
  <c r="N117" i="9"/>
  <c r="N116" i="9"/>
  <c r="N115" i="9"/>
  <c r="N114" i="9"/>
  <c r="N113" i="9"/>
  <c r="N112" i="9"/>
  <c r="N111" i="9"/>
  <c r="N110" i="9"/>
  <c r="N109" i="9"/>
  <c r="N108" i="9"/>
  <c r="N107" i="9"/>
  <c r="N106" i="9"/>
  <c r="N105" i="9"/>
  <c r="N104" i="9"/>
  <c r="N103" i="9"/>
  <c r="N102" i="9"/>
  <c r="N101" i="9"/>
  <c r="N100" i="9"/>
  <c r="N99" i="9"/>
  <c r="N98" i="9"/>
  <c r="N97" i="9"/>
  <c r="N96" i="9"/>
  <c r="N95" i="9"/>
  <c r="N94" i="9"/>
  <c r="N93" i="9"/>
  <c r="N92" i="9"/>
  <c r="N91" i="9"/>
  <c r="N90" i="9"/>
  <c r="N89" i="9"/>
  <c r="N88" i="9"/>
  <c r="N87" i="9"/>
  <c r="N86" i="9"/>
  <c r="N85" i="9"/>
  <c r="N84" i="9"/>
  <c r="N83" i="9"/>
  <c r="N82" i="9"/>
  <c r="N81" i="9"/>
  <c r="N80" i="9"/>
  <c r="N79" i="9"/>
  <c r="N78" i="9"/>
  <c r="N77" i="9"/>
  <c r="N76" i="9"/>
  <c r="N75" i="9"/>
  <c r="N74" i="9"/>
  <c r="N73" i="9"/>
  <c r="N72" i="9"/>
  <c r="N71" i="9"/>
  <c r="N70" i="9"/>
  <c r="N69" i="9"/>
  <c r="N68" i="9"/>
  <c r="N67" i="9"/>
  <c r="N66" i="9"/>
  <c r="N65" i="9"/>
  <c r="N64" i="9"/>
  <c r="N63" i="9"/>
  <c r="N62" i="9"/>
  <c r="N61" i="9"/>
  <c r="N60" i="9"/>
  <c r="N59" i="9"/>
  <c r="N58" i="9"/>
  <c r="N57" i="9"/>
  <c r="N56" i="9"/>
  <c r="N55" i="9"/>
  <c r="N54" i="9"/>
  <c r="N53" i="9"/>
  <c r="N52" i="9"/>
  <c r="N51" i="9"/>
  <c r="N50" i="9"/>
  <c r="N49" i="9"/>
  <c r="N48" i="9"/>
  <c r="N47" i="9"/>
  <c r="N46" i="9"/>
  <c r="N45" i="9"/>
  <c r="N44" i="9"/>
  <c r="N43" i="9"/>
  <c r="N42" i="9"/>
  <c r="N41" i="9"/>
  <c r="N40" i="9"/>
  <c r="N39" i="9"/>
  <c r="N38" i="9"/>
  <c r="N37" i="9"/>
  <c r="N36" i="9"/>
  <c r="N35" i="9"/>
  <c r="N34" i="9"/>
  <c r="N33" i="9"/>
  <c r="N32" i="9"/>
  <c r="N31" i="9"/>
  <c r="N30" i="9"/>
  <c r="N29" i="9"/>
  <c r="N28" i="9"/>
  <c r="N27" i="9"/>
  <c r="N26" i="9"/>
  <c r="N25" i="9"/>
  <c r="N24" i="9"/>
  <c r="N23" i="9"/>
  <c r="N22" i="9"/>
  <c r="N21" i="9"/>
  <c r="N20" i="9"/>
  <c r="N19" i="9"/>
  <c r="N18" i="9"/>
  <c r="N17" i="9"/>
  <c r="N16" i="9"/>
  <c r="N15" i="9"/>
  <c r="N14" i="9"/>
  <c r="N13" i="9"/>
  <c r="N12" i="9"/>
  <c r="N11" i="9"/>
  <c r="N10" i="9"/>
  <c r="N9" i="9"/>
  <c r="N8" i="9"/>
  <c r="N7" i="9"/>
  <c r="N6" i="9"/>
  <c r="N5" i="9"/>
  <c r="N4" i="9"/>
  <c r="N3" i="9"/>
  <c r="N2" i="9"/>
  <c r="L10" i="15"/>
  <c r="L9" i="15"/>
  <c r="L8" i="15"/>
  <c r="D110" i="16"/>
  <c r="J12" i="12" s="1"/>
  <c r="D109" i="16"/>
  <c r="AA108" i="13"/>
  <c r="AG108" i="13" s="1"/>
  <c r="T108" i="13"/>
  <c r="AF108" i="13" s="1"/>
  <c r="P108" i="13"/>
  <c r="AE108" i="13" s="1"/>
  <c r="L108" i="13"/>
  <c r="AD108" i="13" s="1"/>
  <c r="I108" i="13"/>
  <c r="AC108" i="13" s="1"/>
  <c r="AA107" i="13"/>
  <c r="T107" i="13"/>
  <c r="AF107" i="13" s="1"/>
  <c r="P107" i="13"/>
  <c r="AE107" i="13" s="1"/>
  <c r="L107" i="13"/>
  <c r="AD107" i="13" s="1"/>
  <c r="I107" i="13"/>
  <c r="AC107" i="13" s="1"/>
  <c r="AE106" i="13"/>
  <c r="AA106" i="13"/>
  <c r="AG106" i="13" s="1"/>
  <c r="T106" i="13"/>
  <c r="AF106" i="13" s="1"/>
  <c r="P106" i="13"/>
  <c r="L106" i="13"/>
  <c r="AD106" i="13" s="1"/>
  <c r="I106" i="13"/>
  <c r="AC106" i="13" s="1"/>
  <c r="AD105" i="13"/>
  <c r="AA105" i="13"/>
  <c r="T105" i="13"/>
  <c r="AF105" i="13" s="1"/>
  <c r="P105" i="13"/>
  <c r="AE105" i="13" s="1"/>
  <c r="L105" i="13"/>
  <c r="I105" i="13"/>
  <c r="AC105" i="13" s="1"/>
  <c r="AC104" i="13"/>
  <c r="AA104" i="13"/>
  <c r="AG104" i="13" s="1"/>
  <c r="T104" i="13"/>
  <c r="AF104" i="13" s="1"/>
  <c r="P104" i="13"/>
  <c r="AE104" i="13" s="1"/>
  <c r="L104" i="13"/>
  <c r="AD104" i="13" s="1"/>
  <c r="I104" i="13"/>
  <c r="AC103" i="13"/>
  <c r="AA103" i="13"/>
  <c r="AG103" i="13" s="1"/>
  <c r="T103" i="13"/>
  <c r="AF103" i="13" s="1"/>
  <c r="P103" i="13"/>
  <c r="AE103" i="13" s="1"/>
  <c r="L103" i="13"/>
  <c r="AD103" i="13" s="1"/>
  <c r="I103" i="13"/>
  <c r="AA102" i="13"/>
  <c r="AG102" i="13" s="1"/>
  <c r="T102" i="13"/>
  <c r="AF102" i="13" s="1"/>
  <c r="P102" i="13"/>
  <c r="AE102" i="13" s="1"/>
  <c r="L102" i="13"/>
  <c r="AD102" i="13" s="1"/>
  <c r="I102" i="13"/>
  <c r="AC102" i="13" s="1"/>
  <c r="AD101" i="13"/>
  <c r="AA101" i="13"/>
  <c r="AG101" i="13" s="1"/>
  <c r="T101" i="13"/>
  <c r="AF101" i="13" s="1"/>
  <c r="P101" i="13"/>
  <c r="AE101" i="13" s="1"/>
  <c r="L101" i="13"/>
  <c r="I101" i="13"/>
  <c r="AC101" i="13" s="1"/>
  <c r="AC100" i="13"/>
  <c r="AA100" i="13"/>
  <c r="AG100" i="13" s="1"/>
  <c r="T100" i="13"/>
  <c r="AF100" i="13" s="1"/>
  <c r="P100" i="13"/>
  <c r="AE100" i="13" s="1"/>
  <c r="L100" i="13"/>
  <c r="AD100" i="13" s="1"/>
  <c r="I100" i="13"/>
  <c r="AC99" i="13"/>
  <c r="AA99" i="13"/>
  <c r="AG99" i="13" s="1"/>
  <c r="T99" i="13"/>
  <c r="AF99" i="13" s="1"/>
  <c r="P99" i="13"/>
  <c r="AE99" i="13" s="1"/>
  <c r="L99" i="13"/>
  <c r="AD99" i="13" s="1"/>
  <c r="I99" i="13"/>
  <c r="AA98" i="13"/>
  <c r="AG98" i="13" s="1"/>
  <c r="T98" i="13"/>
  <c r="AF98" i="13" s="1"/>
  <c r="P98" i="13"/>
  <c r="AE98" i="13" s="1"/>
  <c r="L98" i="13"/>
  <c r="AD98" i="13" s="1"/>
  <c r="I98" i="13"/>
  <c r="AC98" i="13" s="1"/>
  <c r="AD97" i="13"/>
  <c r="AA97" i="13"/>
  <c r="AG97" i="13" s="1"/>
  <c r="T97" i="13"/>
  <c r="AF97" i="13" s="1"/>
  <c r="P97" i="13"/>
  <c r="AE97" i="13" s="1"/>
  <c r="L97" i="13"/>
  <c r="I97" i="13"/>
  <c r="AC97" i="13" s="1"/>
  <c r="AC96" i="13"/>
  <c r="AA96" i="13"/>
  <c r="AG96" i="13" s="1"/>
  <c r="T96" i="13"/>
  <c r="AF96" i="13" s="1"/>
  <c r="P96" i="13"/>
  <c r="AE96" i="13" s="1"/>
  <c r="L96" i="13"/>
  <c r="AD96" i="13" s="1"/>
  <c r="I96" i="13"/>
  <c r="AC95" i="13"/>
  <c r="AA95" i="13"/>
  <c r="AG95" i="13" s="1"/>
  <c r="T95" i="13"/>
  <c r="AF95" i="13" s="1"/>
  <c r="P95" i="13"/>
  <c r="AE95" i="13" s="1"/>
  <c r="L95" i="13"/>
  <c r="AD95" i="13" s="1"/>
  <c r="I95" i="13"/>
  <c r="AA94" i="13"/>
  <c r="AG94" i="13" s="1"/>
  <c r="T94" i="13"/>
  <c r="AF94" i="13" s="1"/>
  <c r="P94" i="13"/>
  <c r="AE94" i="13" s="1"/>
  <c r="L94" i="13"/>
  <c r="AD94" i="13" s="1"/>
  <c r="I94" i="13"/>
  <c r="AC94" i="13" s="1"/>
  <c r="AD93" i="13"/>
  <c r="AA93" i="13"/>
  <c r="AG93" i="13" s="1"/>
  <c r="T93" i="13"/>
  <c r="AF93" i="13" s="1"/>
  <c r="P93" i="13"/>
  <c r="AE93" i="13" s="1"/>
  <c r="L93" i="13"/>
  <c r="I93" i="13"/>
  <c r="AC93" i="13" s="1"/>
  <c r="AC92" i="13"/>
  <c r="AA92" i="13"/>
  <c r="AG92" i="13" s="1"/>
  <c r="T92" i="13"/>
  <c r="AF92" i="13" s="1"/>
  <c r="P92" i="13"/>
  <c r="AE92" i="13" s="1"/>
  <c r="L92" i="13"/>
  <c r="AD92" i="13" s="1"/>
  <c r="I92" i="13"/>
  <c r="AC91" i="13"/>
  <c r="AA91" i="13"/>
  <c r="AG91" i="13" s="1"/>
  <c r="T91" i="13"/>
  <c r="AF91" i="13" s="1"/>
  <c r="P91" i="13"/>
  <c r="AE91" i="13" s="1"/>
  <c r="L91" i="13"/>
  <c r="AD91" i="13" s="1"/>
  <c r="I91" i="13"/>
  <c r="AA90" i="13"/>
  <c r="AG90" i="13" s="1"/>
  <c r="T90" i="13"/>
  <c r="AF90" i="13" s="1"/>
  <c r="P90" i="13"/>
  <c r="AE90" i="13" s="1"/>
  <c r="L90" i="13"/>
  <c r="AD90" i="13" s="1"/>
  <c r="I90" i="13"/>
  <c r="AC90" i="13" s="1"/>
  <c r="AD89" i="13"/>
  <c r="AA89" i="13"/>
  <c r="AG89" i="13" s="1"/>
  <c r="T89" i="13"/>
  <c r="AF89" i="13" s="1"/>
  <c r="P89" i="13"/>
  <c r="AE89" i="13" s="1"/>
  <c r="L89" i="13"/>
  <c r="I89" i="13"/>
  <c r="AC89" i="13" s="1"/>
  <c r="AC88" i="13"/>
  <c r="AA88" i="13"/>
  <c r="AG88" i="13" s="1"/>
  <c r="T88" i="13"/>
  <c r="AF88" i="13" s="1"/>
  <c r="P88" i="13"/>
  <c r="AE88" i="13" s="1"/>
  <c r="L88" i="13"/>
  <c r="AD88" i="13" s="1"/>
  <c r="I88" i="13"/>
  <c r="AC87" i="13"/>
  <c r="AA87" i="13"/>
  <c r="AG87" i="13" s="1"/>
  <c r="T87" i="13"/>
  <c r="AF87" i="13" s="1"/>
  <c r="P87" i="13"/>
  <c r="AE87" i="13" s="1"/>
  <c r="L87" i="13"/>
  <c r="AD87" i="13" s="1"/>
  <c r="I87" i="13"/>
  <c r="AA86" i="13"/>
  <c r="AG86" i="13" s="1"/>
  <c r="T86" i="13"/>
  <c r="AF86" i="13" s="1"/>
  <c r="P86" i="13"/>
  <c r="AE86" i="13" s="1"/>
  <c r="L86" i="13"/>
  <c r="AD86" i="13" s="1"/>
  <c r="I86" i="13"/>
  <c r="AC86" i="13" s="1"/>
  <c r="AD85" i="13"/>
  <c r="AA85" i="13"/>
  <c r="AG85" i="13" s="1"/>
  <c r="T85" i="13"/>
  <c r="AF85" i="13" s="1"/>
  <c r="P85" i="13"/>
  <c r="AE85" i="13" s="1"/>
  <c r="L85" i="13"/>
  <c r="I85" i="13"/>
  <c r="AC85" i="13" s="1"/>
  <c r="AC84" i="13"/>
  <c r="AA84" i="13"/>
  <c r="AG84" i="13" s="1"/>
  <c r="T84" i="13"/>
  <c r="AF84" i="13" s="1"/>
  <c r="P84" i="13"/>
  <c r="AE84" i="13" s="1"/>
  <c r="L84" i="13"/>
  <c r="AD84" i="13" s="1"/>
  <c r="I84" i="13"/>
  <c r="AC83" i="13"/>
  <c r="AA83" i="13"/>
  <c r="AG83" i="13" s="1"/>
  <c r="T83" i="13"/>
  <c r="AF83" i="13" s="1"/>
  <c r="P83" i="13"/>
  <c r="AE83" i="13" s="1"/>
  <c r="L83" i="13"/>
  <c r="AD83" i="13" s="1"/>
  <c r="I83" i="13"/>
  <c r="AA82" i="13"/>
  <c r="AG82" i="13" s="1"/>
  <c r="T82" i="13"/>
  <c r="AF82" i="13" s="1"/>
  <c r="P82" i="13"/>
  <c r="AE82" i="13" s="1"/>
  <c r="L82" i="13"/>
  <c r="AD82" i="13" s="1"/>
  <c r="I82" i="13"/>
  <c r="AC82" i="13" s="1"/>
  <c r="AD81" i="13"/>
  <c r="AA81" i="13"/>
  <c r="AG81" i="13" s="1"/>
  <c r="T81" i="13"/>
  <c r="AF81" i="13" s="1"/>
  <c r="P81" i="13"/>
  <c r="AE81" i="13" s="1"/>
  <c r="L81" i="13"/>
  <c r="I81" i="13"/>
  <c r="AC81" i="13" s="1"/>
  <c r="AC80" i="13"/>
  <c r="AA80" i="13"/>
  <c r="AG80" i="13" s="1"/>
  <c r="T80" i="13"/>
  <c r="AF80" i="13" s="1"/>
  <c r="P80" i="13"/>
  <c r="AE80" i="13" s="1"/>
  <c r="L80" i="13"/>
  <c r="AD80" i="13" s="1"/>
  <c r="I80" i="13"/>
  <c r="AC79" i="13"/>
  <c r="AA79" i="13"/>
  <c r="AG79" i="13" s="1"/>
  <c r="T79" i="13"/>
  <c r="AF79" i="13" s="1"/>
  <c r="P79" i="13"/>
  <c r="AE79" i="13" s="1"/>
  <c r="L79" i="13"/>
  <c r="AD79" i="13" s="1"/>
  <c r="I79" i="13"/>
  <c r="AA78" i="13"/>
  <c r="AG78" i="13" s="1"/>
  <c r="T78" i="13"/>
  <c r="AF78" i="13" s="1"/>
  <c r="P78" i="13"/>
  <c r="AE78" i="13" s="1"/>
  <c r="L78" i="13"/>
  <c r="AD78" i="13" s="1"/>
  <c r="I78" i="13"/>
  <c r="AC78" i="13" s="1"/>
  <c r="AD77" i="13"/>
  <c r="AA77" i="13"/>
  <c r="AG77" i="13" s="1"/>
  <c r="T77" i="13"/>
  <c r="AF77" i="13" s="1"/>
  <c r="P77" i="13"/>
  <c r="AE77" i="13" s="1"/>
  <c r="L77" i="13"/>
  <c r="I77" i="13"/>
  <c r="AC77" i="13" s="1"/>
  <c r="AC76" i="13"/>
  <c r="AA76" i="13"/>
  <c r="AG76" i="13" s="1"/>
  <c r="T76" i="13"/>
  <c r="AF76" i="13" s="1"/>
  <c r="P76" i="13"/>
  <c r="AE76" i="13" s="1"/>
  <c r="L76" i="13"/>
  <c r="AD76" i="13" s="1"/>
  <c r="I76" i="13"/>
  <c r="AC75" i="13"/>
  <c r="AA75" i="13"/>
  <c r="AG75" i="13" s="1"/>
  <c r="T75" i="13"/>
  <c r="AF75" i="13" s="1"/>
  <c r="P75" i="13"/>
  <c r="AE75" i="13" s="1"/>
  <c r="L75" i="13"/>
  <c r="AD75" i="13" s="1"/>
  <c r="I75" i="13"/>
  <c r="AA74" i="13"/>
  <c r="AG74" i="13" s="1"/>
  <c r="T74" i="13"/>
  <c r="AF74" i="13" s="1"/>
  <c r="P74" i="13"/>
  <c r="AE74" i="13" s="1"/>
  <c r="L74" i="13"/>
  <c r="AD74" i="13" s="1"/>
  <c r="I74" i="13"/>
  <c r="AC74" i="13" s="1"/>
  <c r="AD73" i="13"/>
  <c r="AA73" i="13"/>
  <c r="AG73" i="13" s="1"/>
  <c r="T73" i="13"/>
  <c r="AF73" i="13" s="1"/>
  <c r="P73" i="13"/>
  <c r="AE73" i="13" s="1"/>
  <c r="L73" i="13"/>
  <c r="I73" i="13"/>
  <c r="AC73" i="13" s="1"/>
  <c r="AC72" i="13"/>
  <c r="AA72" i="13"/>
  <c r="AG72" i="13" s="1"/>
  <c r="T72" i="13"/>
  <c r="AF72" i="13" s="1"/>
  <c r="P72" i="13"/>
  <c r="AE72" i="13" s="1"/>
  <c r="L72" i="13"/>
  <c r="AD72" i="13" s="1"/>
  <c r="I72" i="13"/>
  <c r="AC71" i="13"/>
  <c r="AA71" i="13"/>
  <c r="AG71" i="13" s="1"/>
  <c r="T71" i="13"/>
  <c r="AF71" i="13" s="1"/>
  <c r="P71" i="13"/>
  <c r="AE71" i="13" s="1"/>
  <c r="L71" i="13"/>
  <c r="AD71" i="13" s="1"/>
  <c r="I71" i="13"/>
  <c r="AA70" i="13"/>
  <c r="AG70" i="13" s="1"/>
  <c r="T70" i="13"/>
  <c r="AF70" i="13" s="1"/>
  <c r="P70" i="13"/>
  <c r="AE70" i="13" s="1"/>
  <c r="L70" i="13"/>
  <c r="AD70" i="13" s="1"/>
  <c r="I70" i="13"/>
  <c r="AC70" i="13" s="1"/>
  <c r="AD69" i="13"/>
  <c r="AA69" i="13"/>
  <c r="AG69" i="13" s="1"/>
  <c r="T69" i="13"/>
  <c r="AF69" i="13" s="1"/>
  <c r="P69" i="13"/>
  <c r="AE69" i="13" s="1"/>
  <c r="L69" i="13"/>
  <c r="I69" i="13"/>
  <c r="AC69" i="13" s="1"/>
  <c r="AC68" i="13"/>
  <c r="AA68" i="13"/>
  <c r="AG68" i="13" s="1"/>
  <c r="T68" i="13"/>
  <c r="AF68" i="13" s="1"/>
  <c r="P68" i="13"/>
  <c r="AE68" i="13" s="1"/>
  <c r="L68" i="13"/>
  <c r="AD68" i="13" s="1"/>
  <c r="I68" i="13"/>
  <c r="AC67" i="13"/>
  <c r="AA67" i="13"/>
  <c r="AG67" i="13" s="1"/>
  <c r="T67" i="13"/>
  <c r="AF67" i="13" s="1"/>
  <c r="P67" i="13"/>
  <c r="AE67" i="13" s="1"/>
  <c r="L67" i="13"/>
  <c r="AD67" i="13" s="1"/>
  <c r="I67" i="13"/>
  <c r="AA66" i="13"/>
  <c r="T66" i="13"/>
  <c r="AF66" i="13" s="1"/>
  <c r="P66" i="13"/>
  <c r="AE66" i="13" s="1"/>
  <c r="L66" i="13"/>
  <c r="AD66" i="13" s="1"/>
  <c r="I66" i="13"/>
  <c r="AC66" i="13" s="1"/>
  <c r="AA65" i="13"/>
  <c r="AB65" i="13" s="1" a="1"/>
  <c r="AB65" i="13" s="1"/>
  <c r="T65" i="13"/>
  <c r="AF65" i="13" s="1"/>
  <c r="P65" i="13"/>
  <c r="AE65" i="13" s="1"/>
  <c r="L65" i="13"/>
  <c r="AD65" i="13" s="1"/>
  <c r="I65" i="13"/>
  <c r="AC65" i="13" s="1"/>
  <c r="AG64" i="13"/>
  <c r="AA64" i="13"/>
  <c r="T64" i="13"/>
  <c r="AF64" i="13" s="1"/>
  <c r="P64" i="13"/>
  <c r="AE64" i="13" s="1"/>
  <c r="L64" i="13"/>
  <c r="AD64" i="13" s="1"/>
  <c r="I64" i="13"/>
  <c r="AC64" i="13" s="1"/>
  <c r="AG63" i="13"/>
  <c r="AC63" i="13"/>
  <c r="AA63" i="13"/>
  <c r="T63" i="13"/>
  <c r="AF63" i="13" s="1"/>
  <c r="P63" i="13"/>
  <c r="AE63" i="13" s="1"/>
  <c r="L63" i="13"/>
  <c r="AD63" i="13" s="1"/>
  <c r="I63" i="13"/>
  <c r="AG62" i="13"/>
  <c r="AC62" i="13"/>
  <c r="AB62" i="13" a="1"/>
  <c r="AB62" i="13" s="1"/>
  <c r="AA62" i="13"/>
  <c r="T62" i="13"/>
  <c r="AF62" i="13" s="1"/>
  <c r="P62" i="13"/>
  <c r="AE62" i="13" s="1"/>
  <c r="L62" i="13"/>
  <c r="AD62" i="13" s="1"/>
  <c r="I62" i="13"/>
  <c r="AG61" i="13"/>
  <c r="AC61" i="13"/>
  <c r="AA61" i="13"/>
  <c r="T61" i="13"/>
  <c r="AF61" i="13" s="1"/>
  <c r="P61" i="13"/>
  <c r="AE61" i="13" s="1"/>
  <c r="L61" i="13"/>
  <c r="AD61" i="13" s="1"/>
  <c r="I61" i="13"/>
  <c r="AA60" i="13"/>
  <c r="AG60" i="13" s="1"/>
  <c r="T60" i="13"/>
  <c r="AF60" i="13" s="1"/>
  <c r="P60" i="13"/>
  <c r="AE60" i="13" s="1"/>
  <c r="L60" i="13"/>
  <c r="AD60" i="13" s="1"/>
  <c r="I60" i="13"/>
  <c r="AC60" i="13" s="1"/>
  <c r="AA59" i="13"/>
  <c r="AG59" i="13" s="1"/>
  <c r="T59" i="13"/>
  <c r="AF59" i="13" s="1"/>
  <c r="P59" i="13"/>
  <c r="AE59" i="13" s="1"/>
  <c r="L59" i="13"/>
  <c r="AD59" i="13" s="1"/>
  <c r="I59" i="13"/>
  <c r="AC59" i="13" s="1"/>
  <c r="AG58" i="13"/>
  <c r="AA58" i="13"/>
  <c r="T58" i="13"/>
  <c r="AF58" i="13" s="1"/>
  <c r="P58" i="13"/>
  <c r="AE58" i="13" s="1"/>
  <c r="L58" i="13"/>
  <c r="AD58" i="13" s="1"/>
  <c r="I58" i="13"/>
  <c r="AC58" i="13" s="1"/>
  <c r="AA57" i="13"/>
  <c r="AG57" i="13" s="1"/>
  <c r="T57" i="13"/>
  <c r="AF57" i="13" s="1"/>
  <c r="P57" i="13"/>
  <c r="AE57" i="13" s="1"/>
  <c r="L57" i="13"/>
  <c r="AD57" i="13" s="1"/>
  <c r="I57" i="13"/>
  <c r="AC57" i="13" s="1"/>
  <c r="AA56" i="13"/>
  <c r="AG56" i="13" s="1"/>
  <c r="T56" i="13"/>
  <c r="AF56" i="13" s="1"/>
  <c r="P56" i="13"/>
  <c r="AE56" i="13" s="1"/>
  <c r="L56" i="13"/>
  <c r="AD56" i="13" s="1"/>
  <c r="I56" i="13"/>
  <c r="AC56" i="13" s="1"/>
  <c r="AD55" i="13"/>
  <c r="AA55" i="13"/>
  <c r="AG55" i="13" s="1"/>
  <c r="T55" i="13"/>
  <c r="AF55" i="13" s="1"/>
  <c r="P55" i="13"/>
  <c r="AE55" i="13" s="1"/>
  <c r="L55" i="13"/>
  <c r="I55" i="13"/>
  <c r="AC55" i="13" s="1"/>
  <c r="AF54" i="13"/>
  <c r="AA54" i="13"/>
  <c r="AG54" i="13" s="1"/>
  <c r="T54" i="13"/>
  <c r="P54" i="13"/>
  <c r="AE54" i="13" s="1"/>
  <c r="L54" i="13"/>
  <c r="AD54" i="13" s="1"/>
  <c r="I54" i="13"/>
  <c r="AC54" i="13" s="1"/>
  <c r="AA53" i="13"/>
  <c r="AG53" i="13" s="1"/>
  <c r="T53" i="13"/>
  <c r="AF53" i="13" s="1"/>
  <c r="P53" i="13"/>
  <c r="AE53" i="13" s="1"/>
  <c r="L53" i="13"/>
  <c r="AD53" i="13" s="1"/>
  <c r="I53" i="13"/>
  <c r="AC53" i="13" s="1"/>
  <c r="AA52" i="13"/>
  <c r="AG52" i="13" s="1"/>
  <c r="T52" i="13"/>
  <c r="AF52" i="13" s="1"/>
  <c r="P52" i="13"/>
  <c r="AE52" i="13" s="1"/>
  <c r="L52" i="13"/>
  <c r="AD52" i="13" s="1"/>
  <c r="I52" i="13"/>
  <c r="AC52" i="13" s="1"/>
  <c r="AD51" i="13"/>
  <c r="AA51" i="13"/>
  <c r="AG51" i="13" s="1"/>
  <c r="T51" i="13"/>
  <c r="AF51" i="13" s="1"/>
  <c r="P51" i="13"/>
  <c r="AE51" i="13" s="1"/>
  <c r="L51" i="13"/>
  <c r="I51" i="13"/>
  <c r="AC51" i="13" s="1"/>
  <c r="AF50" i="13"/>
  <c r="AA50" i="13"/>
  <c r="AG50" i="13" s="1"/>
  <c r="T50" i="13"/>
  <c r="P50" i="13"/>
  <c r="AE50" i="13" s="1"/>
  <c r="L50" i="13"/>
  <c r="AD50" i="13" s="1"/>
  <c r="I50" i="13"/>
  <c r="AC50" i="13" s="1"/>
  <c r="AA49" i="13"/>
  <c r="AG49" i="13" s="1"/>
  <c r="T49" i="13"/>
  <c r="AF49" i="13" s="1"/>
  <c r="P49" i="13"/>
  <c r="AE49" i="13" s="1"/>
  <c r="L49" i="13"/>
  <c r="AD49" i="13" s="1"/>
  <c r="I49" i="13"/>
  <c r="AC49" i="13" s="1"/>
  <c r="AA48" i="13"/>
  <c r="AG48" i="13" s="1"/>
  <c r="T48" i="13"/>
  <c r="AF48" i="13" s="1"/>
  <c r="P48" i="13"/>
  <c r="AE48" i="13" s="1"/>
  <c r="L48" i="13"/>
  <c r="AD48" i="13" s="1"/>
  <c r="I48" i="13"/>
  <c r="AC48" i="13" s="1"/>
  <c r="AD47" i="13"/>
  <c r="AA47" i="13"/>
  <c r="AG47" i="13" s="1"/>
  <c r="T47" i="13"/>
  <c r="AF47" i="13" s="1"/>
  <c r="P47" i="13"/>
  <c r="AE47" i="13" s="1"/>
  <c r="L47" i="13"/>
  <c r="I47" i="13"/>
  <c r="AC47" i="13" s="1"/>
  <c r="AF46" i="13"/>
  <c r="AA46" i="13"/>
  <c r="AG46" i="13" s="1"/>
  <c r="T46" i="13"/>
  <c r="P46" i="13"/>
  <c r="AE46" i="13" s="1"/>
  <c r="L46" i="13"/>
  <c r="AD46" i="13" s="1"/>
  <c r="I46" i="13"/>
  <c r="AC46" i="13" s="1"/>
  <c r="AA45" i="13"/>
  <c r="AG45" i="13" s="1"/>
  <c r="T45" i="13"/>
  <c r="AF45" i="13" s="1"/>
  <c r="P45" i="13"/>
  <c r="AE45" i="13" s="1"/>
  <c r="L45" i="13"/>
  <c r="AD45" i="13" s="1"/>
  <c r="I45" i="13"/>
  <c r="AC45" i="13" s="1"/>
  <c r="AF44" i="13"/>
  <c r="AA44" i="13"/>
  <c r="AG44" i="13" s="1"/>
  <c r="T44" i="13"/>
  <c r="P44" i="13"/>
  <c r="AE44" i="13" s="1"/>
  <c r="L44" i="13"/>
  <c r="AD44" i="13" s="1"/>
  <c r="I44" i="13"/>
  <c r="AC44" i="13" s="1"/>
  <c r="AC43" i="13"/>
  <c r="AA43" i="13"/>
  <c r="AG43" i="13" s="1"/>
  <c r="T43" i="13"/>
  <c r="AF43" i="13" s="1"/>
  <c r="P43" i="13"/>
  <c r="AE43" i="13" s="1"/>
  <c r="L43" i="13"/>
  <c r="AD43" i="13" s="1"/>
  <c r="I43" i="13"/>
  <c r="AF42" i="13"/>
  <c r="AE42" i="13"/>
  <c r="AA42" i="13"/>
  <c r="AG42" i="13" s="1"/>
  <c r="T42" i="13"/>
  <c r="P42" i="13"/>
  <c r="L42" i="13"/>
  <c r="AD42" i="13" s="1"/>
  <c r="I42" i="13"/>
  <c r="AC42" i="13" s="1"/>
  <c r="AF41" i="13"/>
  <c r="AA41" i="13"/>
  <c r="AG41" i="13" s="1"/>
  <c r="T41" i="13"/>
  <c r="P41" i="13"/>
  <c r="AE41" i="13" s="1"/>
  <c r="L41" i="13"/>
  <c r="AD41" i="13" s="1"/>
  <c r="I41" i="13"/>
  <c r="AC41" i="13" s="1"/>
  <c r="AA40" i="13"/>
  <c r="AG40" i="13" s="1"/>
  <c r="T40" i="13"/>
  <c r="AF40" i="13" s="1"/>
  <c r="P40" i="13"/>
  <c r="AE40" i="13" s="1"/>
  <c r="L40" i="13"/>
  <c r="AD40" i="13" s="1"/>
  <c r="I40" i="13"/>
  <c r="AC40" i="13" s="1"/>
  <c r="AC39" i="13"/>
  <c r="AA39" i="13"/>
  <c r="AG39" i="13" s="1"/>
  <c r="T39" i="13"/>
  <c r="AF39" i="13" s="1"/>
  <c r="P39" i="13"/>
  <c r="AE39" i="13" s="1"/>
  <c r="L39" i="13"/>
  <c r="AD39" i="13" s="1"/>
  <c r="I39" i="13"/>
  <c r="AF38" i="13"/>
  <c r="AE38" i="13"/>
  <c r="AA38" i="13"/>
  <c r="AG38" i="13" s="1"/>
  <c r="T38" i="13"/>
  <c r="P38" i="13"/>
  <c r="L38" i="13"/>
  <c r="AD38" i="13" s="1"/>
  <c r="I38" i="13"/>
  <c r="AC38" i="13" s="1"/>
  <c r="AF37" i="13"/>
  <c r="AA37" i="13"/>
  <c r="AG37" i="13" s="1"/>
  <c r="T37" i="13"/>
  <c r="P37" i="13"/>
  <c r="AE37" i="13" s="1"/>
  <c r="L37" i="13"/>
  <c r="AD37" i="13" s="1"/>
  <c r="I37" i="13"/>
  <c r="AC37" i="13" s="1"/>
  <c r="AA36" i="13"/>
  <c r="AG36" i="13" s="1"/>
  <c r="T36" i="13"/>
  <c r="AF36" i="13" s="1"/>
  <c r="P36" i="13"/>
  <c r="AE36" i="13" s="1"/>
  <c r="L36" i="13"/>
  <c r="AD36" i="13" s="1"/>
  <c r="I36" i="13"/>
  <c r="AC36" i="13" s="1"/>
  <c r="AC35" i="13"/>
  <c r="AA35" i="13"/>
  <c r="AG35" i="13" s="1"/>
  <c r="T35" i="13"/>
  <c r="AF35" i="13" s="1"/>
  <c r="P35" i="13"/>
  <c r="AE35" i="13" s="1"/>
  <c r="L35" i="13"/>
  <c r="AD35" i="13" s="1"/>
  <c r="I35" i="13"/>
  <c r="AF34" i="13"/>
  <c r="AE34" i="13"/>
  <c r="AA34" i="13"/>
  <c r="AG34" i="13" s="1"/>
  <c r="T34" i="13"/>
  <c r="P34" i="13"/>
  <c r="L34" i="13"/>
  <c r="AD34" i="13" s="1"/>
  <c r="I34" i="13"/>
  <c r="AC34" i="13" s="1"/>
  <c r="AF33" i="13"/>
  <c r="AA33" i="13"/>
  <c r="AG33" i="13" s="1"/>
  <c r="T33" i="13"/>
  <c r="P33" i="13"/>
  <c r="AE33" i="13" s="1"/>
  <c r="L33" i="13"/>
  <c r="AD33" i="13" s="1"/>
  <c r="I33" i="13"/>
  <c r="AC33" i="13" s="1"/>
  <c r="AA32" i="13"/>
  <c r="AG32" i="13" s="1"/>
  <c r="T32" i="13"/>
  <c r="AF32" i="13" s="1"/>
  <c r="P32" i="13"/>
  <c r="AE32" i="13" s="1"/>
  <c r="L32" i="13"/>
  <c r="AD32" i="13" s="1"/>
  <c r="I32" i="13"/>
  <c r="AC32" i="13" s="1"/>
  <c r="AC31" i="13"/>
  <c r="AA31" i="13"/>
  <c r="AG31" i="13" s="1"/>
  <c r="T31" i="13"/>
  <c r="AF31" i="13" s="1"/>
  <c r="P31" i="13"/>
  <c r="AE31" i="13" s="1"/>
  <c r="L31" i="13"/>
  <c r="AD31" i="13" s="1"/>
  <c r="I31" i="13"/>
  <c r="AF30" i="13"/>
  <c r="AE30" i="13"/>
  <c r="AA30" i="13"/>
  <c r="AG30" i="13" s="1"/>
  <c r="T30" i="13"/>
  <c r="P30" i="13"/>
  <c r="L30" i="13"/>
  <c r="AD30" i="13" s="1"/>
  <c r="I30" i="13"/>
  <c r="AC30" i="13" s="1"/>
  <c r="AF29" i="13"/>
  <c r="AA29" i="13"/>
  <c r="AG29" i="13" s="1"/>
  <c r="T29" i="13"/>
  <c r="P29" i="13"/>
  <c r="AE29" i="13" s="1"/>
  <c r="L29" i="13"/>
  <c r="AD29" i="13" s="1"/>
  <c r="I29" i="13"/>
  <c r="AC29" i="13" s="1"/>
  <c r="AA28" i="13"/>
  <c r="AG28" i="13" s="1"/>
  <c r="T28" i="13"/>
  <c r="AF28" i="13" s="1"/>
  <c r="P28" i="13"/>
  <c r="AE28" i="13" s="1"/>
  <c r="L28" i="13"/>
  <c r="AD28" i="13" s="1"/>
  <c r="I28" i="13"/>
  <c r="AC28" i="13" s="1"/>
  <c r="AC27" i="13"/>
  <c r="AA27" i="13"/>
  <c r="AG27" i="13" s="1"/>
  <c r="T27" i="13"/>
  <c r="AF27" i="13" s="1"/>
  <c r="P27" i="13"/>
  <c r="AE27" i="13" s="1"/>
  <c r="L27" i="13"/>
  <c r="AD27" i="13" s="1"/>
  <c r="I27" i="13"/>
  <c r="AF26" i="13"/>
  <c r="AE26" i="13"/>
  <c r="AA26" i="13"/>
  <c r="AG26" i="13" s="1"/>
  <c r="T26" i="13"/>
  <c r="P26" i="13"/>
  <c r="L26" i="13"/>
  <c r="AD26" i="13" s="1"/>
  <c r="I26" i="13"/>
  <c r="AC26" i="13" s="1"/>
  <c r="AF25" i="13"/>
  <c r="AA25" i="13"/>
  <c r="AG25" i="13" s="1"/>
  <c r="T25" i="13"/>
  <c r="P25" i="13"/>
  <c r="AE25" i="13" s="1"/>
  <c r="L25" i="13"/>
  <c r="AD25" i="13" s="1"/>
  <c r="I25" i="13"/>
  <c r="AC25" i="13" s="1"/>
  <c r="AA24" i="13"/>
  <c r="AG24" i="13" s="1"/>
  <c r="T24" i="13"/>
  <c r="AF24" i="13" s="1"/>
  <c r="P24" i="13"/>
  <c r="AE24" i="13" s="1"/>
  <c r="L24" i="13"/>
  <c r="AD24" i="13" s="1"/>
  <c r="I24" i="13"/>
  <c r="AC24" i="13" s="1"/>
  <c r="AC23" i="13"/>
  <c r="AA23" i="13"/>
  <c r="AG23" i="13" s="1"/>
  <c r="T23" i="13"/>
  <c r="AF23" i="13" s="1"/>
  <c r="P23" i="13"/>
  <c r="AE23" i="13" s="1"/>
  <c r="L23" i="13"/>
  <c r="AD23" i="13" s="1"/>
  <c r="I23" i="13"/>
  <c r="AG22" i="13"/>
  <c r="AF22" i="13"/>
  <c r="AA22" i="13"/>
  <c r="T22" i="13"/>
  <c r="P22" i="13"/>
  <c r="AE22" i="13" s="1"/>
  <c r="L22" i="13"/>
  <c r="AD22" i="13" s="1"/>
  <c r="I22" i="13"/>
  <c r="AC22" i="13" s="1"/>
  <c r="AG21" i="13"/>
  <c r="AF21" i="13"/>
  <c r="AA21" i="13"/>
  <c r="T21" i="13"/>
  <c r="P21" i="13"/>
  <c r="AE21" i="13" s="1"/>
  <c r="L21" i="13"/>
  <c r="AD21" i="13" s="1"/>
  <c r="I21" i="13"/>
  <c r="AC21" i="13" s="1"/>
  <c r="AG20" i="13"/>
  <c r="AA20" i="13"/>
  <c r="T20" i="13"/>
  <c r="AF20" i="13" s="1"/>
  <c r="P20" i="13"/>
  <c r="AE20" i="13" s="1"/>
  <c r="L20" i="13"/>
  <c r="AD20" i="13" s="1"/>
  <c r="I20" i="13"/>
  <c r="AC20" i="13" s="1"/>
  <c r="AC19" i="13"/>
  <c r="AA19" i="13"/>
  <c r="AG19" i="13" s="1"/>
  <c r="T19" i="13"/>
  <c r="AF19" i="13" s="1"/>
  <c r="P19" i="13"/>
  <c r="AE19" i="13" s="1"/>
  <c r="L19" i="13"/>
  <c r="AD19" i="13" s="1"/>
  <c r="I19" i="13"/>
  <c r="AG18" i="13"/>
  <c r="AF18" i="13"/>
  <c r="AA18" i="13"/>
  <c r="T18" i="13"/>
  <c r="P18" i="13"/>
  <c r="AE18" i="13" s="1"/>
  <c r="L18" i="13"/>
  <c r="AD18" i="13" s="1"/>
  <c r="I18" i="13"/>
  <c r="AC18" i="13" s="1"/>
  <c r="AG17" i="13"/>
  <c r="AF17" i="13"/>
  <c r="AA17" i="13"/>
  <c r="T17" i="13"/>
  <c r="P17" i="13"/>
  <c r="AE17" i="13" s="1"/>
  <c r="L17" i="13"/>
  <c r="AD17" i="13" s="1"/>
  <c r="I17" i="13"/>
  <c r="AC17" i="13" s="1"/>
  <c r="AG16" i="13"/>
  <c r="AA16" i="13"/>
  <c r="T16" i="13"/>
  <c r="AF16" i="13" s="1"/>
  <c r="P16" i="13"/>
  <c r="AE16" i="13" s="1"/>
  <c r="L16" i="13"/>
  <c r="AD16" i="13" s="1"/>
  <c r="I16" i="13"/>
  <c r="AC16" i="13" s="1"/>
  <c r="AC15" i="13"/>
  <c r="AA15" i="13"/>
  <c r="AG15" i="13" s="1"/>
  <c r="T15" i="13"/>
  <c r="AF15" i="13" s="1"/>
  <c r="P15" i="13"/>
  <c r="AE15" i="13" s="1"/>
  <c r="L15" i="13"/>
  <c r="AD15" i="13" s="1"/>
  <c r="I15" i="13"/>
  <c r="AG14" i="13"/>
  <c r="AF14" i="13"/>
  <c r="AA14" i="13"/>
  <c r="T14" i="13"/>
  <c r="P14" i="13"/>
  <c r="AE14" i="13" s="1"/>
  <c r="L14" i="13"/>
  <c r="AD14" i="13" s="1"/>
  <c r="I14" i="13"/>
  <c r="AC14" i="13" s="1"/>
  <c r="AG13" i="13"/>
  <c r="AF13" i="13"/>
  <c r="AA13" i="13"/>
  <c r="T13" i="13"/>
  <c r="P13" i="13"/>
  <c r="AE13" i="13" s="1"/>
  <c r="L13" i="13"/>
  <c r="AD13" i="13" s="1"/>
  <c r="I13" i="13"/>
  <c r="AC13" i="13" s="1"/>
  <c r="AG12" i="13"/>
  <c r="AA12" i="13"/>
  <c r="T12" i="13"/>
  <c r="AF12" i="13" s="1"/>
  <c r="P12" i="13"/>
  <c r="AE12" i="13" s="1"/>
  <c r="L12" i="13"/>
  <c r="AD12" i="13" s="1"/>
  <c r="I12" i="13"/>
  <c r="AC12" i="13" s="1"/>
  <c r="AC11" i="13"/>
  <c r="AA11" i="13"/>
  <c r="AG11" i="13" s="1"/>
  <c r="T11" i="13"/>
  <c r="AF11" i="13" s="1"/>
  <c r="P11" i="13"/>
  <c r="AE11" i="13" s="1"/>
  <c r="L11" i="13"/>
  <c r="AD11" i="13" s="1"/>
  <c r="I11" i="13"/>
  <c r="AG10" i="13"/>
  <c r="AF10" i="13"/>
  <c r="AA10" i="13"/>
  <c r="T10" i="13"/>
  <c r="P10" i="13"/>
  <c r="AE10" i="13" s="1"/>
  <c r="L10" i="13"/>
  <c r="AD10" i="13" s="1"/>
  <c r="I10" i="13"/>
  <c r="AC10" i="13" s="1"/>
  <c r="AG9" i="13"/>
  <c r="AF9" i="13"/>
  <c r="AA9" i="13"/>
  <c r="T9" i="13"/>
  <c r="P9" i="13"/>
  <c r="AE9" i="13" s="1"/>
  <c r="L9" i="13"/>
  <c r="AD9" i="13" s="1"/>
  <c r="I9" i="13"/>
  <c r="AC9" i="13" s="1"/>
  <c r="AG8" i="13"/>
  <c r="AA8" i="13"/>
  <c r="T8" i="13"/>
  <c r="AF8" i="13" s="1"/>
  <c r="P8" i="13"/>
  <c r="AE8" i="13" s="1"/>
  <c r="L8" i="13"/>
  <c r="AD8" i="13" s="1"/>
  <c r="I8" i="13"/>
  <c r="AC8" i="13" s="1"/>
  <c r="AC7" i="13"/>
  <c r="AA7" i="13"/>
  <c r="AG7" i="13" s="1"/>
  <c r="T7" i="13"/>
  <c r="AF7" i="13" s="1"/>
  <c r="P7" i="13"/>
  <c r="AE7" i="13" s="1"/>
  <c r="L7" i="13"/>
  <c r="AD7" i="13" s="1"/>
  <c r="I7" i="13"/>
  <c r="AG6" i="13"/>
  <c r="AF6" i="13"/>
  <c r="AA6" i="13"/>
  <c r="T6" i="13"/>
  <c r="P6" i="13"/>
  <c r="AE6" i="13" s="1"/>
  <c r="L6" i="13"/>
  <c r="AD6" i="13" s="1"/>
  <c r="I6" i="13"/>
  <c r="AC6" i="13" s="1"/>
  <c r="AG5" i="13"/>
  <c r="AF5" i="13"/>
  <c r="AA5" i="13"/>
  <c r="T5" i="13"/>
  <c r="P5" i="13"/>
  <c r="AE5" i="13" s="1"/>
  <c r="L5" i="13"/>
  <c r="AD5" i="13" s="1"/>
  <c r="I5" i="13"/>
  <c r="AC5" i="13" s="1"/>
  <c r="AG4" i="13"/>
  <c r="AA4" i="13"/>
  <c r="T4" i="13"/>
  <c r="AF4" i="13" s="1"/>
  <c r="P4" i="13"/>
  <c r="AE4" i="13" s="1"/>
  <c r="L4" i="13"/>
  <c r="AD4" i="13" s="1"/>
  <c r="I4" i="13"/>
  <c r="AC4" i="13" s="1"/>
  <c r="AC3" i="13"/>
  <c r="AA3" i="13"/>
  <c r="AG3" i="13" s="1"/>
  <c r="T3" i="13"/>
  <c r="AF3" i="13" s="1"/>
  <c r="P3" i="13"/>
  <c r="AE3" i="13" s="1"/>
  <c r="L3" i="13"/>
  <c r="AD3" i="13" s="1"/>
  <c r="I3" i="13"/>
  <c r="AG2" i="13"/>
  <c r="AF2" i="13"/>
  <c r="AA2" i="13"/>
  <c r="T2" i="13"/>
  <c r="P2" i="13"/>
  <c r="AE2" i="13" s="1"/>
  <c r="L2" i="13"/>
  <c r="AD2" i="13" s="1"/>
  <c r="I2" i="13"/>
  <c r="AC2" i="13" s="1"/>
  <c r="P14" i="12"/>
  <c r="J13" i="12"/>
  <c r="J14" i="12" s="1"/>
  <c r="P6" i="12"/>
  <c r="L6" i="12"/>
  <c r="K6" i="12"/>
  <c r="J6" i="12"/>
  <c r="I6" i="12"/>
  <c r="H6" i="12"/>
  <c r="G6" i="12"/>
  <c r="F6" i="12"/>
  <c r="E6" i="12"/>
  <c r="D6" i="12"/>
  <c r="C6" i="12"/>
  <c r="B6" i="12"/>
  <c r="AB61" i="13" l="1" a="1"/>
  <c r="AB61" i="13" s="1"/>
  <c r="AG65" i="13"/>
  <c r="AB5" i="13" a="1"/>
  <c r="AB5" i="13" s="1"/>
  <c r="AB24" i="13" a="1"/>
  <c r="AB24" i="13" s="1"/>
  <c r="AB25" i="13" a="1"/>
  <c r="AB25" i="13" s="1"/>
  <c r="AB27" i="13" a="1"/>
  <c r="AB27" i="13" s="1"/>
  <c r="AB28" i="13" a="1"/>
  <c r="AB28" i="13" s="1"/>
  <c r="AB29" i="13" a="1"/>
  <c r="AB29" i="13" s="1"/>
  <c r="AB30" i="13" a="1"/>
  <c r="AB30" i="13" s="1"/>
  <c r="AB31" i="13" a="1"/>
  <c r="AB31" i="13" s="1"/>
  <c r="AB32" i="13" a="1"/>
  <c r="AB32" i="13" s="1"/>
  <c r="AB33" i="13" a="1"/>
  <c r="AB33" i="13" s="1"/>
  <c r="AB34" i="13" a="1"/>
  <c r="AB34" i="13" s="1"/>
  <c r="AB35" i="13" a="1"/>
  <c r="AB35" i="13" s="1"/>
  <c r="AB36" i="13" a="1"/>
  <c r="AB36" i="13" s="1"/>
  <c r="AB37" i="13" a="1"/>
  <c r="AB37" i="13" s="1"/>
  <c r="AB38" i="13" a="1"/>
  <c r="AB38" i="13" s="1"/>
  <c r="AB39" i="13" a="1"/>
  <c r="AB39" i="13" s="1"/>
  <c r="AB40" i="13" a="1"/>
  <c r="AB40" i="13" s="1"/>
  <c r="AB41" i="13" a="1"/>
  <c r="AB41" i="13" s="1"/>
  <c r="AB42" i="13" a="1"/>
  <c r="AB42" i="13" s="1"/>
  <c r="AB43" i="13" a="1"/>
  <c r="AB43" i="13" s="1"/>
  <c r="AB44" i="13" a="1"/>
  <c r="AB44" i="13" s="1"/>
  <c r="AB46" i="13" a="1"/>
  <c r="AB46" i="13" s="1"/>
  <c r="AB48" i="13" a="1"/>
  <c r="AB48" i="13" s="1"/>
  <c r="AB50" i="13" a="1"/>
  <c r="AB50" i="13" s="1"/>
  <c r="AB52" i="13" a="1"/>
  <c r="AB52" i="13" s="1"/>
  <c r="AB54" i="13" a="1"/>
  <c r="AB54" i="13" s="1"/>
  <c r="AB56" i="13" a="1"/>
  <c r="AB56" i="13" s="1"/>
  <c r="AB58" i="13" a="1"/>
  <c r="AB58" i="13" s="1"/>
  <c r="AB3" i="13" a="1"/>
  <c r="AB3" i="13" s="1"/>
  <c r="AB7" i="13" a="1"/>
  <c r="AB7" i="13" s="1"/>
  <c r="AB11" i="13" a="1"/>
  <c r="AB11" i="13" s="1"/>
  <c r="AB12" i="13" a="1"/>
  <c r="AB12" i="13" s="1"/>
  <c r="AB14" i="13" a="1"/>
  <c r="AB14" i="13" s="1"/>
  <c r="AB15" i="13" a="1"/>
  <c r="AB15" i="13" s="1"/>
  <c r="AB16" i="13" a="1"/>
  <c r="AB16" i="13" s="1"/>
  <c r="AB59" i="13" a="1"/>
  <c r="AB59" i="13" s="1"/>
  <c r="AB63" i="13" a="1"/>
  <c r="AB63" i="13" s="1"/>
  <c r="AB106" i="13" a="1"/>
  <c r="AB106" i="13" s="1"/>
  <c r="AB2" i="13" a="1"/>
  <c r="AB2" i="13" s="1"/>
  <c r="AB4" i="13" a="1"/>
  <c r="AB4" i="13" s="1"/>
  <c r="AB6" i="13" a="1"/>
  <c r="AB6" i="13" s="1"/>
  <c r="AB8" i="13" a="1"/>
  <c r="AB8" i="13" s="1"/>
  <c r="AB9" i="13" a="1"/>
  <c r="AB9" i="13" s="1"/>
  <c r="AB10" i="13" a="1"/>
  <c r="AB10" i="13" s="1"/>
  <c r="AB13" i="13" a="1"/>
  <c r="AB13" i="13" s="1"/>
  <c r="AB17" i="13" a="1"/>
  <c r="AB17" i="13" s="1"/>
  <c r="AB18" i="13" a="1"/>
  <c r="AB18" i="13" s="1"/>
  <c r="AB19" i="13" a="1"/>
  <c r="AB19" i="13" s="1"/>
  <c r="AB20" i="13" a="1"/>
  <c r="AB20" i="13" s="1"/>
  <c r="AB21" i="13" a="1"/>
  <c r="AB21" i="13" s="1"/>
  <c r="AB22" i="13" a="1"/>
  <c r="AB22" i="13" s="1"/>
  <c r="AB23" i="13" a="1"/>
  <c r="AB23" i="13" s="1"/>
  <c r="AB26" i="13" a="1"/>
  <c r="AB26" i="13" s="1"/>
  <c r="AB45" i="13" a="1"/>
  <c r="AB45" i="13" s="1"/>
  <c r="AB47" i="13" a="1"/>
  <c r="AB47" i="13" s="1"/>
  <c r="AB49" i="13" a="1"/>
  <c r="AB49" i="13" s="1"/>
  <c r="AB51" i="13" a="1"/>
  <c r="AB51" i="13" s="1"/>
  <c r="AB53" i="13" a="1"/>
  <c r="AB53" i="13" s="1"/>
  <c r="AB55" i="13" a="1"/>
  <c r="AB55" i="13" s="1"/>
  <c r="AB57" i="13" a="1"/>
  <c r="AB57" i="13" s="1"/>
  <c r="AB60" i="13" a="1"/>
  <c r="AB60" i="13" s="1"/>
  <c r="AB64" i="13" a="1"/>
  <c r="AB64" i="13" s="1"/>
  <c r="AG66" i="13"/>
  <c r="AB66" i="13" a="1"/>
  <c r="AB66" i="13" s="1"/>
  <c r="AB107" i="13" a="1"/>
  <c r="AB107" i="13" s="1"/>
  <c r="AG107" i="13"/>
  <c r="AB108" i="13" a="1"/>
  <c r="AB108" i="13" s="1"/>
  <c r="AB67" i="13" a="1"/>
  <c r="AB67" i="13" s="1"/>
  <c r="AB68" i="13" a="1"/>
  <c r="AB68" i="13" s="1"/>
  <c r="AB69" i="13" a="1"/>
  <c r="AB69" i="13" s="1"/>
  <c r="AB70" i="13" a="1"/>
  <c r="AB70" i="13" s="1"/>
  <c r="AB71" i="13" a="1"/>
  <c r="AB71" i="13" s="1"/>
  <c r="AB72" i="13" a="1"/>
  <c r="AB72" i="13" s="1"/>
  <c r="AB73" i="13" a="1"/>
  <c r="AB73" i="13" s="1"/>
  <c r="AB74" i="13" a="1"/>
  <c r="AB74" i="13" s="1"/>
  <c r="AB75" i="13" a="1"/>
  <c r="AB75" i="13" s="1"/>
  <c r="AB76" i="13" a="1"/>
  <c r="AB76" i="13" s="1"/>
  <c r="AB77" i="13" a="1"/>
  <c r="AB77" i="13" s="1"/>
  <c r="AB78" i="13" a="1"/>
  <c r="AB78" i="13" s="1"/>
  <c r="AB79" i="13" a="1"/>
  <c r="AB79" i="13" s="1"/>
  <c r="AB80" i="13" a="1"/>
  <c r="AB80" i="13" s="1"/>
  <c r="AB81" i="13" a="1"/>
  <c r="AB81" i="13" s="1"/>
  <c r="AB82" i="13" a="1"/>
  <c r="AB82" i="13" s="1"/>
  <c r="AB83" i="13" a="1"/>
  <c r="AB83" i="13" s="1"/>
  <c r="AB84" i="13" a="1"/>
  <c r="AB84" i="13" s="1"/>
  <c r="AB85" i="13" a="1"/>
  <c r="AB85" i="13" s="1"/>
  <c r="AB86" i="13" a="1"/>
  <c r="AB86" i="13" s="1"/>
  <c r="AB87" i="13" a="1"/>
  <c r="AB87" i="13" s="1"/>
  <c r="AB88" i="13" a="1"/>
  <c r="AB88" i="13" s="1"/>
  <c r="AB89" i="13" a="1"/>
  <c r="AB89" i="13" s="1"/>
  <c r="AB90" i="13" a="1"/>
  <c r="AB90" i="13" s="1"/>
  <c r="AB91" i="13" a="1"/>
  <c r="AB91" i="13" s="1"/>
  <c r="AB92" i="13" a="1"/>
  <c r="AB92" i="13" s="1"/>
  <c r="AB93" i="13" a="1"/>
  <c r="AB93" i="13" s="1"/>
  <c r="AB94" i="13" a="1"/>
  <c r="AB94" i="13" s="1"/>
  <c r="AB95" i="13" a="1"/>
  <c r="AB95" i="13" s="1"/>
  <c r="AB96" i="13" a="1"/>
  <c r="AB96" i="13" s="1"/>
  <c r="AB97" i="13" a="1"/>
  <c r="AB97" i="13" s="1"/>
  <c r="AB98" i="13" a="1"/>
  <c r="AB98" i="13" s="1"/>
  <c r="AB99" i="13" a="1"/>
  <c r="AB99" i="13" s="1"/>
  <c r="AB100" i="13" a="1"/>
  <c r="AB100" i="13" s="1"/>
  <c r="AB101" i="13" a="1"/>
  <c r="AB101" i="13" s="1"/>
  <c r="AB102" i="13" a="1"/>
  <c r="AB102" i="13" s="1"/>
  <c r="AB103" i="13" a="1"/>
  <c r="AB103" i="13" s="1"/>
  <c r="AB104" i="13" a="1"/>
  <c r="AB104" i="13" s="1"/>
  <c r="AB105" i="13" a="1"/>
  <c r="AB105" i="13" s="1"/>
  <c r="AG105" i="13"/>
  <c r="AB110" i="13" l="1"/>
  <c r="AB109" i="13"/>
  <c r="AB111" i="13" l="1"/>
  <c r="AB112" i="13"/>
  <c r="E13" i="12"/>
  <c r="E14" i="12" s="1"/>
  <c r="D30" i="10" l="1"/>
  <c r="E30" i="10"/>
  <c r="F30" i="10"/>
  <c r="D31" i="10"/>
  <c r="E31" i="10"/>
  <c r="F31" i="10"/>
  <c r="J7" i="12" l="1"/>
  <c r="J8" i="12" s="1"/>
  <c r="M6" i="12"/>
  <c r="F44" i="10"/>
  <c r="L8" i="12"/>
  <c r="F58" i="10"/>
  <c r="E21" i="10"/>
  <c r="E9" i="10"/>
  <c r="F16" i="10"/>
  <c r="L7" i="12"/>
  <c r="D40" i="10"/>
  <c r="E8" i="10"/>
  <c r="D41" i="10"/>
  <c r="E19" i="10"/>
  <c r="G8" i="12"/>
  <c r="E7" i="10"/>
  <c r="F41" i="10"/>
  <c r="E10" i="10"/>
  <c r="D8" i="12"/>
  <c r="F21" i="10"/>
  <c r="N8" i="12"/>
  <c r="E36" i="10"/>
  <c r="F53" i="10"/>
  <c r="F20" i="10"/>
  <c r="F47" i="10"/>
  <c r="F17" i="10"/>
  <c r="D62" i="10"/>
  <c r="D7" i="10"/>
  <c r="D7" i="12"/>
  <c r="B7" i="12"/>
  <c r="B8" i="12"/>
  <c r="D26" i="10"/>
  <c r="F9" i="10"/>
  <c r="F35" i="10"/>
  <c r="F63" i="10"/>
  <c r="D36" i="10"/>
  <c r="D20" i="10"/>
  <c r="H7" i="12"/>
  <c r="H8" i="12"/>
  <c r="F46" i="10"/>
  <c r="M7" i="12"/>
  <c r="M8" i="12"/>
  <c r="F55" i="10"/>
  <c r="O6" i="12"/>
  <c r="E35" i="10"/>
  <c r="F36" i="10"/>
  <c r="D18" i="10"/>
  <c r="E20" i="10"/>
  <c r="D19" i="10"/>
  <c r="E26" i="10"/>
  <c r="N6" i="12"/>
  <c r="F50" i="10"/>
  <c r="F26" i="10"/>
  <c r="E62" i="10"/>
  <c r="D21" i="10"/>
  <c r="D63" i="10"/>
  <c r="F19" i="10"/>
  <c r="E63" i="10"/>
  <c r="N7" i="12"/>
  <c r="F52" i="10"/>
  <c r="F10" i="10"/>
  <c r="F8" i="10"/>
  <c r="F57" i="10"/>
  <c r="O7" i="12"/>
  <c r="O8" i="12"/>
  <c r="D8" i="10"/>
  <c r="E40" i="10"/>
  <c r="E25" i="10"/>
  <c r="F60" i="10"/>
  <c r="F48" i="10"/>
  <c r="D9" i="10"/>
  <c r="E7" i="12"/>
  <c r="E8" i="12"/>
  <c r="E18" i="10"/>
  <c r="D17" i="10"/>
  <c r="G7" i="12"/>
  <c r="C7" i="12"/>
  <c r="C8" i="12"/>
  <c r="F40" i="10"/>
  <c r="F7" i="10"/>
  <c r="F25" i="10"/>
  <c r="D16" i="10"/>
  <c r="F7" i="12"/>
  <c r="F8" i="12"/>
  <c r="D10" i="10"/>
  <c r="E41" i="10"/>
  <c r="D35" i="10"/>
  <c r="K7" i="12"/>
  <c r="K8" i="12"/>
  <c r="F18" i="10"/>
  <c r="D25" i="10"/>
  <c r="I7" i="12"/>
  <c r="I8" i="12"/>
  <c r="E16" i="10"/>
  <c r="F62" i="10"/>
  <c r="P7" i="12"/>
  <c r="P8" i="12"/>
  <c r="E17" i="10"/>
</calcChain>
</file>

<file path=xl/sharedStrings.xml><?xml version="1.0" encoding="utf-8"?>
<sst xmlns="http://schemas.openxmlformats.org/spreadsheetml/2006/main" count="9787" uniqueCount="3569">
  <si>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</si>
  <si>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</si>
  <si>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</si>
  <si>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</si>
  <si>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</si>
  <si>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</si>
  <si>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</si>
  <si>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</si>
  <si>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</si>
  <si>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</si>
  <si>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</si>
  <si>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</si>
  <si>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</si>
  <si>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</si>
  <si>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</si>
  <si>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</si>
  <si>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</si>
  <si>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</si>
  <si>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</si>
  <si>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</si>
  <si>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</si>
  <si>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</si>
  <si>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</si>
  <si>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</si>
  <si>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</si>
  <si>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</si>
  <si>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</si>
  <si>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20180124</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</si>
  <si>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</si>
  <si>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</si>
  <si>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</si>
  <si>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</si>
  <si>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</si>
  <si>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</si>
  <si>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HTS_TST</t>
  </si>
  <si>
    <t xml:space="preserve">Implementing Partner: </t>
  </si>
  <si>
    <t>APIN</t>
  </si>
  <si>
    <t>State:</t>
  </si>
  <si>
    <t>Osun</t>
  </si>
  <si>
    <t>LGA:</t>
  </si>
  <si>
    <t>Iwo</t>
  </si>
  <si>
    <t>Facility Name:</t>
  </si>
  <si>
    <t>St. Zeno Catholic Hospital - Iwo</t>
  </si>
  <si>
    <t>Reporting Period:</t>
  </si>
  <si>
    <t>Q1 FY18</t>
  </si>
  <si>
    <t>Facility Code:</t>
  </si>
  <si>
    <t>rcGc224XPYp</t>
  </si>
  <si>
    <t>Number of individuals who received HIV Testing Services (HTS) and received their test results (as reported on DATIM)</t>
  </si>
  <si>
    <t>A1</t>
  </si>
  <si>
    <t>Total number of individuals tested HIV positive including PMTCT (as reported on DATIM)</t>
  </si>
  <si>
    <t>HTC_TST_Pos</t>
  </si>
  <si>
    <t>HTC _Only</t>
  </si>
  <si>
    <t>HTC _Pos</t>
  </si>
  <si>
    <t>PMTCT_STAT</t>
  </si>
  <si>
    <t>PMTCT_STAT_Pos</t>
  </si>
  <si>
    <t>PMTCT_STAT_Knwpos</t>
  </si>
  <si>
    <t>PMTCT_ART</t>
  </si>
  <si>
    <t>PMTCT_EID</t>
  </si>
  <si>
    <t>PMTCT_HEI_POS</t>
  </si>
  <si>
    <t>TX_NEW</t>
  </si>
  <si>
    <t>TB_STAT</t>
  </si>
  <si>
    <t>TB_ART</t>
  </si>
  <si>
    <t>TX_TB</t>
  </si>
  <si>
    <t>PMTCT_FO</t>
  </si>
  <si>
    <t>B1</t>
  </si>
  <si>
    <t>Number of individuals counseled, tested, and received results  (HTC Only) (as reported on DATIM)</t>
  </si>
  <si>
    <t>Q1FY18 DATIM Report</t>
  </si>
  <si>
    <t>C1</t>
  </si>
  <si>
    <t>Number of individuals tested HIV positive (HTC only as reported on DATIM)</t>
  </si>
  <si>
    <t>Validation</t>
  </si>
  <si>
    <t>Tools in use</t>
  </si>
  <si>
    <t>HTC Register, OPD Register, Client Intake Form, HTC MSF</t>
  </si>
  <si>
    <t>Oct</t>
  </si>
  <si>
    <t>Nov</t>
  </si>
  <si>
    <t>Dec</t>
  </si>
  <si>
    <t xml:space="preserve">Concurrence rate
</t>
  </si>
  <si>
    <t>How many HCT clients are documented in the HTS Register or OPD Register</t>
  </si>
  <si>
    <t>How many clients who tested negative were documented in the HTS Register or OPD Register</t>
  </si>
  <si>
    <t>TX_Curr Validation (ART Site as at December 2017)</t>
  </si>
  <si>
    <t xml:space="preserve"> How many clients who tested positive were documented in the HTS Register or OPD Register</t>
  </si>
  <si>
    <t>Number of patients randomly selected  (Based on Number of patients reported on RADET)</t>
  </si>
  <si>
    <t>How many clients who tested positive were documented in the HTC MSF</t>
  </si>
  <si>
    <t>Number of the randomly selected patients whose details were validated from the patient folder or EMR</t>
  </si>
  <si>
    <t>Concurrence Rate</t>
  </si>
  <si>
    <t>Name and Designation of Assessor:</t>
  </si>
  <si>
    <t>Date of Assessment:</t>
  </si>
  <si>
    <t>Site M&amp;E focal person:</t>
  </si>
  <si>
    <t xml:space="preserve"> </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</si>
  <si>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</si>
  <si>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</si>
  <si>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</si>
  <si>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</si>
  <si>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</si>
  <si>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</si>
  <si>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</si>
  <si>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</si>
  <si>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</si>
  <si>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</si>
  <si>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</si>
  <si>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</si>
  <si>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</si>
  <si>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</si>
  <si>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</si>
  <si>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</si>
  <si>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What is the total number of  HIV-positive pregnant women who received ART/ARV (newly/ Already initiated) to reduce the risk of mother-to-child-transmission during this reporting period as documented on the PMTCT Monthly Summary Form</t>
  </si>
  <si>
    <t>Number of infants born to HIV-positive women who had blood samples taken for DNA PCR test within 12 months of birth as reported on DATIM</t>
  </si>
  <si>
    <t>Tool in use</t>
  </si>
  <si>
    <t>Child follow up Registe,PMTCT MSF</t>
  </si>
  <si>
    <t>How many  infants 0 - 12 months have blood samples were taken for DNA PCR test as documented in the Child Follow up register?</t>
  </si>
  <si>
    <t xml:space="preserve">How many  infants 0 - 12 months have blood samples were taken for DNA PCR test as documented in the  PMTCT MSF? </t>
  </si>
  <si>
    <t xml:space="preserve">Number of HIV Exposed babies who tested positive for HIV within 0- 12 months of birth as reported on DATIM) </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</si>
  <si>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</si>
  <si>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</si>
  <si>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</si>
  <si>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</si>
  <si>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</si>
  <si>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</si>
  <si>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</si>
  <si>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</si>
  <si>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</si>
  <si>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6 Months (Apr - Sep 2017)</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</si>
  <si>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</si>
  <si>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</si>
  <si>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</si>
  <si>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</si>
  <si>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</si>
  <si>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</si>
  <si>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</si>
  <si>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</si>
  <si>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</si>
  <si>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</si>
  <si>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</si>
  <si>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</si>
  <si>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</si>
  <si>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</si>
  <si>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</si>
  <si>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</si>
  <si>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</si>
  <si>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</si>
  <si>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</si>
  <si>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</si>
  <si>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</si>
  <si>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</si>
  <si>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</si>
  <si>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</si>
  <si>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</si>
  <si>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</si>
  <si>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</si>
  <si>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</si>
  <si>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</si>
  <si>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</si>
  <si>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</si>
  <si>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</si>
  <si>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</si>
  <si>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</si>
  <si>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</si>
  <si>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September 2017)</t>
  </si>
  <si>
    <t>TX_RET (ART Site as at September 2017)</t>
  </si>
  <si>
    <t>TX_PLVS (ART Site as at September 2017)</t>
  </si>
  <si>
    <t>Number of patient number randomly selected  (Based on Number of patients reported on RADET</t>
  </si>
  <si>
    <t>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</si>
  <si>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</si>
  <si>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</si>
  <si>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</si>
  <si>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Retention Rate</t>
  </si>
  <si>
    <t>Suppression  Rate</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</si>
  <si>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</si>
  <si>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</si>
  <si>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</si>
  <si>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</si>
  <si>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</si>
  <si>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</si>
  <si>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</si>
  <si>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</si>
  <si>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</si>
  <si>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</si>
  <si>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</si>
  <si>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</si>
  <si>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</si>
  <si>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</si>
  <si>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</si>
  <si>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</si>
  <si>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</si>
  <si>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</si>
  <si>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</si>
  <si>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</si>
  <si>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</si>
  <si>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</si>
  <si>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</si>
  <si>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</si>
  <si>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</si>
  <si>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</si>
  <si>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</si>
  <si>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</si>
  <si>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</si>
  <si>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</si>
  <si>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</si>
  <si>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</si>
  <si>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</si>
  <si>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</si>
  <si>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</si>
  <si>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</si>
  <si>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</si>
  <si>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</si>
  <si>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</si>
  <si>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</si>
  <si>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</si>
  <si>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</si>
  <si>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</si>
  <si>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</si>
  <si>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</si>
  <si>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</si>
  <si>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</si>
  <si>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</si>
  <si>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</si>
  <si>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</si>
  <si>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</si>
  <si>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</si>
  <si>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Country</t>
  </si>
  <si>
    <t>Facility Name</t>
  </si>
  <si>
    <t>Facility Code</t>
  </si>
  <si>
    <t>IP</t>
  </si>
  <si>
    <t>lower bound</t>
  </si>
  <si>
    <t>upper bound</t>
  </si>
  <si>
    <t>min total records to review</t>
  </si>
  <si>
    <t>FCT</t>
  </si>
  <si>
    <t>fc Abaji</t>
  </si>
  <si>
    <t>Nigeria</t>
  </si>
  <si>
    <t>Benue</t>
  </si>
  <si>
    <t>be Ado</t>
  </si>
  <si>
    <t>Ajio Local Government Health Center</t>
  </si>
  <si>
    <t>kYQmzSgzCJX</t>
  </si>
  <si>
    <t>CCFN</t>
  </si>
  <si>
    <t>Q2 FY18</t>
  </si>
  <si>
    <t>Nasarawa</t>
  </si>
  <si>
    <t>fc AMAC</t>
  </si>
  <si>
    <t>Uton Kon Comprehensive Health Center</t>
  </si>
  <si>
    <t>FFZfpSZjxhj</t>
  </si>
  <si>
    <t>CIHP</t>
  </si>
  <si>
    <t>Q3 FY18</t>
  </si>
  <si>
    <t>Kano</t>
  </si>
  <si>
    <t>fc Bwari</t>
  </si>
  <si>
    <t>be Agatu</t>
  </si>
  <si>
    <t>Oyeoshima Memorial Hospital - Obagaji</t>
  </si>
  <si>
    <t>GsDaIB34rvZ</t>
  </si>
  <si>
    <t>IHVN</t>
  </si>
  <si>
    <t>Q4 FY18</t>
  </si>
  <si>
    <t>Katsina</t>
  </si>
  <si>
    <t>fc Gwagwalada</t>
  </si>
  <si>
    <t>Obagaji Agatu Comprehensive Health Center</t>
  </si>
  <si>
    <t>O8mETbtR3if</t>
  </si>
  <si>
    <t>Delta</t>
  </si>
  <si>
    <t>fc Kuje</t>
  </si>
  <si>
    <t>be Apa</t>
  </si>
  <si>
    <t>New Concept Hospital</t>
  </si>
  <si>
    <t>vse3mtJJEmf</t>
  </si>
  <si>
    <t>Ebonyi</t>
  </si>
  <si>
    <t>fc Kwali</t>
  </si>
  <si>
    <t>Ukpogo Primary Health Center</t>
  </si>
  <si>
    <t>DBWPwvDC0AX</t>
  </si>
  <si>
    <t>Enugu</t>
  </si>
  <si>
    <t>na Akwanga</t>
  </si>
  <si>
    <t>TX_CURR</t>
  </si>
  <si>
    <t>be Buruku</t>
  </si>
  <si>
    <t>Nongu u Kristu ke Sudan hen Tiv (NKST) Comprehensive Health Center - Garagbohol</t>
  </si>
  <si>
    <t>Rf1yYN2IDWc</t>
  </si>
  <si>
    <t>Imo</t>
  </si>
  <si>
    <t>na Doma</t>
  </si>
  <si>
    <t>St. Martha's Clinic and Maternity - Ugbema</t>
  </si>
  <si>
    <t>ylQ6RLXvHHJ</t>
  </si>
  <si>
    <t>Gombe</t>
  </si>
  <si>
    <t>na Karu</t>
  </si>
  <si>
    <t>St. Paul's Primary Health Center - Ashamena</t>
  </si>
  <si>
    <t>Mb5HQ1iM2ci</t>
  </si>
  <si>
    <t>Kaduna</t>
  </si>
  <si>
    <t>na Keana</t>
  </si>
  <si>
    <t>Agwabi Primary Health Center</t>
  </si>
  <si>
    <t>nnocuY5Y1ve</t>
  </si>
  <si>
    <t>Kogi</t>
  </si>
  <si>
    <t>na Keffi</t>
  </si>
  <si>
    <t>TX_RET</t>
  </si>
  <si>
    <t>Ako Primary Health Center</t>
  </si>
  <si>
    <t>IJtXcAlf0Gw</t>
  </si>
  <si>
    <t>na Kokona</t>
  </si>
  <si>
    <t>Anonghul Primary Health Center</t>
  </si>
  <si>
    <t>GVwSWUCUWPn</t>
  </si>
  <si>
    <t>Ekiti</t>
  </si>
  <si>
    <t>na Lafia</t>
  </si>
  <si>
    <t>Anvambe Primary Health Center</t>
  </si>
  <si>
    <t>nMO8qFMjftW</t>
  </si>
  <si>
    <t>Lagos</t>
  </si>
  <si>
    <t>na Nasarawa</t>
  </si>
  <si>
    <t>Anzembe Clinic</t>
  </si>
  <si>
    <t>x0lTOYyB0Xq</t>
  </si>
  <si>
    <t>Ogun</t>
  </si>
  <si>
    <t>na Nasarawa Eggon</t>
  </si>
  <si>
    <t>Apav Primary Health Center</t>
  </si>
  <si>
    <t>k8SOoKCsniT</t>
  </si>
  <si>
    <t>Ondo</t>
  </si>
  <si>
    <t>na Obi</t>
  </si>
  <si>
    <t>Doose Clinic</t>
  </si>
  <si>
    <t>NhrnFnjxx2Z</t>
  </si>
  <si>
    <t>na Toto</t>
  </si>
  <si>
    <t>Gbaja  Primary Health Center</t>
  </si>
  <si>
    <t>CyG4e1PNY2V</t>
  </si>
  <si>
    <t>Oyo</t>
  </si>
  <si>
    <t>na Wamba</t>
  </si>
  <si>
    <t>General Hospital Buruku</t>
  </si>
  <si>
    <t>hWsBYXZwHiP</t>
  </si>
  <si>
    <t>Plateau</t>
  </si>
  <si>
    <t>kn Gezawa</t>
  </si>
  <si>
    <t>Jingir Primary Health Center</t>
  </si>
  <si>
    <t>R76nShpbpxl</t>
  </si>
  <si>
    <t>kn Nassarawa</t>
  </si>
  <si>
    <t>Karakuso Clinic</t>
  </si>
  <si>
    <t>sKg8sSkZoMP</t>
  </si>
  <si>
    <t>kn Tarauni</t>
  </si>
  <si>
    <t>Kendem Health Clinic</t>
  </si>
  <si>
    <t>n0FjNk2ued1</t>
  </si>
  <si>
    <t>kn Tudun Wada</t>
  </si>
  <si>
    <t>Kur Primary Health Center</t>
  </si>
  <si>
    <t>bIMhLHumVOb</t>
  </si>
  <si>
    <t>kn Ungogo</t>
  </si>
  <si>
    <t>Mazda Clinic</t>
  </si>
  <si>
    <t>zL6xGqY3SL7</t>
  </si>
  <si>
    <t>kt Funtua</t>
  </si>
  <si>
    <t>Mbagen Community Health Service - Ashibi</t>
  </si>
  <si>
    <t>rWLUwyvE2KL</t>
  </si>
  <si>
    <t>kt Kankia</t>
  </si>
  <si>
    <t>Mbagen Community Health Service - Nyamatsor</t>
  </si>
  <si>
    <t>E1cCmIs4B6J</t>
  </si>
  <si>
    <t>kt Katsina</t>
  </si>
  <si>
    <t>Mbagen Community Hospital - Abwa</t>
  </si>
  <si>
    <t>JVUE6hcwdYf</t>
  </si>
  <si>
    <t>de Aniocha North</t>
  </si>
  <si>
    <t>Mbalaha Clinic</t>
  </si>
  <si>
    <t>rkFS5ZsTWsm</t>
  </si>
  <si>
    <t>de Ethiope East</t>
  </si>
  <si>
    <t>Nongu u Kristu ke Sudan hen Tiv (NKST) Clinic - Uatsor</t>
  </si>
  <si>
    <t>w5XcPdO0vLh</t>
  </si>
  <si>
    <t>de Ika South</t>
  </si>
  <si>
    <t>Nongu u Kristu ke Sudan hen Tiv (NKST) Primary Health Center - Agwabi Buruku</t>
  </si>
  <si>
    <t>p8k5u3mv6dH</t>
  </si>
  <si>
    <t>de Oshimili South</t>
  </si>
  <si>
    <t>Nongu u Kristu ke Sudan hen Tiv (NKST) Primary Health Center - Biliji</t>
  </si>
  <si>
    <t>dOnbIETcQXX</t>
  </si>
  <si>
    <t>de Sapele</t>
  </si>
  <si>
    <t>Sahara Clinic</t>
  </si>
  <si>
    <t>YqtrJF9sW3U</t>
  </si>
  <si>
    <t>de Uvwie</t>
  </si>
  <si>
    <t>Social Clinic</t>
  </si>
  <si>
    <t>f37GcokYWeu</t>
  </si>
  <si>
    <t>de Warri North</t>
  </si>
  <si>
    <t>St. Martins De Porres Primary Health Center</t>
  </si>
  <si>
    <t>F5pWs5NRtpw</t>
  </si>
  <si>
    <t>eb Abakaliki</t>
  </si>
  <si>
    <t>eb Afikpo North</t>
  </si>
  <si>
    <t>Torkwembe Clinic</t>
  </si>
  <si>
    <t>dJz3RVewIzM</t>
  </si>
  <si>
    <t>eb Afikpo South</t>
  </si>
  <si>
    <t>Township Clinic</t>
  </si>
  <si>
    <t>FUKJdEDgVT8</t>
  </si>
  <si>
    <t>eb Ebonyi</t>
  </si>
  <si>
    <t>Tyowanye Primary Health Center</t>
  </si>
  <si>
    <t>kPGQXJlsGON</t>
  </si>
  <si>
    <t>eb Ezza North</t>
  </si>
  <si>
    <t>Uga Primary Health Center</t>
  </si>
  <si>
    <t>bkw7eER1sQg</t>
  </si>
  <si>
    <t>eb Ezza South</t>
  </si>
  <si>
    <t>Usen Tombo Primary Health Center</t>
  </si>
  <si>
    <t>XnHRGEEKQSR</t>
  </si>
  <si>
    <t>eb Ikwo</t>
  </si>
  <si>
    <t>Utsombi Model Primary Health Center</t>
  </si>
  <si>
    <t>Tj6mOtw94Xz</t>
  </si>
  <si>
    <t>eb Ishielu</t>
  </si>
  <si>
    <t>Yoosu Clinic</t>
  </si>
  <si>
    <t>dpnrTDJguOo</t>
  </si>
  <si>
    <t>eb Ivo</t>
  </si>
  <si>
    <t>Zua Primary Health Center</t>
  </si>
  <si>
    <t>dQECLkJP2dR</t>
  </si>
  <si>
    <t>eb Izzi</t>
  </si>
  <si>
    <t>be Gboko</t>
  </si>
  <si>
    <t>Nongu u Kristu ke Sudan hen Tiv (NKST) Clinic - Genyi Yandev</t>
  </si>
  <si>
    <t>iXF6l0KcQDv</t>
  </si>
  <si>
    <t>eb Ohaozara</t>
  </si>
  <si>
    <t>Akaa Primary Health Center</t>
  </si>
  <si>
    <t>BIf4NpUc9tv</t>
  </si>
  <si>
    <t>eb Ohaukwu</t>
  </si>
  <si>
    <t>Akpagher Primary Health Center</t>
  </si>
  <si>
    <t>hd4uvUNJmVb</t>
  </si>
  <si>
    <t>eb Onicha</t>
  </si>
  <si>
    <t>Amaladu Primary Health Center</t>
  </si>
  <si>
    <t>ZhI01U6OW27</t>
  </si>
  <si>
    <t>en Aninri</t>
  </si>
  <si>
    <t>Atume Clinic and Maternity</t>
  </si>
  <si>
    <t>WMifDMychYH</t>
  </si>
  <si>
    <t>en Awgu</t>
  </si>
  <si>
    <t>Atuna Clinic and Maternity</t>
  </si>
  <si>
    <t>szcn3Q559Dz</t>
  </si>
  <si>
    <t>en Enugu East</t>
  </si>
  <si>
    <t>Avande Primary Health Center</t>
  </si>
  <si>
    <t>boPVZvERiSO</t>
  </si>
  <si>
    <t>en Enugu North</t>
  </si>
  <si>
    <t>Baki Clinic</t>
  </si>
  <si>
    <t>I2YSBeACOiz</t>
  </si>
  <si>
    <t>en Enugu South</t>
  </si>
  <si>
    <t>Gboko East Comprehensive Health Center</t>
  </si>
  <si>
    <t>NKBX6MV18q7</t>
  </si>
  <si>
    <t>en Ezeagu</t>
  </si>
  <si>
    <t>Gboko South Primary Health Center</t>
  </si>
  <si>
    <t>QW4jZGUGs0K</t>
  </si>
  <si>
    <t>en Igbo Etiti</t>
  </si>
  <si>
    <t>Isundugh Model Primary Health Center</t>
  </si>
  <si>
    <t>LMbwSwAgEE7</t>
  </si>
  <si>
    <t>en Igbo Eze North</t>
  </si>
  <si>
    <t>Mbaakanku Primary Health Center</t>
  </si>
  <si>
    <t>imhNpRaqgMO</t>
  </si>
  <si>
    <t>en Igbo Eze South</t>
  </si>
  <si>
    <t>Mbagar Primary Health Center</t>
  </si>
  <si>
    <t>BNicZLMov3O</t>
  </si>
  <si>
    <t>en Isiuzo</t>
  </si>
  <si>
    <t>Mbaswa Primary Health Center</t>
  </si>
  <si>
    <t>mqXUgQzdrim</t>
  </si>
  <si>
    <t>en Nkanu East</t>
  </si>
  <si>
    <t>Mercy Hospital</t>
  </si>
  <si>
    <t>UKpHt1NMIzG</t>
  </si>
  <si>
    <t>en Nkanu West</t>
  </si>
  <si>
    <t>Myom Hospital - Gboko</t>
  </si>
  <si>
    <t>KCeTZcNxHny</t>
  </si>
  <si>
    <t>en Nsukka</t>
  </si>
  <si>
    <t>Nongu u Kristu ke Sudan hen Tiv (NKST) - Anyogo Comprehensive Health Center - Gboko East</t>
  </si>
  <si>
    <t>RkCEl2a26MS</t>
  </si>
  <si>
    <t>en Oji River</t>
  </si>
  <si>
    <t>Nongu u Kristu ke Sudan hen Tiv (NKST) Hospital - Mkar</t>
  </si>
  <si>
    <t>LQY80730nX8</t>
  </si>
  <si>
    <t>en Udenu</t>
  </si>
  <si>
    <t>Pewaren Hospital</t>
  </si>
  <si>
    <t>lJi7cRmWTRT</t>
  </si>
  <si>
    <t>en Udi</t>
  </si>
  <si>
    <t>Sev-Av Foundation - Gboko</t>
  </si>
  <si>
    <t>ucA8oXS8NE4</t>
  </si>
  <si>
    <t>im Aboh Mbaise</t>
  </si>
  <si>
    <t>St. Veronica Health Center</t>
  </si>
  <si>
    <t>wmDk1IHm8kU</t>
  </si>
  <si>
    <t>im Ahiazu Mbaise</t>
  </si>
  <si>
    <t>Three Brothers Transport  Hospital - Gboko</t>
  </si>
  <si>
    <t>EyvD2SO18Ls</t>
  </si>
  <si>
    <t>im Ehime Mbano</t>
  </si>
  <si>
    <t>Tse Akeme Primary Health Center</t>
  </si>
  <si>
    <t>iVDvygVrrDg</t>
  </si>
  <si>
    <t>im Ezinihitte</t>
  </si>
  <si>
    <t>Tse Kucha Primary Health Center</t>
  </si>
  <si>
    <t>BWwKy9VeLOM</t>
  </si>
  <si>
    <t>im Ideato North</t>
  </si>
  <si>
    <t>Victory Hospital - Gboko</t>
  </si>
  <si>
    <t>zR7wi1nIM3l</t>
  </si>
  <si>
    <t>im Ideato South</t>
  </si>
  <si>
    <t>Wih Abagen hospital</t>
  </si>
  <si>
    <t>Xi5cekzA2M0</t>
  </si>
  <si>
    <t>im Ihitte-Uboma</t>
  </si>
  <si>
    <t>be Guma</t>
  </si>
  <si>
    <t>Nongu u Kristu ke Sudan hen Tiv (NKST) Comprehensive Health Center - Isherev</t>
  </si>
  <si>
    <t>t5kQRj3Oqrp</t>
  </si>
  <si>
    <t>im Ikeduru</t>
  </si>
  <si>
    <t>St. Michael's Clinic - Agasha</t>
  </si>
  <si>
    <t>UD9kpV91uHO</t>
  </si>
  <si>
    <t>im Isiala Mbano</t>
  </si>
  <si>
    <t>Abinisi Primary Health Center</t>
  </si>
  <si>
    <t>aDbNi9qbrTa</t>
  </si>
  <si>
    <t>im Isu</t>
  </si>
  <si>
    <t>Ginde Primary Health Center</t>
  </si>
  <si>
    <t>S5mDbNgcRku</t>
  </si>
  <si>
    <t>im Mbaitoli</t>
  </si>
  <si>
    <t>Ikyor Family Support Programme Clinic</t>
  </si>
  <si>
    <t>wzrz2POvwJO</t>
  </si>
  <si>
    <t>im Ngor Okpala</t>
  </si>
  <si>
    <t>Imandedem Comprehensive Health Center</t>
  </si>
  <si>
    <t>o98TdVrqKre</t>
  </si>
  <si>
    <t>im Njaba</t>
  </si>
  <si>
    <t>Tugudu Primary Health Center</t>
  </si>
  <si>
    <t>YlxyMD0zmCn</t>
  </si>
  <si>
    <t>im Nkwerre</t>
  </si>
  <si>
    <t>Yelwata Comprehensive Health Center</t>
  </si>
  <si>
    <t>CdQh5ozbdJV</t>
  </si>
  <si>
    <t>im Nwangele</t>
  </si>
  <si>
    <t>be Gwer East</t>
  </si>
  <si>
    <t>St. Vincents Hospital</t>
  </si>
  <si>
    <t>IZyzmuDFVIJ</t>
  </si>
  <si>
    <t>im Obowo</t>
  </si>
  <si>
    <t>Aliade General Hospital</t>
  </si>
  <si>
    <t>OPnJnEYeq1I</t>
  </si>
  <si>
    <t>im Oguta</t>
  </si>
  <si>
    <t>Hossana Hospital - Aliade</t>
  </si>
  <si>
    <t>PSewXHXf7oY</t>
  </si>
  <si>
    <t>im Ohaji- Egbema</t>
  </si>
  <si>
    <t>Igbor Primary Health Center</t>
  </si>
  <si>
    <t>VKDCUTo3uig</t>
  </si>
  <si>
    <t>im Okigwe</t>
  </si>
  <si>
    <t>St. Gregory Health Center</t>
  </si>
  <si>
    <t>ooVgKxaybti</t>
  </si>
  <si>
    <t>im Onuimo</t>
  </si>
  <si>
    <t>Taraku Primary Health Center</t>
  </si>
  <si>
    <t>anU88HoEhSo</t>
  </si>
  <si>
    <t>im Orlu</t>
  </si>
  <si>
    <t>be Gwer West</t>
  </si>
  <si>
    <t>Fr. Mathias Clinic</t>
  </si>
  <si>
    <t>KWB8RTTIeya</t>
  </si>
  <si>
    <t>im Orsu</t>
  </si>
  <si>
    <t>St. Francis Primary Health Center - Agagbe</t>
  </si>
  <si>
    <t>mfPtKtcH3hA</t>
  </si>
  <si>
    <t>im Oru East</t>
  </si>
  <si>
    <t>St. Peters Primary Health Center - Aondonaa</t>
  </si>
  <si>
    <t>hVzKZ1wF5v1</t>
  </si>
  <si>
    <t>im Oru West</t>
  </si>
  <si>
    <t>Aba Health Centre</t>
  </si>
  <si>
    <t>AXPIJPRXo5s</t>
  </si>
  <si>
    <t>im Owerri Municipal</t>
  </si>
  <si>
    <t>Abiam Family Support Program Clinic</t>
  </si>
  <si>
    <t>ZRSpxqpZDVS</t>
  </si>
  <si>
    <t>im Owerri North</t>
  </si>
  <si>
    <t>Aondana Health Clinic</t>
  </si>
  <si>
    <t>YLapZuUgSyj</t>
  </si>
  <si>
    <t>im Owerri West</t>
  </si>
  <si>
    <t>Asanyi Clinic</t>
  </si>
  <si>
    <t>fZBILx9jrtX</t>
  </si>
  <si>
    <t>go Akko</t>
  </si>
  <si>
    <t>Bem Clinic</t>
  </si>
  <si>
    <t>mHwzBUYquF5</t>
  </si>
  <si>
    <t>go Balanga</t>
  </si>
  <si>
    <t>Chris Clinic</t>
  </si>
  <si>
    <t>EmfiENvlCGq</t>
  </si>
  <si>
    <t>go Billiri</t>
  </si>
  <si>
    <t>European Economic Community Health Clinic</t>
  </si>
  <si>
    <t>ugwMUWu3le4</t>
  </si>
  <si>
    <t>go Dukku</t>
  </si>
  <si>
    <t>General Hospital Naka</t>
  </si>
  <si>
    <t>A6vVFRBdTaM</t>
  </si>
  <si>
    <t>go Funakaye</t>
  </si>
  <si>
    <t>Hope Clinic Naka</t>
  </si>
  <si>
    <t>L5uBSWixRWb</t>
  </si>
  <si>
    <t>go Gombe</t>
  </si>
  <si>
    <t>Jimba Primary Health Center</t>
  </si>
  <si>
    <t>nn4VvQS8SqP</t>
  </si>
  <si>
    <t>go Kaltungo</t>
  </si>
  <si>
    <t>Kwashon Primary Health Centre</t>
  </si>
  <si>
    <t>oN3LGtxIZlk</t>
  </si>
  <si>
    <t>go Kwami</t>
  </si>
  <si>
    <t>Mbaakem Health Centre</t>
  </si>
  <si>
    <t>Guf2jRM5SyK</t>
  </si>
  <si>
    <t>go Nafada-Bajoga</t>
  </si>
  <si>
    <t>Mbaier Health Centre</t>
  </si>
  <si>
    <t>EJQh7G0WPzD</t>
  </si>
  <si>
    <t>go Shongom</t>
  </si>
  <si>
    <t>Mbaiywar Health Centre</t>
  </si>
  <si>
    <t>mDLjtcbbe1r</t>
  </si>
  <si>
    <t>go Yamaltu-Deba</t>
  </si>
  <si>
    <t>Mbalosu Primary Health Centre</t>
  </si>
  <si>
    <t>CtqZO3PKNim</t>
  </si>
  <si>
    <t>kd Birnin Gwari</t>
  </si>
  <si>
    <t>Mbashija Primary Health Centre</t>
  </si>
  <si>
    <t>LVwYC7JU75B</t>
  </si>
  <si>
    <t>kd Chikun</t>
  </si>
  <si>
    <t>Nakar Gwer West Comprehensive Health Center</t>
  </si>
  <si>
    <t>Nfc7dRyjli0</t>
  </si>
  <si>
    <t>kd Giwa</t>
  </si>
  <si>
    <t>Nyadafa Health Centre</t>
  </si>
  <si>
    <t>Et4PNkcr5A0</t>
  </si>
  <si>
    <t>kd Igabi</t>
  </si>
  <si>
    <t>Tongov Primary Health Centre</t>
  </si>
  <si>
    <t>eeMmUo80f1k</t>
  </si>
  <si>
    <t>kd Jaba</t>
  </si>
  <si>
    <t>Yogbo Health Centre</t>
  </si>
  <si>
    <t>fYKQcVPVnyK</t>
  </si>
  <si>
    <t>kd Jema'a</t>
  </si>
  <si>
    <t>be Katsina-Ala</t>
  </si>
  <si>
    <t>Nongu u Kristu ke Sudan hen Tiv (NKST) Primary Health Center - Anber</t>
  </si>
  <si>
    <t>fqQMHzXeExZ</t>
  </si>
  <si>
    <t>kd Kachia</t>
  </si>
  <si>
    <t>Nongu u Kristu ke Sudan hen Tiv (NKST) Primary Health Center - Kasar</t>
  </si>
  <si>
    <t>bD3Z7sBYAkk</t>
  </si>
  <si>
    <t>kd Kaduna North</t>
  </si>
  <si>
    <t>Nongu u Kristu ke Sudan hen Tiv (NKST) Primary Health Center - Ubaya</t>
  </si>
  <si>
    <t>jKMtJUeZG6T</t>
  </si>
  <si>
    <t>kd Kaduna South</t>
  </si>
  <si>
    <t>St. Mary's Primary Health Center - Tor Donga</t>
  </si>
  <si>
    <t>ph0DmxOzLrH</t>
  </si>
  <si>
    <t>kd Kagarko</t>
  </si>
  <si>
    <t>Abah Primary Health Center</t>
  </si>
  <si>
    <t>jo7dambanj1</t>
  </si>
  <si>
    <t>kd Kajuru</t>
  </si>
  <si>
    <t>Abakor Primary Health Care</t>
  </si>
  <si>
    <t>ZBXG7XEJ03X</t>
  </si>
  <si>
    <t>kd Kaura</t>
  </si>
  <si>
    <t>Amafor Primary Health Center</t>
  </si>
  <si>
    <t>ShOkkjO7q4d</t>
  </si>
  <si>
    <t>kd Kauru</t>
  </si>
  <si>
    <t>Gbor Comprehensive Health Center</t>
  </si>
  <si>
    <t>UWfo9Vcmg6t</t>
  </si>
  <si>
    <t>kd Kubau</t>
  </si>
  <si>
    <t>Ikpaukur Local Government Health Center</t>
  </si>
  <si>
    <t>rQOXT4Cy2Pj</t>
  </si>
  <si>
    <t>kd Lere</t>
  </si>
  <si>
    <t>Nahuta Hospital</t>
  </si>
  <si>
    <t>yRpzCa8G6SZ</t>
  </si>
  <si>
    <t>kd Makarfi</t>
  </si>
  <si>
    <t>Nguher Clinic</t>
  </si>
  <si>
    <t>voNNZ57SXoP</t>
  </si>
  <si>
    <t>kd Sabon Gari</t>
  </si>
  <si>
    <t>Nongu u Kristu ke Sudan hen Tiv (NKST) Comprehensive Health Center - Harga</t>
  </si>
  <si>
    <t>iLE60Uz1V74</t>
  </si>
  <si>
    <t>kd Sanga</t>
  </si>
  <si>
    <t>Nongu u Kristu ke Sudan hen Tiv (NKST) Hospital - Sai</t>
  </si>
  <si>
    <t>x9AGFcyHbas</t>
  </si>
  <si>
    <t>kd Soba</t>
  </si>
  <si>
    <t>Salem Clinic - Gbor</t>
  </si>
  <si>
    <t>W0z2Y4xAH3N</t>
  </si>
  <si>
    <t>kd Zango-Kataf</t>
  </si>
  <si>
    <t>Tarvachan Comprehensive Health Center</t>
  </si>
  <si>
    <t>jGti2H2XezH</t>
  </si>
  <si>
    <t>kd Zaria</t>
  </si>
  <si>
    <t>Tordonga Primary Health Center</t>
  </si>
  <si>
    <t>W5NNtTAwz9t</t>
  </si>
  <si>
    <t>ko Adavi</t>
  </si>
  <si>
    <t>World Health System Sai</t>
  </si>
  <si>
    <t>GCOrXvJq3Aq</t>
  </si>
  <si>
    <t>ko Ajaokuta</t>
  </si>
  <si>
    <t>be Konshisha</t>
  </si>
  <si>
    <t>El Shaddai Clinic - Achocho</t>
  </si>
  <si>
    <t>rkmUcjVWIEG</t>
  </si>
  <si>
    <t>ko Ankpa</t>
  </si>
  <si>
    <t>Mimidoo Clinic and Maternity - Gungul</t>
  </si>
  <si>
    <t>uE7DozqVDx3</t>
  </si>
  <si>
    <t>ko Dekina</t>
  </si>
  <si>
    <t>Nongu u Kristu ke Sudan hen Tiv (NKST) Clinic - Iber</t>
  </si>
  <si>
    <t>KG41U70wckT</t>
  </si>
  <si>
    <t>ko Ibaji</t>
  </si>
  <si>
    <t>Nongu u Kristu ke Sudan hen Tiv (NKST) Clinic - Ishua</t>
  </si>
  <si>
    <t>tmdPeVe2bj9</t>
  </si>
  <si>
    <t>ko Idah</t>
  </si>
  <si>
    <t>Nongu u Kristu ke Sudan hen Tiv (NKST) Primary Health Center - Mbaakpur</t>
  </si>
  <si>
    <t>pf5zlZ3n4eZ</t>
  </si>
  <si>
    <t>ko Igalamela-Odolu</t>
  </si>
  <si>
    <t>Ada Model</t>
  </si>
  <si>
    <t>VgWKjowLb8Z</t>
  </si>
  <si>
    <t>ko Ijumu</t>
  </si>
  <si>
    <t>Adeke Health Clinic</t>
  </si>
  <si>
    <t>bkN3ItOJJok</t>
  </si>
  <si>
    <t>ko Kabba-Bunu</t>
  </si>
  <si>
    <t>Agbeede Primary Health Center</t>
  </si>
  <si>
    <t>OK3KBevBxuF</t>
  </si>
  <si>
    <t>ko Kogi</t>
  </si>
  <si>
    <t>Agidi Primary Health Centre</t>
  </si>
  <si>
    <t>Vwphz4aVBkw</t>
  </si>
  <si>
    <t>ko Lokoja</t>
  </si>
  <si>
    <t>Agudu  Comprehensive Health Center</t>
  </si>
  <si>
    <t>izJLP4ub40D</t>
  </si>
  <si>
    <t>ko Ofu</t>
  </si>
  <si>
    <t>Akase Buruku Medical Centre Gungul</t>
  </si>
  <si>
    <t>S0KHKAONgri</t>
  </si>
  <si>
    <t>ko Okehi</t>
  </si>
  <si>
    <t>Akputu  Primary Health Center</t>
  </si>
  <si>
    <t>xf0d6Ievr0Y</t>
  </si>
  <si>
    <t>ko Okene</t>
  </si>
  <si>
    <t>Amua Primary Health Center</t>
  </si>
  <si>
    <t>HSyYeWik1mR</t>
  </si>
  <si>
    <t>ko Olamaboro</t>
  </si>
  <si>
    <t>Anyiranya Comprehensive Health Center</t>
  </si>
  <si>
    <t>NlSxDvmv8RG</t>
  </si>
  <si>
    <t>ko Omala</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</si>
  <si>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</si>
  <si>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</si>
  <si>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</si>
  <si>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</si>
  <si>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</si>
  <si>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</si>
  <si>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</si>
  <si>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</si>
  <si>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</si>
  <si>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</si>
  <si>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</si>
  <si>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</si>
  <si>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</si>
  <si>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</si>
  <si>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</si>
  <si>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</si>
  <si>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</si>
  <si>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</si>
  <si>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</si>
  <si>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</si>
  <si>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</si>
  <si>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</si>
  <si>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be Kwande</t>
  </si>
  <si>
    <t>Ikyaave Primary Health Center</t>
  </si>
  <si>
    <t>b2iKj21StWT</t>
  </si>
  <si>
    <t>be Logo</t>
  </si>
  <si>
    <t>Jirgba Primary Health Center</t>
  </si>
  <si>
    <t>ADRcchaSF89</t>
  </si>
  <si>
    <t>be Makurdi</t>
  </si>
  <si>
    <t>Jumota Health Clinic Tsuwe</t>
  </si>
  <si>
    <t>BGygT2oyOXk</t>
  </si>
  <si>
    <t>be Obi</t>
  </si>
  <si>
    <t>Korinya Primary Health Center</t>
  </si>
  <si>
    <t>zOFJx0iZI6j</t>
  </si>
  <si>
    <t>be Ogbadibo</t>
  </si>
  <si>
    <t>Kusa Erem Agbeede Health Clinic</t>
  </si>
  <si>
    <t>n3leeELsmMM</t>
  </si>
  <si>
    <t>be Ohimini</t>
  </si>
  <si>
    <t>Leke Clinic and Maternity</t>
  </si>
  <si>
    <t>YMwV767vaxO</t>
  </si>
  <si>
    <t>be Oju</t>
  </si>
  <si>
    <t>Lim Health Clinic</t>
  </si>
  <si>
    <t>NFIT0fugpMz</t>
  </si>
  <si>
    <t>be Okpokwu</t>
  </si>
  <si>
    <t>Luter Health Clinic</t>
  </si>
  <si>
    <t>fZtEYsSUToC</t>
  </si>
  <si>
    <t>be Otukpo</t>
  </si>
  <si>
    <t>Mbaasham Health Center</t>
  </si>
  <si>
    <t>xU6kWh9unZD</t>
  </si>
  <si>
    <t>be Tarka</t>
  </si>
  <si>
    <t>Mbagbaa Health Center</t>
  </si>
  <si>
    <t>Foo92FCaY1b</t>
  </si>
  <si>
    <t>be Ukum</t>
  </si>
  <si>
    <t>Mbahan Health Clinic Ankugh</t>
  </si>
  <si>
    <t>NnQBS3G7K8x</t>
  </si>
  <si>
    <t>be Ushongo</t>
  </si>
  <si>
    <t>Mbaikpande Health Clinic</t>
  </si>
  <si>
    <t>udCzBxj1fs7</t>
  </si>
  <si>
    <t>be Vandeikya</t>
  </si>
  <si>
    <t>Mhen Health Clinic Jov-Mbavaa</t>
  </si>
  <si>
    <t>Hb4aAEXMUMh</t>
  </si>
  <si>
    <t>ek Ado-Ekiti</t>
  </si>
  <si>
    <t>Mimi Clinic and Maternity</t>
  </si>
  <si>
    <t>t8yzGeF3QOZ</t>
  </si>
  <si>
    <t>ek Ekiti East</t>
  </si>
  <si>
    <t>Mkaa Health Clinic and Maternity</t>
  </si>
  <si>
    <t>gmZiQa8rGP8</t>
  </si>
  <si>
    <t>ek Ido-Osi</t>
  </si>
  <si>
    <t>Nyam Ugbeh Clinic</t>
  </si>
  <si>
    <t>DbQwJh2aSqj</t>
  </si>
  <si>
    <t>ek Ilejemeje</t>
  </si>
  <si>
    <t>Royal Clinic and Maternity Wuese</t>
  </si>
  <si>
    <t>lT0dFPuROo5</t>
  </si>
  <si>
    <t>ek Irepodun-Ifelodun</t>
  </si>
  <si>
    <t>Sauki Health Clinic</t>
  </si>
  <si>
    <t>pcpLg0h9HGx</t>
  </si>
  <si>
    <t>ek Oye</t>
  </si>
  <si>
    <t>St. Joseph Maternity Clinic - Korinya</t>
  </si>
  <si>
    <t>KLG4R1DqCDW</t>
  </si>
  <si>
    <t>la Alimosho</t>
  </si>
  <si>
    <t>Tongo  Primary Health Center</t>
  </si>
  <si>
    <t>ZYZAcgboJvx</t>
  </si>
  <si>
    <t>la Amuwo-Odofin</t>
  </si>
  <si>
    <t>Tse-Agbaragba Primary Health Center</t>
  </si>
  <si>
    <t>VBS2KAxTWl8</t>
  </si>
  <si>
    <t>la Epe</t>
  </si>
  <si>
    <t>Tyoate Comprehensive Health Center</t>
  </si>
  <si>
    <t>ES15z3zgFpM</t>
  </si>
  <si>
    <t>la Eti-Osa</t>
  </si>
  <si>
    <t>Tyough Primary Health Center</t>
  </si>
  <si>
    <t>h5NpU6aWI16</t>
  </si>
  <si>
    <t>la Ibeju- Lekki</t>
  </si>
  <si>
    <t>Uboagere Comprehensive Health Center</t>
  </si>
  <si>
    <t>jUhaJSvsg2f</t>
  </si>
  <si>
    <t>la Ifako-Ijaiye</t>
  </si>
  <si>
    <t>Ubwa Primary Health Center</t>
  </si>
  <si>
    <t>YAgu3EF8fPC</t>
  </si>
  <si>
    <t>la Ikeja</t>
  </si>
  <si>
    <t>Usaka Health Clinic Tsuwe</t>
  </si>
  <si>
    <t>lS9OJNmawzr</t>
  </si>
  <si>
    <t>la Ikorodu</t>
  </si>
  <si>
    <t>Wuese Health Clinic</t>
  </si>
  <si>
    <t>HrZP9L9jT9a</t>
  </si>
  <si>
    <t>la Mushin</t>
  </si>
  <si>
    <t>36 Matyrs Clinic- Mbape</t>
  </si>
  <si>
    <t>T8MofW5CkkU</t>
  </si>
  <si>
    <t>la Oshodi-Isolo</t>
  </si>
  <si>
    <t>Nongu u Kristu ke Sudan hen Tiv (NKST) Hospital - Jato Aka</t>
  </si>
  <si>
    <t>NrQyKoUUTjl</t>
  </si>
  <si>
    <t>og Abeokuta North</t>
  </si>
  <si>
    <t>Nongu u Kristu ke Sudan hen Tiv (NKST) Primary Health Center - Ahobee</t>
  </si>
  <si>
    <t>vhponVEgOwi</t>
  </si>
  <si>
    <t>og Abeokuta South</t>
  </si>
  <si>
    <t>St. Monica's Hospital - Adikpo</t>
  </si>
  <si>
    <t>ZOw5RCxEDrh</t>
  </si>
  <si>
    <t>og Ado-Odo-Ota</t>
  </si>
  <si>
    <t>Ada Comprehensive Health Center</t>
  </si>
  <si>
    <t>TYesyFL0PHW</t>
  </si>
  <si>
    <t>og Ifo</t>
  </si>
  <si>
    <t>Adikpo General Hospital</t>
  </si>
  <si>
    <t>mvMjGraGxvu</t>
  </si>
  <si>
    <t>og Ijebu Ode</t>
  </si>
  <si>
    <t>Begha Comprehensive Health Center</t>
  </si>
  <si>
    <t>YSxrwZzyYqu</t>
  </si>
  <si>
    <t>og Ipokia</t>
  </si>
  <si>
    <t>Div Primary Health Center</t>
  </si>
  <si>
    <t>CITzQ1NJK3r</t>
  </si>
  <si>
    <t>og Sagamu</t>
  </si>
  <si>
    <t>Gabriel Suswam Cottage Hospital - Tse Ugbena</t>
  </si>
  <si>
    <t>G9RIOzlKB5n</t>
  </si>
  <si>
    <t>og Yewa North</t>
  </si>
  <si>
    <t>Gube Primary Health Center</t>
  </si>
  <si>
    <t>d4xIrfed7jC</t>
  </si>
  <si>
    <t>og Yewa South</t>
  </si>
  <si>
    <t>Holy Child Clinic and Maternity</t>
  </si>
  <si>
    <t>ecDDJ8UV2tN</t>
  </si>
  <si>
    <t>on Akoko North East</t>
  </si>
  <si>
    <t>Ikyogen Primary Health Center</t>
  </si>
  <si>
    <t>lHAkzMumFD8</t>
  </si>
  <si>
    <t>on Akoko South West</t>
  </si>
  <si>
    <t>Koti Comprehensive Health Center</t>
  </si>
  <si>
    <t>Wk7369Mhsof</t>
  </si>
  <si>
    <t>on Akure South</t>
  </si>
  <si>
    <t>Manyam Primary Health Center</t>
  </si>
  <si>
    <t>lgXwl4gfzgN</t>
  </si>
  <si>
    <t>on Ese-Odo</t>
  </si>
  <si>
    <t>Msonter Clinic and Maternity</t>
  </si>
  <si>
    <t>LOykIXc8jdW</t>
  </si>
  <si>
    <t>on Odigbo</t>
  </si>
  <si>
    <t>Nyihemba Primary Health Center</t>
  </si>
  <si>
    <t>GMznf7OBnIg</t>
  </si>
  <si>
    <t>on Ondo West</t>
  </si>
  <si>
    <t>Nongu u Kristu ke Sudan hen Tiv (NKST) Hospital - Anyiin</t>
  </si>
  <si>
    <t>VqKuYd50P6Z</t>
  </si>
  <si>
    <t>on Owo</t>
  </si>
  <si>
    <t>Ugba Comprehensive Health Center</t>
  </si>
  <si>
    <t>QQLKjN6lqf7</t>
  </si>
  <si>
    <t>os Ede South</t>
  </si>
  <si>
    <t>Abeda Primary Health Center</t>
  </si>
  <si>
    <t>Awp6evwdKBu</t>
  </si>
  <si>
    <t>os Ife Central</t>
  </si>
  <si>
    <t>Abeda Shittille Primary Health Center</t>
  </si>
  <si>
    <t>H9hiuwR1BNn</t>
  </si>
  <si>
    <t>os Ife North</t>
  </si>
  <si>
    <t>Afa Clinic</t>
  </si>
  <si>
    <t>h6ZtmhafF6I</t>
  </si>
  <si>
    <t>os Ila</t>
  </si>
  <si>
    <t>Agbungu Primary Health Center</t>
  </si>
  <si>
    <t>SOXiZPYNNxE</t>
  </si>
  <si>
    <t>os Ilesha East</t>
  </si>
  <si>
    <t>Akumator Health Centre</t>
  </si>
  <si>
    <t>cePHHjZCGUB</t>
  </si>
  <si>
    <t>os Irewole</t>
  </si>
  <si>
    <t>Anyiin Primary Health Center</t>
  </si>
  <si>
    <t>pwlvjbtM5oM</t>
  </si>
  <si>
    <t>os Isokan</t>
  </si>
  <si>
    <t>Ayilamo Primary Health Center</t>
  </si>
  <si>
    <t>zBp4fj9LC7v</t>
  </si>
  <si>
    <t>os Iwo</t>
  </si>
  <si>
    <t>Central Hospital Anyiin</t>
  </si>
  <si>
    <t>SLUh7AIPl3P</t>
  </si>
  <si>
    <t>os Osogbo</t>
  </si>
  <si>
    <t>Doodoo Clinic</t>
  </si>
  <si>
    <t>CbpO0v7XB53</t>
  </si>
  <si>
    <t>oy Afijio</t>
  </si>
  <si>
    <t>Dooshima Primary Health Centre</t>
  </si>
  <si>
    <t>Sg1lTBErQMf</t>
  </si>
  <si>
    <t>oy Akinyele</t>
  </si>
  <si>
    <t>Farmter Clinic Abeda</t>
  </si>
  <si>
    <t>r2lBjhZUg8j</t>
  </si>
  <si>
    <t>oy Atiba</t>
  </si>
  <si>
    <t>Gboragayo Primary Health Centre</t>
  </si>
  <si>
    <t>emodKJruXyL</t>
  </si>
  <si>
    <t>oy Atisbo</t>
  </si>
  <si>
    <t>Gonduzua Primary Health Center</t>
  </si>
  <si>
    <t>LAyyrDvKqGe</t>
  </si>
  <si>
    <t>oy Egbeda</t>
  </si>
  <si>
    <t>Holy Ghost Clinic Abeda</t>
  </si>
  <si>
    <t>ElG4xY5VKhM</t>
  </si>
  <si>
    <t>oy Ibadan North</t>
  </si>
  <si>
    <t>Igboughol Local Government Health Clinic</t>
  </si>
  <si>
    <t>bsw3naXOOX1</t>
  </si>
  <si>
    <t>oy Ibadan North-East</t>
  </si>
  <si>
    <t>Ikyo Primary Health Center</t>
  </si>
  <si>
    <t>p744o3LL0jI</t>
  </si>
  <si>
    <t>oy Ibadan North-West</t>
  </si>
  <si>
    <t>Imande Adega Primary Health Centre</t>
  </si>
  <si>
    <t>MqP8hXfcXJy</t>
  </si>
  <si>
    <t>oy Ibadan South-East</t>
  </si>
  <si>
    <t>Iorza Primary Health Center</t>
  </si>
  <si>
    <t>zBwxOyfTqwm</t>
  </si>
  <si>
    <t>oy Ibadan South-West</t>
  </si>
  <si>
    <t>Jootal Primary Health Center</t>
  </si>
  <si>
    <t>VDDocMtkbIv</t>
  </si>
  <si>
    <t>oy Ibarapa Central</t>
  </si>
  <si>
    <t>Jun Primary Health Centre</t>
  </si>
  <si>
    <t>YrOi3vit8KV</t>
  </si>
  <si>
    <t>oy Ido</t>
  </si>
  <si>
    <t>Kurungu Local Government Health Center</t>
  </si>
  <si>
    <t>O37JHTv6j6B</t>
  </si>
  <si>
    <t>oy Irepo</t>
  </si>
  <si>
    <t>Live Clinic</t>
  </si>
  <si>
    <t>RCVEsesYe2Z</t>
  </si>
  <si>
    <t>oy Iseyin</t>
  </si>
  <si>
    <t>Maranatha Clinic Ugba</t>
  </si>
  <si>
    <t>mmlEZKqZ9Ag</t>
  </si>
  <si>
    <t>oy Itesiwaju</t>
  </si>
  <si>
    <t>Mbaalom Primary Health Centre</t>
  </si>
  <si>
    <t>gKQPwJLWiih</t>
  </si>
  <si>
    <t>oy Iwajowa</t>
  </si>
  <si>
    <t>Mbakighir Primary Health Centre</t>
  </si>
  <si>
    <t>qRBYxXT5oNy</t>
  </si>
  <si>
    <t>oy Kajola</t>
  </si>
  <si>
    <t>Mchia Local Government Health Center</t>
  </si>
  <si>
    <t>TOL2FI5yOWq</t>
  </si>
  <si>
    <t>oy Lagelu</t>
  </si>
  <si>
    <t>Meeeme Primary Health Centre</t>
  </si>
  <si>
    <t>GtLsyPEOY3j</t>
  </si>
  <si>
    <t>oy Ogbomoso North</t>
  </si>
  <si>
    <t>Odidi Clinic</t>
  </si>
  <si>
    <t>QisBl6A7KWv</t>
  </si>
  <si>
    <t>oy Ogbomoso South</t>
  </si>
  <si>
    <t>Tordoo Clinic</t>
  </si>
  <si>
    <t>wPBzr3bpuFY</t>
  </si>
  <si>
    <t>oy Ogo Oluwa</t>
  </si>
  <si>
    <t>Ugba General Hospital</t>
  </si>
  <si>
    <t>bTwuESPkfSO</t>
  </si>
  <si>
    <t>oy Olorunsogo</t>
  </si>
  <si>
    <t>Uzer Local Government Health Center</t>
  </si>
  <si>
    <t>ejgzakpM81n</t>
  </si>
  <si>
    <t>oy Oluyole</t>
  </si>
  <si>
    <t>Wende Primary Health Center</t>
  </si>
  <si>
    <t>MYMZKfW4a4F</t>
  </si>
  <si>
    <t>oy Ona Ara</t>
  </si>
  <si>
    <t>Zamzam Primary Health Center</t>
  </si>
  <si>
    <t>IxCvwERm4RC</t>
  </si>
  <si>
    <t>oy Orelope</t>
  </si>
  <si>
    <t>Bishop Murray Medical Center</t>
  </si>
  <si>
    <t>xbHk6A9M5Ah</t>
  </si>
  <si>
    <t>oy Ori Ire</t>
  </si>
  <si>
    <t>Adaa Ukusu Primary Health Center</t>
  </si>
  <si>
    <t>Edu0gO2Pn5R</t>
  </si>
  <si>
    <t>oy Oyo East</t>
  </si>
  <si>
    <t>Atighir Local Government Health Center</t>
  </si>
  <si>
    <t>UPvsRuG3lnz</t>
  </si>
  <si>
    <t>oy Oyo West</t>
  </si>
  <si>
    <t>Awenebo Primary Health Center</t>
  </si>
  <si>
    <t>QDRtn4ErqLP</t>
  </si>
  <si>
    <t>oy Saki East</t>
  </si>
  <si>
    <t>Jor Maternal and Child Health Clinic</t>
  </si>
  <si>
    <t>SSj1HfTYnTs</t>
  </si>
  <si>
    <t>oy Saki West</t>
  </si>
  <si>
    <t>Onmba Aondo Comprehensive Health Center</t>
  </si>
  <si>
    <t>Ct8Iraz4Wwz</t>
  </si>
  <si>
    <t>oy Surulere</t>
  </si>
  <si>
    <t>Uchi Primary Health Center</t>
  </si>
  <si>
    <t>Wj6CKL5YwCL</t>
  </si>
  <si>
    <t>pl Barkin Ladi</t>
  </si>
  <si>
    <t>Asiasa Primary Health Center</t>
  </si>
  <si>
    <t>rLuGqHLz5O0</t>
  </si>
  <si>
    <t>pl Bassa</t>
  </si>
  <si>
    <t>Benue State University Teaching Hospital</t>
  </si>
  <si>
    <t>AgRjHcsC4wf</t>
  </si>
  <si>
    <t>pl Bokkos</t>
  </si>
  <si>
    <t>City Hospital</t>
  </si>
  <si>
    <t>P82OYKREDEj</t>
  </si>
  <si>
    <t>pl Jos East</t>
  </si>
  <si>
    <t>Federal Medical Center - Makurdi</t>
  </si>
  <si>
    <t>EA0gMmZjNn6</t>
  </si>
  <si>
    <t>pl Jos North</t>
  </si>
  <si>
    <t>Fidi Primary Health Center</t>
  </si>
  <si>
    <t>RdEEZwjHezM</t>
  </si>
  <si>
    <t>pl Jos South</t>
  </si>
  <si>
    <t>Hemko Hospital</t>
  </si>
  <si>
    <t>s9bl6apI0dc</t>
  </si>
  <si>
    <t>pl Kanam</t>
  </si>
  <si>
    <t>Homa Hospital</t>
  </si>
  <si>
    <t>xSgOL9OVNfU</t>
  </si>
  <si>
    <t>pl Kanke</t>
  </si>
  <si>
    <t>Immaculate Hospital</t>
  </si>
  <si>
    <t>baLNc1OTsyV</t>
  </si>
  <si>
    <t>pl Langtang North</t>
  </si>
  <si>
    <t>Makurdi Family Support Program Clinic</t>
  </si>
  <si>
    <t>dWMSkFIYteW</t>
  </si>
  <si>
    <t>pl Langtang South</t>
  </si>
  <si>
    <t>Northbank General Hospital</t>
  </si>
  <si>
    <t>XAGjhppjhh3</t>
  </si>
  <si>
    <t>pl Mangu</t>
  </si>
  <si>
    <t>Origbo Primary Health Center</t>
  </si>
  <si>
    <t>DVKW20STdPp</t>
  </si>
  <si>
    <t>pl Mikang</t>
  </si>
  <si>
    <t>Oruwa Primary Health Center</t>
  </si>
  <si>
    <t>maFYA6npiof</t>
  </si>
  <si>
    <t>pl Pankshin</t>
  </si>
  <si>
    <t>Rahama Clinic and Maternity</t>
  </si>
  <si>
    <t>Km93XCNZYCr</t>
  </si>
  <si>
    <t>pl Qua'an Pan</t>
  </si>
  <si>
    <t>Ushakaa Hospital</t>
  </si>
  <si>
    <t>FuHdYbMsHCb</t>
  </si>
  <si>
    <t>pl Shendam</t>
  </si>
  <si>
    <t>Wadata Primary Health Center</t>
  </si>
  <si>
    <t>XKWExXxnuL0</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</si>
  <si>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</si>
  <si>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</si>
  <si>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</si>
  <si>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</si>
  <si>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</si>
  <si>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</si>
  <si>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</si>
  <si>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</si>
  <si>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</si>
  <si>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</si>
  <si>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</si>
  <si>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</si>
  <si>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</si>
  <si>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</si>
  <si>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</si>
  <si>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</si>
  <si>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Bethesda Hospital - Ikachi</t>
  </si>
  <si>
    <t>rEQ6l5PTFp8</t>
  </si>
  <si>
    <t>Obussa Primary Health Center</t>
  </si>
  <si>
    <t>mqsSy5I1kdU</t>
  </si>
  <si>
    <t>Alfa Clinic</t>
  </si>
  <si>
    <t>PUgQr3FrIgs</t>
  </si>
  <si>
    <t>Holy Name Clinic - Ugbokolo</t>
  </si>
  <si>
    <t>jkTZCfjUJSI</t>
  </si>
  <si>
    <t>St. Mary's Hospital - Okpoga</t>
  </si>
  <si>
    <t>BX3EuUL4p5y</t>
  </si>
  <si>
    <t>Okopga General Hospital</t>
  </si>
  <si>
    <t>WqanRoYZhre</t>
  </si>
  <si>
    <t>Ugbokolo Comprehensive Health Center</t>
  </si>
  <si>
    <t>NEntA3EhuNV</t>
  </si>
  <si>
    <t>St James Health Centre Ogboju-Ogobia</t>
  </si>
  <si>
    <t>zuehjuhNlcJ</t>
  </si>
  <si>
    <t>St. Charles' Hospital</t>
  </si>
  <si>
    <t>jwRjWD3wLjp</t>
  </si>
  <si>
    <t>St. Joseph's Hospital-Ogobia</t>
  </si>
  <si>
    <t>sIqd320H5pa</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</si>
  <si>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</si>
  <si>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</si>
  <si>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</si>
  <si>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</si>
  <si>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</si>
  <si>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</si>
  <si>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</si>
  <si>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</si>
  <si>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</si>
  <si>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</si>
  <si>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</si>
  <si>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</si>
  <si>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</si>
  <si>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</si>
  <si>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</si>
  <si>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</si>
  <si>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Nongu u Kristu ke Sudan hen Tiv (NKST) Health Center - Asukunya</t>
  </si>
  <si>
    <t>G82knieoyf2</t>
  </si>
  <si>
    <t>Nongu u Kristu ke Sudan hen Tiv (NKST) Health Center - Uchi</t>
  </si>
  <si>
    <t>UbFbAGiSBNv</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</si>
  <si>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</si>
  <si>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</si>
  <si>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</si>
  <si>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</si>
  <si>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</si>
  <si>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</si>
  <si>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</si>
  <si>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</si>
  <si>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</si>
  <si>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</si>
  <si>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</si>
  <si>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</si>
  <si>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</si>
  <si>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</si>
  <si>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</si>
  <si>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</si>
  <si>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</si>
  <si>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</si>
  <si>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</si>
  <si>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</si>
  <si>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</si>
  <si>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</si>
  <si>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</si>
  <si>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</si>
  <si>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</si>
  <si>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</si>
  <si>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</si>
  <si>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</si>
  <si>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</si>
  <si>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</si>
  <si>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</si>
  <si>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</si>
  <si>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</si>
  <si>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</si>
  <si>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</si>
  <si>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</si>
  <si>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</si>
  <si>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</si>
  <si>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</si>
  <si>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</si>
  <si>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Nongu u Kristu ke Sudan hen Tiv (NKST) Hospital- Zaki Biam</t>
  </si>
  <si>
    <t>vDwjnLtvE9E</t>
  </si>
  <si>
    <t>Nongu u Kristu ke Sudan hen Tiv (NKST) Primary Health Center - Pervkyaa</t>
  </si>
  <si>
    <t>AUxnTCxG8Hn</t>
  </si>
  <si>
    <t>St. Anthony's Hospital - Zaki Biam</t>
  </si>
  <si>
    <t>UwPzLQbX6z0</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</si>
  <si>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</si>
  <si>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</si>
  <si>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</si>
  <si>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</si>
  <si>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</si>
  <si>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</si>
  <si>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</si>
  <si>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</si>
  <si>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</si>
  <si>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</si>
  <si>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</si>
  <si>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</si>
  <si>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</si>
  <si>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</si>
  <si>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</si>
  <si>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</si>
  <si>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</si>
  <si>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</si>
  <si>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</si>
  <si>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</si>
  <si>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</si>
  <si>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</si>
  <si>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</si>
  <si>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</si>
  <si>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</si>
  <si>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</si>
  <si>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</si>
  <si>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</si>
  <si>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</si>
  <si>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</si>
  <si>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</si>
  <si>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</si>
  <si>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</si>
  <si>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</si>
  <si>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</si>
  <si>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</si>
  <si>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</si>
  <si>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</si>
  <si>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</si>
  <si>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</si>
  <si>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</si>
  <si>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</si>
  <si>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</si>
  <si>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</si>
  <si>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</si>
  <si>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</si>
  <si>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</si>
  <si>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</si>
  <si>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</si>
  <si>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</si>
  <si>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</si>
  <si>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</si>
  <si>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</si>
  <si>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</si>
  <si>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</si>
  <si>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</si>
  <si>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</si>
  <si>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</si>
  <si>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</si>
  <si>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</si>
  <si>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</si>
  <si>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</si>
  <si>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</si>
  <si>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</si>
  <si>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</si>
  <si>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</si>
  <si>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</si>
  <si>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</si>
  <si>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</si>
  <si>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</si>
  <si>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</si>
  <si>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</si>
  <si>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</si>
  <si>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</si>
  <si>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</si>
  <si>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</si>
  <si>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</si>
  <si>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</si>
  <si>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</si>
  <si>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</si>
  <si>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</si>
  <si>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</si>
  <si>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</si>
  <si>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</si>
  <si>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</si>
  <si>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</si>
  <si>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</si>
  <si>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</si>
  <si>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</si>
  <si>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</si>
  <si>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</si>
  <si>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</si>
  <si>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</si>
  <si>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</si>
  <si>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</si>
  <si>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</si>
  <si>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</si>
  <si>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</si>
  <si>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</si>
  <si>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</si>
  <si>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</si>
  <si>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</si>
  <si>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</si>
  <si>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</si>
  <si>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</si>
  <si>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</si>
  <si>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</si>
  <si>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</si>
  <si>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</si>
  <si>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</si>
  <si>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</si>
  <si>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</si>
  <si>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</si>
  <si>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</si>
  <si>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</si>
  <si>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</si>
  <si>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</si>
  <si>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</si>
  <si>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</si>
  <si>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</si>
  <si>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</si>
  <si>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</si>
  <si>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</si>
  <si>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</si>
  <si>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</si>
  <si>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</si>
  <si>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</si>
  <si>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</si>
  <si>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</si>
  <si>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</si>
  <si>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</si>
  <si>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</si>
  <si>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</si>
  <si>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</si>
  <si>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</si>
  <si>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</si>
  <si>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</si>
  <si>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</si>
  <si>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</si>
  <si>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</si>
  <si>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</si>
  <si>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</si>
  <si>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</si>
  <si>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</si>
  <si>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</si>
  <si>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</si>
  <si>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</si>
  <si>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</si>
  <si>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</si>
  <si>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</si>
  <si>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</si>
  <si>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St. Theresa's Catholic Hospital - Issele Uku</t>
  </si>
  <si>
    <t>YoNalkNNrRL</t>
  </si>
  <si>
    <t>Our Lady of Nigeria Clinic - Oghara</t>
  </si>
  <si>
    <t>aTSvjQIz6Ge</t>
  </si>
  <si>
    <t>St. Francis Catholic Hospital - Okpara Inland</t>
  </si>
  <si>
    <t>ZXt1KCneHT3</t>
  </si>
  <si>
    <t>Erhoike Cottage Hospital</t>
  </si>
  <si>
    <t>CKaHg4rNsaT</t>
  </si>
  <si>
    <t>Agbor Central Hospital</t>
  </si>
  <si>
    <t>HFp2lb9f404</t>
  </si>
  <si>
    <t>Federal Medical Center - Asaba</t>
  </si>
  <si>
    <t>Fd3GeuuIXaT</t>
  </si>
  <si>
    <t>Okwe General Hospital</t>
  </si>
  <si>
    <t>ATzoX3X0tMC</t>
  </si>
  <si>
    <t>St. Elizabeth Catholic Hospital - Sapele</t>
  </si>
  <si>
    <t>HcJMUzznNH2</t>
  </si>
  <si>
    <t>Ekpan General Hospital</t>
  </si>
  <si>
    <t>MarzoBBhHwN</t>
  </si>
  <si>
    <t>Assumption Catholic Hospital - Warri</t>
  </si>
  <si>
    <t>XLx2UT9cWWv</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</si>
  <si>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</si>
  <si>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</si>
  <si>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</si>
  <si>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</si>
  <si>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</si>
  <si>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</si>
  <si>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</si>
  <si>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</si>
  <si>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</si>
  <si>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</si>
  <si>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</si>
  <si>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</si>
  <si>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</si>
  <si>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</si>
  <si>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</si>
  <si>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</si>
  <si>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</si>
  <si>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</si>
  <si>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</si>
  <si>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</si>
  <si>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</si>
  <si>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</si>
  <si>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</si>
  <si>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</si>
  <si>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</si>
  <si>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</si>
  <si>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</si>
  <si>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</si>
  <si>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</si>
  <si>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</si>
  <si>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</si>
  <si>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</si>
  <si>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</si>
  <si>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</si>
  <si>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</si>
  <si>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</si>
  <si>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</si>
  <si>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</si>
  <si>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</si>
  <si>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</si>
  <si>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</si>
  <si>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</si>
  <si>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</si>
  <si>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</si>
  <si>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</si>
  <si>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</si>
  <si>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</si>
  <si>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</si>
  <si>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</si>
  <si>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</si>
  <si>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</si>
  <si>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</si>
  <si>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</si>
  <si>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</si>
  <si>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</si>
  <si>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</si>
  <si>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</si>
  <si>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</si>
  <si>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</si>
  <si>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</si>
  <si>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</si>
  <si>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</si>
  <si>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</si>
  <si>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</si>
  <si>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</si>
  <si>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</si>
  <si>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</si>
  <si>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</si>
  <si>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</si>
  <si>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</si>
  <si>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</si>
  <si>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</si>
  <si>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</si>
  <si>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</si>
  <si>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</si>
  <si>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</si>
  <si>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</si>
  <si>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</si>
  <si>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</si>
  <si>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</si>
  <si>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</si>
  <si>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</si>
  <si>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</si>
  <si>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</si>
  <si>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</si>
  <si>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</si>
  <si>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</si>
  <si>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</si>
  <si>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</si>
  <si>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</si>
  <si>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</si>
  <si>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</si>
  <si>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</si>
  <si>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</si>
  <si>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</si>
  <si>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</si>
  <si>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</si>
  <si>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</si>
  <si>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</si>
  <si>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</si>
  <si>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</si>
  <si>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</si>
  <si>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</si>
  <si>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</si>
  <si>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</si>
  <si>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</si>
  <si>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</si>
  <si>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</si>
  <si>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</si>
  <si>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</si>
  <si>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</si>
  <si>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</si>
  <si>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</si>
  <si>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</si>
  <si>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</si>
  <si>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</si>
  <si>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</si>
  <si>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</si>
  <si>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</si>
  <si>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</si>
  <si>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</si>
  <si>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</si>
  <si>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</si>
  <si>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</si>
  <si>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</si>
  <si>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</si>
  <si>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</si>
  <si>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</si>
  <si>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</si>
  <si>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</si>
  <si>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</si>
  <si>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</si>
  <si>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</si>
  <si>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</si>
  <si>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</si>
  <si>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</si>
  <si>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</si>
  <si>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</si>
  <si>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</si>
  <si>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</si>
  <si>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</si>
  <si>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</si>
  <si>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</si>
  <si>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</si>
  <si>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</si>
  <si>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</si>
  <si>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</si>
  <si>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</si>
  <si>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</si>
  <si>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</si>
  <si>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</si>
  <si>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</si>
  <si>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</si>
  <si>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</si>
  <si>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</si>
  <si>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</si>
  <si>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</si>
  <si>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</si>
  <si>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</si>
  <si>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</si>
  <si>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</si>
  <si>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</si>
  <si>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</si>
  <si>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</si>
  <si>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</si>
  <si>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</si>
  <si>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</si>
  <si>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</si>
  <si>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</si>
  <si>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</si>
  <si>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</si>
  <si>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</si>
  <si>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</si>
  <si>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</si>
  <si>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</si>
  <si>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</si>
  <si>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</si>
  <si>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</si>
  <si>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</si>
  <si>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</si>
  <si>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</si>
  <si>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</si>
  <si>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</si>
  <si>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</si>
  <si>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</si>
  <si>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</si>
  <si>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</si>
  <si>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</si>
  <si>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</si>
  <si>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</si>
  <si>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Amansido Health Center</t>
  </si>
  <si>
    <t>uRhK3JFXrqG</t>
  </si>
  <si>
    <t>Obinofia Ndiagu Health Center</t>
  </si>
  <si>
    <t>ALUSkeUhax7</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</si>
  <si>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</si>
  <si>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</si>
  <si>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</si>
  <si>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</si>
  <si>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</si>
  <si>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</si>
  <si>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</si>
  <si>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</si>
  <si>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</si>
  <si>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</si>
  <si>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</si>
  <si>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</si>
  <si>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</si>
  <si>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</si>
  <si>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</si>
  <si>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</si>
  <si>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</si>
  <si>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</si>
  <si>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</si>
  <si>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</si>
  <si>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</si>
  <si>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</si>
  <si>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</si>
  <si>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</si>
  <si>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</si>
  <si>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</si>
  <si>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</si>
  <si>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</si>
  <si>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</si>
  <si>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</si>
  <si>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</si>
  <si>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</si>
  <si>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</si>
  <si>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</si>
  <si>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</si>
  <si>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</si>
  <si>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</si>
  <si>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</si>
  <si>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</si>
  <si>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</si>
  <si>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</si>
  <si>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</si>
  <si>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</si>
  <si>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</si>
  <si>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</si>
  <si>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</si>
  <si>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</si>
  <si>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</si>
  <si>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</si>
  <si>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</si>
  <si>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</si>
  <si>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</si>
  <si>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</si>
  <si>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</si>
  <si>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</si>
  <si>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</si>
  <si>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</si>
  <si>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</si>
  <si>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</si>
  <si>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</si>
  <si>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</si>
  <si>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</si>
  <si>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</si>
  <si>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</si>
  <si>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</si>
  <si>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</si>
  <si>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</si>
  <si>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</si>
  <si>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Agbadala Health Center</t>
  </si>
  <si>
    <t>JuqXC7es8tF</t>
  </si>
  <si>
    <t>Inyi Cottage Hopsital</t>
  </si>
  <si>
    <t>v0goAniLeuC</t>
  </si>
  <si>
    <t>Oji River Sub District General Hospital</t>
  </si>
  <si>
    <t>mOMYjnbssAv</t>
  </si>
  <si>
    <t>Ugwuoba Health Center</t>
  </si>
  <si>
    <t>ILcKSLSBXR6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</si>
  <si>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</si>
  <si>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</si>
  <si>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</si>
  <si>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</si>
  <si>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</si>
  <si>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</si>
  <si>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</si>
  <si>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</si>
  <si>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</si>
  <si>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</si>
  <si>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</si>
  <si>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</si>
  <si>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</si>
  <si>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</si>
  <si>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</si>
  <si>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</si>
  <si>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</si>
  <si>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</si>
  <si>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</si>
  <si>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</si>
  <si>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</si>
  <si>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</si>
  <si>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</si>
  <si>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</si>
  <si>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</si>
  <si>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</si>
  <si>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</si>
  <si>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</si>
  <si>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</si>
  <si>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</si>
  <si>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</si>
  <si>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</si>
  <si>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</si>
  <si>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</si>
  <si>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</si>
  <si>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</si>
  <si>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</si>
  <si>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</si>
  <si>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Abaji General Hospital</t>
  </si>
  <si>
    <t>Z226xvNYD7J</t>
  </si>
  <si>
    <t>Nanda Primary Health Center</t>
  </si>
  <si>
    <t>DnwrPe4eo4i</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</si>
  <si>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</si>
  <si>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</si>
  <si>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</si>
  <si>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</si>
  <si>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</si>
  <si>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</si>
  <si>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</si>
  <si>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</si>
  <si>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</si>
  <si>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</si>
  <si>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</si>
  <si>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</si>
  <si>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</si>
  <si>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</si>
  <si>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</si>
  <si>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</si>
  <si>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</si>
  <si>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</si>
  <si>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</si>
  <si>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</si>
  <si>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</si>
  <si>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</si>
  <si>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</si>
  <si>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</si>
  <si>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</si>
  <si>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</si>
  <si>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</si>
  <si>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</si>
  <si>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</si>
  <si>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</si>
  <si>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</si>
  <si>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</si>
  <si>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</si>
  <si>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</si>
  <si>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</si>
  <si>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</si>
  <si>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</si>
  <si>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</si>
  <si>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</si>
  <si>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</si>
  <si>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</si>
  <si>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</si>
  <si>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</si>
  <si>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</si>
  <si>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</si>
  <si>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</si>
  <si>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</si>
  <si>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</si>
  <si>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</si>
  <si>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</si>
  <si>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</si>
  <si>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</si>
  <si>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</si>
  <si>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</si>
  <si>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</si>
  <si>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</si>
  <si>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</si>
  <si>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</si>
  <si>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</si>
  <si>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</si>
  <si>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</si>
  <si>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</si>
  <si>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</si>
  <si>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</si>
  <si>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</si>
  <si>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</si>
  <si>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</si>
  <si>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</si>
  <si>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</si>
  <si>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</si>
  <si>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</si>
  <si>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</si>
  <si>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</si>
  <si>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</si>
  <si>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</si>
  <si>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</si>
  <si>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</si>
  <si>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</si>
  <si>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</si>
  <si>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</si>
  <si>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</si>
  <si>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</si>
  <si>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</si>
  <si>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</si>
  <si>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</si>
  <si>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</si>
  <si>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</si>
  <si>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</si>
  <si>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</si>
  <si>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</si>
  <si>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</si>
  <si>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</si>
  <si>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</si>
  <si>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</si>
  <si>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</si>
  <si>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</si>
  <si>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</si>
  <si>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</si>
  <si>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</si>
  <si>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</si>
  <si>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</si>
  <si>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</si>
  <si>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</si>
  <si>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</si>
  <si>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</si>
  <si>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</si>
  <si>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</si>
  <si>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</si>
  <si>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</si>
  <si>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</si>
  <si>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</si>
  <si>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</si>
  <si>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</si>
  <si>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</si>
  <si>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</si>
  <si>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</si>
  <si>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</si>
  <si>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</si>
  <si>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</si>
  <si>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</si>
  <si>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</si>
  <si>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</si>
  <si>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</si>
  <si>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</si>
  <si>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</si>
  <si>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</si>
  <si>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</si>
  <si>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</si>
  <si>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</si>
  <si>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</si>
  <si>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</si>
  <si>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</si>
  <si>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</si>
  <si>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</si>
  <si>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</si>
  <si>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</si>
  <si>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</si>
  <si>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</si>
  <si>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</si>
  <si>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</si>
  <si>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</si>
  <si>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</si>
  <si>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</si>
  <si>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</si>
  <si>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</si>
  <si>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</si>
  <si>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</si>
  <si>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</si>
  <si>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</si>
  <si>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</si>
  <si>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</si>
  <si>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</si>
  <si>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</si>
  <si>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</si>
  <si>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</si>
  <si>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</si>
  <si>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</si>
  <si>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</si>
  <si>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</si>
  <si>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</si>
  <si>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</si>
  <si>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</si>
  <si>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</si>
  <si>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</si>
  <si>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</si>
  <si>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</si>
  <si>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</si>
  <si>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</si>
  <si>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</si>
  <si>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</si>
  <si>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</si>
  <si>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</si>
  <si>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</si>
  <si>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</si>
  <si>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</si>
  <si>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</si>
  <si>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</si>
  <si>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</si>
  <si>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</si>
  <si>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</si>
  <si>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</si>
  <si>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</si>
  <si>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</si>
  <si>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</si>
  <si>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</si>
  <si>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</si>
  <si>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</si>
  <si>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</si>
  <si>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</si>
  <si>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</si>
  <si>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</si>
  <si>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</si>
  <si>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Daughters of Charity (DOC) Hospital - Kubwa</t>
  </si>
  <si>
    <t>iJ6bV49PCve</t>
  </si>
  <si>
    <t>Our Lady of Fatima Hospital - Bwari</t>
  </si>
  <si>
    <t>aQlACyagbgy</t>
  </si>
  <si>
    <t>St. Andrews Anglican Hospital - Kubwa</t>
  </si>
  <si>
    <t>v3TkEm3tIOC</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</si>
  <si>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</si>
  <si>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</si>
  <si>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</si>
  <si>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</si>
  <si>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</si>
  <si>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</si>
  <si>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</si>
  <si>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</si>
  <si>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</si>
  <si>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</si>
  <si>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</si>
  <si>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</si>
  <si>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</si>
  <si>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</si>
  <si>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</si>
  <si>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</si>
  <si>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</si>
  <si>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</si>
  <si>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</si>
  <si>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</si>
  <si>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</si>
  <si>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</si>
  <si>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</si>
  <si>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</si>
  <si>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</si>
  <si>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</si>
  <si>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</si>
  <si>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</si>
  <si>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</si>
  <si>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</si>
  <si>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</si>
  <si>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</si>
  <si>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</si>
  <si>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</si>
  <si>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</si>
  <si>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</si>
  <si>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</si>
  <si>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</si>
  <si>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</si>
  <si>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</si>
  <si>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</si>
  <si>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</si>
  <si>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</si>
  <si>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</si>
  <si>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</si>
  <si>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</si>
  <si>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</si>
  <si>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</si>
  <si>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</si>
  <si>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</si>
  <si>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</si>
  <si>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</si>
  <si>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</si>
  <si>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</si>
  <si>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</si>
  <si>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</si>
  <si>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</si>
  <si>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</si>
  <si>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</si>
  <si>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</si>
  <si>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</si>
  <si>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</si>
  <si>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</si>
  <si>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</si>
  <si>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</si>
  <si>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</si>
  <si>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</si>
  <si>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</si>
  <si>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</si>
  <si>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</si>
  <si>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</si>
  <si>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</si>
  <si>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</si>
  <si>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</si>
  <si>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</si>
  <si>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</si>
  <si>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</si>
  <si>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</si>
  <si>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</si>
  <si>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</si>
  <si>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</si>
  <si>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</si>
  <si>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</si>
  <si>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</si>
  <si>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</si>
  <si>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</si>
  <si>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</si>
  <si>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</si>
  <si>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</si>
  <si>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</si>
  <si>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</si>
  <si>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</si>
  <si>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</si>
  <si>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</si>
  <si>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</si>
  <si>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</si>
  <si>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</si>
  <si>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</si>
  <si>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</si>
  <si>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</si>
  <si>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</si>
  <si>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</si>
  <si>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</si>
  <si>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</si>
  <si>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</si>
  <si>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</si>
  <si>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</si>
  <si>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</si>
  <si>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</si>
  <si>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</si>
  <si>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</si>
  <si>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</si>
  <si>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</si>
  <si>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</si>
  <si>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</si>
  <si>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</si>
  <si>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</si>
  <si>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</si>
  <si>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</si>
  <si>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</si>
  <si>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</si>
  <si>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</si>
  <si>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</si>
  <si>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</si>
  <si>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</si>
  <si>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</si>
  <si>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</si>
  <si>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</si>
  <si>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</si>
  <si>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</si>
  <si>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</si>
  <si>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</si>
  <si>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</si>
  <si>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</si>
  <si>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</si>
  <si>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</si>
  <si>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</si>
  <si>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</si>
  <si>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</si>
  <si>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</si>
  <si>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</si>
  <si>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</si>
  <si>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</si>
  <si>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</si>
  <si>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</si>
  <si>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</si>
  <si>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</si>
  <si>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</si>
  <si>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</si>
  <si>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</si>
  <si>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</si>
  <si>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</si>
  <si>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</si>
  <si>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</si>
  <si>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</si>
  <si>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</si>
  <si>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</si>
  <si>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</si>
  <si>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</si>
  <si>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</si>
  <si>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</si>
  <si>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</si>
  <si>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</si>
  <si>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</si>
  <si>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</si>
  <si>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</si>
  <si>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</si>
  <si>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</si>
  <si>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</si>
  <si>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</si>
  <si>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</si>
  <si>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</si>
  <si>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</si>
  <si>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</si>
  <si>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</si>
  <si>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</si>
  <si>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</si>
  <si>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</si>
  <si>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</si>
  <si>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</si>
  <si>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</si>
  <si>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</si>
  <si>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</si>
  <si>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</si>
  <si>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</si>
  <si>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</si>
  <si>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</si>
  <si>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</si>
  <si>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</si>
  <si>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</si>
  <si>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</si>
  <si>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</si>
  <si>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</si>
  <si>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</si>
  <si>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</si>
  <si>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</si>
  <si>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</si>
  <si>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</si>
  <si>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</si>
  <si>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</si>
  <si>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</si>
  <si>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</si>
  <si>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</si>
  <si>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</si>
  <si>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</si>
  <si>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</si>
  <si>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</si>
  <si>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</si>
  <si>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</si>
  <si>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</si>
  <si>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</si>
  <si>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</si>
  <si>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</si>
  <si>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</si>
  <si>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</si>
  <si>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</si>
  <si>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</si>
  <si>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</si>
  <si>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</si>
  <si>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</si>
  <si>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</si>
  <si>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</si>
  <si>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</si>
  <si>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</si>
  <si>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</si>
  <si>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</si>
  <si>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</si>
  <si>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</si>
  <si>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</si>
  <si>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</si>
  <si>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</si>
  <si>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</si>
  <si>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</si>
  <si>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</si>
  <si>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</si>
  <si>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</si>
  <si>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</si>
  <si>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</si>
  <si>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</si>
  <si>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</si>
  <si>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</si>
  <si>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</si>
  <si>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</si>
  <si>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</si>
  <si>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</si>
  <si>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</si>
  <si>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</si>
  <si>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</si>
  <si>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</si>
  <si>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</si>
  <si>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</si>
  <si>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</si>
  <si>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</si>
  <si>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</si>
  <si>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</si>
  <si>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</si>
  <si>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</si>
  <si>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</si>
  <si>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</si>
  <si>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</si>
  <si>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Umuakagu Health Center</t>
  </si>
  <si>
    <t>nTEavHH6036</t>
  </si>
  <si>
    <t>Umueze 1 Umunanom Health Center</t>
  </si>
  <si>
    <t>tb1CoNjkies</t>
  </si>
  <si>
    <t>Umuezeala Owere Health Center</t>
  </si>
  <si>
    <t>UeLjyCRf41x</t>
  </si>
  <si>
    <t>Umunakanu Health Post</t>
  </si>
  <si>
    <t>aU2oSCCLmV2</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</si>
  <si>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</si>
  <si>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</si>
  <si>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</si>
  <si>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</si>
  <si>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</si>
  <si>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</si>
  <si>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</si>
  <si>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</si>
  <si>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</si>
  <si>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</si>
  <si>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</si>
  <si>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</si>
  <si>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</si>
  <si>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</si>
  <si>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</si>
  <si>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</si>
  <si>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</si>
  <si>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</si>
  <si>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Ikperejere Primary Health Center</t>
  </si>
  <si>
    <t>mCzi7WHsXYy</t>
  </si>
  <si>
    <t>Isinweke Primary Health Center</t>
  </si>
  <si>
    <t>QkEZjvzSdoF</t>
  </si>
  <si>
    <t>BFeirzq9CRR</t>
  </si>
  <si>
    <t>Amaimo Primary Health Center</t>
  </si>
  <si>
    <t>Of2XxJh71lU</t>
  </si>
  <si>
    <t>Atta Primary Health Center</t>
  </si>
  <si>
    <t>D1NMrAUkymP</t>
  </si>
  <si>
    <t>Iho Basic Health Center</t>
  </si>
  <si>
    <t>xYAJgjPnORf</t>
  </si>
  <si>
    <t>Osuh Primary Health Center</t>
  </si>
  <si>
    <t>HD4blJMxPjK</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</si>
  <si>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</si>
  <si>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</si>
  <si>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</si>
  <si>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</si>
  <si>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</si>
  <si>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</si>
  <si>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</si>
  <si>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</si>
  <si>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</si>
  <si>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</si>
  <si>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</si>
  <si>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</si>
  <si>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</si>
  <si>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</si>
  <si>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</si>
  <si>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</si>
  <si>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</si>
  <si>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</si>
  <si>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</si>
  <si>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</si>
  <si>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</si>
  <si>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</si>
  <si>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</si>
  <si>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</si>
  <si>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</si>
  <si>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</si>
  <si>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</si>
  <si>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</si>
  <si>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</si>
  <si>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</si>
  <si>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</si>
  <si>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</si>
  <si>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</si>
  <si>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</si>
  <si>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</si>
  <si>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</si>
  <si>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</si>
  <si>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</si>
  <si>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</si>
  <si>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</si>
  <si>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</si>
  <si>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</si>
  <si>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Our Lady of Mercy - Obowo</t>
  </si>
  <si>
    <t>nELlSoRvjxw</t>
  </si>
  <si>
    <t>Umulogho Primary Health Center</t>
  </si>
  <si>
    <t>VodaSBfWH1S</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</si>
  <si>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</si>
  <si>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</si>
  <si>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</si>
  <si>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</si>
  <si>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</si>
  <si>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</si>
  <si>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</si>
  <si>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</si>
  <si>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</si>
  <si>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</si>
  <si>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</si>
  <si>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</si>
  <si>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</si>
  <si>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</si>
  <si>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</si>
  <si>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</si>
  <si>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</si>
  <si>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</si>
  <si>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</si>
  <si>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</si>
  <si>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</si>
  <si>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</si>
  <si>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</si>
  <si>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</si>
  <si>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</si>
  <si>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</si>
  <si>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</si>
  <si>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</si>
  <si>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</si>
  <si>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</si>
  <si>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</si>
  <si>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</si>
  <si>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</si>
  <si>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</si>
  <si>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</si>
  <si>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</si>
  <si>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</si>
  <si>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</si>
  <si>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</si>
  <si>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</si>
  <si>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</si>
  <si>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</si>
  <si>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</si>
  <si>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</si>
  <si>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</si>
  <si>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</si>
  <si>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</si>
  <si>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</si>
  <si>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</si>
  <si>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</si>
  <si>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</si>
  <si>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</si>
  <si>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</si>
  <si>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</si>
  <si>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</si>
  <si>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</si>
  <si>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</si>
  <si>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</si>
  <si>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</si>
  <si>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</si>
  <si>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</si>
  <si>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</si>
  <si>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</si>
  <si>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</si>
  <si>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</si>
  <si>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</si>
  <si>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</si>
  <si>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</si>
  <si>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</si>
  <si>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</si>
  <si>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</si>
  <si>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</si>
  <si>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</si>
  <si>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</si>
  <si>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</si>
  <si>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</si>
  <si>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</si>
  <si>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</si>
  <si>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</si>
  <si>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</si>
  <si>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</si>
  <si>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</si>
  <si>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</si>
  <si>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</si>
  <si>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</si>
  <si>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</si>
  <si>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</si>
  <si>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</si>
  <si>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</si>
  <si>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</si>
  <si>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</si>
  <si>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</si>
  <si>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</si>
  <si>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</si>
  <si>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</si>
  <si>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</si>
  <si>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</si>
  <si>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</si>
  <si>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Church of Christ in Nigeria (COCIN) Primary Health Center - Yelwa</t>
  </si>
  <si>
    <t>JgsxKbZy7Hb</t>
  </si>
  <si>
    <t>Hope for the Village Child</t>
  </si>
  <si>
    <t>uQx06yCByKI</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</si>
  <si>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</si>
  <si>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</si>
  <si>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</si>
  <si>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</si>
  <si>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</si>
  <si>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</si>
  <si>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</si>
  <si>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</si>
  <si>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</si>
  <si>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</si>
  <si>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</si>
  <si>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</si>
  <si>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Ahmadu Bello University Teaching Hospital - Shika</t>
  </si>
  <si>
    <t>fiC3mpkjajt</t>
  </si>
  <si>
    <t>Giwa General Hospital</t>
  </si>
  <si>
    <t>ebLQTZgsfgz</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</si>
  <si>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</si>
  <si>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</si>
  <si>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</si>
  <si>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</si>
  <si>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</si>
  <si>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</si>
  <si>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</si>
  <si>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</si>
  <si>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</si>
  <si>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</si>
  <si>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</si>
  <si>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</si>
  <si>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kd Jemaa</t>
  </si>
  <si>
    <t>Salem Medical Center - Kafanchan</t>
  </si>
  <si>
    <t>f0wy9MgKtUx</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</si>
  <si>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</si>
  <si>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</si>
  <si>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</si>
  <si>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</si>
  <si>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</si>
  <si>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</si>
  <si>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</si>
  <si>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</si>
  <si>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</si>
  <si>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</si>
  <si>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</si>
  <si>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</si>
  <si>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</si>
  <si>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</si>
  <si>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</si>
  <si>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</si>
  <si>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</si>
  <si>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</si>
  <si>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</si>
  <si>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</si>
  <si>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</si>
  <si>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</si>
  <si>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</si>
  <si>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</si>
  <si>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</si>
  <si>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</si>
  <si>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</si>
  <si>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</si>
  <si>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</si>
  <si>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</si>
  <si>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</si>
  <si>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</si>
  <si>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</si>
  <si>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</si>
  <si>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</si>
  <si>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</si>
  <si>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</si>
  <si>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</si>
  <si>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</si>
  <si>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</si>
  <si>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</si>
  <si>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</si>
  <si>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St. Gerald's Hospital - Kaduna</t>
  </si>
  <si>
    <t>yfPEukzMBhy</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</si>
  <si>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</si>
  <si>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</si>
  <si>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</si>
  <si>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</si>
  <si>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</si>
  <si>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</si>
  <si>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</si>
  <si>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</si>
  <si>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</si>
  <si>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</si>
  <si>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</si>
  <si>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</si>
  <si>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</si>
  <si>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</si>
  <si>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</si>
  <si>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</si>
  <si>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</si>
  <si>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</si>
  <si>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</si>
  <si>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</si>
  <si>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</si>
  <si>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</si>
  <si>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</si>
  <si>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</si>
  <si>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</si>
  <si>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</si>
  <si>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</si>
  <si>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</si>
  <si>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</si>
  <si>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</si>
  <si>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</si>
  <si>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</si>
  <si>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</si>
  <si>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</si>
  <si>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</si>
  <si>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</si>
  <si>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</si>
  <si>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</si>
  <si>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</si>
  <si>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</si>
  <si>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</si>
  <si>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</si>
  <si>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</si>
  <si>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</si>
  <si>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</si>
  <si>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</si>
  <si>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</si>
  <si>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</si>
  <si>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</si>
  <si>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</si>
  <si>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</si>
  <si>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</si>
  <si>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</si>
  <si>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</si>
  <si>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Church of Christ in Nigeria (COCIN) Clinic and Maternity - Mararaba Kaduna</t>
  </si>
  <si>
    <t>bpGqH11T26K</t>
  </si>
  <si>
    <t>Pambegua General Hospital</t>
  </si>
  <si>
    <t>PoIQpdF8RTG</t>
  </si>
  <si>
    <t>Evangelical Church of West Africa (ECWA) Comprehensive Health Center - Ungwan Bawa</t>
  </si>
  <si>
    <t>IO38n1uX0Z7</t>
  </si>
  <si>
    <t>Evangelical Church of West Africa (ECWA) Health Clinic - Mariri</t>
  </si>
  <si>
    <t>P6wb6qxR4rk</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</si>
  <si>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</si>
  <si>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</si>
  <si>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</si>
  <si>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</si>
  <si>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</si>
  <si>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</si>
  <si>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</si>
  <si>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</si>
  <si>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</si>
  <si>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</si>
  <si>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</si>
  <si>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</si>
  <si>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</si>
  <si>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</si>
  <si>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</si>
  <si>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</si>
  <si>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</si>
  <si>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</si>
  <si>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</si>
  <si>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</si>
  <si>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</si>
  <si>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</si>
  <si>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</si>
  <si>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</si>
  <si>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</si>
  <si>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</si>
  <si>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</si>
  <si>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</si>
  <si>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</si>
  <si>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</si>
  <si>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</si>
  <si>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</si>
  <si>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</si>
  <si>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</si>
  <si>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</si>
  <si>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</si>
  <si>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</si>
  <si>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</si>
  <si>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</si>
  <si>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Evangelical Reformed Church of Christ (ERCC) Primary Health Center - Karshi</t>
  </si>
  <si>
    <t>FSeEcYTr3h8</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</si>
  <si>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</si>
  <si>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</si>
  <si>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</si>
  <si>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</si>
  <si>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</si>
  <si>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</si>
  <si>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</si>
  <si>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</si>
  <si>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</si>
  <si>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</si>
  <si>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</si>
  <si>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</si>
  <si>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</si>
  <si>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</si>
  <si>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</si>
  <si>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</si>
  <si>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</si>
  <si>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</si>
  <si>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Evangelical Church of West Africa (ECWA) Health Center - Kibori Atyap</t>
  </si>
  <si>
    <t>ERmFvnjnV03</t>
  </si>
  <si>
    <t>St. Louis Hospital - Zonkwa</t>
  </si>
  <si>
    <t>uYxACgpJgI9</t>
  </si>
  <si>
    <t>Zango-Kataf General Hospital</t>
  </si>
  <si>
    <t>jHjDEUVD87x</t>
  </si>
  <si>
    <t>Gyelesu Primary Health Center</t>
  </si>
  <si>
    <t>R55qx0TWfCK</t>
  </si>
  <si>
    <t>Hajiya Gambo Sawaba Hospital</t>
  </si>
  <si>
    <t>V0IswqM1byH</t>
  </si>
  <si>
    <t>Tukur Tukur Primary Health Center</t>
  </si>
  <si>
    <t>o4cmDXLnMGz</t>
  </si>
  <si>
    <t>National Tuberculosis And Leprosy Training Center - Zaria</t>
  </si>
  <si>
    <t>lLdc7dRUqzs</t>
  </si>
  <si>
    <t>Gezewa General Hospital</t>
  </si>
  <si>
    <t>cDBBCOyZlvK</t>
  </si>
  <si>
    <t>Mohammad Abdullahi Wase Specialist Hospital Nassarwa</t>
  </si>
  <si>
    <t>ClB8Ry98tWe</t>
  </si>
  <si>
    <t>Ahmadiyya Muslim Hospital</t>
  </si>
  <si>
    <t>ti735gO0Yhm</t>
  </si>
  <si>
    <t>Evangelical Church of West Africa (ECWA) Clinic and Maternity</t>
  </si>
  <si>
    <t>zcSL0a1oPEw</t>
  </si>
  <si>
    <t>Al Noury Specialist Hospital</t>
  </si>
  <si>
    <t>v5amiydkXFR</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</si>
  <si>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</si>
  <si>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</si>
  <si>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</si>
  <si>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</si>
  <si>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</si>
  <si>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</si>
  <si>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</si>
  <si>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</si>
  <si>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</si>
  <si>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</si>
  <si>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</si>
  <si>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</si>
  <si>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</si>
  <si>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</si>
  <si>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</si>
  <si>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</si>
  <si>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</si>
  <si>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</si>
  <si>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</si>
  <si>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</si>
  <si>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</si>
  <si>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</si>
  <si>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</si>
  <si>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</si>
  <si>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</si>
  <si>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</si>
  <si>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</si>
  <si>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</si>
  <si>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</si>
  <si>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</si>
  <si>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</si>
  <si>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</si>
  <si>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</si>
  <si>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</si>
  <si>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</si>
  <si>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</si>
  <si>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All Stars Clinic - Egume</t>
  </si>
  <si>
    <t>OJxr3xSwtVx</t>
  </si>
  <si>
    <t>Grimmard Hospital - Anyingba</t>
  </si>
  <si>
    <t>nlLwNEPKFnR</t>
  </si>
  <si>
    <t>St. Luke's Clinic - Egume</t>
  </si>
  <si>
    <t>HrGggd9x1os</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</si>
  <si>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</si>
  <si>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</si>
  <si>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</si>
  <si>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</si>
  <si>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</si>
  <si>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</si>
  <si>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</si>
  <si>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</si>
  <si>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</si>
  <si>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</si>
  <si>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Shallom Clinic - Idah</t>
  </si>
  <si>
    <t>QYS2fK4rn2V</t>
  </si>
  <si>
    <t>Idah General Hospital</t>
  </si>
  <si>
    <t>PawBgipJAZe</t>
  </si>
  <si>
    <t>Ajaka Primary Health Center</t>
  </si>
  <si>
    <t>g6NVwIeNfgD</t>
  </si>
  <si>
    <t>Iyamoye General Hospital</t>
  </si>
  <si>
    <t>UfIvllU0iwE</t>
  </si>
  <si>
    <t>Iyara Comprehensive Health Center</t>
  </si>
  <si>
    <t>W81ILVochtJ</t>
  </si>
  <si>
    <t>St John's Hospital Kabba</t>
  </si>
  <si>
    <t>EOO49s5EOt4</t>
  </si>
  <si>
    <t>Kabba General Hospital</t>
  </si>
  <si>
    <t>CGwIyxDpwT8</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</si>
  <si>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</si>
  <si>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</si>
  <si>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</si>
  <si>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</si>
  <si>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</si>
  <si>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</si>
  <si>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</si>
  <si>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</si>
  <si>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</si>
  <si>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</si>
  <si>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</si>
  <si>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</si>
  <si>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</si>
  <si>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</si>
  <si>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</si>
  <si>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</si>
  <si>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</si>
  <si>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</si>
  <si>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</si>
  <si>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</si>
  <si>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</si>
  <si>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</si>
  <si>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</si>
  <si>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</si>
  <si>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</si>
  <si>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</si>
  <si>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</si>
  <si>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</si>
  <si>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</si>
  <si>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</si>
  <si>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</si>
  <si>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</si>
  <si>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</si>
  <si>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</si>
  <si>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</si>
  <si>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</si>
  <si>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</si>
  <si>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</si>
  <si>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</si>
  <si>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</si>
  <si>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</si>
  <si>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</si>
  <si>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</si>
  <si>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</si>
  <si>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</si>
  <si>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</si>
  <si>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</si>
  <si>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</si>
  <si>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</si>
  <si>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</si>
  <si>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</si>
  <si>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</si>
  <si>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</si>
  <si>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</si>
  <si>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</si>
  <si>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</si>
  <si>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</si>
  <si>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</si>
  <si>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</si>
  <si>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</si>
  <si>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</si>
  <si>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</si>
  <si>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</si>
  <si>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</si>
  <si>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</si>
  <si>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</si>
  <si>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</si>
  <si>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</si>
  <si>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</si>
  <si>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</si>
  <si>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</si>
  <si>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</si>
  <si>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</si>
  <si>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</si>
  <si>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</si>
  <si>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</si>
  <si>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</si>
  <si>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</si>
  <si>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</si>
  <si>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</si>
  <si>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</si>
  <si>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</si>
  <si>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</si>
  <si>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</si>
  <si>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</si>
  <si>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</si>
  <si>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</si>
  <si>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</si>
  <si>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</si>
  <si>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</si>
  <si>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</si>
  <si>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</si>
  <si>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</si>
  <si>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</si>
  <si>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</si>
  <si>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</si>
  <si>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</si>
  <si>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</si>
  <si>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</si>
  <si>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</si>
  <si>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</si>
  <si>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</si>
  <si>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</si>
  <si>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</si>
  <si>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</si>
  <si>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</si>
  <si>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</si>
  <si>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</si>
  <si>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</si>
  <si>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</si>
  <si>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</si>
  <si>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</si>
  <si>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</si>
  <si>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</si>
  <si>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</si>
  <si>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</si>
  <si>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</si>
  <si>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</si>
  <si>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</si>
  <si>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</si>
  <si>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</si>
  <si>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</si>
  <si>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</si>
  <si>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</si>
  <si>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</si>
  <si>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</si>
  <si>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</si>
  <si>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</si>
  <si>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</si>
  <si>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</si>
  <si>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</si>
  <si>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</si>
  <si>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</si>
  <si>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</si>
  <si>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</si>
  <si>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</si>
  <si>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</si>
  <si>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</si>
  <si>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</si>
  <si>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</si>
  <si>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</si>
  <si>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</si>
  <si>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</si>
  <si>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</si>
  <si>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</si>
  <si>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</si>
  <si>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</si>
  <si>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</si>
  <si>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</si>
  <si>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</si>
  <si>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</si>
  <si>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</si>
  <si>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</si>
  <si>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</si>
  <si>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</si>
  <si>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</si>
  <si>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</si>
  <si>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</si>
  <si>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</si>
  <si>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</si>
  <si>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</si>
  <si>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</si>
  <si>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</si>
  <si>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</si>
  <si>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</si>
  <si>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</si>
  <si>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</si>
  <si>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</si>
  <si>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</si>
  <si>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</si>
  <si>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</si>
  <si>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</si>
  <si>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</si>
  <si>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</si>
  <si>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</si>
  <si>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</si>
  <si>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</si>
  <si>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</si>
  <si>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</si>
  <si>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</si>
  <si>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</si>
  <si>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</si>
  <si>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</si>
  <si>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</si>
  <si>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</si>
  <si>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</si>
  <si>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</si>
  <si>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</si>
  <si>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</si>
  <si>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</si>
  <si>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</si>
  <si>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</si>
  <si>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</si>
  <si>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</si>
  <si>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</si>
  <si>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</si>
  <si>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</si>
  <si>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</si>
  <si>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</si>
  <si>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</si>
  <si>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</si>
  <si>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</si>
  <si>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</si>
  <si>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</si>
  <si>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</si>
  <si>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</si>
  <si>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</si>
  <si>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</si>
  <si>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</si>
  <si>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</si>
  <si>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</si>
  <si>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</si>
  <si>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</si>
  <si>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</si>
  <si>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</si>
  <si>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</si>
  <si>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</si>
  <si>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</si>
  <si>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</si>
  <si>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</si>
  <si>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</si>
  <si>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</si>
  <si>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</si>
  <si>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</si>
  <si>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</si>
  <si>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</si>
  <si>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</si>
  <si>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</si>
  <si>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</si>
  <si>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</si>
  <si>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Holy Rosary Catholic Hospital - Ogba</t>
  </si>
  <si>
    <t>kYFJ6ppx9vV</t>
  </si>
  <si>
    <t>St. Leo Medical Centre</t>
  </si>
  <si>
    <t>ptxAOdQ5Tp8</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</si>
  <si>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</si>
  <si>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</si>
  <si>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</si>
  <si>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</si>
  <si>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</si>
  <si>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</si>
  <si>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</si>
  <si>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</si>
  <si>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</si>
  <si>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</si>
  <si>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</si>
  <si>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</si>
  <si>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</si>
  <si>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</si>
  <si>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</si>
  <si>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</si>
  <si>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</si>
  <si>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</si>
  <si>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</si>
  <si>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</si>
  <si>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</si>
  <si>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</si>
  <si>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</si>
  <si>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</si>
  <si>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</si>
  <si>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</si>
  <si>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</si>
  <si>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</si>
  <si>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</si>
  <si>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</si>
  <si>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</si>
  <si>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</si>
  <si>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</si>
  <si>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</si>
  <si>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</si>
  <si>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</si>
  <si>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</si>
  <si>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</si>
  <si>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</si>
  <si>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</si>
  <si>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</si>
  <si>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</si>
  <si>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</si>
  <si>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</si>
  <si>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</si>
  <si>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</si>
  <si>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</si>
  <si>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</si>
  <si>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</si>
  <si>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</si>
  <si>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</si>
  <si>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</si>
  <si>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</si>
  <si>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</si>
  <si>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</si>
  <si>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</si>
  <si>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</si>
  <si>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</si>
  <si>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</si>
  <si>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</si>
  <si>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</si>
  <si>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</si>
  <si>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</si>
  <si>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</si>
  <si>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</si>
  <si>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</si>
  <si>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</si>
  <si>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</si>
  <si>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</si>
  <si>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</si>
  <si>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</si>
  <si>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</si>
  <si>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</si>
  <si>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</si>
  <si>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Our Lady of Apostles Hospital - Akwanga</t>
  </si>
  <si>
    <t>K57MkWyAj2Y</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</si>
  <si>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</si>
  <si>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</si>
  <si>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</si>
  <si>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</si>
  <si>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</si>
  <si>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</si>
  <si>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</si>
  <si>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</si>
  <si>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</si>
  <si>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</si>
  <si>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</si>
  <si>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</si>
  <si>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</si>
  <si>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</si>
  <si>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</si>
  <si>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</si>
  <si>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</si>
  <si>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</si>
  <si>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Owoche Clinic and Maternity</t>
  </si>
  <si>
    <t>U5N1HnNpRM2</t>
  </si>
  <si>
    <t>Zumunta Yelwa Ediya Clinic</t>
  </si>
  <si>
    <t>bK8mKs9KWZ1</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</si>
  <si>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</si>
  <si>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</si>
  <si>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</si>
  <si>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</si>
  <si>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</si>
  <si>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</si>
  <si>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</si>
  <si>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</si>
  <si>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</si>
  <si>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</si>
  <si>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</si>
  <si>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</si>
  <si>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</si>
  <si>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</si>
  <si>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</si>
  <si>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</si>
  <si>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</si>
  <si>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</si>
  <si>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</si>
  <si>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</si>
  <si>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</si>
  <si>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</si>
  <si>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</si>
  <si>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</si>
  <si>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</si>
  <si>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</si>
  <si>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</si>
  <si>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</si>
  <si>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</si>
  <si>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</si>
  <si>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</si>
  <si>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</si>
  <si>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</si>
  <si>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</si>
  <si>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</si>
  <si>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</si>
  <si>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</si>
  <si>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</si>
  <si>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</si>
  <si>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</si>
  <si>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</si>
  <si>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</si>
  <si>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</si>
  <si>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</si>
  <si>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</si>
  <si>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</si>
  <si>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</si>
  <si>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</si>
  <si>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</si>
  <si>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</si>
  <si>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</si>
  <si>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</si>
  <si>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</si>
  <si>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</si>
  <si>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</si>
  <si>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</si>
  <si>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</si>
  <si>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</si>
  <si>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</si>
  <si>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</si>
  <si>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</si>
  <si>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</si>
  <si>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</si>
  <si>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</si>
  <si>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</si>
  <si>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</si>
  <si>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</si>
  <si>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</si>
  <si>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</si>
  <si>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</si>
  <si>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</si>
  <si>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</si>
  <si>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</si>
  <si>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</si>
  <si>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</si>
  <si>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</si>
  <si>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</si>
  <si>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</si>
  <si>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</si>
  <si>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</si>
  <si>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</si>
  <si>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</si>
  <si>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</si>
  <si>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</si>
  <si>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</si>
  <si>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</si>
  <si>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</si>
  <si>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</si>
  <si>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</si>
  <si>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</si>
  <si>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</si>
  <si>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</si>
  <si>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</si>
  <si>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</si>
  <si>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</si>
  <si>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</si>
  <si>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</si>
  <si>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</si>
  <si>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</si>
  <si>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</si>
  <si>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</si>
  <si>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</si>
  <si>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</si>
  <si>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</si>
  <si>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</si>
  <si>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</si>
  <si>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</si>
  <si>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</si>
  <si>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</si>
  <si>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</si>
  <si>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</si>
  <si>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</si>
  <si>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</si>
  <si>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</si>
  <si>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</si>
  <si>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</si>
  <si>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</si>
  <si>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</si>
  <si>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</si>
  <si>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</si>
  <si>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</si>
  <si>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</si>
  <si>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</si>
  <si>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</si>
  <si>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</si>
  <si>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</si>
  <si>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</si>
  <si>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</si>
  <si>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</si>
  <si>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</si>
  <si>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</si>
  <si>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Evangelical Reformed Church of Christ (ERCC) Clinic - Keffi</t>
  </si>
  <si>
    <t>lQuZB3TSI1r</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</si>
  <si>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</si>
  <si>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</si>
  <si>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</si>
  <si>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</si>
  <si>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</si>
  <si>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</si>
  <si>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</si>
  <si>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</si>
  <si>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</si>
  <si>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</si>
  <si>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Diamond Clinic - Lafiya</t>
  </si>
  <si>
    <t>e5ZNLK1GbTi</t>
  </si>
  <si>
    <t>Graceland Clinic - Lafiya</t>
  </si>
  <si>
    <t>iJszAqdhmdK</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</si>
  <si>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</si>
  <si>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</si>
  <si>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</si>
  <si>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</si>
  <si>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</si>
  <si>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</si>
  <si>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</si>
  <si>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</si>
  <si>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</si>
  <si>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</si>
  <si>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</si>
  <si>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</si>
  <si>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</si>
  <si>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</si>
  <si>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</si>
  <si>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</si>
  <si>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</si>
  <si>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</si>
  <si>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</si>
  <si>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</si>
  <si>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</si>
  <si>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</si>
  <si>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</si>
  <si>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</si>
  <si>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</si>
  <si>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</si>
  <si>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</si>
  <si>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</si>
  <si>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</si>
  <si>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</si>
  <si>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</si>
  <si>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</si>
  <si>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</si>
  <si>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</si>
  <si>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</si>
  <si>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</si>
  <si>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</si>
  <si>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</si>
  <si>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</si>
  <si>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</si>
  <si>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</si>
  <si>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</si>
  <si>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</si>
  <si>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</si>
  <si>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</si>
  <si>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</si>
  <si>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</si>
  <si>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</si>
  <si>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</si>
  <si>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</si>
  <si>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</si>
  <si>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</si>
  <si>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</si>
  <si>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</si>
  <si>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</si>
  <si>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</si>
  <si>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</si>
  <si>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</si>
  <si>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</si>
  <si>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</si>
  <si>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</si>
  <si>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</si>
  <si>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</si>
  <si>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</si>
  <si>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</si>
  <si>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</si>
  <si>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</si>
  <si>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</si>
  <si>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</si>
  <si>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</si>
  <si>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</si>
  <si>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</si>
  <si>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</si>
  <si>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</si>
  <si>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</si>
  <si>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</si>
  <si>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</si>
  <si>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</si>
  <si>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</si>
  <si>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</si>
  <si>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</si>
  <si>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</si>
  <si>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</si>
  <si>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</si>
  <si>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</si>
  <si>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</si>
  <si>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</si>
  <si>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</si>
  <si>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</si>
  <si>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</si>
  <si>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</si>
  <si>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</si>
  <si>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</si>
  <si>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</si>
  <si>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</si>
  <si>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</si>
  <si>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</si>
  <si>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</si>
  <si>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</si>
  <si>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</si>
  <si>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</si>
  <si>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</si>
  <si>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</si>
  <si>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</si>
  <si>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</si>
  <si>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</si>
  <si>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</si>
  <si>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</si>
  <si>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</si>
  <si>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</si>
  <si>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</si>
  <si>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</si>
  <si>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</si>
  <si>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</si>
  <si>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</si>
  <si>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</si>
  <si>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</si>
  <si>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</si>
  <si>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</si>
  <si>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</si>
  <si>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</si>
  <si>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</si>
  <si>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</si>
  <si>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</si>
  <si>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</si>
  <si>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</si>
  <si>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</si>
  <si>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</si>
  <si>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</si>
  <si>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</si>
  <si>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</si>
  <si>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</si>
  <si>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</si>
  <si>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</si>
  <si>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Burumburum Primary Health Care Center</t>
  </si>
  <si>
    <t>FjtcTFHA0Ou</t>
  </si>
  <si>
    <t>Nasarawa Eggon General Hospital</t>
  </si>
  <si>
    <t>KMLMCZ5fC94</t>
  </si>
  <si>
    <t>Wowyen Primary Health Care Center</t>
  </si>
  <si>
    <t>EHgatkiTURs</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</si>
  <si>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</si>
  <si>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</si>
  <si>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</si>
  <si>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</si>
  <si>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</si>
  <si>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</si>
  <si>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</si>
  <si>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</si>
  <si>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</si>
  <si>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</si>
  <si>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</si>
  <si>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</si>
  <si>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</si>
  <si>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</si>
  <si>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</si>
  <si>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</si>
  <si>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</si>
  <si>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</si>
  <si>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</si>
  <si>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</si>
  <si>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</si>
  <si>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</si>
  <si>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</si>
  <si>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</si>
  <si>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</si>
  <si>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</si>
  <si>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</si>
  <si>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</si>
  <si>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</si>
  <si>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</si>
  <si>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</si>
  <si>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</si>
  <si>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</si>
  <si>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</si>
  <si>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</si>
  <si>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</si>
  <si>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</si>
  <si>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</si>
  <si>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</si>
  <si>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</si>
  <si>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</si>
  <si>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</si>
  <si>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</si>
  <si>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</si>
  <si>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</si>
  <si>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</si>
  <si>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</si>
  <si>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</si>
  <si>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</si>
  <si>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</si>
  <si>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</si>
  <si>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</si>
  <si>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Sabo Primary Health Care Center</t>
  </si>
  <si>
    <t>zDMCQqdfBSs</t>
  </si>
  <si>
    <t>Federal Medical Center - Abeokuta</t>
  </si>
  <si>
    <t>cIelM4DwtGv</t>
  </si>
  <si>
    <t>Sacred Heart Catholic Hospital, Abeokuta</t>
  </si>
  <si>
    <t>DvOjpCpBtJj</t>
  </si>
  <si>
    <t>Ijoko Primary Health Center</t>
  </si>
  <si>
    <t>RuXsXz3hhGC</t>
  </si>
  <si>
    <t>Ota Primary Health Center</t>
  </si>
  <si>
    <t>fCB9EIDg0lM</t>
  </si>
  <si>
    <t>Sango Ota Primary Health Center</t>
  </si>
  <si>
    <t>jrlSMIy4Udi</t>
  </si>
  <si>
    <t>Jesus is Love and Power Catholic Hospital - Ifo</t>
  </si>
  <si>
    <t>rQsDr0APXzb</t>
  </si>
  <si>
    <t>Ifo General Hospital</t>
  </si>
  <si>
    <t>CO28PVyyzuQ</t>
  </si>
  <si>
    <t>Olose Primary Health Center</t>
  </si>
  <si>
    <t>b1gbOD6Lw5A</t>
  </si>
  <si>
    <t>Ita-Alapo Primary Health Center</t>
  </si>
  <si>
    <t>tueCPc98YpF</t>
  </si>
  <si>
    <t>State Hospital - Ijebu Ode</t>
  </si>
  <si>
    <t>eg6CMvHMI9h</t>
  </si>
  <si>
    <t>Idi Iroko General Hospital</t>
  </si>
  <si>
    <t>Ded9l89WnBh</t>
  </si>
  <si>
    <t>Tube Primary Health Center</t>
  </si>
  <si>
    <t>H39LYhr70Ip</t>
  </si>
  <si>
    <t>Makun Primary Health Care</t>
  </si>
  <si>
    <t>d0enmAlNy7c</t>
  </si>
  <si>
    <t>Olabisi Onabanjo University Teaching Hospital</t>
  </si>
  <si>
    <t>KTVjcTH4JeG</t>
  </si>
  <si>
    <t>Ayetoro General Hospital</t>
  </si>
  <si>
    <t>muPgi07IQTK</t>
  </si>
  <si>
    <t>Ibile Primary Health Center</t>
  </si>
  <si>
    <t>PPgLTt5B6Kq</t>
  </si>
  <si>
    <t>Sacred Heart Hospital - Ayetoro</t>
  </si>
  <si>
    <t>sbA1L4DEbTT</t>
  </si>
  <si>
    <t>Isaga Owode Health Center</t>
  </si>
  <si>
    <t>VGPZqV1kLlD</t>
  </si>
  <si>
    <t>Specialist Hospital - Ilaro</t>
  </si>
  <si>
    <t>WnA94tQ9PZu</t>
  </si>
  <si>
    <t>State Specialist Hospital - Ikare</t>
  </si>
  <si>
    <t>PVJ1iBCOkrp</t>
  </si>
  <si>
    <t>St. Catherine's Hospital - Iwaro-Oka</t>
  </si>
  <si>
    <t>GsMlnR6XQ5k</t>
  </si>
  <si>
    <t>Iwaro-Oka General Hospital - Akoko</t>
  </si>
  <si>
    <t>zhu21WthI6C</t>
  </si>
  <si>
    <t>Arakale Comprehensive Health Center</t>
  </si>
  <si>
    <t>BobjH7xBdDI</t>
  </si>
  <si>
    <t>Oba-Ile Comprehensive Health Center</t>
  </si>
  <si>
    <t>wuh106bjAdL</t>
  </si>
  <si>
    <t>State Specialist Hospital - Akure</t>
  </si>
  <si>
    <t>yfLNltOE3ES</t>
  </si>
  <si>
    <t>St. Theresa's Catholic Health Center - Odo-Irele</t>
  </si>
  <si>
    <t>h2r9wlaKJ49</t>
  </si>
  <si>
    <t>Ore General Hospital</t>
  </si>
  <si>
    <t>SGlwI0BB3NM</t>
  </si>
  <si>
    <t>Maria Mater Misericordiae Catholic Hospital - Oke-Idera</t>
  </si>
  <si>
    <t>QUYIJA1ZS8h</t>
  </si>
  <si>
    <t>State Specialist Hospital - Ondo</t>
  </si>
  <si>
    <t>JKUabrYA2oL</t>
  </si>
  <si>
    <t>St. Louis Hospital - Owo</t>
  </si>
  <si>
    <t>l7pPpxL9oXr</t>
  </si>
  <si>
    <t>Federal Medical Center - Owo</t>
  </si>
  <si>
    <t>Lf5dipBTT0Z</t>
  </si>
  <si>
    <t>Ede Specialist Hospital</t>
  </si>
  <si>
    <t>qoiO0tapOKa</t>
  </si>
  <si>
    <t>Obafemi Awolowo University Teaching Hospital Complex</t>
  </si>
  <si>
    <t>u4jq9CmP9dk</t>
  </si>
  <si>
    <t>Seventh Day Adventist Hospital - Ile-Ife</t>
  </si>
  <si>
    <t>xGKk2hlvtUz</t>
  </si>
  <si>
    <t>Our Lady of Lourdes Hospital - Ipetumodun</t>
  </si>
  <si>
    <t>ikrzY7sZjRk</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</si>
  <si>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</si>
  <si>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</si>
  <si>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</si>
  <si>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</si>
  <si>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</si>
  <si>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</si>
  <si>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</si>
  <si>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</si>
  <si>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</si>
  <si>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</si>
  <si>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Catholic Hospital and Maternity - Okeola</t>
  </si>
  <si>
    <t>NrAixqBOeRR</t>
  </si>
  <si>
    <t>State Hospital - Iwo</t>
  </si>
  <si>
    <t>RjMnBpvNTLM</t>
  </si>
  <si>
    <t>Ladoke Akintola Teaching Hospital - Oshogbo</t>
  </si>
  <si>
    <t>mgEojaVd0QS</t>
  </si>
  <si>
    <t>Ilora Primary Health Center</t>
  </si>
  <si>
    <t>nf8iMC6uQjS</t>
  </si>
  <si>
    <t>Moniya Primary Health Center</t>
  </si>
  <si>
    <t>o9UJUeIeW6P</t>
  </si>
  <si>
    <t>Aafin Primary Health Center</t>
  </si>
  <si>
    <t>VFHmekMPH7g</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</si>
  <si>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</si>
  <si>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</si>
  <si>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</si>
  <si>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</si>
  <si>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</si>
  <si>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</si>
  <si>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</si>
  <si>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</si>
  <si>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</si>
  <si>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</si>
  <si>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</si>
  <si>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</si>
  <si>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St. Dominics Catholic Hospital - Ogungbade</t>
  </si>
  <si>
    <t>JzYcMwOP9J6</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</si>
  <si>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</si>
  <si>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</si>
  <si>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</si>
  <si>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</si>
  <si>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</si>
  <si>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</si>
  <si>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</si>
  <si>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</si>
  <si>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</si>
  <si>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</si>
  <si>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</si>
  <si>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</si>
  <si>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</si>
  <si>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</si>
  <si>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</si>
  <si>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</si>
  <si>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</si>
  <si>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</si>
  <si>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</si>
  <si>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</si>
  <si>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</si>
  <si>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</si>
  <si>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</si>
  <si>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</si>
  <si>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</si>
  <si>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</si>
  <si>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</si>
  <si>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</si>
  <si>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</si>
  <si>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</si>
  <si>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</si>
  <si>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</si>
  <si>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</si>
  <si>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</si>
  <si>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</si>
  <si>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</si>
  <si>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</si>
  <si>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</si>
  <si>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</si>
  <si>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</si>
  <si>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</si>
  <si>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</si>
  <si>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</si>
  <si>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</si>
  <si>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</si>
  <si>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</si>
  <si>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</si>
  <si>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</si>
  <si>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</si>
  <si>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</si>
  <si>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</si>
  <si>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</si>
  <si>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</si>
  <si>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</si>
  <si>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</si>
  <si>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</si>
  <si>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</si>
  <si>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</si>
  <si>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Ipapo Primary Health Center</t>
  </si>
  <si>
    <t>uvGJGWY57wX</t>
  </si>
  <si>
    <t>Otu Comprehensive Health Center</t>
  </si>
  <si>
    <t>lTEWZfKTz3X</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</si>
  <si>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</si>
  <si>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</si>
  <si>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</si>
  <si>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</si>
  <si>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</si>
  <si>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</si>
  <si>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</si>
  <si>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</si>
  <si>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</si>
  <si>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</si>
  <si>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</si>
  <si>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</si>
  <si>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</si>
  <si>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</si>
  <si>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</si>
  <si>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</si>
  <si>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</si>
  <si>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</si>
  <si>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</si>
  <si>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</si>
  <si>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</si>
  <si>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</si>
  <si>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</si>
  <si>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</si>
  <si>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</si>
  <si>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</si>
  <si>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Ajaawa Primary Health Center</t>
  </si>
  <si>
    <t>fD14mGxPP3L</t>
  </si>
  <si>
    <t>Odo-Oba Primary Health Center</t>
  </si>
  <si>
    <t>oOLAYH0WZI8</t>
  </si>
  <si>
    <t>Dogo-LEEMP Primary Health Center</t>
  </si>
  <si>
    <t>PI26NbjCCVn</t>
  </si>
  <si>
    <t>Igbeti General Hospital</t>
  </si>
  <si>
    <t>ty9jMW3us5b</t>
  </si>
  <si>
    <t>Adaramagbo Olomi Primary Health Center</t>
  </si>
  <si>
    <t>gp5xo74SqKO</t>
  </si>
  <si>
    <t>Aba Emu Primary Health Center</t>
  </si>
  <si>
    <t>K6oAJAHYX6N</t>
  </si>
  <si>
    <t>Awotunde Olosunde Primary Health Center</t>
  </si>
  <si>
    <t>ymkPngayI7r</t>
  </si>
  <si>
    <t>Bonni Primary Health Center</t>
  </si>
  <si>
    <t>RikNQmXQLvM</t>
  </si>
  <si>
    <t>Igboho General Hospital</t>
  </si>
  <si>
    <t>oXanQ9NfzcJ</t>
  </si>
  <si>
    <t>Ikoyi-Ile Primary Health Center</t>
  </si>
  <si>
    <t>jN3f776qJBx</t>
  </si>
  <si>
    <t>Oba Adeyemi Primary Health Center</t>
  </si>
  <si>
    <t>fYmoCLvfEcv</t>
  </si>
  <si>
    <t>Iseke Maternity Center</t>
  </si>
  <si>
    <t>kgPjVzCl0lb</t>
  </si>
  <si>
    <t>Agbonle Primary Health Center</t>
  </si>
  <si>
    <t>axW6IWUePhH</t>
  </si>
  <si>
    <t>Ogboro Primary Health Center</t>
  </si>
  <si>
    <t>dhw13NZ1dXs</t>
  </si>
  <si>
    <t>Oje Owode Primary Health Center</t>
  </si>
  <si>
    <t>sH7hx1wlgBV</t>
  </si>
  <si>
    <t>Baptist Medical Center - Saki</t>
  </si>
  <si>
    <t>x6uBaUpHFXY</t>
  </si>
  <si>
    <t>Iresa Adu Primary Health Center</t>
  </si>
  <si>
    <t>O6s6kaLSgEx</t>
  </si>
  <si>
    <t>Barkin Ladi General Hospital</t>
  </si>
  <si>
    <t>HbuBf1D4gmG</t>
  </si>
  <si>
    <t>Seventh Day Adventist (SDA) Hospital - Jengre</t>
  </si>
  <si>
    <t>Le18r1aY7bi</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</si>
  <si>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</si>
  <si>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</si>
  <si>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</si>
  <si>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</si>
  <si>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</si>
  <si>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</si>
  <si>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</si>
  <si>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</si>
  <si>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</si>
  <si>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</si>
  <si>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</si>
  <si>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</si>
  <si>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</si>
  <si>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</si>
  <si>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</si>
  <si>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</si>
  <si>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</si>
  <si>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</si>
  <si>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</si>
  <si>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</si>
  <si>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</si>
  <si>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</si>
  <si>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</si>
  <si>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</si>
  <si>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</si>
  <si>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</si>
  <si>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Evangelical Church of West Africa (ECWA) Health Clinic - Tudun Wada</t>
  </si>
  <si>
    <t>gTSFUf3vFl3</t>
  </si>
  <si>
    <t>Evangelical Church of West Africa (ECWA) Health Clinic - Zabolo</t>
  </si>
  <si>
    <t>UJA7SoZC1Of</t>
  </si>
  <si>
    <t>Bukuru Central Primary Health Center</t>
  </si>
  <si>
    <t>SdHMY0gtXVc</t>
  </si>
  <si>
    <t>Bukuru Express Primary Health Center</t>
  </si>
  <si>
    <t>wyclwPixYHK</t>
  </si>
  <si>
    <t>Rayfield Primary Health Center</t>
  </si>
  <si>
    <t>Xbj7dbNE0vR</t>
  </si>
  <si>
    <t>Vom Christian Hospital</t>
  </si>
  <si>
    <t>fEPSauwf6T7</t>
  </si>
  <si>
    <t>Church of Christ in Nigeria (COCIN) Clinic - Gyel-Bukuru</t>
  </si>
  <si>
    <t>kXMpdZaDwxW</t>
  </si>
  <si>
    <t>Theological College of Northern Nigeria (TCNN) Clinic - Bukuru</t>
  </si>
  <si>
    <t>GvDGaThPFGi</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</si>
  <si>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</si>
  <si>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</si>
  <si>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</si>
  <si>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</si>
  <si>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</si>
  <si>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</si>
  <si>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</si>
  <si>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</si>
  <si>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</si>
  <si>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</si>
  <si>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Zamko Comprehensive Health Center</t>
  </si>
  <si>
    <t>c1sMFxI54cS</t>
  </si>
  <si>
    <t>Mabudi Primary Health Care Center</t>
  </si>
  <si>
    <t>KSn1AS9deG0</t>
  </si>
  <si>
    <t>Wubang Primary Health Care Center</t>
  </si>
  <si>
    <t>zIBCQR2BIxA</t>
  </si>
  <si>
    <t>CCDP Hospital - Panyam</t>
  </si>
  <si>
    <t>n7H11XCfDQT</t>
  </si>
  <si>
    <t>Church of Christ in Nigeria (COCIN) Hospital and Rehabilitation Center</t>
  </si>
  <si>
    <t>Ylm55YT8Uc6</t>
  </si>
  <si>
    <t>Mangu General Hospital</t>
  </si>
  <si>
    <t>eAM9CE6xQD6</t>
  </si>
  <si>
    <t>Garkawa II Primary Health Care Center</t>
  </si>
  <si>
    <t>zJjEv6wh2yR</t>
  </si>
  <si>
    <t>Tunkus General Hospital</t>
  </si>
  <si>
    <t>LAzfkJ5YZG1</t>
  </si>
  <si>
    <t>Pankshin General Hospital</t>
  </si>
  <si>
    <t>a9QRiuuNaRv</t>
  </si>
  <si>
    <t>Town Clinic Primary Health Center</t>
  </si>
  <si>
    <t>kQOwyChcUxY</t>
  </si>
  <si>
    <t>pl Quaan Pan</t>
  </si>
  <si>
    <t>Kwalla General Hospital</t>
  </si>
  <si>
    <t>Axs1Yufa0Pp</t>
  </si>
  <si>
    <t>St. Virgillus Catholic Rural Health Center</t>
  </si>
  <si>
    <t>BQ6ZqTIJDra</t>
  </si>
  <si>
    <t>Bene Clinic</t>
  </si>
  <si>
    <t>b3FFJlCczQ4</t>
  </si>
  <si>
    <t>May Hospital - Shendam</t>
  </si>
  <si>
    <t>TGsy8pKsBgj</t>
  </si>
  <si>
    <t>Shendam General Hospital</t>
  </si>
  <si>
    <t>kvwUsWWt1z5</t>
  </si>
  <si>
    <t>Church of Christ in Nigeria (COCIN) Primary Health Center - Shendam</t>
  </si>
  <si>
    <t>asNhmbLE45K</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</si>
  <si>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</si>
  <si>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</si>
  <si>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</si>
  <si>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</si>
  <si>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</si>
  <si>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</si>
  <si>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</si>
  <si>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</si>
  <si>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</si>
  <si>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</si>
  <si>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</si>
  <si>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</si>
  <si>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</si>
  <si>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</si>
  <si>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</si>
  <si>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</si>
  <si>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</si>
  <si>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</si>
  <si>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</si>
  <si>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</si>
  <si>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</si>
  <si>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</si>
  <si>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</si>
  <si>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</si>
  <si>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</si>
  <si>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</si>
  <si>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</si>
  <si>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</si>
  <si>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</si>
  <si>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</si>
  <si>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</si>
  <si>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</si>
  <si>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</si>
  <si>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</si>
  <si>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</si>
  <si>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</si>
  <si>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</si>
  <si>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</si>
  <si>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</si>
  <si>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</si>
  <si>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</si>
  <si>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</si>
  <si>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</si>
  <si>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</si>
  <si>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</si>
  <si>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</si>
  <si>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</si>
  <si>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</si>
  <si>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</si>
  <si>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</si>
  <si>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</si>
  <si>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</si>
  <si>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</si>
  <si>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</si>
  <si>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</si>
  <si>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</si>
  <si>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</si>
  <si>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</si>
  <si>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</si>
  <si>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</si>
  <si>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OVC_HIVSTAT</t>
  </si>
  <si>
    <t>Percentage of orphans and vulnerable children (&lt;18 years old) with HIV status reported to implementing partner as reported on DATIM</t>
  </si>
  <si>
    <t>Q4 DATIM Report</t>
  </si>
  <si>
    <t>OVC Enrolment Register, OVC MSF, NOMIS</t>
  </si>
  <si>
    <t>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</si>
  <si>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</si>
  <si>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</si>
  <si>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</si>
  <si>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Hospital number</t>
  </si>
  <si>
    <t>ART START Date</t>
  </si>
  <si>
    <t>Patient Status 12 months after initiation</t>
  </si>
  <si>
    <t>active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</si>
</sst>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0" fillId="15" borderId="61" xfId="0" applyNumberFormat="1" applyFont="1" applyFill="1" applyBorder="1" applyProtection="1">
      <protection locked="0"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0" fontId="0" fillId="15" borderId="61" xfId="0" applyNumberFormat="1" applyFont="1" applyFill="1" applyBorder="1" applyProtection="1">
      <protection locked="0"/>
    </xf>
    <xf numFmtId="0" fontId="0" fillId="15" borderId="29" xfId="0" applyNumberFormat="1" applyFont="1" applyFill="1" applyBorder="1" applyProtection="1">
      <protection locked="0"/>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19" borderId="24" xfId="0" applyNumberFormat="1" applyFont="1" applyFill="1" applyBorder="1"/>
    <xf numFmtId="165" fontId="0" fillId="0" borderId="0" xfId="0" applyNumberFormat="1" applyFont="1" applyFill="1" applyBorder="1"/>
    <xf numFmtId="0" fontId="33" fillId="13" borderId="23" xfId="0" applyNumberFormat="1" applyFont="1" applyFill="1" applyBorder="1" applyAlignment="1" applyProtection="1">
      <alignment horizontal="center" vertical="center"/>
      <protection hidden="1"/>
    </xf>
    <xf numFmtId="0" fontId="36" fillId="13" borderId="61" xfId="0" applyNumberFormat="1" applyFont="1" applyFill="1" applyBorder="1" applyAlignment="1" applyProtection="1">
      <alignment vertical="center" wrapText="1"/>
      <protection hidden="1"/>
    </xf>
    <xf numFmtId="0" fontId="33" fillId="13" borderId="29" xfId="0" applyNumberFormat="1" applyFont="1" applyFill="1" applyBorder="1" applyAlignment="1" applyProtection="1">
      <alignment horizontal="center" vertical="center"/>
      <protection hidden="1"/>
    </xf>
    <xf numFmtId="0" fontId="36" fillId="13" borderId="63" xfId="0" applyNumberFormat="1" applyFont="1" applyFill="1" applyBorder="1" applyAlignment="1" applyProtection="1">
      <alignment vertical="center" wrapText="1"/>
      <protection hidden="1"/>
    </xf>
    <xf numFmtId="0" fontId="36" fillId="13" borderId="62" xfId="0" applyNumberFormat="1" applyFont="1" applyFill="1" applyBorder="1" applyAlignment="1" applyProtection="1">
      <alignment vertical="center" wrapText="1"/>
      <protection hidden="1"/>
    </xf>
    <xf numFmtId="0" fontId="37" fillId="0" borderId="36" xfId="0" applyNumberFormat="1" applyFont="1" applyFill="1" applyBorder="1" applyAlignment="1" applyProtection="1">
      <alignment horizontal="center" vertical="center" wrapText="1"/>
      <protection hidden="1"/>
    </xf>
    <xf numFmtId="0" fontId="33" fillId="13" borderId="24" xfId="0" applyNumberFormat="1" applyFont="1" applyFill="1" applyBorder="1" applyAlignment="1" applyProtection="1">
      <alignment horizontal="center" vertical="center" wrapText="1"/>
      <protection hidden="1"/>
    </xf>
    <xf numFmtId="0" fontId="2" fillId="4" borderId="24" xfId="0" applyNumberFormat="1"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NumberFormat="1" applyFont="1" applyFill="1" applyBorder="1" applyProtection="1">
      <protection hidden="1"/>
    </xf>
    <xf numFmtId="0" fontId="0" fillId="3" borderId="24" xfId="0" applyNumberFormat="1" applyFont="1" applyFill="1" applyBorder="1" applyProtection="1">
      <protection hidden="1"/>
    </xf>
    <xf numFmtId="165" fontId="0" fillId="20" borderId="24" xfId="0" applyNumberFormat="1" applyFont="1" applyFill="1" applyBorder="1" applyProtection="1">
      <protection locked="0" hidden="1"/>
    </xf>
    <xf numFmtId="0" fontId="0" fillId="20" borderId="24" xfId="0" applyNumberFormat="1" applyFont="1" applyFill="1" applyBorder="1" applyProtection="1">
      <protection locked="0" hidden="1"/>
    </xf>
    <xf numFmtId="0" fontId="30" fillId="7" borderId="70" xfId="0" applyNumberFormat="1" applyFont="1" applyFill="1" applyBorder="1" applyAlignment="1">
      <alignment vertical="center"/>
    </xf>
    <xf numFmtId="0" fontId="29" fillId="0" borderId="37" xfId="0" applyNumberFormat="1" applyFont="1" applyFill="1" applyBorder="1" applyAlignment="1">
      <alignment horizontal="center" vertical="center"/>
    </xf>
    <xf numFmtId="0" fontId="29" fillId="7" borderId="7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9" fontId="29" fillId="0" borderId="41" xfId="2" applyNumberFormat="1" applyFont="1" applyFill="1" applyBorder="1" applyAlignment="1">
      <alignment horizontal="center" vertical="center"/>
    </xf>
    <xf numFmtId="9" fontId="29" fillId="7" borderId="70" xfId="2" applyNumberFormat="1" applyFont="1" applyFill="1" applyBorder="1" applyAlignment="1">
      <alignment horizontal="center" vertical="center"/>
    </xf>
    <xf numFmtId="0" fontId="0" fillId="0" borderId="24" xfId="0" applyNumberFormat="1" applyFont="1" applyFill="1" applyBorder="1"/>
    <xf numFmtId="0" fontId="2" fillId="21" borderId="24" xfId="0" applyNumberFormat="1" applyFont="1" applyFill="1" applyBorder="1" applyAlignment="1">
      <alignment wrapText="1"/>
    </xf>
    <xf numFmtId="0" fontId="0" fillId="22" borderId="24" xfId="0" applyNumberFormat="1" applyFont="1" applyFill="1" applyBorder="1"/>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2" fillId="23" borderId="24" xfId="0" applyNumberFormat="1" applyFont="1" applyFill="1" applyBorder="1" applyAlignment="1" applyProtection="1">
      <alignment horizontal="center" vertical="center" wrapText="1"/>
      <protection hidden="1"/>
    </xf>
    <xf numFmtId="0" fontId="2" fillId="14" borderId="66" xfId="0" applyNumberFormat="1" applyFont="1" applyFill="1" applyBorder="1" applyAlignment="1">
      <alignment vertical="center" wrapText="1"/>
    </xf>
    <xf numFmtId="0" fontId="2" fillId="23" borderId="64" xfId="0" applyNumberFormat="1" applyFont="1" applyFill="1" applyBorder="1" applyAlignment="1">
      <alignment vertical="center"/>
    </xf>
    <xf numFmtId="0" fontId="2" fillId="23" borderId="69" xfId="0" applyNumberFormat="1" applyFont="1" applyFill="1" applyBorder="1" applyAlignment="1">
      <alignment vertical="center"/>
    </xf>
    <xf numFmtId="1" fontId="29" fillId="23" borderId="20" xfId="0" applyNumberFormat="1" applyFont="1" applyFill="1" applyBorder="1" applyAlignment="1">
      <alignment horizontal="center" vertical="center"/>
    </xf>
    <xf numFmtId="1" fontId="29" fillId="23" borderId="21" xfId="0" applyNumberFormat="1" applyFont="1" applyFill="1" applyBorder="1" applyAlignment="1">
      <alignment horizontal="center" vertical="center"/>
    </xf>
    <xf numFmtId="1" fontId="29" fillId="23" borderId="24" xfId="0" applyNumberFormat="1" applyFont="1" applyFill="1" applyBorder="1" applyAlignment="1">
      <alignment horizontal="center" vertical="center"/>
    </xf>
    <xf numFmtId="1" fontId="29" fillId="23" borderId="25" xfId="0" applyNumberFormat="1" applyFont="1" applyFill="1" applyBorder="1" applyAlignment="1">
      <alignment horizontal="center" vertical="center"/>
    </xf>
    <xf numFmtId="9" fontId="29" fillId="23" borderId="40" xfId="2" applyNumberFormat="1" applyFont="1" applyFill="1" applyBorder="1" applyAlignment="1">
      <alignment horizontal="center" vertical="center"/>
    </xf>
    <xf numFmtId="0" fontId="0" fillId="0" borderId="0" xfId="0" applyNumberFormat="1" applyFont="1" applyFill="1" applyBorder="1" applyAlignment="1">
      <alignment horizontal="left"/>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23"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23" borderId="24" xfId="2" applyNumberFormat="1" applyFont="1" applyFill="1" applyBorder="1" applyAlignment="1" applyProtection="1">
      <alignment horizontal="center" vertical="center"/>
    </xf>
    <xf numFmtId="0" fontId="29" fillId="15" borderId="0" xfId="0" applyNumberFormat="1" applyFont="1" applyFill="1" applyBorder="1" applyAlignment="1" applyProtection="1">
      <alignment horizontal="center" vertical="center"/>
    </xf>
    <xf numFmtId="0" fontId="0" fillId="0" borderId="0" xfId="0" applyNumberFormat="1" applyFont="1" applyFill="1" applyBorder="1" applyProtection="1"/>
    <xf numFmtId="9" fontId="29" fillId="15" borderId="0" xfId="2" applyNumberFormat="1" applyFont="1" applyFill="1" applyBorder="1" applyAlignment="1" applyProtection="1">
      <alignment horizontal="center" vertical="center"/>
    </xf>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0" fontId="30" fillId="17" borderId="7" xfId="0" applyNumberFormat="1" applyFont="1" applyFill="1" applyBorder="1" applyAlignment="1">
      <alignment horizontal="left" vertical="center" wrapText="1"/>
    </xf>
    <xf numFmtId="0" fontId="30" fillId="17" borderId="0" xfId="0" applyNumberFormat="1" applyFont="1" applyFill="1" applyBorder="1" applyAlignment="1">
      <alignment horizontal="left" vertical="center" wrapText="1"/>
    </xf>
    <xf numFmtId="0" fontId="30" fillId="17" borderId="72" xfId="0" applyNumberFormat="1" applyFont="1" applyFill="1" applyBorder="1" applyAlignment="1">
      <alignment horizontal="left" vertical="center" wrapText="1"/>
    </xf>
    <xf numFmtId="0" fontId="30" fillId="2" borderId="7" xfId="0" applyNumberFormat="1" applyFont="1" applyFill="1" applyBorder="1" applyAlignment="1">
      <alignment horizontal="left" vertical="center" wrapText="1"/>
    </xf>
    <xf numFmtId="0" fontId="30" fillId="2" borderId="0" xfId="0" applyNumberFormat="1" applyFont="1" applyFill="1" applyBorder="1" applyAlignment="1">
      <alignment horizontal="left" vertical="center" wrapText="1"/>
    </xf>
    <xf numFmtId="0" fontId="30" fillId="2" borderId="72" xfId="0" applyNumberFormat="1" applyFont="1" applyFill="1" applyBorder="1" applyAlignment="1">
      <alignment horizontal="left" vertical="center" wrapText="1"/>
    </xf>
    <xf numFmtId="0" fontId="30" fillId="3" borderId="9" xfId="0" applyNumberFormat="1" applyFont="1" applyFill="1" applyBorder="1" applyAlignment="1">
      <alignment horizontal="left" vertical="center"/>
    </xf>
    <xf numFmtId="0" fontId="30" fillId="3" borderId="10" xfId="0" applyNumberFormat="1" applyFont="1" applyFill="1" applyBorder="1" applyAlignment="1">
      <alignment horizontal="left" vertical="center"/>
    </xf>
    <xf numFmtId="0" fontId="30" fillId="3" borderId="73" xfId="0" applyNumberFormat="1" applyFont="1" applyFill="1" applyBorder="1" applyAlignment="1">
      <alignment horizontal="left" vertical="center"/>
    </xf>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0" fontId="30" fillId="6" borderId="5" xfId="0" applyNumberFormat="1" applyFont="1" applyFill="1" applyBorder="1" applyAlignment="1">
      <alignment horizontal="center" vertical="center"/>
    </xf>
    <xf numFmtId="0" fontId="30" fillId="17" borderId="1" xfId="0" applyNumberFormat="1" applyFont="1" applyFill="1" applyBorder="1" applyAlignment="1">
      <alignment horizontal="left" vertical="center" wrapText="1"/>
    </xf>
    <xf numFmtId="0" fontId="30" fillId="17" borderId="2" xfId="0" applyNumberFormat="1" applyFont="1" applyFill="1" applyBorder="1" applyAlignment="1">
      <alignment horizontal="left" vertical="center" wrapText="1"/>
    </xf>
    <xf numFmtId="0" fontId="30" fillId="17" borderId="71" xfId="0" applyNumberFormat="1" applyFont="1" applyFill="1" applyBorder="1" applyAlignment="1">
      <alignment horizontal="left" vertical="center" wrapText="1"/>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0" fontId="2" fillId="15" borderId="0" xfId="0" applyNumberFormat="1" applyFont="1" applyFill="1" applyBorder="1" applyAlignment="1" applyProtection="1">
      <alignment horizontal="right"/>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left" vertical="center" wrapText="1"/>
    </xf>
    <xf numFmtId="9" fontId="30" fillId="13" borderId="29" xfId="2" applyNumberFormat="1" applyFont="1" applyFill="1" applyBorder="1" applyAlignment="1" applyProtection="1">
      <alignment horizontal="left" vertical="center" wrapText="1"/>
    </xf>
    <xf numFmtId="9" fontId="30" fillId="15" borderId="0" xfId="2" applyNumberFormat="1" applyFont="1" applyFill="1" applyBorder="1" applyAlignment="1" applyProtection="1">
      <alignment horizontal="left" vertical="center" wrapText="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9" fontId="30" fillId="15" borderId="0" xfId="2" applyNumberFormat="1" applyFont="1" applyFill="1" applyBorder="1" applyAlignment="1" applyProtection="1">
      <alignment horizontal="center" vertical="center"/>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0" fontId="35" fillId="0" borderId="59" xfId="0" applyNumberFormat="1" applyFont="1" applyFill="1" applyBorder="1" applyAlignment="1" applyProtection="1">
      <alignment horizontal="center" vertical="center" wrapText="1"/>
      <protection hidden="1"/>
    </xf>
    <xf numFmtId="0" fontId="35" fillId="0" borderId="61"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2" fillId="13" borderId="59" xfId="0" applyNumberFormat="1" applyFont="1" applyFill="1" applyBorder="1" applyAlignment="1" applyProtection="1">
      <alignment horizontal="left"/>
      <protection hidden="1"/>
    </xf>
    <xf numFmtId="0" fontId="52" fillId="13" borderId="29" xfId="0" applyNumberFormat="1" applyFont="1" applyFill="1" applyBorder="1" applyAlignment="1" applyProtection="1">
      <alignment horizontal="left"/>
      <protection hidden="1"/>
    </xf>
    <xf numFmtId="0" fontId="52" fillId="13" borderId="23"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center" vertical="center" wrapText="1"/>
      <protection hidden="1"/>
    </xf>
    <xf numFmtId="0" fontId="36" fillId="13" borderId="29" xfId="0" applyNumberFormat="1" applyFont="1" applyFill="1" applyBorder="1" applyAlignment="1" applyProtection="1">
      <alignment horizontal="center" vertical="center" wrapText="1"/>
      <protection hidden="1"/>
    </xf>
    <xf numFmtId="0" fontId="36" fillId="13" borderId="23" xfId="0" applyNumberFormat="1" applyFont="1" applyFill="1" applyBorder="1" applyAlignment="1" applyProtection="1">
      <alignment horizontal="center" vertical="center" wrapText="1"/>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 fillId="13" borderId="24" xfId="0" applyNumberFormat="1" applyFont="1" applyFill="1" applyBorder="1" applyAlignment="1" applyProtection="1">
      <alignment horizontal="left" wrapText="1"/>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38" fontId="9" fillId="6" borderId="45" xfId="0" applyNumberFormat="1" applyFont="1" applyFill="1" applyBorder="1" applyAlignment="1">
      <alignment horizontal="center" wrapText="1"/>
    </xf>
    <xf numFmtId="38" fontId="9" fillId="6" borderId="46" xfId="0" applyNumberFormat="1" applyFont="1" applyFill="1" applyBorder="1" applyAlignment="1">
      <alignment horizontal="center" wrapText="1"/>
    </xf>
    <xf numFmtId="0" fontId="21" fillId="0" borderId="0" xfId="0" applyNumberFormat="1" applyFont="1" applyFill="1" applyBorder="1" applyAlignment="1" applyProtection="1">
      <alignment horizontal="left" vertical="center"/>
      <protection locked="0"/>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7"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0" fontId="6" fillId="7" borderId="40"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0" fontId="6" fillId="7" borderId="41" xfId="0" applyNumberFormat="1" applyFont="1" applyFill="1" applyBorder="1" applyAlignment="1">
      <alignment horizontal="center" vertical="center" wrapText="1"/>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527085088"/>
        <c:axId val="527087264"/>
      </c:barChart>
      <c:catAx>
        <c:axId val="52708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87264"/>
        <c:crosses val="autoZero"/>
        <c:auto val="1"/>
        <c:lblAlgn val="ctr"/>
        <c:lblOffset val="100"/>
        <c:noMultiLvlLbl val="0"/>
      </c:catAx>
      <c:valAx>
        <c:axId val="5270872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085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4"/>
  <sheetViews>
    <sheetView zoomScale="110" zoomScaleNormal="110" workbookViewId="0">
      <pane xSplit="2" ySplit="1" topLeftCell="C2" activePane="bottomRight" state="frozen"/>
      <selection pane="topRight" activeCell="C1" sqref="C1"/>
      <selection pane="bottomLeft" activeCell="A8" sqref="A8"/>
      <selection pane="bottomRight" activeCell="F21" sqref="F21"/>
    </sheetView>
  </sheetViews>
  <sheetFormatPr defaultRowHeight="14.5" x14ac:dyDescent="0.35"/>
  <cols>
    <col min="1" max="1" width="21" bestFit="1" customWidth="1"/>
    <col min="2" max="2" width="11.7265625" bestFit="1" customWidth="1"/>
    <col min="3" max="3" width="17.453125" bestFit="1" customWidth="1"/>
    <col min="4" max="4" width="13" style="61" bestFit="1" customWidth="1"/>
    <col min="5" max="5" width="12.26953125" style="61" bestFit="1" customWidth="1"/>
    <col min="6" max="6" width="16.7265625" style="61" bestFit="1" customWidth="1"/>
    <col min="7" max="7" width="22.26953125" style="62" bestFit="1" customWidth="1"/>
    <col min="8" max="8" width="18.54296875" style="62" customWidth="1"/>
    <col min="9" max="9" width="15.1796875" style="62" bestFit="1" customWidth="1"/>
    <col min="10" max="10" width="14.1796875" style="62" bestFit="1" customWidth="1"/>
    <col min="11" max="11" width="10.7265625" style="62" bestFit="1" customWidth="1"/>
    <col min="12" max="12" width="11.7265625" style="62" bestFit="1" customWidth="1"/>
    <col min="13" max="13" width="10.453125" style="62" bestFit="1" customWidth="1"/>
    <col min="14" max="14" width="8.81640625" style="62" customWidth="1"/>
    <col min="15" max="15" width="12" style="62" bestFit="1" customWidth="1"/>
    <col min="16" max="21" width="8.81640625" style="62" customWidth="1"/>
  </cols>
  <sheetData>
    <row r="1" spans="1:22" ht="33.5" x14ac:dyDescent="0.75">
      <c r="A1" s="281" t="s">
        <v>146</v>
      </c>
      <c r="B1" s="282"/>
      <c r="C1" s="283"/>
      <c r="D1" s="284"/>
      <c r="E1" s="284"/>
      <c r="F1" s="284"/>
      <c r="G1" s="285"/>
      <c r="H1" s="286"/>
      <c r="I1" s="289" t="s">
        <v>147</v>
      </c>
      <c r="J1" s="290"/>
      <c r="K1" s="291"/>
      <c r="L1" s="292"/>
      <c r="M1" s="292"/>
      <c r="N1" s="292"/>
      <c r="O1" s="293"/>
    </row>
    <row r="2" spans="1:22" ht="26" x14ac:dyDescent="0.35">
      <c r="A2" s="274" t="s">
        <v>148</v>
      </c>
      <c r="B2" s="275"/>
      <c r="C2" s="276"/>
      <c r="D2" s="294"/>
      <c r="E2" s="294"/>
      <c r="F2" s="294"/>
      <c r="G2" s="295"/>
      <c r="H2" s="287"/>
      <c r="I2" s="296" t="s">
        <v>149</v>
      </c>
      <c r="J2" s="297"/>
      <c r="K2" s="298"/>
      <c r="L2" s="258"/>
      <c r="M2" s="258"/>
      <c r="N2" s="258"/>
      <c r="O2" s="259"/>
    </row>
    <row r="3" spans="1:22" ht="26" x14ac:dyDescent="0.35">
      <c r="A3" s="271" t="s">
        <v>150</v>
      </c>
      <c r="B3" s="272"/>
      <c r="C3" s="273"/>
      <c r="D3" s="260"/>
      <c r="E3" s="260"/>
      <c r="F3" s="260"/>
      <c r="G3" s="261"/>
      <c r="H3" s="287"/>
      <c r="I3" s="262" t="s">
        <v>151</v>
      </c>
      <c r="J3" s="263"/>
      <c r="K3" s="264"/>
      <c r="L3" s="258"/>
      <c r="M3" s="258"/>
      <c r="N3" s="258"/>
      <c r="O3" s="259"/>
    </row>
    <row r="4" spans="1:22" ht="26" x14ac:dyDescent="0.35">
      <c r="A4" s="299" t="s">
        <v>152</v>
      </c>
      <c r="B4" s="300"/>
      <c r="C4" s="301"/>
      <c r="D4" s="265"/>
      <c r="E4" s="265"/>
      <c r="F4" s="265"/>
      <c r="G4" s="266"/>
      <c r="H4" s="288"/>
      <c r="I4" s="267" t="s">
        <v>149</v>
      </c>
      <c r="J4" s="268"/>
      <c r="K4" s="268"/>
      <c r="L4" s="269"/>
      <c r="M4" s="269"/>
      <c r="N4" s="269"/>
      <c r="O4" s="270"/>
    </row>
    <row r="5" spans="1:22" ht="29" x14ac:dyDescent="0.35">
      <c r="A5" s="166"/>
      <c r="B5" s="167" t="s">
        <v>153</v>
      </c>
      <c r="C5" s="168" t="s">
        <v>50</v>
      </c>
      <c r="D5" s="169" t="s">
        <v>51</v>
      </c>
      <c r="E5" s="170" t="s">
        <v>52</v>
      </c>
      <c r="F5" s="169" t="s">
        <v>53</v>
      </c>
      <c r="G5" s="169" t="s">
        <v>54</v>
      </c>
      <c r="H5" s="171" t="s">
        <v>55</v>
      </c>
      <c r="I5" s="171" t="s">
        <v>56</v>
      </c>
      <c r="J5" s="171" t="s">
        <v>57</v>
      </c>
      <c r="K5" s="220" t="s">
        <v>58</v>
      </c>
      <c r="L5" s="171" t="s">
        <v>59</v>
      </c>
      <c r="M5" s="221" t="s">
        <v>60</v>
      </c>
      <c r="N5" s="221" t="s">
        <v>61</v>
      </c>
      <c r="O5" s="221" t="s">
        <v>62</v>
      </c>
      <c r="P5" s="222" t="s">
        <v>63</v>
      </c>
      <c r="V5" s="62"/>
    </row>
    <row r="6" spans="1:22" x14ac:dyDescent="0.35">
      <c r="A6" s="172" t="s">
        <v>154</v>
      </c>
      <c r="B6" s="173">
        <f>'All Questions'!F2</f>
        <v>304</v>
      </c>
      <c r="C6" s="173">
        <f>'All Questions'!F3</f>
        <v>2</v>
      </c>
      <c r="D6" s="173">
        <f>'All Questions'!F4</f>
        <v>264</v>
      </c>
      <c r="E6" s="173">
        <f>'All Questions'!F5</f>
        <v>1</v>
      </c>
      <c r="F6" s="173">
        <f>'All Questions'!F12</f>
        <v>40</v>
      </c>
      <c r="G6" s="173">
        <f>'All Questions'!F13</f>
        <v>1</v>
      </c>
      <c r="H6" s="173">
        <f>'All Questions'!F14</f>
        <v>0</v>
      </c>
      <c r="I6" s="174">
        <f>'All Questions'!F23</f>
        <v>0</v>
      </c>
      <c r="J6" s="174">
        <f>'All Questions'!F28</f>
        <v>0</v>
      </c>
      <c r="K6" s="174">
        <f>'All Questions'!F33</f>
        <v>0</v>
      </c>
      <c r="L6" s="174">
        <f>'All Questions'!F38</f>
        <v>0</v>
      </c>
      <c r="M6" s="223">
        <f ca="1">'All Questions'!F44</f>
        <v>0</v>
      </c>
      <c r="N6" s="223">
        <f ca="1">'All Questions'!F50</f>
        <v>0</v>
      </c>
      <c r="O6" s="223">
        <f ca="1">'All Questions'!F55</f>
        <v>0</v>
      </c>
      <c r="P6" s="224">
        <f>'All Questions'!F65</f>
        <v>0</v>
      </c>
      <c r="V6" s="62"/>
    </row>
    <row r="7" spans="1:22" x14ac:dyDescent="0.35">
      <c r="A7" s="175" t="s">
        <v>69</v>
      </c>
      <c r="B7" s="158">
        <f ca="1">D7+F7-H7</f>
        <v>316</v>
      </c>
      <c r="C7" s="158">
        <f ca="1">G7+E7</f>
        <v>2</v>
      </c>
      <c r="D7" s="158">
        <f ca="1">ROUND((SUM('All Questions'!D7:F7)+(SUM('All Questions'!D8:F8)+SUM('All Questions'!D9:F9)))/2,0)</f>
        <v>270</v>
      </c>
      <c r="E7" s="158">
        <f ca="1">ROUND((SUM('All Questions'!D9:F9)+SUM('All Questions'!D10:F10))/2,0)</f>
        <v>1</v>
      </c>
      <c r="F7" s="159">
        <f ca="1">ROUND((SUM('All Questions'!D16:F16)+((SUM('All Questions'!D17:F17)+SUM('All Questions'!D20:F20)+SUM('All Questions'!D18:F18))))/2,0)</f>
        <v>46</v>
      </c>
      <c r="G7" s="159">
        <f ca="1">ROUND(SUM('All Questions'!D17:F17),0)</f>
        <v>1</v>
      </c>
      <c r="H7" s="159">
        <f ca="1">ROUND((SUM('All Questions'!D20:F20)+SUM('All Questions'!D21:F21))/2,0)</f>
        <v>0</v>
      </c>
      <c r="I7" s="158">
        <f ca="1">ROUND((SUM('All Questions'!D25:F25)+SUM('All Questions'!D26:F26))/2,0)</f>
        <v>1</v>
      </c>
      <c r="J7" s="158">
        <f>ROUND((SUM('All Questions'!D30:F30)+SUM('All Questions'!D31:F31))/2,0)</f>
        <v>0</v>
      </c>
      <c r="K7" s="158">
        <f ca="1">ROUND((SUM('All Questions'!D35:F35)+SUM('All Questions'!D36:F36))/2,0)</f>
        <v>0</v>
      </c>
      <c r="L7" s="158">
        <f ca="1">ROUND((SUM('All Questions'!D40:F40)+SUM('All Questions'!D41:F41))/2,0)</f>
        <v>0</v>
      </c>
      <c r="M7" s="225">
        <f ca="1">ROUND(SUM('All Questions'!F45:F47)/2,0)</f>
        <v>0</v>
      </c>
      <c r="N7" s="225">
        <f ca="1">ROUND(SUM('All Questions'!F51:F52)/2,0)</f>
        <v>0</v>
      </c>
      <c r="O7" s="225">
        <f ca="1">ROUND(SUM('All Questions'!F56:F57),0)</f>
        <v>0</v>
      </c>
      <c r="P7" s="226">
        <f ca="1">ROUND(SUM('All Questions'!F61:F63),0)</f>
        <v>0</v>
      </c>
      <c r="V7" s="62"/>
    </row>
    <row r="8" spans="1:22" ht="43.5" x14ac:dyDescent="0.35">
      <c r="A8" s="176" t="s">
        <v>155</v>
      </c>
      <c r="B8" s="177">
        <f ca="1">IFERROR(B7/B6,0)</f>
        <v>1.0394736842105263</v>
      </c>
      <c r="C8" s="177">
        <f ca="1">IFERROR(C7/C6,0)</f>
        <v>1</v>
      </c>
      <c r="D8" s="177">
        <f t="shared" ref="D8:P8" ca="1" si="0">IFERROR(D7/D6,0)</f>
        <v>1.0227272727272727</v>
      </c>
      <c r="E8" s="177">
        <f t="shared" ca="1" si="0"/>
        <v>1</v>
      </c>
      <c r="F8" s="177">
        <f t="shared" ca="1" si="0"/>
        <v>1.1499999999999999</v>
      </c>
      <c r="G8" s="177">
        <f t="shared" ca="1" si="0"/>
        <v>1</v>
      </c>
      <c r="H8" s="177">
        <f t="shared" ca="1" si="0"/>
        <v>0</v>
      </c>
      <c r="I8" s="177">
        <f t="shared" ca="1" si="0"/>
        <v>0</v>
      </c>
      <c r="J8" s="177">
        <f t="shared" si="0"/>
        <v>0</v>
      </c>
      <c r="K8" s="177">
        <f t="shared" ca="1" si="0"/>
        <v>0</v>
      </c>
      <c r="L8" s="177">
        <f t="shared" ca="1" si="0"/>
        <v>0</v>
      </c>
      <c r="M8" s="227">
        <f t="shared" ca="1" si="0"/>
        <v>0</v>
      </c>
      <c r="N8" s="227">
        <f t="shared" ca="1" si="0"/>
        <v>0</v>
      </c>
      <c r="O8" s="227">
        <f t="shared" ca="1" si="0"/>
        <v>0</v>
      </c>
      <c r="P8" s="227">
        <f t="shared" ca="1" si="0"/>
        <v>0</v>
      </c>
      <c r="V8" s="62"/>
    </row>
    <row r="9" spans="1:22" x14ac:dyDescent="0.35">
      <c r="A9" s="62"/>
      <c r="B9" s="62"/>
      <c r="C9" s="62"/>
      <c r="D9" s="62"/>
      <c r="E9" s="62"/>
      <c r="F9" s="62"/>
    </row>
    <row r="10" spans="1:22" x14ac:dyDescent="0.35">
      <c r="A10" s="62"/>
      <c r="B10" s="62"/>
      <c r="C10" s="62"/>
      <c r="D10" s="62"/>
      <c r="E10" s="62"/>
      <c r="F10" s="62"/>
    </row>
    <row r="11" spans="1:22" x14ac:dyDescent="0.35">
      <c r="A11" s="249" t="s">
        <v>156</v>
      </c>
      <c r="B11" s="250"/>
      <c r="C11" s="250"/>
      <c r="D11" s="250"/>
      <c r="E11" s="251"/>
      <c r="F11" s="62"/>
      <c r="G11" s="249" t="s">
        <v>157</v>
      </c>
      <c r="H11" s="250"/>
      <c r="I11" s="250"/>
      <c r="J11" s="277"/>
      <c r="K11" s="207"/>
      <c r="L11" s="249" t="s">
        <v>158</v>
      </c>
      <c r="M11" s="250"/>
      <c r="N11" s="250"/>
      <c r="O11" s="250"/>
      <c r="P11" s="277"/>
    </row>
    <row r="12" spans="1:22" x14ac:dyDescent="0.35">
      <c r="A12" s="252" t="s">
        <v>159</v>
      </c>
      <c r="B12" s="253"/>
      <c r="C12" s="253"/>
      <c r="D12" s="253"/>
      <c r="E12" s="180">
        <v>0</v>
      </c>
      <c r="F12" s="62"/>
      <c r="G12" s="278" t="s">
        <v>160</v>
      </c>
      <c r="H12" s="279"/>
      <c r="I12" s="280"/>
      <c r="J12" s="208">
        <f>TX_RET!D110</f>
        <v>0</v>
      </c>
      <c r="K12" s="209"/>
      <c r="L12" s="240" t="s">
        <v>161</v>
      </c>
      <c r="M12" s="241"/>
      <c r="N12" s="241"/>
      <c r="O12" s="242"/>
      <c r="P12" s="208">
        <v>0</v>
      </c>
    </row>
    <row r="13" spans="1:22" x14ac:dyDescent="0.35">
      <c r="A13" s="254" t="s">
        <v>162</v>
      </c>
      <c r="B13" s="255"/>
      <c r="C13" s="255"/>
      <c r="D13" s="255"/>
      <c r="E13" s="180">
        <f>TX_CURR!AB109</f>
        <v>0</v>
      </c>
      <c r="F13" s="62"/>
      <c r="G13" s="243" t="s">
        <v>162</v>
      </c>
      <c r="H13" s="244"/>
      <c r="I13" s="245"/>
      <c r="J13" s="210">
        <f>TX_RET!D109</f>
        <v>0</v>
      </c>
      <c r="K13" s="209"/>
      <c r="L13" s="243" t="s">
        <v>163</v>
      </c>
      <c r="M13" s="244"/>
      <c r="N13" s="244"/>
      <c r="O13" s="245"/>
      <c r="P13" s="210">
        <v>0</v>
      </c>
    </row>
    <row r="14" spans="1:22" x14ac:dyDescent="0.35">
      <c r="A14" s="256" t="s">
        <v>83</v>
      </c>
      <c r="B14" s="257"/>
      <c r="C14" s="257"/>
      <c r="D14" s="257"/>
      <c r="E14" s="181">
        <f>IFERROR(E13/E12,0)</f>
        <v>0</v>
      </c>
      <c r="F14" s="62"/>
      <c r="G14" s="246" t="s">
        <v>164</v>
      </c>
      <c r="H14" s="247"/>
      <c r="I14" s="248"/>
      <c r="J14" s="211">
        <f>IFERROR(J13/J12,0)</f>
        <v>0</v>
      </c>
      <c r="K14" s="212"/>
      <c r="L14" s="246" t="s">
        <v>165</v>
      </c>
      <c r="M14" s="247"/>
      <c r="N14" s="247"/>
      <c r="O14" s="248"/>
      <c r="P14" s="211">
        <f>IFERROR(P13/P12,0)</f>
        <v>0</v>
      </c>
    </row>
  </sheetData>
  <mergeCells count="29">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L12:O12"/>
    <mergeCell ref="G13:I13"/>
    <mergeCell ref="L13:O13"/>
    <mergeCell ref="G14:I14"/>
    <mergeCell ref="L14:O1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tabSelected="1" view="pageBreakPreview" zoomScale="80" zoomScaleNormal="60" zoomScaleSheetLayoutView="80" zoomScalePageLayoutView="10" workbookViewId="0">
      <pane xSplit="9" topLeftCell="L1" activePane="topRight" state="frozen"/>
      <selection pane="topRight" activeCell="G6" sqref="G6"/>
    </sheetView>
  </sheetViews>
  <sheetFormatPr defaultColWidth="8.81640625" defaultRowHeight="40.15" customHeight="1" x14ac:dyDescent="0.35"/>
  <cols>
    <col min="1" max="1" width="11.453125" style="58" customWidth="1"/>
    <col min="2" max="2" width="0.1796875" style="58" customWidth="1"/>
    <col min="3" max="3" width="14.81640625" style="65" customWidth="1"/>
    <col min="4" max="4" width="81.54296875" style="66" customWidth="1"/>
    <col min="5" max="5" width="13" style="65" customWidth="1"/>
    <col min="6" max="6" width="12.7265625" style="65" customWidth="1"/>
    <col min="7" max="7" width="11.7265625" style="65" customWidth="1"/>
    <col min="8" max="8" width="16.26953125" style="58" hidden="1" customWidth="1"/>
    <col min="9" max="9" width="11.81640625" style="58" customWidth="1"/>
    <col min="10" max="10" width="12.26953125" style="58" customWidth="1"/>
    <col min="11" max="11" width="26.26953125" style="58" customWidth="1"/>
    <col min="12" max="25" width="20.7265625" style="58" customWidth="1"/>
    <col min="26" max="30" width="16" style="58" customWidth="1"/>
    <col min="31" max="31" width="16.453125" style="58" customWidth="1"/>
    <col min="32" max="32" width="8.81640625" style="58" customWidth="1"/>
    <col min="33" max="16384" width="8.81640625" style="58"/>
  </cols>
  <sheetData>
    <row r="1" spans="1:32" ht="40.15" customHeight="1" x14ac:dyDescent="0.35">
      <c r="A1" s="99"/>
      <c r="B1" s="93"/>
      <c r="C1" s="100" t="s">
        <v>26</v>
      </c>
      <c r="D1" s="101"/>
      <c r="E1" s="102"/>
      <c r="F1" s="307" t="s">
        <v>27</v>
      </c>
      <c r="G1" s="308"/>
      <c r="H1" s="57"/>
      <c r="I1" s="99"/>
      <c r="J1" s="99"/>
      <c r="K1" s="310" t="s">
        <v>28</v>
      </c>
      <c r="L1" s="310"/>
      <c r="M1" s="310"/>
      <c r="N1" s="310"/>
      <c r="O1" s="310"/>
      <c r="P1" s="310"/>
      <c r="Q1" s="310"/>
      <c r="R1" s="310"/>
      <c r="S1" s="310"/>
      <c r="T1" s="310"/>
      <c r="U1" s="310"/>
      <c r="V1" s="310"/>
      <c r="W1" s="310"/>
      <c r="X1" s="310"/>
      <c r="Y1" s="310"/>
      <c r="Z1" s="310"/>
      <c r="AA1" s="310"/>
      <c r="AB1" s="310"/>
      <c r="AC1" s="310"/>
      <c r="AD1" s="310"/>
      <c r="AE1" s="99"/>
      <c r="AF1" s="94"/>
    </row>
    <row r="2" spans="1:32" ht="40.15" customHeight="1" x14ac:dyDescent="0.35">
      <c r="A2" s="99"/>
      <c r="B2" s="119" t="s">
        <v>29</v>
      </c>
      <c r="C2" s="81" t="s">
        <v>30</v>
      </c>
      <c r="D2" s="82" t="s">
        <v>31</v>
      </c>
      <c r="E2" s="124"/>
      <c r="F2" s="86" t="s">
        <v>32</v>
      </c>
      <c r="G2" s="88"/>
      <c r="H2" s="74"/>
      <c r="I2" s="99"/>
      <c r="J2" s="99"/>
      <c r="K2" s="309" t="s">
        <v>33</v>
      </c>
      <c r="L2" s="309"/>
      <c r="M2" s="110" t="s">
        <v>57</v>
      </c>
      <c r="N2" s="309" t="s">
        <v>35</v>
      </c>
      <c r="O2" s="309"/>
      <c r="P2" s="110" t="s">
        <v>36</v>
      </c>
      <c r="Q2" s="239" t="s">
        <v>37</v>
      </c>
      <c r="R2" s="110" t="s">
        <v>38</v>
      </c>
      <c r="S2" s="239" t="s">
        <v>39</v>
      </c>
      <c r="T2" s="110" t="s">
        <v>40</v>
      </c>
      <c r="U2" s="95" t="s">
        <v>41</v>
      </c>
      <c r="V2" s="110" t="s">
        <v>42</v>
      </c>
      <c r="W2" s="96"/>
      <c r="X2" s="95" t="s">
        <v>43</v>
      </c>
      <c r="Y2" s="110" t="s">
        <v>44</v>
      </c>
      <c r="Z2" s="97" t="s">
        <v>45</v>
      </c>
      <c r="AA2" s="98" t="s">
        <v>46</v>
      </c>
      <c r="AB2" s="98"/>
      <c r="AC2" s="98"/>
      <c r="AD2" s="98"/>
      <c r="AE2" s="99"/>
      <c r="AF2" s="94"/>
    </row>
    <row r="3" spans="1:32" ht="40.15" customHeight="1" x14ac:dyDescent="0.35">
      <c r="A3" s="99"/>
      <c r="B3" s="132"/>
      <c r="C3" s="81" t="s">
        <v>57</v>
      </c>
      <c r="D3" s="90" t="s">
        <v>105</v>
      </c>
      <c r="E3" s="83"/>
      <c r="F3" s="87"/>
      <c r="G3" s="130">
        <v>0</v>
      </c>
      <c r="H3" s="135" t="s">
        <v>57</v>
      </c>
      <c r="I3" s="99"/>
      <c r="J3" s="99"/>
      <c r="K3" s="99"/>
      <c r="L3" s="99"/>
      <c r="M3" s="157"/>
      <c r="N3" s="99"/>
      <c r="O3" s="99"/>
      <c r="P3" s="99"/>
      <c r="Q3" s="99"/>
      <c r="R3" s="99"/>
      <c r="S3" s="99"/>
      <c r="T3" s="99"/>
      <c r="U3" s="99"/>
      <c r="V3" s="99"/>
      <c r="W3" s="99"/>
      <c r="X3" s="99"/>
      <c r="Y3" s="99"/>
      <c r="Z3" s="99"/>
      <c r="AA3" s="99"/>
      <c r="AB3" s="99"/>
      <c r="AC3" s="99"/>
      <c r="AD3" s="99"/>
      <c r="AE3" s="99"/>
      <c r="AF3" s="94"/>
    </row>
    <row r="4" spans="1:32" ht="40.15" customHeight="1" x14ac:dyDescent="0.35">
      <c r="A4" s="99"/>
      <c r="B4" s="132"/>
      <c r="C4" s="91" t="s">
        <v>106</v>
      </c>
      <c r="D4" s="128" t="s">
        <v>107</v>
      </c>
      <c r="E4" s="89" t="s">
        <v>72</v>
      </c>
      <c r="F4" s="89" t="s">
        <v>73</v>
      </c>
      <c r="G4" s="89" t="s">
        <v>74</v>
      </c>
      <c r="H4" s="135" t="s">
        <v>57</v>
      </c>
      <c r="I4" s="99"/>
      <c r="J4" s="99"/>
      <c r="K4" s="81"/>
      <c r="L4" s="161" t="s">
        <v>34</v>
      </c>
      <c r="M4" s="161" t="s">
        <v>50</v>
      </c>
      <c r="N4" s="161" t="s">
        <v>51</v>
      </c>
      <c r="O4" s="161" t="s">
        <v>52</v>
      </c>
      <c r="P4" s="161" t="s">
        <v>53</v>
      </c>
      <c r="Q4" s="161" t="s">
        <v>54</v>
      </c>
      <c r="R4" s="161" t="s">
        <v>55</v>
      </c>
      <c r="S4" s="161" t="s">
        <v>56</v>
      </c>
      <c r="T4" s="161" t="s">
        <v>57</v>
      </c>
      <c r="U4" s="161" t="s">
        <v>58</v>
      </c>
      <c r="V4" s="161" t="s">
        <v>59</v>
      </c>
      <c r="W4" s="219" t="s">
        <v>60</v>
      </c>
      <c r="X4" s="219" t="s">
        <v>61</v>
      </c>
      <c r="Y4" s="219" t="s">
        <v>62</v>
      </c>
      <c r="Z4" s="219" t="s">
        <v>63</v>
      </c>
      <c r="AA4" s="229"/>
      <c r="AB4" s="229"/>
      <c r="AC4" s="229"/>
      <c r="AD4" s="229"/>
      <c r="AE4" s="229"/>
      <c r="AF4" s="94"/>
    </row>
    <row r="5" spans="1:32" ht="40.15" customHeight="1" x14ac:dyDescent="0.35">
      <c r="A5" s="99"/>
      <c r="B5" s="132"/>
      <c r="C5" s="84">
        <v>241</v>
      </c>
      <c r="D5" s="131" t="s">
        <v>108</v>
      </c>
      <c r="E5" s="148">
        <v>0</v>
      </c>
      <c r="F5" s="148">
        <v>0</v>
      </c>
      <c r="G5" s="148">
        <v>0</v>
      </c>
      <c r="H5" s="135" t="s">
        <v>57</v>
      </c>
      <c r="I5" s="99"/>
      <c r="J5" s="99"/>
      <c r="K5" s="81" t="s">
        <v>66</v>
      </c>
      <c r="L5" s="230">
        <v>0</v>
      </c>
      <c r="M5" s="230">
        <v>0</v>
      </c>
      <c r="N5" s="230">
        <v>0</v>
      </c>
      <c r="O5" s="230">
        <v>0</v>
      </c>
      <c r="P5" s="230">
        <v>0</v>
      </c>
      <c r="Q5" s="230">
        <v>0</v>
      </c>
      <c r="R5" s="230">
        <v>0</v>
      </c>
      <c r="S5" s="231">
        <v>0</v>
      </c>
      <c r="T5" s="231">
        <v>0</v>
      </c>
      <c r="U5" s="231">
        <v>0</v>
      </c>
      <c r="V5" s="231">
        <v>0</v>
      </c>
      <c r="W5" s="232">
        <v>0</v>
      </c>
      <c r="X5" s="232">
        <v>0</v>
      </c>
      <c r="Y5" s="232">
        <v>0</v>
      </c>
      <c r="Z5" s="232">
        <v>0</v>
      </c>
      <c r="AA5" s="229"/>
      <c r="AB5" s="229"/>
      <c r="AC5" s="229"/>
      <c r="AD5" s="229"/>
      <c r="AE5" s="229"/>
      <c r="AF5" s="94"/>
    </row>
    <row r="6" spans="1:32" ht="40.15" customHeight="1" x14ac:dyDescent="0.35">
      <c r="A6" s="99"/>
      <c r="B6" s="132"/>
      <c r="C6" s="84">
        <v>242</v>
      </c>
      <c r="D6" s="131" t="s">
        <v>109</v>
      </c>
      <c r="E6" s="148">
        <v>0</v>
      </c>
      <c r="F6" s="148">
        <v>0</v>
      </c>
      <c r="G6" s="148">
        <v>0</v>
      </c>
      <c r="H6" s="135" t="s">
        <v>57</v>
      </c>
      <c r="I6" s="99"/>
      <c r="J6" s="99"/>
      <c r="K6" s="81" t="s">
        <v>69</v>
      </c>
      <c r="L6" s="230">
        <v>0</v>
      </c>
      <c r="M6" s="230">
        <v>0</v>
      </c>
      <c r="N6" s="230">
        <v>0</v>
      </c>
      <c r="O6" s="230">
        <v>0</v>
      </c>
      <c r="P6" s="231">
        <v>0</v>
      </c>
      <c r="Q6" s="231">
        <v>0</v>
      </c>
      <c r="R6" s="231">
        <v>0</v>
      </c>
      <c r="S6" s="230">
        <v>0</v>
      </c>
      <c r="T6" s="230">
        <v>0</v>
      </c>
      <c r="U6" s="230">
        <v>0</v>
      </c>
      <c r="V6" s="230">
        <v>0</v>
      </c>
      <c r="W6" s="232">
        <v>0</v>
      </c>
      <c r="X6" s="232">
        <v>0</v>
      </c>
      <c r="Y6" s="232">
        <v>0</v>
      </c>
      <c r="Z6" s="232">
        <v>0</v>
      </c>
      <c r="AA6" s="229"/>
      <c r="AB6" s="229"/>
      <c r="AC6" s="229"/>
      <c r="AD6" s="229"/>
      <c r="AE6" s="229"/>
      <c r="AF6" s="94"/>
    </row>
    <row r="7" spans="1:32" ht="40.15" customHeight="1" x14ac:dyDescent="0.35">
      <c r="A7" s="99"/>
      <c r="B7" s="236"/>
      <c r="C7" s="238"/>
      <c r="D7" s="238"/>
      <c r="E7" s="238"/>
      <c r="F7" s="238"/>
      <c r="G7" s="238"/>
      <c r="H7" s="135" t="s">
        <v>53</v>
      </c>
      <c r="I7" s="99"/>
      <c r="J7" s="99"/>
      <c r="K7" s="163" t="s">
        <v>75</v>
      </c>
      <c r="L7" s="233">
        <v>0</v>
      </c>
      <c r="M7" s="233">
        <v>0</v>
      </c>
      <c r="N7" s="233">
        <v>0</v>
      </c>
      <c r="O7" s="233">
        <v>0</v>
      </c>
      <c r="P7" s="233">
        <v>0</v>
      </c>
      <c r="Q7" s="233">
        <v>0</v>
      </c>
      <c r="R7" s="233">
        <v>0</v>
      </c>
      <c r="S7" s="233">
        <v>0</v>
      </c>
      <c r="T7" s="233">
        <v>0</v>
      </c>
      <c r="U7" s="233">
        <v>0</v>
      </c>
      <c r="V7" s="233">
        <v>0</v>
      </c>
      <c r="W7" s="234">
        <v>0</v>
      </c>
      <c r="X7" s="234">
        <v>0</v>
      </c>
      <c r="Y7" s="234">
        <v>0</v>
      </c>
      <c r="Z7" s="234">
        <v>0</v>
      </c>
      <c r="AA7" s="229"/>
      <c r="AB7" s="229"/>
      <c r="AC7" s="229"/>
      <c r="AD7" s="229"/>
      <c r="AE7" s="229"/>
      <c r="AF7" s="94"/>
    </row>
    <row r="8" spans="1:32" ht="40.15" customHeight="1" x14ac:dyDescent="0.35">
      <c r="A8" s="99"/>
      <c r="B8" s="236"/>
      <c r="C8" s="238"/>
      <c r="D8" s="238"/>
      <c r="E8" s="238"/>
      <c r="F8" s="238"/>
      <c r="G8" s="238"/>
      <c r="H8" s="135" t="s">
        <v>53</v>
      </c>
      <c r="I8" s="99"/>
      <c r="J8" s="99"/>
      <c r="K8" s="99"/>
      <c r="L8" s="99"/>
      <c r="M8" s="99"/>
      <c r="N8" s="99"/>
      <c r="O8" s="229"/>
      <c r="P8" s="99"/>
      <c r="Q8" s="99"/>
      <c r="R8" s="99"/>
      <c r="S8" s="99"/>
      <c r="T8" s="99"/>
      <c r="U8" s="99"/>
      <c r="V8" s="99"/>
      <c r="W8" s="99"/>
      <c r="X8" s="99"/>
      <c r="Y8" s="99"/>
      <c r="Z8" s="229"/>
      <c r="AA8" s="229"/>
      <c r="AB8" s="229"/>
      <c r="AC8" s="229"/>
      <c r="AD8" s="229"/>
      <c r="AE8" s="156"/>
      <c r="AF8" s="94"/>
    </row>
    <row r="9" spans="1:32" ht="40.15" customHeight="1" x14ac:dyDescent="0.35">
      <c r="A9" s="99"/>
      <c r="B9" s="236"/>
      <c r="C9" s="238"/>
      <c r="D9" s="238"/>
      <c r="E9" s="238"/>
      <c r="F9" s="238"/>
      <c r="G9" s="238"/>
      <c r="H9" s="135" t="s">
        <v>53</v>
      </c>
      <c r="I9" s="99"/>
      <c r="J9" s="99"/>
      <c r="K9" s="312" t="s">
        <v>78</v>
      </c>
      <c r="L9" s="313"/>
      <c r="M9" s="313"/>
      <c r="N9" s="314"/>
      <c r="O9" s="229"/>
      <c r="P9" s="311"/>
      <c r="Q9" s="311"/>
      <c r="R9" s="311"/>
      <c r="S9" s="311"/>
      <c r="T9" s="229"/>
      <c r="U9" s="311"/>
      <c r="V9" s="311"/>
      <c r="W9" s="311"/>
      <c r="X9" s="311"/>
      <c r="Y9" s="229"/>
      <c r="Z9" s="229"/>
      <c r="AA9" s="229"/>
      <c r="AB9" s="229"/>
      <c r="AC9" s="229"/>
      <c r="AD9" s="229"/>
      <c r="AE9" s="156"/>
      <c r="AF9" s="94"/>
    </row>
    <row r="10" spans="1:32" ht="40.15" customHeight="1" x14ac:dyDescent="0.35">
      <c r="A10" s="99"/>
      <c r="B10" s="236"/>
      <c r="C10" s="238"/>
      <c r="D10" s="238"/>
      <c r="E10" s="238"/>
      <c r="F10" s="238"/>
      <c r="G10" s="238"/>
      <c r="H10" s="135" t="s">
        <v>53</v>
      </c>
      <c r="I10" s="99"/>
      <c r="J10" s="99"/>
      <c r="K10" s="304" t="s">
        <v>80</v>
      </c>
      <c r="L10" s="305"/>
      <c r="M10" s="305"/>
      <c r="N10" s="231">
        <v>0</v>
      </c>
      <c r="O10" s="229"/>
      <c r="P10" s="306"/>
      <c r="Q10" s="306"/>
      <c r="R10" s="306"/>
      <c r="S10" s="235"/>
      <c r="T10" s="229"/>
      <c r="U10" s="306"/>
      <c r="V10" s="306"/>
      <c r="W10" s="306"/>
      <c r="X10" s="235"/>
      <c r="Y10" s="229"/>
      <c r="Z10" s="229"/>
      <c r="AA10" s="229"/>
      <c r="AB10" s="229"/>
      <c r="AC10" s="229"/>
      <c r="AD10" s="229"/>
      <c r="AE10" s="156"/>
      <c r="AF10" s="94"/>
    </row>
    <row r="11" spans="1:32" ht="50.5" customHeight="1" x14ac:dyDescent="0.35">
      <c r="A11" s="99"/>
      <c r="B11" s="236"/>
      <c r="C11" s="238"/>
      <c r="D11" s="238"/>
      <c r="E11" s="238"/>
      <c r="F11" s="238"/>
      <c r="G11" s="238"/>
      <c r="H11" s="135" t="s">
        <v>53</v>
      </c>
      <c r="I11" s="99"/>
      <c r="J11" s="99"/>
      <c r="K11" s="304" t="s">
        <v>82</v>
      </c>
      <c r="L11" s="305"/>
      <c r="M11" s="305"/>
      <c r="N11" s="231">
        <v>0</v>
      </c>
      <c r="O11" s="229"/>
      <c r="P11" s="306"/>
      <c r="Q11" s="306"/>
      <c r="R11" s="306"/>
      <c r="S11" s="235"/>
      <c r="T11" s="229"/>
      <c r="U11" s="306"/>
      <c r="V11" s="306"/>
      <c r="W11" s="306"/>
      <c r="X11" s="235"/>
      <c r="Y11" s="229"/>
      <c r="Z11" s="229"/>
      <c r="AA11" s="229"/>
      <c r="AB11" s="229"/>
      <c r="AC11" s="229"/>
      <c r="AD11" s="229"/>
      <c r="AE11" s="156"/>
      <c r="AF11" s="94"/>
    </row>
    <row r="12" spans="1:32" ht="48.65" customHeight="1" x14ac:dyDescent="0.35">
      <c r="A12" s="99"/>
      <c r="B12" s="236"/>
      <c r="C12" s="238"/>
      <c r="D12" s="238"/>
      <c r="E12" s="238"/>
      <c r="F12" s="238"/>
      <c r="G12" s="238"/>
      <c r="H12" s="135" t="s">
        <v>53</v>
      </c>
      <c r="I12" s="99"/>
      <c r="J12" s="99"/>
      <c r="K12" s="304" t="s">
        <v>83</v>
      </c>
      <c r="L12" s="305"/>
      <c r="M12" s="305"/>
      <c r="N12" s="233">
        <v>0</v>
      </c>
      <c r="O12" s="229"/>
      <c r="P12" s="306"/>
      <c r="Q12" s="306"/>
      <c r="R12" s="306"/>
      <c r="S12" s="237"/>
      <c r="T12" s="229"/>
      <c r="U12" s="306"/>
      <c r="V12" s="306"/>
      <c r="W12" s="306"/>
      <c r="X12" s="237"/>
      <c r="Y12" s="229"/>
      <c r="Z12" s="229"/>
      <c r="AA12" s="229"/>
      <c r="AB12" s="229"/>
      <c r="AC12" s="229"/>
      <c r="AD12" s="229"/>
      <c r="AE12" s="156"/>
      <c r="AF12" s="94"/>
    </row>
    <row r="13" spans="1:32" ht="48.65" customHeight="1" x14ac:dyDescent="0.35">
      <c r="A13" s="99"/>
      <c r="B13" s="236"/>
      <c r="C13" s="238"/>
      <c r="D13" s="238"/>
      <c r="E13" s="238"/>
      <c r="F13" s="238"/>
      <c r="G13" s="238"/>
      <c r="H13" s="135" t="s">
        <v>34</v>
      </c>
      <c r="I13" s="99"/>
      <c r="J13" s="229"/>
      <c r="K13" s="229"/>
      <c r="L13" s="229"/>
      <c r="M13" s="229"/>
      <c r="N13" s="229"/>
      <c r="O13" s="229"/>
      <c r="P13" s="229"/>
      <c r="Q13" s="229"/>
      <c r="R13" s="229"/>
      <c r="S13" s="229"/>
      <c r="T13" s="229"/>
      <c r="U13" s="229"/>
      <c r="V13" s="229"/>
      <c r="W13" s="229"/>
      <c r="X13" s="229"/>
      <c r="Y13" s="229"/>
      <c r="Z13" s="229"/>
      <c r="AA13" s="229"/>
      <c r="AB13" s="229"/>
      <c r="AC13" s="229"/>
      <c r="AD13" s="229"/>
      <c r="AE13" s="156"/>
      <c r="AF13" s="94"/>
    </row>
    <row r="14" spans="1:32" ht="40.15" customHeight="1" x14ac:dyDescent="0.35">
      <c r="A14" s="99"/>
      <c r="B14" s="236"/>
      <c r="C14" s="238"/>
      <c r="D14" s="238"/>
      <c r="E14" s="238"/>
      <c r="F14" s="238"/>
      <c r="G14" s="238"/>
      <c r="H14" s="135" t="s">
        <v>34</v>
      </c>
      <c r="I14" s="99"/>
      <c r="J14" s="99"/>
      <c r="K14" s="302" t="s">
        <v>84</v>
      </c>
      <c r="L14" s="302"/>
      <c r="M14" s="164"/>
      <c r="N14" s="164"/>
      <c r="O14" s="164"/>
      <c r="P14" s="303" t="s">
        <v>85</v>
      </c>
      <c r="Q14" s="303"/>
      <c r="R14" s="164"/>
      <c r="S14" s="164"/>
      <c r="T14" s="229"/>
      <c r="U14" s="229"/>
      <c r="V14" s="229"/>
      <c r="W14" s="229"/>
      <c r="X14" s="229"/>
      <c r="Y14" s="229"/>
      <c r="Z14" s="229"/>
      <c r="AA14" s="229"/>
      <c r="AB14" s="229"/>
      <c r="AC14" s="229"/>
      <c r="AD14" s="229"/>
      <c r="AE14" s="229"/>
      <c r="AF14" s="94"/>
    </row>
    <row r="15" spans="1:32" ht="47.5" customHeight="1" x14ac:dyDescent="0.35">
      <c r="A15" s="99"/>
      <c r="B15" s="236"/>
      <c r="C15" s="238"/>
      <c r="D15" s="238"/>
      <c r="E15" s="238"/>
      <c r="F15" s="238"/>
      <c r="G15" s="238"/>
      <c r="H15" s="135" t="s">
        <v>34</v>
      </c>
      <c r="I15" s="99"/>
      <c r="J15" s="99"/>
      <c r="K15" s="302" t="s">
        <v>86</v>
      </c>
      <c r="L15" s="302"/>
      <c r="M15" s="165"/>
      <c r="N15" s="165"/>
      <c r="O15" s="165"/>
      <c r="P15" s="303" t="s">
        <v>85</v>
      </c>
      <c r="Q15" s="303"/>
      <c r="R15" s="165"/>
      <c r="S15" s="165"/>
      <c r="T15" s="229"/>
      <c r="U15" s="229"/>
      <c r="V15" s="229"/>
      <c r="W15" s="229"/>
      <c r="X15" s="229"/>
      <c r="Y15" s="229"/>
      <c r="Z15" s="229"/>
      <c r="AA15" s="229"/>
      <c r="AB15" s="229"/>
      <c r="AC15" s="229"/>
      <c r="AD15" s="229"/>
      <c r="AE15" s="229"/>
      <c r="AF15" s="94"/>
    </row>
    <row r="16" spans="1:32" ht="40.15" customHeight="1" x14ac:dyDescent="0.35">
      <c r="A16" s="99"/>
      <c r="B16" s="236"/>
      <c r="C16" s="238"/>
      <c r="D16" s="238"/>
      <c r="E16" s="238"/>
      <c r="F16" s="238"/>
      <c r="G16" s="238"/>
      <c r="H16" s="135" t="s">
        <v>34</v>
      </c>
      <c r="I16" s="99"/>
      <c r="J16" s="99"/>
      <c r="K16" s="229"/>
      <c r="L16" s="229"/>
      <c r="M16" s="229"/>
      <c r="N16" s="229"/>
      <c r="O16" s="229"/>
      <c r="P16" s="229"/>
      <c r="Q16" s="229"/>
      <c r="R16" s="229"/>
      <c r="S16" s="229"/>
      <c r="T16" s="229"/>
      <c r="U16" s="229"/>
      <c r="V16" s="229"/>
      <c r="W16" s="229"/>
      <c r="X16" s="229"/>
      <c r="Y16" s="229"/>
      <c r="Z16" s="229"/>
      <c r="AA16" s="229"/>
      <c r="AB16" s="229"/>
      <c r="AC16" s="229"/>
      <c r="AD16" s="229"/>
      <c r="AE16" s="229"/>
      <c r="AF16" s="94"/>
    </row>
    <row r="17" spans="1:32" ht="40.15" customHeight="1" x14ac:dyDescent="0.35">
      <c r="A17" s="99"/>
      <c r="B17" s="236"/>
      <c r="C17" s="238"/>
      <c r="D17" s="238"/>
      <c r="E17" s="238"/>
      <c r="F17" s="238"/>
      <c r="G17" s="238"/>
      <c r="H17" s="135" t="s">
        <v>34</v>
      </c>
      <c r="I17" s="99"/>
      <c r="J17" s="99"/>
      <c r="K17" s="229"/>
      <c r="L17" s="229"/>
      <c r="M17" s="229"/>
      <c r="N17" s="229"/>
      <c r="O17" s="229"/>
      <c r="P17" s="229"/>
      <c r="Q17" s="229"/>
      <c r="R17" s="229"/>
      <c r="S17" s="229"/>
      <c r="T17" s="229"/>
      <c r="U17" s="229"/>
      <c r="V17" s="229"/>
      <c r="W17" s="229"/>
      <c r="X17" s="229"/>
      <c r="Y17" s="229"/>
      <c r="Z17" s="229"/>
      <c r="AA17" s="229"/>
      <c r="AB17" s="229"/>
      <c r="AC17" s="229"/>
      <c r="AD17" s="229"/>
      <c r="AE17" s="229"/>
      <c r="AF17" s="94"/>
    </row>
    <row r="18" spans="1:32" ht="40.15" customHeight="1" x14ac:dyDescent="0.35">
      <c r="A18" s="99"/>
      <c r="B18" s="236"/>
      <c r="C18" s="229"/>
      <c r="D18" s="229"/>
      <c r="E18" s="229"/>
      <c r="F18" s="229"/>
      <c r="G18" s="229"/>
      <c r="H18" s="74"/>
      <c r="I18" s="99"/>
      <c r="J18" s="99"/>
      <c r="K18" s="229"/>
      <c r="L18" s="229"/>
      <c r="M18" s="229"/>
      <c r="N18" s="229"/>
      <c r="O18" s="229"/>
      <c r="P18" s="229"/>
      <c r="Q18" s="229"/>
      <c r="R18" s="229"/>
      <c r="S18" s="229"/>
      <c r="T18" s="229"/>
      <c r="U18" s="229"/>
      <c r="V18" s="229"/>
      <c r="W18" s="229"/>
      <c r="X18" s="229"/>
      <c r="Y18" s="229"/>
      <c r="Z18" s="229"/>
      <c r="AA18" s="229"/>
      <c r="AB18" s="229"/>
      <c r="AC18" s="229"/>
      <c r="AD18" s="229"/>
      <c r="AE18" s="229"/>
      <c r="AF18" s="94"/>
    </row>
    <row r="19" spans="1:32" ht="40.15" customHeight="1" x14ac:dyDescent="0.35">
      <c r="A19" s="99"/>
      <c r="B19" s="236"/>
      <c r="C19" s="229"/>
      <c r="D19" s="229"/>
      <c r="E19" s="229"/>
      <c r="F19" s="229"/>
      <c r="G19" s="229"/>
      <c r="H19" s="74"/>
      <c r="I19" s="99"/>
      <c r="J19" s="99"/>
      <c r="K19" s="229"/>
      <c r="L19" s="229"/>
      <c r="M19" s="229"/>
      <c r="N19" s="229"/>
      <c r="O19" s="229"/>
      <c r="P19" s="229"/>
      <c r="Q19" s="229"/>
      <c r="R19" s="229"/>
      <c r="S19" s="229"/>
      <c r="T19" s="229"/>
      <c r="U19" s="229"/>
      <c r="V19" s="229"/>
      <c r="W19" s="229"/>
      <c r="X19" s="229"/>
      <c r="Y19" s="229"/>
      <c r="Z19" s="229"/>
      <c r="AA19" s="229"/>
      <c r="AB19" s="229"/>
      <c r="AC19" s="229"/>
      <c r="AD19" s="229"/>
      <c r="AE19" s="156"/>
      <c r="AF19" s="94"/>
    </row>
    <row r="20" spans="1:32" ht="40.15" customHeight="1" x14ac:dyDescent="0.35">
      <c r="A20" s="99"/>
      <c r="B20" s="236"/>
      <c r="C20" s="229"/>
      <c r="D20" s="229"/>
      <c r="E20" s="229"/>
      <c r="F20" s="229"/>
      <c r="G20" s="229"/>
      <c r="H20" s="74"/>
      <c r="I20" s="99"/>
      <c r="J20" s="99"/>
      <c r="K20" s="229"/>
      <c r="L20" s="229"/>
      <c r="M20" s="229"/>
      <c r="N20" s="229"/>
      <c r="O20" s="229"/>
      <c r="P20" s="229"/>
      <c r="Q20" s="229"/>
      <c r="R20" s="229"/>
      <c r="S20" s="229"/>
      <c r="T20" s="229"/>
      <c r="U20" s="229"/>
      <c r="V20" s="229"/>
      <c r="W20" s="229"/>
      <c r="X20" s="229"/>
      <c r="Y20" s="229"/>
      <c r="Z20" s="229"/>
      <c r="AA20" s="229"/>
      <c r="AB20" s="229"/>
      <c r="AC20" s="229"/>
      <c r="AD20" s="229"/>
      <c r="AE20" s="156"/>
      <c r="AF20" s="94"/>
    </row>
    <row r="21" spans="1:32" ht="40.15" customHeight="1" x14ac:dyDescent="0.35">
      <c r="A21" s="99"/>
      <c r="B21" s="236"/>
      <c r="C21" s="229"/>
      <c r="D21" s="229"/>
      <c r="E21" s="229"/>
      <c r="F21" s="229"/>
      <c r="G21" s="229"/>
      <c r="H21" s="74"/>
      <c r="I21" s="99"/>
      <c r="J21" s="99"/>
      <c r="K21" s="229"/>
      <c r="L21" s="229"/>
      <c r="M21" s="229"/>
      <c r="N21" s="229"/>
      <c r="O21" s="229"/>
      <c r="P21" s="229"/>
      <c r="Q21" s="229"/>
      <c r="R21" s="229"/>
      <c r="S21" s="229"/>
      <c r="T21" s="229"/>
      <c r="U21" s="229"/>
      <c r="V21" s="229"/>
      <c r="W21" s="229"/>
      <c r="X21" s="229"/>
      <c r="Y21" s="229"/>
      <c r="Z21" s="229"/>
      <c r="AA21" s="229"/>
      <c r="AB21" s="229"/>
      <c r="AC21" s="229"/>
      <c r="AD21" s="229"/>
      <c r="AE21" s="111"/>
      <c r="AF21" s="94"/>
    </row>
    <row r="22" spans="1:32" ht="40.15" customHeight="1" x14ac:dyDescent="0.35">
      <c r="A22" s="99"/>
      <c r="B22" s="236"/>
      <c r="C22" s="229"/>
      <c r="D22" s="229"/>
      <c r="E22" s="229"/>
      <c r="F22" s="229"/>
      <c r="G22" s="229"/>
      <c r="H22" s="74"/>
      <c r="I22" s="99"/>
      <c r="J22" s="99"/>
      <c r="K22" s="229"/>
      <c r="L22" s="229"/>
      <c r="M22" s="229"/>
      <c r="N22" s="229"/>
      <c r="O22" s="229"/>
      <c r="P22" s="229"/>
      <c r="Q22" s="229"/>
      <c r="R22" s="229"/>
      <c r="S22" s="229"/>
      <c r="T22" s="229"/>
      <c r="U22" s="229"/>
      <c r="V22" s="229"/>
      <c r="W22" s="229"/>
      <c r="X22" s="229"/>
      <c r="Y22" s="229"/>
      <c r="Z22" s="229"/>
      <c r="AA22" s="229"/>
      <c r="AB22" s="229"/>
      <c r="AC22" s="229"/>
      <c r="AD22" s="229"/>
      <c r="AE22" s="111"/>
      <c r="AF22" s="94"/>
    </row>
    <row r="23" spans="1:32" ht="40.15" customHeight="1" x14ac:dyDescent="0.35">
      <c r="A23" s="99"/>
      <c r="B23" s="236"/>
      <c r="C23" s="229"/>
      <c r="D23" s="229"/>
      <c r="E23" s="229"/>
      <c r="F23" s="229"/>
      <c r="G23" s="229"/>
      <c r="H23" s="74"/>
      <c r="I23" s="99"/>
      <c r="J23" s="99"/>
      <c r="K23" s="229"/>
      <c r="L23" s="229"/>
      <c r="M23" s="229"/>
      <c r="N23" s="229"/>
      <c r="O23" s="229"/>
      <c r="P23" s="229"/>
      <c r="Q23" s="229"/>
      <c r="R23" s="229"/>
      <c r="S23" s="229"/>
      <c r="T23" s="229"/>
      <c r="U23" s="229"/>
      <c r="V23" s="229"/>
      <c r="W23" s="229"/>
      <c r="X23" s="229"/>
      <c r="Y23" s="229"/>
      <c r="Z23" s="229"/>
      <c r="AA23" s="229"/>
      <c r="AB23" s="229"/>
      <c r="AC23" s="229"/>
      <c r="AD23" s="229"/>
      <c r="AE23" s="111"/>
      <c r="AF23" s="94"/>
    </row>
    <row r="24" spans="1:32" ht="40.15" customHeight="1" x14ac:dyDescent="0.35">
      <c r="A24" s="99"/>
      <c r="B24" s="236"/>
      <c r="C24" s="229"/>
      <c r="D24" s="229"/>
      <c r="E24" s="229"/>
      <c r="F24" s="229"/>
      <c r="G24" s="229"/>
      <c r="H24" s="74"/>
      <c r="I24" s="99"/>
      <c r="J24" s="99"/>
      <c r="K24" s="229"/>
      <c r="L24" s="229"/>
      <c r="M24" s="229"/>
      <c r="N24" s="229"/>
      <c r="O24" s="229"/>
      <c r="P24" s="229"/>
      <c r="Q24" s="229"/>
      <c r="R24" s="229"/>
      <c r="S24" s="229"/>
      <c r="T24" s="229"/>
      <c r="U24" s="229"/>
      <c r="V24" s="229"/>
      <c r="W24" s="229"/>
      <c r="X24" s="229"/>
      <c r="Y24" s="229"/>
      <c r="Z24" s="229"/>
      <c r="AA24" s="229"/>
      <c r="AB24" s="229"/>
      <c r="AC24" s="229"/>
      <c r="AD24" s="229"/>
      <c r="AE24" s="111"/>
      <c r="AF24" s="94"/>
    </row>
    <row r="25" spans="1:32" ht="40.15" customHeight="1" x14ac:dyDescent="0.35">
      <c r="A25" s="99"/>
      <c r="B25" s="236"/>
      <c r="C25" s="229"/>
      <c r="D25" s="229"/>
      <c r="E25" s="229"/>
      <c r="F25" s="229"/>
      <c r="G25" s="229"/>
      <c r="H25" s="74"/>
      <c r="I25" s="99"/>
      <c r="J25" s="99"/>
      <c r="K25" s="229"/>
      <c r="L25" s="229"/>
      <c r="M25" s="229"/>
      <c r="N25" s="229"/>
      <c r="O25" s="229"/>
      <c r="P25" s="229"/>
      <c r="Q25" s="229"/>
      <c r="R25" s="229"/>
      <c r="S25" s="229"/>
      <c r="T25" s="229"/>
      <c r="U25" s="229"/>
      <c r="V25" s="229"/>
      <c r="W25" s="229"/>
      <c r="X25" s="229"/>
      <c r="Y25" s="229"/>
      <c r="Z25" s="229"/>
      <c r="AA25" s="229"/>
      <c r="AB25" s="229"/>
      <c r="AC25" s="229"/>
      <c r="AD25" s="229"/>
      <c r="AE25" s="99"/>
      <c r="AF25" s="94"/>
    </row>
    <row r="26" spans="1:32" ht="40.15" customHeight="1" x14ac:dyDescent="0.35">
      <c r="A26" s="99"/>
      <c r="B26" s="236"/>
      <c r="C26" s="229"/>
      <c r="D26" s="229"/>
      <c r="E26" s="229"/>
      <c r="F26" s="229"/>
      <c r="G26" s="229"/>
      <c r="H26" s="74"/>
      <c r="I26" s="99"/>
      <c r="J26" s="99"/>
      <c r="K26" s="229"/>
      <c r="L26" s="229"/>
      <c r="M26" s="229"/>
      <c r="N26" s="229"/>
      <c r="O26" s="229"/>
      <c r="P26" s="229"/>
      <c r="Q26" s="229"/>
      <c r="R26" s="229"/>
      <c r="S26" s="229"/>
      <c r="T26" s="229"/>
      <c r="U26" s="229"/>
      <c r="V26" s="229"/>
      <c r="W26" s="229"/>
      <c r="X26" s="229"/>
      <c r="Y26" s="229"/>
      <c r="Z26" s="229"/>
      <c r="AA26" s="229"/>
      <c r="AB26" s="229"/>
      <c r="AC26" s="229"/>
      <c r="AD26" s="229"/>
      <c r="AE26" s="99"/>
      <c r="AF26" s="94"/>
    </row>
    <row r="27" spans="1:32" ht="40.15" customHeight="1" x14ac:dyDescent="0.35">
      <c r="A27" s="99"/>
      <c r="B27" s="236"/>
      <c r="C27" s="229"/>
      <c r="D27" s="229"/>
      <c r="E27" s="229"/>
      <c r="F27" s="229"/>
      <c r="G27" s="229"/>
      <c r="H27" s="74"/>
      <c r="I27" s="99"/>
      <c r="J27" s="99"/>
      <c r="K27" s="99"/>
      <c r="L27" s="99"/>
      <c r="M27" s="99"/>
      <c r="N27" s="99"/>
      <c r="O27" s="99"/>
      <c r="P27" s="99"/>
      <c r="Q27" s="99"/>
      <c r="R27" s="99"/>
      <c r="S27" s="99"/>
      <c r="T27" s="99"/>
      <c r="U27" s="99"/>
      <c r="V27" s="99"/>
      <c r="W27" s="99"/>
      <c r="X27" s="99"/>
      <c r="Y27" s="99"/>
      <c r="Z27" s="99"/>
      <c r="AA27" s="99"/>
      <c r="AB27" s="99"/>
      <c r="AC27" s="99"/>
      <c r="AD27" s="99"/>
      <c r="AE27" s="99"/>
      <c r="AF27" s="94"/>
    </row>
    <row r="28" spans="1:32" ht="40.15" customHeight="1" x14ac:dyDescent="0.35">
      <c r="A28" s="99"/>
      <c r="B28" s="236"/>
      <c r="C28" s="229"/>
      <c r="D28" s="229"/>
      <c r="E28" s="229"/>
      <c r="F28" s="229"/>
      <c r="G28" s="229"/>
      <c r="H28" s="74"/>
      <c r="I28" s="99"/>
      <c r="J28" s="99"/>
      <c r="K28" s="99"/>
      <c r="L28" s="99"/>
      <c r="M28" s="99"/>
      <c r="N28" s="99"/>
      <c r="O28" s="99"/>
      <c r="P28" s="99"/>
      <c r="Q28" s="99"/>
      <c r="R28" s="99"/>
      <c r="S28" s="99"/>
      <c r="T28" s="99"/>
      <c r="U28" s="99"/>
      <c r="V28" s="99"/>
      <c r="W28" s="99"/>
      <c r="X28" s="99"/>
      <c r="Y28" s="99"/>
      <c r="Z28" s="99"/>
      <c r="AA28" s="99"/>
      <c r="AB28" s="99"/>
      <c r="AC28" s="99"/>
      <c r="AD28" s="99"/>
      <c r="AE28" s="99"/>
      <c r="AF28" s="94"/>
    </row>
    <row r="29" spans="1:32" ht="40.15" customHeight="1" x14ac:dyDescent="0.35">
      <c r="A29" s="99"/>
      <c r="B29" s="236"/>
      <c r="C29" s="229"/>
      <c r="D29" s="229"/>
      <c r="E29" s="229"/>
      <c r="F29" s="229"/>
      <c r="G29" s="229"/>
      <c r="H29" s="74"/>
      <c r="I29" s="99"/>
      <c r="J29" s="99"/>
      <c r="K29" s="99"/>
      <c r="L29" s="99"/>
      <c r="M29" s="99"/>
      <c r="N29" s="99"/>
      <c r="O29" s="114"/>
      <c r="P29" s="114"/>
      <c r="Q29" s="114"/>
      <c r="R29" s="114"/>
      <c r="S29" s="114"/>
      <c r="T29" s="112"/>
      <c r="U29" s="99"/>
      <c r="V29" s="99"/>
      <c r="W29" s="99"/>
      <c r="X29" s="99"/>
      <c r="Y29" s="99"/>
      <c r="Z29" s="99"/>
      <c r="AA29" s="99"/>
      <c r="AB29" s="99"/>
      <c r="AC29" s="99"/>
      <c r="AD29" s="99"/>
      <c r="AE29" s="99"/>
      <c r="AF29" s="94"/>
    </row>
    <row r="30" spans="1:32" ht="40.15" customHeight="1" x14ac:dyDescent="0.35">
      <c r="A30" s="99"/>
      <c r="B30" s="236"/>
      <c r="C30" s="229"/>
      <c r="D30" s="229"/>
      <c r="E30" s="229"/>
      <c r="F30" s="229"/>
      <c r="G30" s="229"/>
      <c r="H30" s="74"/>
      <c r="I30" s="99"/>
      <c r="J30" s="99"/>
      <c r="K30" s="99"/>
      <c r="L30" s="99"/>
      <c r="M30" s="99"/>
      <c r="N30" s="99"/>
      <c r="O30" s="113"/>
      <c r="P30" s="115"/>
      <c r="Q30" s="115"/>
      <c r="R30" s="115"/>
      <c r="S30" s="115"/>
      <c r="T30" s="115"/>
      <c r="U30" s="99"/>
      <c r="V30" s="99"/>
      <c r="W30" s="99"/>
      <c r="X30" s="99"/>
      <c r="Y30" s="99"/>
      <c r="Z30" s="99"/>
      <c r="AA30" s="99"/>
      <c r="AB30" s="99"/>
      <c r="AC30" s="99"/>
      <c r="AD30" s="99"/>
      <c r="AE30" s="99"/>
      <c r="AF30" s="94"/>
    </row>
    <row r="31" spans="1:32" ht="40.15" customHeight="1" x14ac:dyDescent="0.35">
      <c r="A31" s="99"/>
      <c r="B31" s="236"/>
      <c r="C31" s="229"/>
      <c r="D31" s="229"/>
      <c r="E31" s="229"/>
      <c r="F31" s="229"/>
      <c r="G31" s="229"/>
      <c r="H31" s="74"/>
      <c r="I31" s="99"/>
      <c r="J31" s="99"/>
      <c r="K31" s="99"/>
      <c r="L31" s="99"/>
      <c r="M31" s="99"/>
      <c r="N31" s="99"/>
      <c r="O31" s="113"/>
      <c r="P31" s="115"/>
      <c r="Q31" s="115"/>
      <c r="R31" s="115"/>
      <c r="S31" s="115"/>
      <c r="T31" s="115"/>
      <c r="U31" s="99"/>
      <c r="V31" s="99"/>
      <c r="W31" s="99"/>
      <c r="X31" s="99"/>
      <c r="Y31" s="99"/>
      <c r="Z31" s="99"/>
      <c r="AA31" s="99"/>
      <c r="AB31" s="99"/>
      <c r="AC31" s="99"/>
      <c r="AD31" s="99"/>
      <c r="AE31" s="99"/>
      <c r="AF31" s="94"/>
    </row>
    <row r="32" spans="1:32" ht="40.15" customHeight="1" x14ac:dyDescent="0.35">
      <c r="A32" s="99"/>
      <c r="B32" s="236"/>
      <c r="C32" s="229"/>
      <c r="D32" s="229"/>
      <c r="E32" s="229"/>
      <c r="F32" s="229"/>
      <c r="G32" s="229"/>
      <c r="H32" s="74"/>
      <c r="I32" s="99"/>
      <c r="J32" s="99"/>
      <c r="K32" s="99"/>
      <c r="L32" s="99"/>
      <c r="M32" s="99"/>
      <c r="N32" s="99"/>
      <c r="O32" s="113"/>
      <c r="P32" s="115"/>
      <c r="Q32" s="115"/>
      <c r="R32" s="115"/>
      <c r="S32" s="115"/>
      <c r="T32" s="115"/>
      <c r="U32" s="99"/>
      <c r="V32" s="99"/>
      <c r="W32" s="99"/>
      <c r="X32" s="99"/>
      <c r="Y32" s="99"/>
      <c r="Z32" s="99"/>
      <c r="AA32" s="99"/>
      <c r="AB32" s="99"/>
      <c r="AC32" s="99"/>
      <c r="AD32" s="99"/>
      <c r="AE32" s="99"/>
      <c r="AF32" s="94"/>
    </row>
    <row r="33" spans="1:32" ht="40.15" customHeight="1" x14ac:dyDescent="0.35">
      <c r="A33" s="99"/>
      <c r="B33" s="236"/>
      <c r="C33" s="229"/>
      <c r="D33" s="229"/>
      <c r="E33" s="229"/>
      <c r="F33" s="229"/>
      <c r="G33" s="229"/>
      <c r="H33" s="74"/>
      <c r="I33" s="99"/>
      <c r="J33" s="99"/>
      <c r="K33" s="99" t="s">
        <v>87</v>
      </c>
      <c r="L33" s="99"/>
      <c r="M33" s="99"/>
      <c r="N33" s="99"/>
      <c r="O33" s="105"/>
      <c r="P33" s="103"/>
      <c r="Q33" s="106"/>
      <c r="R33" s="99"/>
      <c r="S33" s="99"/>
      <c r="T33" s="99"/>
      <c r="U33" s="99"/>
      <c r="V33" s="99"/>
      <c r="W33" s="99"/>
      <c r="X33" s="99"/>
      <c r="Y33" s="99"/>
      <c r="Z33" s="99"/>
      <c r="AA33" s="99"/>
      <c r="AB33" s="99"/>
      <c r="AC33" s="99"/>
      <c r="AD33" s="99"/>
      <c r="AE33" s="99"/>
      <c r="AF33" s="94"/>
    </row>
    <row r="34" spans="1:32" ht="40.15" customHeight="1" x14ac:dyDescent="0.35">
      <c r="A34" s="99"/>
      <c r="B34" s="236"/>
      <c r="C34" s="229"/>
      <c r="D34" s="229"/>
      <c r="E34" s="229"/>
      <c r="F34" s="229"/>
      <c r="G34" s="229"/>
      <c r="H34" s="74"/>
      <c r="I34" s="99"/>
      <c r="J34" s="99"/>
      <c r="K34" s="99"/>
      <c r="L34" s="99"/>
      <c r="M34" s="99"/>
      <c r="N34" s="99"/>
      <c r="O34" s="105"/>
      <c r="P34" s="104"/>
      <c r="Q34" s="106"/>
      <c r="R34" s="99"/>
      <c r="S34" s="99"/>
      <c r="T34" s="99"/>
      <c r="U34" s="99"/>
      <c r="V34" s="99"/>
      <c r="W34" s="99"/>
      <c r="X34" s="99"/>
      <c r="Y34" s="99"/>
      <c r="Z34" s="99"/>
      <c r="AA34" s="99"/>
      <c r="AB34" s="99"/>
      <c r="AC34" s="99"/>
      <c r="AD34" s="99"/>
      <c r="AE34" s="99"/>
      <c r="AF34" s="94"/>
    </row>
    <row r="35" spans="1:32" ht="40.15" customHeight="1" x14ac:dyDescent="0.35">
      <c r="A35" s="99"/>
      <c r="B35" s="236"/>
      <c r="C35" s="229"/>
      <c r="D35" s="229"/>
      <c r="E35" s="229"/>
      <c r="F35" s="229"/>
      <c r="G35" s="229"/>
      <c r="H35" s="74"/>
      <c r="I35" s="99"/>
      <c r="J35" s="99"/>
      <c r="K35" s="99"/>
      <c r="L35" s="99"/>
      <c r="M35" s="99"/>
      <c r="N35" s="99"/>
      <c r="O35" s="99"/>
      <c r="P35" s="103"/>
      <c r="Q35" s="106"/>
      <c r="R35" s="99"/>
      <c r="S35" s="99"/>
      <c r="T35" s="99"/>
      <c r="U35" s="99"/>
      <c r="V35" s="99"/>
      <c r="W35" s="99"/>
      <c r="X35" s="99"/>
      <c r="Y35" s="99"/>
      <c r="Z35" s="99"/>
      <c r="AA35" s="99"/>
      <c r="AB35" s="99"/>
      <c r="AC35" s="99"/>
      <c r="AD35" s="99"/>
      <c r="AE35" s="99"/>
      <c r="AF35" s="94"/>
    </row>
    <row r="36" spans="1:32" ht="40.15" customHeight="1" x14ac:dyDescent="0.35">
      <c r="A36" s="99"/>
      <c r="B36" s="236"/>
      <c r="C36" s="229"/>
      <c r="D36" s="229"/>
      <c r="E36" s="229"/>
      <c r="F36" s="229"/>
      <c r="G36" s="229"/>
      <c r="H36" s="74"/>
      <c r="I36" s="99"/>
      <c r="J36" s="99"/>
      <c r="K36" s="99"/>
      <c r="L36" s="99"/>
      <c r="M36" s="99"/>
      <c r="N36" s="99"/>
      <c r="O36" s="105"/>
      <c r="P36" s="103"/>
      <c r="Q36" s="106"/>
      <c r="R36" s="99"/>
      <c r="S36" s="99"/>
      <c r="T36" s="99"/>
      <c r="U36" s="99"/>
      <c r="V36" s="99"/>
      <c r="W36" s="99"/>
      <c r="X36" s="99"/>
      <c r="Y36" s="99"/>
      <c r="Z36" s="99"/>
      <c r="AA36" s="99"/>
      <c r="AB36" s="99"/>
      <c r="AC36" s="99"/>
      <c r="AD36" s="99"/>
      <c r="AE36" s="99"/>
      <c r="AF36" s="94"/>
    </row>
    <row r="37" spans="1:32" ht="40.15" customHeight="1" x14ac:dyDescent="0.35">
      <c r="A37" s="99"/>
      <c r="B37" s="236"/>
      <c r="C37" s="229"/>
      <c r="D37" s="229"/>
      <c r="E37" s="229"/>
      <c r="F37" s="229"/>
      <c r="G37" s="229"/>
      <c r="H37" s="74"/>
      <c r="I37" s="99"/>
      <c r="J37" s="99"/>
      <c r="K37" s="99"/>
      <c r="L37" s="99"/>
      <c r="M37" s="99"/>
      <c r="N37" s="99"/>
      <c r="O37" s="105"/>
      <c r="P37" s="103"/>
      <c r="Q37" s="106"/>
      <c r="R37" s="99"/>
      <c r="S37" s="99"/>
      <c r="T37" s="99"/>
      <c r="U37" s="99"/>
      <c r="V37" s="99"/>
      <c r="W37" s="99"/>
      <c r="X37" s="99"/>
      <c r="Y37" s="99"/>
      <c r="Z37" s="99"/>
      <c r="AA37" s="99"/>
      <c r="AB37" s="99"/>
      <c r="AC37" s="99"/>
      <c r="AD37" s="99"/>
      <c r="AE37" s="99"/>
      <c r="AF37" s="94"/>
    </row>
    <row r="38" spans="1:32" ht="40.15" customHeight="1" x14ac:dyDescent="0.35">
      <c r="A38" s="99"/>
      <c r="B38" s="236"/>
      <c r="C38" s="229"/>
      <c r="D38" s="229"/>
      <c r="E38" s="229"/>
      <c r="F38" s="229"/>
      <c r="G38" s="229"/>
      <c r="H38" s="74"/>
      <c r="I38" s="99"/>
      <c r="J38" s="99"/>
      <c r="K38" s="99"/>
      <c r="L38" s="99"/>
      <c r="M38" s="99"/>
      <c r="N38" s="99"/>
      <c r="O38" s="105"/>
      <c r="P38" s="103"/>
      <c r="Q38" s="106"/>
      <c r="R38" s="99"/>
      <c r="S38" s="99"/>
      <c r="T38" s="99"/>
      <c r="U38" s="99"/>
      <c r="V38" s="99"/>
      <c r="W38" s="99"/>
      <c r="X38" s="99"/>
      <c r="Y38" s="99"/>
      <c r="Z38" s="99"/>
      <c r="AA38" s="99"/>
      <c r="AB38" s="99"/>
      <c r="AC38" s="99"/>
      <c r="AD38" s="99"/>
      <c r="AE38" s="99"/>
      <c r="AF38" s="94"/>
    </row>
    <row r="39" spans="1:32" ht="40.15" customHeight="1" x14ac:dyDescent="0.35">
      <c r="A39" s="99"/>
      <c r="B39" s="236"/>
      <c r="C39" s="229"/>
      <c r="D39" s="229"/>
      <c r="E39" s="229"/>
      <c r="F39" s="229"/>
      <c r="G39" s="229"/>
      <c r="H39" s="74"/>
      <c r="I39" s="99"/>
      <c r="J39" s="99"/>
      <c r="K39" s="99"/>
      <c r="L39" s="99"/>
      <c r="M39" s="99"/>
      <c r="N39" s="99"/>
      <c r="O39" s="105"/>
      <c r="P39" s="104"/>
      <c r="Q39" s="106"/>
      <c r="R39" s="99"/>
      <c r="S39" s="99"/>
      <c r="T39" s="99"/>
      <c r="U39" s="99"/>
      <c r="V39" s="99"/>
      <c r="W39" s="99"/>
      <c r="X39" s="99"/>
      <c r="Y39" s="99"/>
      <c r="Z39" s="99"/>
      <c r="AA39" s="99"/>
      <c r="AB39" s="99"/>
      <c r="AC39" s="99"/>
      <c r="AD39" s="99"/>
      <c r="AE39" s="99"/>
      <c r="AF39" s="94"/>
    </row>
    <row r="40" spans="1:32" ht="40.15" customHeight="1" x14ac:dyDescent="0.35">
      <c r="A40" s="99"/>
      <c r="B40" s="236"/>
      <c r="C40" s="229"/>
      <c r="D40" s="229"/>
      <c r="E40" s="229"/>
      <c r="F40" s="229"/>
      <c r="G40" s="229"/>
      <c r="H40" s="74"/>
      <c r="I40" s="99"/>
      <c r="J40" s="99"/>
      <c r="K40" s="99"/>
      <c r="L40" s="99"/>
      <c r="M40" s="99"/>
      <c r="N40" s="99"/>
      <c r="O40" s="99"/>
      <c r="P40" s="103"/>
      <c r="Q40" s="106"/>
      <c r="R40" s="99"/>
      <c r="S40" s="99"/>
      <c r="T40" s="99"/>
      <c r="U40" s="99"/>
      <c r="V40" s="99"/>
      <c r="W40" s="99"/>
      <c r="X40" s="99"/>
      <c r="Y40" s="99"/>
      <c r="Z40" s="99"/>
      <c r="AA40" s="99"/>
      <c r="AB40" s="99"/>
      <c r="AC40" s="99"/>
      <c r="AD40" s="99"/>
      <c r="AE40" s="99"/>
      <c r="AF40" s="94"/>
    </row>
    <row r="41" spans="1:32" ht="40.15" customHeight="1" x14ac:dyDescent="0.3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3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3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35">
      <c r="A44" s="9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35">
      <c r="A45" s="94"/>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35">
      <c r="A46" s="94"/>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35">
      <c r="A47" s="94"/>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35">
      <c r="A48" s="94"/>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35">
      <c r="A49" s="94"/>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35">
      <c r="A50" s="94"/>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35">
      <c r="A51" s="94"/>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35">
      <c r="A52" s="94"/>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35">
      <c r="A53" s="94"/>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35">
      <c r="A54" s="9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35">
      <c r="A55" s="57"/>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35">
      <c r="A56" s="57"/>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35">
      <c r="A57" s="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35">
      <c r="A58" s="57"/>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35">
      <c r="A59" s="57"/>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35">
      <c r="A60" s="57"/>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35">
      <c r="A61" s="57"/>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35">
      <c r="A62" s="57"/>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35">
      <c r="A63" s="57"/>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35">
      <c r="A64" s="57"/>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35">
      <c r="A65" s="57"/>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35">
      <c r="A66" s="57"/>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35">
      <c r="A67" s="5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35">
      <c r="A68" s="57"/>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35">
      <c r="A69" s="57"/>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35">
      <c r="A70" s="57"/>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35">
      <c r="A71" s="57"/>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35">
      <c r="A72" s="57"/>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35">
      <c r="A73" s="57"/>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35">
      <c r="A74" s="57"/>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35">
      <c r="A75" s="57"/>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35">
      <c r="A76" s="57"/>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35">
      <c r="A77" s="5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35">
      <c r="A78" s="57"/>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35">
      <c r="A79" s="57"/>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35">
      <c r="A80" s="57"/>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35">
      <c r="A81" s="57"/>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35">
      <c r="A82" s="57"/>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35">
      <c r="A83" s="57"/>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35">
      <c r="A84" s="57"/>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35">
      <c r="A85" s="57"/>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35">
      <c r="A86" s="57"/>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35">
      <c r="A87" s="5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35">
      <c r="A88" s="57"/>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35">
      <c r="A89" s="57"/>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35">
      <c r="A90" s="57"/>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35">
      <c r="A91" s="57"/>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35">
      <c r="A92" s="57"/>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35">
      <c r="A93" s="57"/>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35">
      <c r="A94" s="57"/>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35">
      <c r="A95" s="57"/>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35">
      <c r="A96" s="57"/>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35">
      <c r="A97" s="5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35">
      <c r="A98" s="57"/>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35">
      <c r="A99" s="57"/>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35">
      <c r="A100" s="57"/>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35">
      <c r="A101" s="57"/>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35">
      <c r="A102" s="57"/>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35">
      <c r="A103" s="57"/>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35">
      <c r="A104" s="57"/>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35">
      <c r="A105" s="57"/>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35">
      <c r="A106" s="57"/>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35">
      <c r="A107" s="5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35">
      <c r="A108" s="57"/>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35">
      <c r="A109" s="57"/>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35">
      <c r="A110" s="57"/>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35">
      <c r="A111" s="57"/>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35">
      <c r="A112" s="57"/>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35">
      <c r="A113" s="57"/>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35">
      <c r="A114" s="57"/>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35">
      <c r="A115" s="57"/>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35">
      <c r="A116" s="57"/>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35">
      <c r="A117" s="5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35">
      <c r="A118" s="57"/>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35">
      <c r="A119" s="57"/>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35">
      <c r="A120" s="57"/>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35">
      <c r="A121" s="57"/>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35">
      <c r="A122" s="57"/>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35">
      <c r="A123" s="57"/>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35">
      <c r="A124" s="57"/>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35">
      <c r="A125" s="57"/>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35">
      <c r="A126" s="57"/>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35">
      <c r="A127" s="5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35">
      <c r="A128" s="57"/>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35">
      <c r="A129" s="57"/>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35">
      <c r="A130" s="57"/>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35">
      <c r="A131" s="57"/>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35">
      <c r="A132" s="57"/>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35">
      <c r="A133" s="57"/>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35">
      <c r="A134" s="57"/>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35">
      <c r="A135" s="57"/>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35">
      <c r="A136" s="57"/>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35">
      <c r="A137" s="5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35">
      <c r="A138" s="57"/>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35">
      <c r="A139" s="57"/>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35">
      <c r="A140" s="57"/>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35">
      <c r="A141" s="57"/>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35">
      <c r="A142" s="57"/>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35">
      <c r="A143" s="57"/>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35">
      <c r="A144" s="57"/>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35">
      <c r="A145" s="57"/>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35">
      <c r="A146" s="57"/>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35">
      <c r="A147" s="5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35">
      <c r="A148" s="57"/>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35">
      <c r="A149" s="57"/>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35">
      <c r="A150" s="57"/>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35">
      <c r="A151" s="57"/>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35">
      <c r="A152" s="57"/>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35">
      <c r="A153" s="57"/>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35">
      <c r="A154" s="57"/>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35">
      <c r="A155" s="57"/>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35">
      <c r="A156" s="57"/>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35">
      <c r="A157" s="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35">
      <c r="A158" s="57"/>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35">
      <c r="A159" s="57"/>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35">
      <c r="A160" s="57"/>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35">
      <c r="A161" s="57"/>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35">
      <c r="A162" s="57"/>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35">
      <c r="A163" s="57"/>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35">
      <c r="A164" s="57"/>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35">
      <c r="A165" s="57"/>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35">
      <c r="A166" s="57"/>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35">
      <c r="A167" s="5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35">
      <c r="A168" s="57"/>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35">
      <c r="A169" s="57"/>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35">
      <c r="A170" s="57"/>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35">
      <c r="A171" s="57"/>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35">
      <c r="A172" s="57"/>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35">
      <c r="A173" s="57"/>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35">
      <c r="A174" s="57"/>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35">
      <c r="A175" s="57"/>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35">
      <c r="A176" s="57"/>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35">
      <c r="A177" s="5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35">
      <c r="A178" s="57"/>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35">
      <c r="A179" s="57"/>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35">
      <c r="A180" s="57"/>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35">
      <c r="A181" s="57"/>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35">
      <c r="A182" s="57"/>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35">
      <c r="A183" s="57"/>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35">
      <c r="A184" s="57"/>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35">
      <c r="A185" s="57"/>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35">
      <c r="A186" s="57"/>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35">
      <c r="A187" s="5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35">
      <c r="A188" s="57"/>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35">
      <c r="A189" s="57"/>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35">
      <c r="A190" s="57"/>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35">
      <c r="A191" s="57"/>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35">
      <c r="A192" s="57"/>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35">
      <c r="A193" s="57"/>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35">
      <c r="A194" s="57"/>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35">
      <c r="A195" s="57"/>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35">
      <c r="A196" s="57"/>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35">
      <c r="A197" s="5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35">
      <c r="A198" s="57"/>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35">
      <c r="A199" s="57"/>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35">
      <c r="A200" s="57"/>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35">
      <c r="A201" s="57"/>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35">
      <c r="A202" s="57"/>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35">
      <c r="A203" s="57"/>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35">
      <c r="A204" s="57"/>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35">
      <c r="A205" s="57"/>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35">
      <c r="A206" s="57"/>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35">
      <c r="A207" s="5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35">
      <c r="A208" s="57"/>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35">
      <c r="A209" s="57"/>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35">
      <c r="A210" s="57"/>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35">
      <c r="A211" s="57"/>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35">
      <c r="A212" s="57"/>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35">
      <c r="A213" s="57"/>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35">
      <c r="A214" s="57"/>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35">
      <c r="A215" s="57"/>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35">
      <c r="A216" s="57"/>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35">
      <c r="A217" s="5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35">
      <c r="A218" s="57"/>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35">
      <c r="A219" s="57"/>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35">
      <c r="A220" s="57"/>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35">
      <c r="A221" s="57"/>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35">
      <c r="A222" s="57"/>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35">
      <c r="A223" s="57"/>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35">
      <c r="A224" s="57"/>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35">
      <c r="A225" s="57"/>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35">
      <c r="A226" s="57"/>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35">
      <c r="A227" s="5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35">
      <c r="A228" s="57"/>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35">
      <c r="A229" s="57"/>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35">
      <c r="A230" s="57"/>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35">
      <c r="A231" s="57"/>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35">
      <c r="A232" s="57"/>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35">
      <c r="A233" s="57"/>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35">
      <c r="A234" s="57"/>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35">
      <c r="A235" s="57"/>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35">
      <c r="A236" s="57"/>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35">
      <c r="A237" s="5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35">
      <c r="A238" s="57"/>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35">
      <c r="A239" s="57"/>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35">
      <c r="A240" s="57"/>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35">
      <c r="A241" s="57"/>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35">
      <c r="A242" s="57"/>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35">
      <c r="A243" s="57"/>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35">
      <c r="A244" s="57"/>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35">
      <c r="A245" s="57"/>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35">
      <c r="A246" s="57"/>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35">
      <c r="A247" s="5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35">
      <c r="A248" s="57"/>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35">
      <c r="A249" s="57"/>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35">
      <c r="A250" s="57"/>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35">
      <c r="A251" s="57"/>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35">
      <c r="A252" s="57"/>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35">
      <c r="A253" s="57"/>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35">
      <c r="A254" s="57"/>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35">
      <c r="A255" s="57"/>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35">
      <c r="A256" s="57"/>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35">
      <c r="A257" s="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35">
      <c r="A258" s="57"/>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35">
      <c r="A259" s="57"/>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35">
      <c r="A260" s="57"/>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35">
      <c r="A261" s="57"/>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35">
      <c r="A262" s="57"/>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35">
      <c r="A263" s="57"/>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35">
      <c r="A264" s="57"/>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35">
      <c r="A265" s="57"/>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35">
      <c r="A266" s="57"/>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35">
      <c r="A267" s="5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35">
      <c r="A268" s="57"/>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35">
      <c r="A269" s="57"/>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35">
      <c r="A270" s="57"/>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35">
      <c r="A271" s="57"/>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35">
      <c r="A272" s="57"/>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35">
      <c r="A273" s="57"/>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35">
      <c r="A274" s="57"/>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35">
      <c r="A275" s="57"/>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35">
      <c r="A276" s="57"/>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35">
      <c r="A277" s="5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35">
      <c r="A278" s="57"/>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35">
      <c r="A279" s="57"/>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35">
      <c r="A280" s="57"/>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35">
      <c r="A281" s="57"/>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35">
      <c r="A282" s="57"/>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35">
      <c r="A283" s="57"/>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35">
      <c r="A284" s="57"/>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35">
      <c r="A285" s="57"/>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35">
      <c r="A286" s="57"/>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35">
      <c r="A287" s="5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35">
      <c r="A288" s="57"/>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35">
      <c r="A289" s="57"/>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35">
      <c r="A290" s="57"/>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35">
      <c r="A291" s="57"/>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35">
      <c r="A292" s="57"/>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35">
      <c r="A293" s="57"/>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35">
      <c r="A294" s="57"/>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35">
      <c r="A295" s="57"/>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35">
      <c r="A296" s="57"/>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35">
      <c r="A297" s="5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35">
      <c r="A298" s="57"/>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35">
      <c r="A299" s="57"/>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35">
      <c r="A300" s="57"/>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35">
      <c r="A301" s="57"/>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35">
      <c r="A302" s="57"/>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35">
      <c r="A303" s="57"/>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35">
      <c r="A304" s="57"/>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35">
      <c r="A305" s="57"/>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35">
      <c r="A306" s="57"/>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35">
      <c r="A307" s="5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35">
      <c r="A308" s="57"/>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35">
      <c r="A309" s="57"/>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35">
      <c r="A310" s="57"/>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35">
      <c r="A311" s="57"/>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35">
      <c r="A312" s="57"/>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35">
      <c r="A313" s="57"/>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35">
      <c r="A314" s="57"/>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35">
      <c r="A315" s="57"/>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35">
      <c r="A316" s="57"/>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35">
      <c r="A317" s="5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35">
      <c r="A318" s="57"/>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35">
      <c r="A319" s="57"/>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35">
      <c r="A320" s="57"/>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35">
      <c r="A321" s="57"/>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35">
      <c r="A322" s="57"/>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35">
      <c r="A323" s="57"/>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35">
      <c r="A324" s="57"/>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35">
      <c r="A325" s="57"/>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35">
      <c r="A326" s="57"/>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35">
      <c r="A327" s="5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35">
      <c r="A328" s="57"/>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35">
      <c r="A329" s="57"/>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35">
      <c r="A330" s="57"/>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35">
      <c r="A331" s="57"/>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35">
      <c r="A332" s="57"/>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35">
      <c r="A333" s="57"/>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35">
      <c r="A334" s="57"/>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35">
      <c r="A335" s="57"/>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35">
      <c r="A336" s="57"/>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35">
      <c r="A337" s="5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35">
      <c r="A338" s="57"/>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35">
      <c r="A339" s="57"/>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35">
      <c r="A340" s="57"/>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35">
      <c r="A341" s="57"/>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35">
      <c r="A342" s="57"/>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35">
      <c r="A343" s="57"/>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35">
      <c r="A344" s="57"/>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35">
      <c r="A345" s="57"/>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35">
      <c r="A346" s="57"/>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35">
      <c r="A347" s="5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35">
      <c r="A348" s="57"/>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35">
      <c r="A349" s="57"/>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35">
      <c r="A350" s="57"/>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35">
      <c r="A351" s="57"/>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35">
      <c r="A352" s="57"/>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35">
      <c r="A353" s="57"/>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35">
      <c r="A354" s="57"/>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35">
      <c r="A355" s="57"/>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35">
      <c r="A356" s="57"/>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35">
      <c r="A357" s="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35">
      <c r="A358" s="57"/>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35">
      <c r="A359" s="57"/>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35">
      <c r="A360" s="57"/>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35">
      <c r="A361" s="57"/>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35">
      <c r="A362" s="57"/>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35">
      <c r="A363" s="57"/>
      <c r="C363" s="56"/>
      <c r="D363" s="55"/>
      <c r="E363" s="56"/>
      <c r="F363" s="56"/>
      <c r="G363" s="56"/>
      <c r="H363" s="57"/>
      <c r="I363" s="57"/>
      <c r="J363" s="57"/>
    </row>
    <row r="364" spans="1:30" ht="40.15" customHeight="1" x14ac:dyDescent="0.35">
      <c r="A364" s="57"/>
      <c r="C364" s="56"/>
      <c r="D364" s="55"/>
      <c r="E364" s="56"/>
      <c r="F364" s="56"/>
      <c r="G364" s="56"/>
      <c r="H364" s="57"/>
      <c r="I364" s="57"/>
      <c r="J364" s="57"/>
    </row>
    <row r="365" spans="1:30" ht="40.15" customHeight="1" x14ac:dyDescent="0.35">
      <c r="A365" s="57"/>
      <c r="C365" s="56"/>
      <c r="D365" s="55"/>
      <c r="E365" s="56"/>
      <c r="F365" s="56"/>
      <c r="G365" s="56"/>
      <c r="H365" s="57"/>
      <c r="I365" s="57"/>
      <c r="J365" s="57"/>
    </row>
    <row r="366" spans="1:30" ht="40.15" customHeight="1" x14ac:dyDescent="0.35">
      <c r="A366" s="57"/>
      <c r="C366" s="56"/>
      <c r="D366" s="55"/>
      <c r="E366" s="56"/>
      <c r="F366" s="56"/>
      <c r="G366" s="56"/>
      <c r="H366" s="57"/>
      <c r="I366" s="57"/>
      <c r="J366" s="57"/>
    </row>
    <row r="367" spans="1:30" ht="40.15" customHeight="1" x14ac:dyDescent="0.35">
      <c r="A367" s="57"/>
      <c r="C367" s="56"/>
      <c r="D367" s="55"/>
      <c r="E367" s="56"/>
      <c r="F367" s="56"/>
      <c r="G367" s="56"/>
      <c r="H367" s="57"/>
      <c r="I367" s="57"/>
      <c r="J367" s="57"/>
    </row>
    <row r="368" spans="1:30" ht="40.15" customHeight="1" x14ac:dyDescent="0.35">
      <c r="A368" s="57"/>
      <c r="C368" s="56"/>
      <c r="D368" s="55"/>
      <c r="E368" s="56"/>
      <c r="F368" s="56"/>
      <c r="G368" s="56"/>
      <c r="H368" s="57"/>
      <c r="I368" s="57"/>
      <c r="J368" s="57"/>
    </row>
    <row r="369" spans="1:10" ht="40.15" customHeight="1" x14ac:dyDescent="0.35">
      <c r="A369" s="57"/>
      <c r="C369" s="56"/>
      <c r="D369" s="55"/>
      <c r="E369" s="56"/>
      <c r="F369" s="56"/>
      <c r="G369" s="56"/>
      <c r="H369" s="57"/>
      <c r="I369" s="57"/>
      <c r="J369" s="57"/>
    </row>
    <row r="370" spans="1:10" ht="40.15" customHeight="1" x14ac:dyDescent="0.35">
      <c r="A370" s="57"/>
      <c r="C370" s="56"/>
      <c r="D370" s="55"/>
      <c r="E370" s="56"/>
      <c r="F370" s="56"/>
      <c r="G370" s="56"/>
      <c r="H370" s="57"/>
      <c r="I370" s="57"/>
      <c r="J370" s="57"/>
    </row>
    <row r="371" spans="1:10" ht="40.15" customHeight="1" x14ac:dyDescent="0.35">
      <c r="A371" s="57"/>
      <c r="C371" s="56"/>
      <c r="D371" s="55"/>
      <c r="E371" s="56"/>
      <c r="F371" s="56"/>
      <c r="G371" s="56"/>
      <c r="H371" s="57"/>
      <c r="I371" s="57"/>
      <c r="J371" s="57"/>
    </row>
    <row r="372" spans="1:10" ht="40.15" customHeight="1" x14ac:dyDescent="0.35">
      <c r="A372" s="57"/>
      <c r="C372" s="56"/>
      <c r="D372" s="55"/>
      <c r="E372" s="56"/>
      <c r="F372" s="56"/>
      <c r="G372" s="56"/>
      <c r="H372" s="57"/>
      <c r="I372" s="57"/>
      <c r="J372" s="59"/>
    </row>
    <row r="373" spans="1:10" ht="40.15" customHeight="1" x14ac:dyDescent="0.35">
      <c r="C373" s="56"/>
      <c r="D373" s="55"/>
      <c r="E373" s="56"/>
      <c r="F373" s="56"/>
      <c r="G373" s="56"/>
    </row>
    <row r="374" spans="1:10" ht="40.15" customHeight="1" x14ac:dyDescent="0.35">
      <c r="C374" s="56"/>
      <c r="D374" s="55"/>
      <c r="E374" s="56"/>
      <c r="F374" s="56"/>
      <c r="G374" s="56"/>
    </row>
    <row r="375" spans="1:10" ht="40.15" customHeight="1" x14ac:dyDescent="0.35">
      <c r="C375" s="56"/>
      <c r="D375" s="55"/>
      <c r="E375" s="56"/>
      <c r="F375" s="56"/>
      <c r="G375" s="56"/>
    </row>
    <row r="376" spans="1:10" ht="40.15" customHeight="1" x14ac:dyDescent="0.35">
      <c r="C376" s="56"/>
      <c r="D376" s="55"/>
      <c r="E376" s="56"/>
      <c r="F376" s="56"/>
      <c r="G376" s="56"/>
    </row>
    <row r="377" spans="1:10" ht="40.15" customHeight="1" x14ac:dyDescent="0.35">
      <c r="C377" s="56"/>
      <c r="D377" s="55"/>
      <c r="E377" s="56"/>
      <c r="F377" s="56"/>
      <c r="G377" s="56"/>
    </row>
  </sheetData>
  <sheetProtection algorithmName="SHA-512" hashValue="pziq2H54KDut+7PuDtSDYz419W6h637EUW/BfADKoWTQCCz15LXhO7qVpWth5zIRTCXzWEagnTDgsA76Fi1mkg==" saltValue="NIFq9wv5VWFnQgF0X5EDDg==" spinCount="100000" sheet="1" objects="1" scenarios="1" selectLockedCells="1"/>
  <mergeCells count="20">
    <mergeCell ref="F1:G1"/>
    <mergeCell ref="K2:L2"/>
    <mergeCell ref="N2:O2"/>
    <mergeCell ref="K1:AD1"/>
    <mergeCell ref="U9:X9"/>
    <mergeCell ref="K9:N9"/>
    <mergeCell ref="P9:S9"/>
    <mergeCell ref="U11:W11"/>
    <mergeCell ref="U12:W12"/>
    <mergeCell ref="K14:L14"/>
    <mergeCell ref="P14:Q14"/>
    <mergeCell ref="U10:W10"/>
    <mergeCell ref="K10:M10"/>
    <mergeCell ref="P10:R10"/>
    <mergeCell ref="K15:L15"/>
    <mergeCell ref="P15:Q15"/>
    <mergeCell ref="K11:M11"/>
    <mergeCell ref="K12:M12"/>
    <mergeCell ref="P11:R11"/>
    <mergeCell ref="P12:R12"/>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Data_donotedit!$A$2:$A$5</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Data_donotedit!$F$2:$F$8</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9"/>
  <sheetViews>
    <sheetView topLeftCell="A140" zoomScale="70" zoomScaleNormal="70" workbookViewId="0">
      <selection activeCell="D40" sqref="D40"/>
    </sheetView>
  </sheetViews>
  <sheetFormatPr defaultColWidth="8.81640625" defaultRowHeight="45" customHeight="1" x14ac:dyDescent="0.35"/>
  <cols>
    <col min="1" max="1" width="10.453125" style="107" customWidth="1"/>
    <col min="2" max="2" width="16.7265625" style="116" bestFit="1" customWidth="1"/>
    <col min="3" max="3" width="103.26953125" style="117" customWidth="1"/>
    <col min="4" max="4" width="11.1796875" style="118" customWidth="1"/>
    <col min="5" max="5" width="11.54296875" style="118" customWidth="1"/>
    <col min="6" max="6" width="11" style="118" customWidth="1"/>
    <col min="7" max="7" width="18.7265625" style="67" bestFit="1" customWidth="1"/>
    <col min="8" max="8" width="8.81640625" style="58" customWidth="1"/>
    <col min="9" max="16384" width="8.81640625" style="58"/>
  </cols>
  <sheetData>
    <row r="1" spans="1:7" ht="45" customHeight="1" x14ac:dyDescent="0.35">
      <c r="A1" s="119" t="s">
        <v>29</v>
      </c>
      <c r="B1" s="81" t="s">
        <v>30</v>
      </c>
      <c r="C1" s="82" t="s">
        <v>31</v>
      </c>
      <c r="D1" s="124"/>
      <c r="E1" s="86" t="s">
        <v>32</v>
      </c>
      <c r="F1" s="88"/>
    </row>
    <row r="2" spans="1:7" ht="45" hidden="1" customHeight="1" x14ac:dyDescent="0.35">
      <c r="A2" s="120"/>
      <c r="B2" s="92" t="s">
        <v>34</v>
      </c>
      <c r="C2" s="90" t="s">
        <v>47</v>
      </c>
      <c r="D2" s="83"/>
      <c r="E2" s="87"/>
      <c r="F2" s="130">
        <v>304</v>
      </c>
      <c r="G2" s="63" t="s">
        <v>34</v>
      </c>
    </row>
    <row r="3" spans="1:7" ht="45" hidden="1" customHeight="1" x14ac:dyDescent="0.35">
      <c r="A3" s="120"/>
      <c r="B3" s="121" t="s">
        <v>48</v>
      </c>
      <c r="C3" s="90" t="s">
        <v>49</v>
      </c>
      <c r="D3" s="83"/>
      <c r="E3" s="87"/>
      <c r="F3" s="130">
        <v>2</v>
      </c>
      <c r="G3" s="63" t="s">
        <v>34</v>
      </c>
    </row>
    <row r="4" spans="1:7" ht="45" hidden="1" customHeight="1" x14ac:dyDescent="0.35">
      <c r="A4" s="120"/>
      <c r="B4" s="121" t="s">
        <v>64</v>
      </c>
      <c r="C4" s="90" t="s">
        <v>65</v>
      </c>
      <c r="D4" s="83"/>
      <c r="E4" s="87"/>
      <c r="F4" s="130">
        <v>264</v>
      </c>
      <c r="G4" s="63" t="s">
        <v>34</v>
      </c>
    </row>
    <row r="5" spans="1:7" ht="45" hidden="1" customHeight="1" x14ac:dyDescent="0.35">
      <c r="A5" s="120"/>
      <c r="B5" s="121" t="s">
        <v>67</v>
      </c>
      <c r="C5" s="90" t="s">
        <v>68</v>
      </c>
      <c r="D5" s="83"/>
      <c r="E5" s="87"/>
      <c r="F5" s="130">
        <v>1</v>
      </c>
      <c r="G5" s="63" t="s">
        <v>34</v>
      </c>
    </row>
    <row r="6" spans="1:7" ht="45" hidden="1" customHeight="1" x14ac:dyDescent="0.35">
      <c r="A6" s="120"/>
      <c r="B6" s="84" t="s">
        <v>70</v>
      </c>
      <c r="C6" s="128" t="s">
        <v>71</v>
      </c>
      <c r="D6" s="89" t="s">
        <v>72</v>
      </c>
      <c r="E6" s="89" t="s">
        <v>73</v>
      </c>
      <c r="F6" s="89" t="s">
        <v>74</v>
      </c>
      <c r="G6" s="63" t="s">
        <v>34</v>
      </c>
    </row>
    <row r="7" spans="1:7" ht="45" hidden="1" customHeight="1" x14ac:dyDescent="0.35">
      <c r="A7" s="120"/>
      <c r="B7" s="84">
        <v>211</v>
      </c>
      <c r="C7" s="129" t="s">
        <v>76</v>
      </c>
      <c r="D7" s="75">
        <f ca="1">_xlfn.IFNA(VLOOKUP(B7,Worksheet!$C$3:$G$12,3,FALSE),D7)</f>
        <v>90</v>
      </c>
      <c r="E7" s="130">
        <f ca="1">_xlfn.IFNA(VLOOKUP(B7,Worksheet!$C$3:$G$12,4,FALSE),E7)</f>
        <v>90</v>
      </c>
      <c r="F7" s="130">
        <f ca="1">_xlfn.IFNA(VLOOKUP(B7,Worksheet!$C$3:$G$12,5,FALSE),F7)</f>
        <v>90</v>
      </c>
      <c r="G7" s="63" t="s">
        <v>34</v>
      </c>
    </row>
    <row r="8" spans="1:7" ht="45" hidden="1" customHeight="1" x14ac:dyDescent="0.35">
      <c r="A8" s="120"/>
      <c r="B8" s="84">
        <v>212</v>
      </c>
      <c r="C8" s="129" t="s">
        <v>77</v>
      </c>
      <c r="D8" s="75">
        <f ca="1">_xlfn.IFNA(VLOOKUP(B8,Worksheet!$C$3:$G$12,3,FALSE),D8)</f>
        <v>90</v>
      </c>
      <c r="E8" s="130">
        <f ca="1">_xlfn.IFNA(VLOOKUP(B8,Worksheet!$C$3:$G$12,4,FALSE),E8)</f>
        <v>89</v>
      </c>
      <c r="F8" s="130">
        <f ca="1">_xlfn.IFNA(VLOOKUP(B8,Worksheet!$C$3:$G$12,5,FALSE),F8)</f>
        <v>90</v>
      </c>
      <c r="G8" s="63" t="s">
        <v>34</v>
      </c>
    </row>
    <row r="9" spans="1:7" ht="45" hidden="1" customHeight="1" x14ac:dyDescent="0.35">
      <c r="A9" s="120"/>
      <c r="B9" s="84">
        <v>213</v>
      </c>
      <c r="C9" s="129" t="s">
        <v>79</v>
      </c>
      <c r="D9" s="75">
        <f ca="1">_xlfn.IFNA(VLOOKUP(B9,Worksheet!$C$3:$G$12,3,FALSE),D9)</f>
        <v>0</v>
      </c>
      <c r="E9" s="130">
        <f ca="1">_xlfn.IFNA(VLOOKUP(B9,Worksheet!$C$3:$G$12,4,FALSE),E9)</f>
        <v>1</v>
      </c>
      <c r="F9" s="130">
        <f ca="1">_xlfn.IFNA(VLOOKUP(B9,Worksheet!$C$3:$G$12,5,FALSE),F9)</f>
        <v>0</v>
      </c>
      <c r="G9" s="63" t="s">
        <v>34</v>
      </c>
    </row>
    <row r="10" spans="1:7" ht="45" hidden="1" customHeight="1" x14ac:dyDescent="0.35">
      <c r="A10" s="120"/>
      <c r="B10" s="84">
        <v>214</v>
      </c>
      <c r="C10" s="129" t="s">
        <v>81</v>
      </c>
      <c r="D10" s="75">
        <f ca="1">_xlfn.IFNA(VLOOKUP(B10,Worksheet!$C$3:$G$12,3,FALSE),D10)</f>
        <v>0</v>
      </c>
      <c r="E10" s="130">
        <f ca="1">_xlfn.IFNA(VLOOKUP(B10,Worksheet!$C$3:$G$12,4,FALSE),E10)</f>
        <v>1</v>
      </c>
      <c r="F10" s="130">
        <f ca="1">_xlfn.IFNA(VLOOKUP(B10,Worksheet!$C$3:$G$12,5,FALSE),F10)</f>
        <v>0</v>
      </c>
      <c r="G10" s="63" t="s">
        <v>34</v>
      </c>
    </row>
    <row r="11" spans="1:7" ht="45" hidden="1" customHeight="1" x14ac:dyDescent="0.35">
      <c r="A11" s="120"/>
      <c r="B11" s="69"/>
      <c r="C11" s="315"/>
      <c r="D11" s="317"/>
      <c r="E11" s="317"/>
      <c r="F11" s="318"/>
      <c r="G11" s="63"/>
    </row>
    <row r="12" spans="1:7" ht="45" hidden="1" customHeight="1" x14ac:dyDescent="0.35">
      <c r="A12" s="120"/>
      <c r="B12" s="122" t="s">
        <v>53</v>
      </c>
      <c r="C12" s="90" t="s">
        <v>88</v>
      </c>
      <c r="D12" s="83"/>
      <c r="E12" s="87"/>
      <c r="F12" s="130">
        <v>40</v>
      </c>
      <c r="G12" s="63" t="s">
        <v>53</v>
      </c>
    </row>
    <row r="13" spans="1:7" ht="45" hidden="1" customHeight="1" x14ac:dyDescent="0.35">
      <c r="A13" s="120"/>
      <c r="B13" s="123" t="s">
        <v>89</v>
      </c>
      <c r="C13" s="90" t="s">
        <v>90</v>
      </c>
      <c r="D13" s="83"/>
      <c r="E13" s="87"/>
      <c r="F13" s="130">
        <v>1</v>
      </c>
      <c r="G13" s="63" t="s">
        <v>53</v>
      </c>
    </row>
    <row r="14" spans="1:7" ht="45" hidden="1" customHeight="1" x14ac:dyDescent="0.35">
      <c r="A14" s="120"/>
      <c r="B14" s="123" t="s">
        <v>91</v>
      </c>
      <c r="C14" s="90" t="s">
        <v>92</v>
      </c>
      <c r="D14" s="83"/>
      <c r="E14" s="87"/>
      <c r="F14" s="130">
        <v>0</v>
      </c>
      <c r="G14" s="63" t="s">
        <v>53</v>
      </c>
    </row>
    <row r="15" spans="1:7" ht="45" hidden="1" customHeight="1" x14ac:dyDescent="0.35">
      <c r="A15" s="120"/>
      <c r="B15" s="81" t="s">
        <v>93</v>
      </c>
      <c r="C15" s="128" t="s">
        <v>94</v>
      </c>
      <c r="D15" s="89" t="s">
        <v>72</v>
      </c>
      <c r="E15" s="89" t="s">
        <v>73</v>
      </c>
      <c r="F15" s="89" t="s">
        <v>74</v>
      </c>
      <c r="G15" s="63" t="s">
        <v>53</v>
      </c>
    </row>
    <row r="16" spans="1:7" ht="45" hidden="1" customHeight="1" x14ac:dyDescent="0.35">
      <c r="A16" s="120"/>
      <c r="B16" s="84">
        <v>221</v>
      </c>
      <c r="C16" s="131" t="s">
        <v>95</v>
      </c>
      <c r="D16" s="75">
        <f ca="1">_xlfn.IFNA(VLOOKUP(B16,Worksheet!$C$3:$G$12,3,FALSE),D16)</f>
        <v>10</v>
      </c>
      <c r="E16" s="130">
        <f ca="1">_xlfn.IFNA(VLOOKUP(B16,Worksheet!$C$3:$G$12,4,FALSE),E16)</f>
        <v>26</v>
      </c>
      <c r="F16" s="130">
        <f ca="1">_xlfn.IFNA(VLOOKUP(B16,Worksheet!$C$3:$G$12,5,FALSE),F16)</f>
        <v>10</v>
      </c>
      <c r="G16" s="63" t="s">
        <v>53</v>
      </c>
    </row>
    <row r="17" spans="1:7" s="68" customFormat="1" ht="45" hidden="1" customHeight="1" x14ac:dyDescent="0.35">
      <c r="A17" s="120"/>
      <c r="B17" s="84">
        <v>222</v>
      </c>
      <c r="C17" s="131" t="s">
        <v>96</v>
      </c>
      <c r="D17" s="75">
        <f ca="1">_xlfn.IFNA(VLOOKUP(B17,Worksheet!$C$3:$G$12,3,FALSE),D17)</f>
        <v>0</v>
      </c>
      <c r="E17" s="130">
        <f ca="1">_xlfn.IFNA(VLOOKUP(B17,Worksheet!$C$3:$G$12,4,FALSE),E17)</f>
        <v>1</v>
      </c>
      <c r="F17" s="130">
        <f ca="1">_xlfn.IFNA(VLOOKUP(B17,Worksheet!$C$3:$G$12,5,FALSE),F17)</f>
        <v>0</v>
      </c>
      <c r="G17" s="63" t="s">
        <v>53</v>
      </c>
    </row>
    <row r="18" spans="1:7" s="68" customFormat="1" ht="45" hidden="1" customHeight="1" x14ac:dyDescent="0.35">
      <c r="A18" s="120"/>
      <c r="B18" s="84">
        <v>223</v>
      </c>
      <c r="C18" s="131" t="s">
        <v>97</v>
      </c>
      <c r="D18" s="75">
        <f ca="1">_xlfn.IFNA(VLOOKUP(B18,Worksheet!$C$3:$G$12,3,FALSE),D18)</f>
        <v>10</v>
      </c>
      <c r="E18" s="130">
        <f ca="1">_xlfn.IFNA(VLOOKUP(B18,Worksheet!$C$3:$G$12,4,FALSE),E18)</f>
        <v>25</v>
      </c>
      <c r="F18" s="130">
        <f ca="1">_xlfn.IFNA(VLOOKUP(B18,Worksheet!$C$3:$G$12,5,FALSE),F18)</f>
        <v>10</v>
      </c>
      <c r="G18" s="63" t="s">
        <v>53</v>
      </c>
    </row>
    <row r="19" spans="1:7" s="68" customFormat="1" ht="45" hidden="1" customHeight="1" x14ac:dyDescent="0.35">
      <c r="A19" s="120"/>
      <c r="B19" s="84">
        <v>224</v>
      </c>
      <c r="C19" s="131" t="s">
        <v>98</v>
      </c>
      <c r="D19" s="75">
        <f ca="1">_xlfn.IFNA(VLOOKUP(B19,Worksheet!$C$3:$G$12,3,FALSE),D19)</f>
        <v>0</v>
      </c>
      <c r="E19" s="130">
        <f ca="1">_xlfn.IFNA(VLOOKUP(B19,Worksheet!$C$3:$G$12,4,FALSE),E19)</f>
        <v>1</v>
      </c>
      <c r="F19" s="130">
        <f ca="1">_xlfn.IFNA(VLOOKUP(B19,Worksheet!$C$3:$G$12,5,FALSE),F19)</f>
        <v>0</v>
      </c>
      <c r="G19" s="63" t="s">
        <v>53</v>
      </c>
    </row>
    <row r="20" spans="1:7" ht="45" hidden="1" customHeight="1" x14ac:dyDescent="0.35">
      <c r="A20" s="120"/>
      <c r="B20" s="84">
        <v>225</v>
      </c>
      <c r="C20" s="85" t="s">
        <v>99</v>
      </c>
      <c r="D20" s="75">
        <f ca="1">_xlfn.IFNA(VLOOKUP(B20,Worksheet!$C$3:$G$12,3,FALSE),D20)</f>
        <v>0</v>
      </c>
      <c r="E20" s="130">
        <f ca="1">_xlfn.IFNA(VLOOKUP(B20,Worksheet!$C$3:$G$12,4,FALSE),E20)</f>
        <v>0</v>
      </c>
      <c r="F20" s="130">
        <f ca="1">_xlfn.IFNA(VLOOKUP(B20,Worksheet!$C$3:$G$12,5,FALSE),F20)</f>
        <v>0</v>
      </c>
      <c r="G20" s="63" t="s">
        <v>53</v>
      </c>
    </row>
    <row r="21" spans="1:7" ht="45" hidden="1" customHeight="1" x14ac:dyDescent="0.35">
      <c r="A21" s="120"/>
      <c r="B21" s="84">
        <v>226</v>
      </c>
      <c r="C21" s="131" t="s">
        <v>100</v>
      </c>
      <c r="D21" s="75">
        <f ca="1">_xlfn.IFNA(VLOOKUP(B21,Worksheet!$C$3:$G$12,3,FALSE),D21)</f>
        <v>0</v>
      </c>
      <c r="E21" s="130">
        <f ca="1">_xlfn.IFNA(VLOOKUP(B21,Worksheet!$C$3:$G$12,4,FALSE),E21)</f>
        <v>0</v>
      </c>
      <c r="F21" s="130">
        <f ca="1">_xlfn.IFNA(VLOOKUP(B21,Worksheet!$C$3:$G$12,5,FALSE),F21)</f>
        <v>0</v>
      </c>
      <c r="G21" s="63" t="s">
        <v>53</v>
      </c>
    </row>
    <row r="22" spans="1:7" ht="45" hidden="1" customHeight="1" x14ac:dyDescent="0.35">
      <c r="A22" s="120"/>
      <c r="B22" s="69"/>
      <c r="C22" s="315"/>
      <c r="D22" s="317"/>
      <c r="E22" s="317"/>
      <c r="F22" s="318"/>
      <c r="G22" s="71"/>
    </row>
    <row r="23" spans="1:7" ht="45" hidden="1" customHeight="1" x14ac:dyDescent="0.35">
      <c r="A23" s="120"/>
      <c r="B23" s="81" t="s">
        <v>56</v>
      </c>
      <c r="C23" s="90" t="s">
        <v>101</v>
      </c>
      <c r="D23" s="82"/>
      <c r="E23" s="82"/>
      <c r="F23" s="130">
        <v>0</v>
      </c>
      <c r="G23" s="71" t="s">
        <v>56</v>
      </c>
    </row>
    <row r="24" spans="1:7" ht="45" hidden="1" customHeight="1" x14ac:dyDescent="0.35">
      <c r="A24" s="120"/>
      <c r="B24" s="81" t="s">
        <v>70</v>
      </c>
      <c r="C24" s="128" t="s">
        <v>102</v>
      </c>
      <c r="D24" s="89" t="s">
        <v>72</v>
      </c>
      <c r="E24" s="89" t="s">
        <v>73</v>
      </c>
      <c r="F24" s="89" t="s">
        <v>74</v>
      </c>
      <c r="G24" s="71" t="s">
        <v>56</v>
      </c>
    </row>
    <row r="25" spans="1:7" ht="45" hidden="1" customHeight="1" x14ac:dyDescent="0.35">
      <c r="A25" s="120"/>
      <c r="B25" s="84">
        <v>231</v>
      </c>
      <c r="C25" s="131" t="s">
        <v>103</v>
      </c>
      <c r="D25" s="75">
        <f ca="1">_xlfn.IFNA(VLOOKUP(B25,Worksheet!$C$3:$G$12,3,FALSE),D25)</f>
        <v>0</v>
      </c>
      <c r="E25" s="130">
        <f ca="1">_xlfn.IFNA(VLOOKUP(B25,Worksheet!$C$3:$G$12,4,FALSE),E25)</f>
        <v>1</v>
      </c>
      <c r="F25" s="130">
        <f ca="1">_xlfn.IFNA(VLOOKUP(B25,Worksheet!$C$3:$G$12,5,FALSE),F25)</f>
        <v>0</v>
      </c>
      <c r="G25" s="71" t="s">
        <v>56</v>
      </c>
    </row>
    <row r="26" spans="1:7" ht="45" hidden="1" customHeight="1" x14ac:dyDescent="0.35">
      <c r="A26" s="120"/>
      <c r="B26" s="84">
        <v>232</v>
      </c>
      <c r="C26" s="131" t="s">
        <v>104</v>
      </c>
      <c r="D26" s="75">
        <f ca="1">_xlfn.IFNA(VLOOKUP(B26,Worksheet!$C$3:$G$12,3,FALSE),D26)</f>
        <v>0</v>
      </c>
      <c r="E26" s="130">
        <f ca="1">_xlfn.IFNA(VLOOKUP(B26,Worksheet!$C$3:$G$12,4,FALSE),E26)</f>
        <v>0</v>
      </c>
      <c r="F26" s="130">
        <f ca="1">_xlfn.IFNA(VLOOKUP(B26,Worksheet!$C$3:$G$12,5,FALSE),F26)</f>
        <v>0</v>
      </c>
      <c r="G26" s="71" t="s">
        <v>56</v>
      </c>
    </row>
    <row r="27" spans="1:7" ht="45" hidden="1" customHeight="1" x14ac:dyDescent="0.35">
      <c r="A27" s="132"/>
      <c r="B27" s="133"/>
      <c r="C27" s="315"/>
      <c r="D27" s="317"/>
      <c r="E27" s="317"/>
      <c r="F27" s="318"/>
      <c r="G27" s="134"/>
    </row>
    <row r="28" spans="1:7" ht="45" customHeight="1" x14ac:dyDescent="0.35">
      <c r="A28" s="120"/>
      <c r="B28" s="81" t="s">
        <v>57</v>
      </c>
      <c r="C28" s="90" t="s">
        <v>105</v>
      </c>
      <c r="D28" s="83"/>
      <c r="E28" s="87"/>
      <c r="F28" s="130">
        <v>0</v>
      </c>
      <c r="G28" s="63" t="s">
        <v>57</v>
      </c>
    </row>
    <row r="29" spans="1:7" ht="45" customHeight="1" x14ac:dyDescent="0.35">
      <c r="A29" s="120"/>
      <c r="B29" s="91" t="s">
        <v>106</v>
      </c>
      <c r="C29" s="128" t="s">
        <v>107</v>
      </c>
      <c r="D29" s="89" t="s">
        <v>72</v>
      </c>
      <c r="E29" s="89" t="s">
        <v>73</v>
      </c>
      <c r="F29" s="89" t="s">
        <v>74</v>
      </c>
      <c r="G29" s="63" t="s">
        <v>57</v>
      </c>
    </row>
    <row r="30" spans="1:7" ht="45" customHeight="1" x14ac:dyDescent="0.35">
      <c r="A30" s="120"/>
      <c r="B30" s="84">
        <v>241</v>
      </c>
      <c r="C30" s="131" t="s">
        <v>108</v>
      </c>
      <c r="D30" s="75">
        <f>_xlfn.IFNA(VLOOKUP(B30,Worksheet!$C$3:$G$12,3,FALSE),D30)</f>
        <v>0</v>
      </c>
      <c r="E30" s="130">
        <f>_xlfn.IFNA(VLOOKUP(B30,Worksheet!$C$3:$G$12,4,FALSE),E30)</f>
        <v>0</v>
      </c>
      <c r="F30" s="130">
        <f>_xlfn.IFNA(VLOOKUP(B30,Worksheet!$C$3:$G$12,5,FALSE),F30)</f>
        <v>0</v>
      </c>
      <c r="G30" s="63" t="s">
        <v>57</v>
      </c>
    </row>
    <row r="31" spans="1:7" ht="45" customHeight="1" x14ac:dyDescent="0.35">
      <c r="A31" s="120"/>
      <c r="B31" s="84">
        <v>242</v>
      </c>
      <c r="C31" s="131" t="s">
        <v>109</v>
      </c>
      <c r="D31" s="75">
        <f>_xlfn.IFNA(VLOOKUP(B31,Worksheet!$C$3:$G$12,3,FALSE),D31)</f>
        <v>0</v>
      </c>
      <c r="E31" s="130">
        <f>_xlfn.IFNA(VLOOKUP(B31,Worksheet!$C$3:$G$12,4,FALSE),E31)</f>
        <v>0</v>
      </c>
      <c r="F31" s="130">
        <f>_xlfn.IFNA(VLOOKUP(B31,Worksheet!$C$3:$G$12,5,FALSE),F31)</f>
        <v>0</v>
      </c>
      <c r="G31" s="63" t="s">
        <v>57</v>
      </c>
    </row>
    <row r="32" spans="1:7" ht="45" hidden="1" customHeight="1" x14ac:dyDescent="0.35">
      <c r="A32" s="132"/>
      <c r="B32" s="133"/>
      <c r="C32" s="315"/>
      <c r="D32" s="317"/>
      <c r="E32" s="317"/>
      <c r="F32" s="318"/>
      <c r="G32" s="135"/>
    </row>
    <row r="33" spans="1:7" ht="45" hidden="1" customHeight="1" x14ac:dyDescent="0.35">
      <c r="A33" s="132"/>
      <c r="B33" s="92" t="s">
        <v>58</v>
      </c>
      <c r="C33" s="136" t="s">
        <v>110</v>
      </c>
      <c r="D33" s="137"/>
      <c r="E33" s="138"/>
      <c r="F33" s="130">
        <v>0</v>
      </c>
      <c r="G33" s="63" t="s">
        <v>58</v>
      </c>
    </row>
    <row r="34" spans="1:7" ht="45" hidden="1" customHeight="1" x14ac:dyDescent="0.35">
      <c r="A34" s="132"/>
      <c r="B34" s="139" t="s">
        <v>93</v>
      </c>
      <c r="C34" s="128" t="s">
        <v>111</v>
      </c>
      <c r="D34" s="89" t="s">
        <v>72</v>
      </c>
      <c r="E34" s="89" t="s">
        <v>73</v>
      </c>
      <c r="F34" s="89" t="s">
        <v>74</v>
      </c>
      <c r="G34" s="63" t="s">
        <v>58</v>
      </c>
    </row>
    <row r="35" spans="1:7" ht="45" hidden="1" customHeight="1" x14ac:dyDescent="0.35">
      <c r="A35" s="132"/>
      <c r="B35" s="84">
        <v>451</v>
      </c>
      <c r="C35" s="131" t="s">
        <v>112</v>
      </c>
      <c r="D35" s="75">
        <f ca="1">_xlfn.IFNA(VLOOKUP(B35,Worksheet!$C$3:$G$12,3,FALSE),D35)</f>
        <v>0</v>
      </c>
      <c r="E35" s="130">
        <f ca="1">_xlfn.IFNA(VLOOKUP(B35,Worksheet!$C$3:$G$12,4,FALSE),E35)</f>
        <v>0</v>
      </c>
      <c r="F35" s="130">
        <f ca="1">_xlfn.IFNA(VLOOKUP(B35,Worksheet!$C$3:$G$12,5,FALSE),F35)</f>
        <v>0</v>
      </c>
      <c r="G35" s="63" t="s">
        <v>58</v>
      </c>
    </row>
    <row r="36" spans="1:7" ht="45" hidden="1" customHeight="1" x14ac:dyDescent="0.35">
      <c r="A36" s="132"/>
      <c r="B36" s="84">
        <v>452</v>
      </c>
      <c r="C36" s="131" t="s">
        <v>113</v>
      </c>
      <c r="D36" s="75">
        <f ca="1">_xlfn.IFNA(VLOOKUP(B36,Worksheet!$C$3:$G$12,3,FALSE),D36)</f>
        <v>0</v>
      </c>
      <c r="E36" s="130">
        <f ca="1">_xlfn.IFNA(VLOOKUP(B36,Worksheet!$C$3:$G$12,4,FALSE),E36)</f>
        <v>0</v>
      </c>
      <c r="F36" s="130">
        <f ca="1">_xlfn.IFNA(VLOOKUP(B36,Worksheet!$C$3:$G$12,5,FALSE),F36)</f>
        <v>0</v>
      </c>
      <c r="G36" s="63" t="s">
        <v>58</v>
      </c>
    </row>
    <row r="37" spans="1:7" ht="45" hidden="1" customHeight="1" x14ac:dyDescent="0.35">
      <c r="A37" s="132"/>
      <c r="B37" s="133"/>
      <c r="C37" s="216"/>
      <c r="D37" s="217"/>
      <c r="E37" s="217"/>
      <c r="F37" s="218"/>
      <c r="G37" s="135"/>
    </row>
    <row r="38" spans="1:7" s="72" customFormat="1" ht="45" hidden="1" customHeight="1" x14ac:dyDescent="0.35">
      <c r="A38" s="120"/>
      <c r="B38" s="92" t="s">
        <v>59</v>
      </c>
      <c r="C38" s="136" t="s">
        <v>114</v>
      </c>
      <c r="D38" s="137"/>
      <c r="E38" s="138"/>
      <c r="F38" s="130">
        <v>0</v>
      </c>
      <c r="G38" s="63" t="s">
        <v>59</v>
      </c>
    </row>
    <row r="39" spans="1:7" s="72" customFormat="1" ht="45" hidden="1" customHeight="1" x14ac:dyDescent="0.35">
      <c r="A39" s="120"/>
      <c r="B39" s="139" t="s">
        <v>93</v>
      </c>
      <c r="C39" s="140" t="s">
        <v>115</v>
      </c>
      <c r="D39" s="89" t="s">
        <v>72</v>
      </c>
      <c r="E39" s="89" t="s">
        <v>73</v>
      </c>
      <c r="F39" s="89" t="s">
        <v>74</v>
      </c>
      <c r="G39" s="63" t="s">
        <v>59</v>
      </c>
    </row>
    <row r="40" spans="1:7" s="72" customFormat="1" ht="45" hidden="1" customHeight="1" x14ac:dyDescent="0.35">
      <c r="A40" s="120"/>
      <c r="B40" s="84">
        <v>251</v>
      </c>
      <c r="C40" s="131" t="s">
        <v>116</v>
      </c>
      <c r="D40" s="75">
        <f ca="1">_xlfn.IFNA(VLOOKUP(B40,Worksheet!$C$3:$G$12,3,FALSE),D40)</f>
        <v>0</v>
      </c>
      <c r="E40" s="130">
        <f ca="1">_xlfn.IFNA(VLOOKUP(B40,Worksheet!$C$3:$G$12,4,FALSE),E40)</f>
        <v>0</v>
      </c>
      <c r="F40" s="130">
        <f ca="1">_xlfn.IFNA(VLOOKUP(B40,Worksheet!$C$3:$G$12,5,FALSE),F40)</f>
        <v>0</v>
      </c>
      <c r="G40" s="63" t="s">
        <v>59</v>
      </c>
    </row>
    <row r="41" spans="1:7" s="72" customFormat="1" ht="45" hidden="1" customHeight="1" x14ac:dyDescent="0.35">
      <c r="A41" s="120"/>
      <c r="B41" s="84">
        <v>252</v>
      </c>
      <c r="C41" s="131" t="s">
        <v>117</v>
      </c>
      <c r="D41" s="75">
        <f ca="1">_xlfn.IFNA(VLOOKUP(B41,Worksheet!$C$3:$G$12,3,FALSE),D41)</f>
        <v>0</v>
      </c>
      <c r="E41" s="130">
        <f ca="1">_xlfn.IFNA(VLOOKUP(B41,Worksheet!$C$3:$G$12,4,FALSE),E41)</f>
        <v>0</v>
      </c>
      <c r="F41" s="130">
        <f ca="1">_xlfn.IFNA(VLOOKUP(B41,Worksheet!$C$3:$G$12,5,FALSE),F41)</f>
        <v>0</v>
      </c>
      <c r="G41" s="63" t="s">
        <v>59</v>
      </c>
    </row>
    <row r="42" spans="1:7" s="72" customFormat="1" ht="45" hidden="1" customHeight="1" x14ac:dyDescent="0.35">
      <c r="A42" s="120"/>
      <c r="B42" s="69"/>
      <c r="C42" s="322"/>
      <c r="D42" s="323"/>
      <c r="E42" s="323"/>
      <c r="F42" s="324"/>
      <c r="G42" s="63"/>
    </row>
    <row r="43" spans="1:7" s="72" customFormat="1" ht="45" hidden="1" customHeight="1" x14ac:dyDescent="0.35">
      <c r="A43" s="120"/>
      <c r="B43" s="69"/>
      <c r="C43" s="315"/>
      <c r="D43" s="317"/>
      <c r="E43" s="317"/>
      <c r="F43" s="318"/>
      <c r="G43" s="63"/>
    </row>
    <row r="44" spans="1:7" s="72" customFormat="1" ht="45" hidden="1" customHeight="1" x14ac:dyDescent="0.35">
      <c r="A44" s="120"/>
      <c r="B44" s="81" t="s">
        <v>60</v>
      </c>
      <c r="C44" s="197" t="s">
        <v>118</v>
      </c>
      <c r="D44" s="195"/>
      <c r="E44" s="198"/>
      <c r="F44" s="199">
        <f ca="1">_xlfn.IFNA(VLOOKUP(B44,Worksheet!$C$3:$G$12,5,FALSE),F44)</f>
        <v>0</v>
      </c>
      <c r="G44" s="63" t="s">
        <v>60</v>
      </c>
    </row>
    <row r="45" spans="1:7" s="72" customFormat="1" ht="45" hidden="1" customHeight="1" x14ac:dyDescent="0.35">
      <c r="A45" s="120"/>
      <c r="B45" s="81" t="s">
        <v>106</v>
      </c>
      <c r="C45" s="140" t="s">
        <v>119</v>
      </c>
      <c r="D45" s="196"/>
      <c r="E45" s="194"/>
      <c r="F45" s="200" t="s">
        <v>120</v>
      </c>
      <c r="G45" s="63" t="s">
        <v>60</v>
      </c>
    </row>
    <row r="46" spans="1:7" s="76" customFormat="1" ht="45" hidden="1" customHeight="1" x14ac:dyDescent="0.35">
      <c r="A46" s="120"/>
      <c r="B46" s="84">
        <v>261</v>
      </c>
      <c r="C46" s="131" t="s">
        <v>121</v>
      </c>
      <c r="D46" s="196"/>
      <c r="E46" s="194"/>
      <c r="F46" s="130">
        <f ca="1">_xlfn.IFNA(VLOOKUP(B46,Worksheet!$C$3:$G$12,5,FALSE),F46)</f>
        <v>0</v>
      </c>
      <c r="G46" s="63" t="s">
        <v>60</v>
      </c>
    </row>
    <row r="47" spans="1:7" s="72" customFormat="1" ht="45" hidden="1" customHeight="1" x14ac:dyDescent="0.35">
      <c r="A47" s="120"/>
      <c r="B47" s="84">
        <v>262</v>
      </c>
      <c r="C47" s="131" t="s">
        <v>122</v>
      </c>
      <c r="D47" s="196"/>
      <c r="E47" s="194"/>
      <c r="F47" s="130">
        <f ca="1">_xlfn.IFNA(VLOOKUP(B47,Worksheet!$C$3:$G$12,5,FALSE),F47)</f>
        <v>0</v>
      </c>
      <c r="G47" s="63" t="s">
        <v>60</v>
      </c>
    </row>
    <row r="48" spans="1:7" s="72" customFormat="1" ht="45" hidden="1" customHeight="1" x14ac:dyDescent="0.35">
      <c r="A48" s="120"/>
      <c r="B48" s="84">
        <v>263</v>
      </c>
      <c r="C48" s="131" t="s">
        <v>123</v>
      </c>
      <c r="D48" s="196"/>
      <c r="E48" s="194"/>
      <c r="F48" s="130">
        <f ca="1">_xlfn.IFNA(VLOOKUP(B48,Worksheet!$C$3:$G$12,5,FALSE),F48)</f>
        <v>0</v>
      </c>
      <c r="G48" s="63" t="s">
        <v>60</v>
      </c>
    </row>
    <row r="49" spans="1:7" s="72" customFormat="1" ht="45" hidden="1" customHeight="1" x14ac:dyDescent="0.35">
      <c r="A49" s="120"/>
      <c r="B49" s="69"/>
      <c r="C49" s="315"/>
      <c r="D49" s="316"/>
      <c r="E49" s="317"/>
      <c r="F49" s="318"/>
      <c r="G49" s="73"/>
    </row>
    <row r="50" spans="1:7" s="72" customFormat="1" ht="45" hidden="1" customHeight="1" x14ac:dyDescent="0.35">
      <c r="A50" s="120"/>
      <c r="B50" s="81" t="s">
        <v>124</v>
      </c>
      <c r="C50" s="90" t="s">
        <v>125</v>
      </c>
      <c r="D50" s="195"/>
      <c r="E50" s="198"/>
      <c r="F50" s="130">
        <f ca="1">_xlfn.IFNA(VLOOKUP(B50,Worksheet!$C$3:$G$12,5,FALSE),F50)</f>
        <v>0</v>
      </c>
      <c r="G50" s="73" t="s">
        <v>61</v>
      </c>
    </row>
    <row r="51" spans="1:7" s="72" customFormat="1" ht="45" hidden="1" customHeight="1" x14ac:dyDescent="0.35">
      <c r="A51" s="120"/>
      <c r="B51" s="81" t="s">
        <v>106</v>
      </c>
      <c r="C51" s="140" t="s">
        <v>126</v>
      </c>
      <c r="D51" s="196"/>
      <c r="E51" s="194"/>
      <c r="F51" s="200" t="s">
        <v>120</v>
      </c>
      <c r="G51" s="73" t="s">
        <v>61</v>
      </c>
    </row>
    <row r="52" spans="1:7" s="72" customFormat="1" ht="45" hidden="1" customHeight="1" x14ac:dyDescent="0.35">
      <c r="A52" s="120"/>
      <c r="B52" s="84">
        <v>271</v>
      </c>
      <c r="C52" s="131" t="s">
        <v>127</v>
      </c>
      <c r="D52" s="196"/>
      <c r="E52" s="194"/>
      <c r="F52" s="130">
        <f ca="1">_xlfn.IFNA(VLOOKUP(B52,Worksheet!$C$3:$G$12,5,FALSE),F52)</f>
        <v>0</v>
      </c>
      <c r="G52" s="73" t="s">
        <v>61</v>
      </c>
    </row>
    <row r="53" spans="1:7" s="72" customFormat="1" ht="45" hidden="1" customHeight="1" x14ac:dyDescent="0.35">
      <c r="A53" s="120"/>
      <c r="B53" s="84">
        <v>272</v>
      </c>
      <c r="C53" s="131" t="s">
        <v>122</v>
      </c>
      <c r="D53" s="196"/>
      <c r="E53" s="194"/>
      <c r="F53" s="130">
        <f ca="1">_xlfn.IFNA(VLOOKUP(B53,Worksheet!$C$3:$G$12,5,FALSE),F53)</f>
        <v>0</v>
      </c>
      <c r="G53" s="73" t="s">
        <v>61</v>
      </c>
    </row>
    <row r="54" spans="1:7" s="72" customFormat="1" ht="45" hidden="1" customHeight="1" x14ac:dyDescent="0.35">
      <c r="A54" s="120"/>
      <c r="B54" s="69"/>
      <c r="C54" s="315"/>
      <c r="D54" s="317"/>
      <c r="E54" s="317"/>
      <c r="F54" s="318"/>
      <c r="G54" s="73"/>
    </row>
    <row r="55" spans="1:7" s="72" customFormat="1" ht="45" hidden="1" customHeight="1" x14ac:dyDescent="0.35">
      <c r="A55" s="120"/>
      <c r="B55" s="81" t="s">
        <v>62</v>
      </c>
      <c r="C55" s="90" t="s">
        <v>128</v>
      </c>
      <c r="D55" s="83"/>
      <c r="E55" s="87"/>
      <c r="F55" s="130">
        <f ca="1">_xlfn.IFNA(VLOOKUP(B55,Worksheet!$C$3:$G$12,5,FALSE),F55)</f>
        <v>0</v>
      </c>
      <c r="G55" s="73" t="s">
        <v>62</v>
      </c>
    </row>
    <row r="56" spans="1:7" s="72" customFormat="1" ht="45" hidden="1" customHeight="1" x14ac:dyDescent="0.35">
      <c r="A56" s="120"/>
      <c r="B56" s="81" t="s">
        <v>106</v>
      </c>
      <c r="C56" s="140" t="s">
        <v>129</v>
      </c>
      <c r="D56" s="196"/>
      <c r="E56" s="194"/>
      <c r="F56" s="200" t="s">
        <v>120</v>
      </c>
      <c r="G56" s="73" t="s">
        <v>62</v>
      </c>
    </row>
    <row r="57" spans="1:7" s="72" customFormat="1" ht="45" hidden="1" customHeight="1" x14ac:dyDescent="0.35">
      <c r="A57" s="120"/>
      <c r="B57" s="84">
        <v>281</v>
      </c>
      <c r="C57" s="131" t="s">
        <v>130</v>
      </c>
      <c r="D57" s="196"/>
      <c r="E57" s="194"/>
      <c r="F57" s="130">
        <f ca="1">_xlfn.IFNA(VLOOKUP(B57,Worksheet!$C$3:$G$12,5,FALSE),F57)</f>
        <v>0</v>
      </c>
      <c r="G57" s="73" t="s">
        <v>62</v>
      </c>
    </row>
    <row r="58" spans="1:7" s="72" customFormat="1" ht="45" hidden="1" customHeight="1" x14ac:dyDescent="0.35">
      <c r="A58" s="120"/>
      <c r="B58" s="84">
        <v>282</v>
      </c>
      <c r="C58" s="131" t="s">
        <v>131</v>
      </c>
      <c r="D58" s="196"/>
      <c r="E58" s="194"/>
      <c r="F58" s="130">
        <f ca="1">_xlfn.IFNA(VLOOKUP(B58,Worksheet!$C$3:$G$12,5,FALSE),F58)</f>
        <v>0</v>
      </c>
      <c r="G58" s="73" t="s">
        <v>62</v>
      </c>
    </row>
    <row r="59" spans="1:7" s="72" customFormat="1" ht="51" hidden="1" customHeight="1" x14ac:dyDescent="0.35">
      <c r="A59" s="120"/>
      <c r="B59" s="319"/>
      <c r="C59" s="320"/>
      <c r="D59" s="320"/>
      <c r="E59" s="320"/>
      <c r="F59" s="321"/>
      <c r="G59" s="73"/>
    </row>
    <row r="60" spans="1:7" s="72" customFormat="1" ht="45" hidden="1" customHeight="1" x14ac:dyDescent="0.35">
      <c r="A60" s="120"/>
      <c r="B60" s="81" t="s">
        <v>132</v>
      </c>
      <c r="C60" s="90" t="s">
        <v>133</v>
      </c>
      <c r="D60" s="83"/>
      <c r="E60" s="87"/>
      <c r="F60" s="130">
        <f ca="1">_xlfn.IFNA(VLOOKUP(B60,Worksheet!$C$3:$G$12,5,FALSE),F60)</f>
        <v>0</v>
      </c>
      <c r="G60" s="141" t="s">
        <v>132</v>
      </c>
    </row>
    <row r="61" spans="1:7" ht="45" hidden="1" customHeight="1" x14ac:dyDescent="0.35">
      <c r="A61" s="120"/>
      <c r="B61" s="81" t="s">
        <v>106</v>
      </c>
      <c r="C61" s="140" t="s">
        <v>134</v>
      </c>
      <c r="D61" s="89" t="s">
        <v>135</v>
      </c>
      <c r="E61" s="89" t="s">
        <v>136</v>
      </c>
      <c r="F61" s="89" t="s">
        <v>137</v>
      </c>
      <c r="G61" s="141" t="s">
        <v>132</v>
      </c>
    </row>
    <row r="62" spans="1:7" ht="45" hidden="1" customHeight="1" x14ac:dyDescent="0.35">
      <c r="A62" s="120"/>
      <c r="B62" s="84">
        <v>291</v>
      </c>
      <c r="C62" s="131" t="s">
        <v>138</v>
      </c>
      <c r="D62" s="75">
        <f ca="1">_xlfn.IFNA(VLOOKUP(B62,Worksheet!$C$3:$G$12,3,FALSE),D62)</f>
        <v>0</v>
      </c>
      <c r="E62" s="130">
        <f ca="1">_xlfn.IFNA(VLOOKUP(B62,Worksheet!$C$3:$G$12,4,FALSE),E62)</f>
        <v>0</v>
      </c>
      <c r="F62" s="130">
        <f ca="1">_xlfn.IFNA(VLOOKUP(B62,Worksheet!$C$3:$G$12,5,FALSE),F62)</f>
        <v>0</v>
      </c>
      <c r="G62" s="141" t="s">
        <v>132</v>
      </c>
    </row>
    <row r="63" spans="1:7" ht="45" hidden="1" customHeight="1" x14ac:dyDescent="0.35">
      <c r="B63" s="84">
        <v>292</v>
      </c>
      <c r="C63" s="131" t="s">
        <v>139</v>
      </c>
      <c r="D63" s="75">
        <f ca="1">_xlfn.IFNA(VLOOKUP(B63,Worksheet!$C$3:$G$12,3,FALSE),D63)</f>
        <v>0</v>
      </c>
      <c r="E63" s="130">
        <f ca="1">_xlfn.IFNA(VLOOKUP(B63,Worksheet!$C$3:$G$12,4,FALSE),E63)</f>
        <v>0</v>
      </c>
      <c r="F63" s="130">
        <f ca="1">_xlfn.IFNA(VLOOKUP(B63,Worksheet!$C$3:$G$12,5,FALSE),F63)</f>
        <v>0</v>
      </c>
      <c r="G63" s="141" t="s">
        <v>132</v>
      </c>
    </row>
    <row r="64" spans="1:7" ht="45" hidden="1" customHeight="1" x14ac:dyDescent="0.35">
      <c r="A64" s="120"/>
      <c r="B64" s="133"/>
      <c r="C64" s="151"/>
      <c r="D64" s="148"/>
      <c r="E64" s="148"/>
      <c r="F64" s="148"/>
      <c r="G64" s="135"/>
    </row>
    <row r="65" spans="1:7" ht="45" hidden="1" customHeight="1" x14ac:dyDescent="0.35">
      <c r="A65" s="120"/>
      <c r="B65" s="81" t="s">
        <v>63</v>
      </c>
      <c r="C65" s="90" t="s">
        <v>140</v>
      </c>
      <c r="D65" s="196"/>
      <c r="E65" s="194"/>
      <c r="F65" s="148">
        <v>0</v>
      </c>
      <c r="G65" s="135" t="s">
        <v>63</v>
      </c>
    </row>
    <row r="66" spans="1:7" ht="45" hidden="1" customHeight="1" x14ac:dyDescent="0.35">
      <c r="A66" s="120"/>
      <c r="B66" s="81" t="s">
        <v>106</v>
      </c>
      <c r="C66" s="140" t="s">
        <v>141</v>
      </c>
      <c r="D66" s="196"/>
      <c r="E66" s="194"/>
      <c r="F66" s="200" t="s">
        <v>142</v>
      </c>
      <c r="G66" s="135" t="s">
        <v>63</v>
      </c>
    </row>
    <row r="67" spans="1:7" ht="45" hidden="1" customHeight="1" x14ac:dyDescent="0.35">
      <c r="A67" s="120"/>
      <c r="B67" s="84">
        <v>4101</v>
      </c>
      <c r="C67" s="131" t="s">
        <v>143</v>
      </c>
      <c r="D67" s="196"/>
      <c r="E67" s="194"/>
      <c r="F67" s="148">
        <v>0</v>
      </c>
      <c r="G67" s="135" t="s">
        <v>63</v>
      </c>
    </row>
    <row r="68" spans="1:7" ht="45" hidden="1" customHeight="1" x14ac:dyDescent="0.35">
      <c r="A68" s="120"/>
      <c r="B68" s="84">
        <v>4102</v>
      </c>
      <c r="C68" s="131" t="s">
        <v>144</v>
      </c>
      <c r="D68" s="196"/>
      <c r="E68" s="194"/>
      <c r="F68" s="148">
        <v>0</v>
      </c>
      <c r="G68" s="135" t="s">
        <v>63</v>
      </c>
    </row>
    <row r="69" spans="1:7" ht="45" hidden="1" customHeight="1" x14ac:dyDescent="0.35">
      <c r="A69" s="120"/>
      <c r="B69" s="84">
        <v>4103</v>
      </c>
      <c r="C69" s="131" t="s">
        <v>145</v>
      </c>
      <c r="D69" s="196"/>
      <c r="E69" s="194"/>
      <c r="F69" s="148">
        <v>0</v>
      </c>
      <c r="G69" s="135" t="s">
        <v>63</v>
      </c>
    </row>
    <row r="70" spans="1:7" ht="45" hidden="1" customHeight="1" x14ac:dyDescent="0.35">
      <c r="A70" s="120"/>
      <c r="B70" s="133"/>
      <c r="C70" s="70"/>
      <c r="D70" s="148"/>
      <c r="E70" s="148"/>
      <c r="F70" s="148"/>
      <c r="G70" s="135"/>
    </row>
    <row r="71" spans="1:7" ht="45" hidden="1" customHeight="1" x14ac:dyDescent="0.35">
      <c r="A71" s="120"/>
      <c r="B71" s="133"/>
      <c r="C71" s="70"/>
      <c r="D71" s="148"/>
      <c r="E71" s="148"/>
      <c r="F71" s="148"/>
      <c r="G71" s="135"/>
    </row>
    <row r="72" spans="1:7" ht="45" hidden="1" customHeight="1" x14ac:dyDescent="0.35">
      <c r="A72" s="120"/>
      <c r="B72" s="133"/>
      <c r="C72" s="70"/>
      <c r="D72" s="148"/>
      <c r="E72" s="148"/>
      <c r="F72" s="148"/>
      <c r="G72" s="135"/>
    </row>
    <row r="73" spans="1:7" ht="45" hidden="1" customHeight="1" x14ac:dyDescent="0.35">
      <c r="A73" s="120"/>
      <c r="B73" s="133"/>
      <c r="C73" s="143"/>
      <c r="D73" s="109"/>
      <c r="E73" s="109"/>
      <c r="F73" s="109"/>
      <c r="G73" s="135"/>
    </row>
    <row r="74" spans="1:7" ht="45" hidden="1" customHeight="1" x14ac:dyDescent="0.35">
      <c r="A74" s="120"/>
      <c r="B74" s="144"/>
      <c r="C74" s="145"/>
      <c r="D74" s="146"/>
      <c r="E74" s="147"/>
      <c r="F74" s="148"/>
      <c r="G74" s="135"/>
    </row>
    <row r="75" spans="1:7" ht="45" hidden="1" customHeight="1" x14ac:dyDescent="0.35">
      <c r="A75" s="120"/>
      <c r="B75" s="144"/>
      <c r="C75" s="149"/>
      <c r="D75" s="150"/>
      <c r="E75" s="150"/>
      <c r="F75" s="150"/>
      <c r="G75" s="135"/>
    </row>
    <row r="76" spans="1:7" ht="45" hidden="1" customHeight="1" x14ac:dyDescent="0.35">
      <c r="A76" s="120"/>
      <c r="B76" s="133"/>
      <c r="C76" s="70"/>
      <c r="D76" s="148"/>
      <c r="E76" s="148"/>
      <c r="F76" s="148"/>
      <c r="G76" s="135"/>
    </row>
    <row r="77" spans="1:7" ht="45" hidden="1" customHeight="1" x14ac:dyDescent="0.35">
      <c r="A77" s="120"/>
      <c r="B77" s="133"/>
      <c r="C77" s="70"/>
      <c r="D77" s="148"/>
      <c r="E77" s="148"/>
      <c r="F77" s="148"/>
      <c r="G77" s="135"/>
    </row>
    <row r="78" spans="1:7" ht="45" hidden="1" customHeight="1" x14ac:dyDescent="0.35">
      <c r="A78" s="120"/>
      <c r="B78" s="133"/>
      <c r="C78" s="70"/>
      <c r="D78" s="148"/>
      <c r="E78" s="148"/>
      <c r="F78" s="148"/>
      <c r="G78" s="135"/>
    </row>
    <row r="79" spans="1:7" ht="45" hidden="1" customHeight="1" x14ac:dyDescent="0.35">
      <c r="A79" s="120"/>
      <c r="B79" s="133"/>
      <c r="C79" s="70"/>
      <c r="D79" s="148"/>
      <c r="E79" s="148"/>
      <c r="F79" s="148"/>
      <c r="G79" s="135"/>
    </row>
    <row r="80" spans="1:7" ht="45" hidden="1" customHeight="1" x14ac:dyDescent="0.35">
      <c r="A80" s="120"/>
      <c r="B80" s="133"/>
      <c r="C80" s="70"/>
      <c r="D80" s="148"/>
      <c r="E80" s="148"/>
      <c r="F80" s="148"/>
      <c r="G80" s="135"/>
    </row>
    <row r="81" spans="1:7" ht="45" hidden="1" customHeight="1" x14ac:dyDescent="0.35">
      <c r="A81" s="120"/>
      <c r="B81" s="133"/>
      <c r="C81" s="70"/>
      <c r="D81" s="148"/>
      <c r="E81" s="148"/>
      <c r="F81" s="148"/>
      <c r="G81" s="135"/>
    </row>
    <row r="82" spans="1:7" ht="45" hidden="1" customHeight="1" x14ac:dyDescent="0.35">
      <c r="A82" s="120"/>
      <c r="B82" s="133"/>
      <c r="C82" s="70"/>
      <c r="D82" s="148"/>
      <c r="E82" s="148"/>
      <c r="F82" s="148"/>
      <c r="G82" s="135"/>
    </row>
    <row r="83" spans="1:7" ht="45" hidden="1" customHeight="1" x14ac:dyDescent="0.35">
      <c r="A83" s="120"/>
      <c r="B83" s="133"/>
      <c r="C83" s="151"/>
      <c r="D83" s="148"/>
      <c r="E83" s="148"/>
      <c r="F83" s="148"/>
      <c r="G83" s="135"/>
    </row>
    <row r="84" spans="1:7" ht="45" hidden="1" customHeight="1" x14ac:dyDescent="0.35">
      <c r="A84" s="120"/>
      <c r="B84" s="133"/>
      <c r="C84" s="70"/>
      <c r="D84" s="148"/>
      <c r="E84" s="148"/>
      <c r="F84" s="148"/>
      <c r="G84" s="135"/>
    </row>
    <row r="85" spans="1:7" ht="45" hidden="1" customHeight="1" x14ac:dyDescent="0.35">
      <c r="A85" s="120"/>
      <c r="B85" s="133"/>
      <c r="C85" s="70"/>
      <c r="D85" s="148"/>
      <c r="E85" s="148"/>
      <c r="F85" s="148"/>
      <c r="G85" s="135"/>
    </row>
    <row r="86" spans="1:7" ht="45" hidden="1" customHeight="1" x14ac:dyDescent="0.35">
      <c r="A86" s="120"/>
      <c r="B86" s="133"/>
      <c r="C86" s="70"/>
      <c r="D86" s="148"/>
      <c r="E86" s="148"/>
      <c r="F86" s="148"/>
      <c r="G86" s="135"/>
    </row>
    <row r="87" spans="1:7" ht="45" hidden="1" customHeight="1" x14ac:dyDescent="0.35">
      <c r="A87" s="120"/>
      <c r="B87" s="133"/>
      <c r="C87" s="70"/>
      <c r="D87" s="148"/>
      <c r="E87" s="148"/>
      <c r="F87" s="148"/>
      <c r="G87" s="135"/>
    </row>
    <row r="88" spans="1:7" ht="45" hidden="1" customHeight="1" x14ac:dyDescent="0.35">
      <c r="A88" s="120"/>
      <c r="B88" s="133"/>
      <c r="C88" s="70"/>
      <c r="D88" s="148"/>
      <c r="E88" s="148"/>
      <c r="F88" s="148"/>
      <c r="G88" s="135"/>
    </row>
    <row r="89" spans="1:7" ht="45" hidden="1" customHeight="1" x14ac:dyDescent="0.35">
      <c r="A89" s="120"/>
      <c r="B89" s="133"/>
      <c r="C89" s="70"/>
      <c r="D89" s="109"/>
      <c r="E89" s="109"/>
      <c r="F89" s="109"/>
      <c r="G89" s="135"/>
    </row>
    <row r="90" spans="1:7" ht="45" hidden="1" customHeight="1" x14ac:dyDescent="0.35">
      <c r="A90" s="120"/>
      <c r="B90" s="142"/>
      <c r="C90" s="145"/>
      <c r="D90" s="146"/>
      <c r="E90" s="147"/>
      <c r="F90" s="109"/>
      <c r="G90" s="135"/>
    </row>
    <row r="91" spans="1:7" ht="45" hidden="1" customHeight="1" x14ac:dyDescent="0.35">
      <c r="A91" s="120"/>
      <c r="B91" s="142"/>
      <c r="C91" s="152"/>
      <c r="D91" s="153"/>
      <c r="E91" s="153"/>
      <c r="F91" s="153"/>
      <c r="G91" s="135"/>
    </row>
    <row r="92" spans="1:7" ht="45" hidden="1" customHeight="1" x14ac:dyDescent="0.35">
      <c r="A92" s="120"/>
      <c r="B92" s="133"/>
      <c r="C92" s="154"/>
      <c r="D92" s="109"/>
      <c r="E92" s="109"/>
      <c r="F92" s="109"/>
      <c r="G92" s="135"/>
    </row>
    <row r="93" spans="1:7" ht="45" hidden="1" customHeight="1" x14ac:dyDescent="0.35">
      <c r="A93" s="120"/>
      <c r="B93" s="133"/>
      <c r="C93" s="70"/>
      <c r="D93" s="109"/>
      <c r="E93" s="109"/>
      <c r="F93" s="109"/>
      <c r="G93" s="135"/>
    </row>
    <row r="94" spans="1:7" ht="45" hidden="1" customHeight="1" x14ac:dyDescent="0.35">
      <c r="A94" s="120"/>
      <c r="B94" s="133"/>
      <c r="C94" s="70"/>
      <c r="D94" s="109"/>
      <c r="E94" s="109"/>
      <c r="F94" s="109"/>
      <c r="G94" s="135"/>
    </row>
    <row r="95" spans="1:7" ht="45" hidden="1" customHeight="1" x14ac:dyDescent="0.35">
      <c r="A95" s="120"/>
      <c r="B95" s="133"/>
      <c r="C95" s="70"/>
      <c r="D95" s="109"/>
      <c r="E95" s="109"/>
      <c r="F95" s="109"/>
      <c r="G95" s="135"/>
    </row>
    <row r="96" spans="1:7" ht="45" hidden="1" customHeight="1" x14ac:dyDescent="0.35">
      <c r="A96" s="120"/>
      <c r="B96" s="133"/>
      <c r="C96" s="70"/>
      <c r="D96" s="109"/>
      <c r="E96" s="109"/>
      <c r="F96" s="109"/>
      <c r="G96" s="135"/>
    </row>
    <row r="97" spans="1:7" ht="45" hidden="1" customHeight="1" x14ac:dyDescent="0.35">
      <c r="A97" s="120"/>
      <c r="B97" s="133"/>
      <c r="C97" s="70"/>
      <c r="D97" s="109"/>
      <c r="E97" s="109"/>
      <c r="F97" s="109"/>
      <c r="G97" s="135"/>
    </row>
    <row r="98" spans="1:7" ht="45" hidden="1" customHeight="1" x14ac:dyDescent="0.35">
      <c r="A98" s="120"/>
      <c r="B98" s="133"/>
      <c r="C98" s="70"/>
      <c r="D98" s="109"/>
      <c r="E98" s="109"/>
      <c r="F98" s="109"/>
      <c r="G98" s="135"/>
    </row>
    <row r="99" spans="1:7" ht="45" hidden="1" customHeight="1" x14ac:dyDescent="0.35">
      <c r="A99" s="120"/>
      <c r="B99" s="133"/>
      <c r="C99" s="70"/>
      <c r="D99" s="109"/>
      <c r="E99" s="109"/>
      <c r="F99" s="109"/>
      <c r="G99" s="135"/>
    </row>
    <row r="100" spans="1:7" ht="45" hidden="1" customHeight="1" x14ac:dyDescent="0.35">
      <c r="A100" s="120"/>
      <c r="B100" s="133"/>
      <c r="C100" s="70"/>
      <c r="D100" s="109"/>
      <c r="E100" s="109"/>
      <c r="F100" s="109"/>
      <c r="G100" s="135"/>
    </row>
    <row r="101" spans="1:7" ht="45" hidden="1" customHeight="1" x14ac:dyDescent="0.35">
      <c r="A101" s="120"/>
      <c r="B101" s="133"/>
      <c r="C101" s="70"/>
      <c r="D101" s="109"/>
      <c r="E101" s="109"/>
      <c r="F101" s="109"/>
      <c r="G101" s="155"/>
    </row>
    <row r="102" spans="1:7" ht="45" hidden="1" customHeight="1" x14ac:dyDescent="0.35">
      <c r="A102" s="120"/>
      <c r="B102" s="142"/>
      <c r="C102" s="145"/>
      <c r="D102" s="146"/>
      <c r="E102" s="147"/>
      <c r="F102" s="109"/>
      <c r="G102" s="155"/>
    </row>
    <row r="103" spans="1:7" ht="45" hidden="1" customHeight="1" x14ac:dyDescent="0.35">
      <c r="A103" s="120"/>
      <c r="B103" s="142"/>
      <c r="C103" s="152"/>
      <c r="D103" s="153"/>
      <c r="E103" s="153"/>
      <c r="F103" s="153"/>
      <c r="G103" s="155"/>
    </row>
    <row r="104" spans="1:7" ht="45" hidden="1" customHeight="1" x14ac:dyDescent="0.35">
      <c r="A104" s="120"/>
      <c r="B104" s="133"/>
      <c r="C104" s="154"/>
      <c r="D104" s="109"/>
      <c r="E104" s="109"/>
      <c r="F104" s="109"/>
      <c r="G104" s="155"/>
    </row>
    <row r="105" spans="1:7" ht="45" hidden="1" customHeight="1" x14ac:dyDescent="0.35">
      <c r="A105" s="120"/>
      <c r="B105" s="133"/>
      <c r="C105" s="70"/>
      <c r="D105" s="109"/>
      <c r="E105" s="109"/>
      <c r="F105" s="109"/>
      <c r="G105" s="155"/>
    </row>
    <row r="106" spans="1:7" ht="45" hidden="1" customHeight="1" x14ac:dyDescent="0.35">
      <c r="A106" s="120"/>
      <c r="B106" s="133"/>
      <c r="C106" s="70"/>
      <c r="D106" s="109"/>
      <c r="E106" s="109"/>
      <c r="F106" s="109"/>
      <c r="G106" s="155"/>
    </row>
    <row r="107" spans="1:7" ht="45" hidden="1" customHeight="1" x14ac:dyDescent="0.35">
      <c r="A107" s="120"/>
      <c r="B107" s="133"/>
      <c r="C107" s="70"/>
      <c r="D107" s="109"/>
      <c r="E107" s="109"/>
      <c r="F107" s="109"/>
      <c r="G107" s="155"/>
    </row>
    <row r="108" spans="1:7" ht="45" hidden="1" customHeight="1" x14ac:dyDescent="0.35">
      <c r="A108" s="120"/>
      <c r="B108" s="133"/>
      <c r="C108" s="70"/>
      <c r="D108" s="109"/>
      <c r="E108" s="109"/>
      <c r="F108" s="109"/>
      <c r="G108" s="155"/>
    </row>
    <row r="109" spans="1:7" ht="45" hidden="1" customHeight="1" x14ac:dyDescent="0.35">
      <c r="A109" s="120"/>
      <c r="B109" s="133"/>
      <c r="C109" s="70"/>
      <c r="D109" s="109"/>
      <c r="E109" s="109"/>
      <c r="F109" s="109"/>
      <c r="G109" s="155"/>
    </row>
    <row r="110" spans="1:7" ht="45" hidden="1" customHeight="1" x14ac:dyDescent="0.35">
      <c r="A110" s="120"/>
      <c r="B110" s="133"/>
      <c r="C110" s="70"/>
      <c r="D110" s="109"/>
      <c r="E110" s="109"/>
      <c r="F110" s="109"/>
      <c r="G110" s="155"/>
    </row>
    <row r="111" spans="1:7" ht="45" hidden="1" customHeight="1" x14ac:dyDescent="0.35">
      <c r="A111" s="120"/>
      <c r="B111" s="133"/>
      <c r="C111" s="70"/>
      <c r="D111" s="109"/>
      <c r="E111" s="109"/>
      <c r="F111" s="109"/>
      <c r="G111" s="155"/>
    </row>
    <row r="112" spans="1:7" ht="45" hidden="1" customHeight="1" x14ac:dyDescent="0.35">
      <c r="A112" s="120"/>
      <c r="B112" s="133"/>
      <c r="C112" s="70"/>
      <c r="D112" s="109"/>
      <c r="E112" s="109"/>
      <c r="F112" s="109"/>
      <c r="G112" s="155"/>
    </row>
    <row r="113" spans="1:7" ht="45" hidden="1" customHeight="1" x14ac:dyDescent="0.35">
      <c r="A113" s="120"/>
      <c r="B113" s="133"/>
      <c r="C113" s="70"/>
      <c r="D113" s="109"/>
      <c r="E113" s="109"/>
      <c r="F113" s="109"/>
      <c r="G113" s="155"/>
    </row>
    <row r="114" spans="1:7" ht="45" hidden="1" customHeight="1" x14ac:dyDescent="0.35">
      <c r="A114" s="120"/>
      <c r="B114" s="142"/>
      <c r="C114" s="145"/>
      <c r="D114" s="146"/>
      <c r="E114" s="147"/>
      <c r="F114" s="109"/>
      <c r="G114" s="155"/>
    </row>
    <row r="115" spans="1:7" ht="45" hidden="1" customHeight="1" x14ac:dyDescent="0.35">
      <c r="A115" s="120"/>
      <c r="B115" s="142"/>
      <c r="C115" s="152"/>
      <c r="D115" s="153"/>
      <c r="E115" s="153"/>
      <c r="F115" s="153"/>
      <c r="G115" s="155"/>
    </row>
    <row r="116" spans="1:7" ht="45" hidden="1" customHeight="1" x14ac:dyDescent="0.35">
      <c r="A116" s="120"/>
      <c r="B116" s="133"/>
      <c r="C116" s="70"/>
      <c r="D116" s="109"/>
      <c r="E116" s="109"/>
      <c r="F116" s="109"/>
      <c r="G116" s="155"/>
    </row>
    <row r="117" spans="1:7" ht="45" hidden="1" customHeight="1" x14ac:dyDescent="0.35">
      <c r="A117" s="120"/>
      <c r="B117" s="133"/>
      <c r="C117" s="70"/>
      <c r="D117" s="109"/>
      <c r="E117" s="109"/>
      <c r="F117" s="109"/>
      <c r="G117" s="155"/>
    </row>
    <row r="118" spans="1:7" ht="45" hidden="1" customHeight="1" x14ac:dyDescent="0.35">
      <c r="A118" s="120"/>
      <c r="B118" s="133"/>
      <c r="C118" s="70"/>
      <c r="D118" s="109"/>
      <c r="E118" s="109"/>
      <c r="F118" s="109"/>
      <c r="G118" s="155"/>
    </row>
    <row r="119" spans="1:7" ht="45" hidden="1" customHeight="1" x14ac:dyDescent="0.35">
      <c r="A119" s="120"/>
      <c r="B119" s="133"/>
      <c r="C119" s="70"/>
      <c r="D119" s="109"/>
      <c r="E119" s="109"/>
      <c r="F119" s="109"/>
      <c r="G119" s="155"/>
    </row>
    <row r="120" spans="1:7" ht="45" hidden="1" customHeight="1" x14ac:dyDescent="0.35">
      <c r="A120" s="120"/>
      <c r="B120" s="133"/>
      <c r="C120" s="70"/>
      <c r="D120" s="109"/>
      <c r="E120" s="109"/>
      <c r="F120" s="109"/>
      <c r="G120" s="155"/>
    </row>
    <row r="121" spans="1:7" ht="45" hidden="1" customHeight="1" x14ac:dyDescent="0.35">
      <c r="A121" s="120"/>
      <c r="B121" s="133"/>
      <c r="C121" s="70"/>
      <c r="D121" s="109"/>
      <c r="E121" s="109"/>
      <c r="F121" s="109"/>
      <c r="G121" s="155"/>
    </row>
    <row r="122" spans="1:7" ht="45" hidden="1" customHeight="1" x14ac:dyDescent="0.35">
      <c r="A122" s="120"/>
      <c r="B122" s="133"/>
      <c r="C122" s="70"/>
      <c r="D122" s="109"/>
      <c r="E122" s="109"/>
      <c r="F122" s="109"/>
      <c r="G122" s="155"/>
    </row>
    <row r="123" spans="1:7" ht="45" hidden="1" customHeight="1" x14ac:dyDescent="0.35">
      <c r="A123" s="120"/>
      <c r="B123" s="133"/>
      <c r="C123" s="70"/>
      <c r="D123" s="109"/>
      <c r="E123" s="109"/>
      <c r="F123" s="109"/>
      <c r="G123" s="155"/>
    </row>
    <row r="124" spans="1:7" ht="45" hidden="1" customHeight="1" x14ac:dyDescent="0.35">
      <c r="A124" s="120"/>
      <c r="B124" s="133"/>
      <c r="C124" s="70"/>
      <c r="D124" s="109"/>
      <c r="E124" s="109"/>
      <c r="F124" s="109"/>
      <c r="G124" s="155"/>
    </row>
    <row r="125" spans="1:7" ht="45" hidden="1" customHeight="1" x14ac:dyDescent="0.35">
      <c r="A125" s="120"/>
      <c r="B125" s="133"/>
      <c r="C125" s="70"/>
      <c r="D125" s="109"/>
      <c r="E125" s="109"/>
      <c r="F125" s="109"/>
      <c r="G125" s="155"/>
    </row>
    <row r="126" spans="1:7" ht="45" hidden="1" customHeight="1" x14ac:dyDescent="0.35">
      <c r="A126" s="120"/>
      <c r="B126" s="133"/>
      <c r="C126" s="70"/>
      <c r="D126" s="109"/>
      <c r="E126" s="109"/>
      <c r="F126" s="109"/>
      <c r="G126" s="155"/>
    </row>
    <row r="127" spans="1:7" ht="45" hidden="1" customHeight="1" x14ac:dyDescent="0.35">
      <c r="A127" s="120"/>
      <c r="B127" s="133"/>
      <c r="C127" s="70"/>
      <c r="D127" s="109"/>
      <c r="E127" s="109"/>
      <c r="F127" s="109"/>
      <c r="G127" s="155"/>
    </row>
    <row r="128" spans="1:7" ht="45" hidden="1" customHeight="1" x14ac:dyDescent="0.35">
      <c r="A128" s="120"/>
      <c r="B128" s="142"/>
      <c r="C128" s="145"/>
      <c r="D128" s="146"/>
      <c r="E128" s="147"/>
      <c r="F128" s="109"/>
      <c r="G128" s="74"/>
    </row>
    <row r="129" spans="1:7" ht="45" hidden="1" customHeight="1" x14ac:dyDescent="0.35">
      <c r="A129" s="120"/>
      <c r="B129" s="133"/>
      <c r="C129" s="152"/>
      <c r="D129" s="153"/>
      <c r="E129" s="153"/>
      <c r="F129" s="153"/>
      <c r="G129" s="74"/>
    </row>
    <row r="130" spans="1:7" ht="45" hidden="1" customHeight="1" x14ac:dyDescent="0.35">
      <c r="A130" s="120"/>
      <c r="B130" s="133"/>
      <c r="C130" s="70"/>
      <c r="D130" s="109"/>
      <c r="E130" s="109"/>
      <c r="F130" s="109"/>
      <c r="G130" s="74"/>
    </row>
    <row r="131" spans="1:7" ht="45" hidden="1" customHeight="1" x14ac:dyDescent="0.35">
      <c r="A131" s="120"/>
      <c r="B131" s="133"/>
      <c r="C131" s="70"/>
      <c r="D131" s="109"/>
      <c r="E131" s="109"/>
      <c r="F131" s="109"/>
      <c r="G131" s="74"/>
    </row>
    <row r="132" spans="1:7" ht="45" hidden="1" customHeight="1" x14ac:dyDescent="0.35">
      <c r="A132" s="120"/>
      <c r="B132" s="133"/>
      <c r="C132" s="70"/>
      <c r="D132" s="109"/>
      <c r="E132" s="109"/>
      <c r="F132" s="109"/>
      <c r="G132" s="74"/>
    </row>
    <row r="133" spans="1:7" ht="45" hidden="1" customHeight="1" x14ac:dyDescent="0.35">
      <c r="A133" s="120"/>
      <c r="B133" s="133"/>
      <c r="C133" s="70"/>
      <c r="D133" s="109"/>
      <c r="E133" s="109"/>
      <c r="F133" s="109"/>
      <c r="G133" s="74"/>
    </row>
    <row r="134" spans="1:7" ht="45" hidden="1" customHeight="1" x14ac:dyDescent="0.35">
      <c r="A134" s="120"/>
      <c r="B134" s="133"/>
      <c r="C134" s="70"/>
      <c r="D134" s="109"/>
      <c r="E134" s="109"/>
      <c r="F134" s="109"/>
      <c r="G134" s="74"/>
    </row>
    <row r="135" spans="1:7" ht="45" hidden="1" customHeight="1" x14ac:dyDescent="0.35">
      <c r="A135" s="120"/>
      <c r="B135" s="133"/>
      <c r="C135" s="70"/>
      <c r="D135" s="109"/>
      <c r="E135" s="109"/>
      <c r="F135" s="109"/>
      <c r="G135" s="74"/>
    </row>
    <row r="136" spans="1:7" ht="45" hidden="1" customHeight="1" x14ac:dyDescent="0.35">
      <c r="A136" s="120"/>
      <c r="B136" s="133"/>
      <c r="C136" s="70"/>
      <c r="D136" s="109"/>
      <c r="E136" s="109"/>
      <c r="F136" s="109"/>
      <c r="G136" s="74"/>
    </row>
    <row r="137" spans="1:7" ht="45" hidden="1" customHeight="1" x14ac:dyDescent="0.35">
      <c r="A137" s="120"/>
      <c r="B137" s="133"/>
      <c r="C137" s="70"/>
      <c r="D137" s="109"/>
      <c r="E137" s="109"/>
      <c r="F137" s="109"/>
      <c r="G137" s="74"/>
    </row>
    <row r="138" spans="1:7" ht="45" hidden="1" customHeight="1" x14ac:dyDescent="0.35">
      <c r="A138" s="120"/>
      <c r="B138" s="133"/>
      <c r="C138" s="70"/>
      <c r="D138" s="109"/>
      <c r="E138" s="109"/>
      <c r="F138" s="109"/>
      <c r="G138" s="74"/>
    </row>
    <row r="139" spans="1:7" ht="45" hidden="1" customHeight="1" x14ac:dyDescent="0.35">
      <c r="A139" s="120"/>
      <c r="B139" s="133"/>
      <c r="C139" s="70"/>
      <c r="D139" s="109"/>
      <c r="E139" s="109"/>
      <c r="F139" s="109"/>
      <c r="G139" s="74"/>
    </row>
  </sheetData>
  <sheetProtection algorithmName="SHA-512" hashValue="5lnt1dIiy+8fwKkwmIc6yUDcVGXDml7Dpu/O2DCb5DTPtwp4ABXfvGG+Ig34YVzPWojajnK159IlUrwzWoWoXg==" saltValue="j7jkDIMWuVMZTyVCn4P9qw==" spinCount="100000" sheet="1" objects="1" scenarios="1" selectLockedCells="1"/>
  <autoFilter ref="A1:G139">
    <filterColumn colId="6">
      <filters>
        <filter val="PMTCT_EID"/>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2"/>
  <sheetViews>
    <sheetView showGridLines="0" view="pageBreakPreview" zoomScale="70" zoomScaleNormal="100" zoomScaleSheetLayoutView="70" workbookViewId="0">
      <selection activeCell="K9" sqref="K9"/>
    </sheetView>
  </sheetViews>
  <sheetFormatPr defaultRowHeight="14.5" x14ac:dyDescent="0.35"/>
  <cols>
    <col min="1" max="1" width="53.1796875" customWidth="1"/>
    <col min="2" max="2" width="11.26953125" customWidth="1"/>
    <col min="4" max="4" width="14.1796875" customWidth="1"/>
    <col min="5" max="5" width="15.453125" customWidth="1"/>
    <col min="6" max="6" width="16.453125" customWidth="1"/>
    <col min="7" max="7" width="33.453125" customWidth="1"/>
    <col min="8" max="8" width="14.1796875" style="193" customWidth="1"/>
    <col min="9" max="9" width="8.81640625" style="80" hidden="1" customWidth="1"/>
    <col min="10" max="10" width="18.453125" customWidth="1"/>
    <col min="11" max="11" width="20.7265625" customWidth="1"/>
    <col min="12" max="12" width="8.81640625" hidden="1" customWidth="1"/>
    <col min="13" max="13" width="31.81640625" customWidth="1"/>
    <col min="14" max="14" width="28" customWidth="1"/>
    <col min="15" max="15" width="17.7265625" customWidth="1"/>
    <col min="16" max="16" width="8.81640625" hidden="1" customWidth="1"/>
    <col min="17" max="17" width="17.54296875" customWidth="1"/>
    <col min="18" max="18" width="30.4531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28.1796875" customWidth="1"/>
    <col min="26" max="26" width="20" customWidth="1"/>
    <col min="27" max="27" width="14" hidden="1" customWidth="1"/>
    <col min="28" max="28" width="8.7265625" hidden="1" customWidth="1"/>
    <col min="29" max="33" width="8.81640625" hidden="1" customWidth="1"/>
  </cols>
  <sheetData>
    <row r="1" spans="1:33" ht="29" x14ac:dyDescent="0.35">
      <c r="A1" s="201" t="s">
        <v>0</v>
      </c>
      <c r="B1" s="201" t="s">
        <v>1</v>
      </c>
      <c r="C1" s="201" t="s">
        <v>2</v>
      </c>
      <c r="D1" s="201" t="s">
        <v>3</v>
      </c>
      <c r="E1" s="201" t="s">
        <v>4</v>
      </c>
      <c r="F1" s="202" t="s">
        <v>5</v>
      </c>
      <c r="G1" s="202" t="s">
        <v>6</v>
      </c>
      <c r="H1" s="202" t="s">
        <v>7</v>
      </c>
      <c r="I1" s="202"/>
      <c r="J1" s="201" t="s">
        <v>8</v>
      </c>
      <c r="K1" s="201" t="s">
        <v>9</v>
      </c>
      <c r="L1" s="201"/>
      <c r="M1" s="201" t="s">
        <v>10</v>
      </c>
      <c r="N1" s="201" t="s">
        <v>11</v>
      </c>
      <c r="O1" s="201" t="s">
        <v>12</v>
      </c>
      <c r="P1" s="201"/>
      <c r="Q1" s="201" t="s">
        <v>13</v>
      </c>
      <c r="R1" s="201" t="s">
        <v>14</v>
      </c>
      <c r="S1" s="201" t="s">
        <v>15</v>
      </c>
      <c r="T1" s="201"/>
      <c r="U1" s="201" t="s">
        <v>16</v>
      </c>
      <c r="V1" s="201" t="s">
        <v>17</v>
      </c>
      <c r="W1" s="201" t="s">
        <v>18</v>
      </c>
      <c r="X1" s="201" t="s">
        <v>19</v>
      </c>
      <c r="Y1" s="201" t="s">
        <v>20</v>
      </c>
      <c r="Z1" s="201" t="s">
        <v>21</v>
      </c>
      <c r="AA1" s="125"/>
      <c r="AC1" s="192"/>
      <c r="AD1" s="192"/>
      <c r="AE1" s="192"/>
      <c r="AF1" s="192"/>
      <c r="AG1" s="192"/>
    </row>
    <row r="2" spans="1:33" x14ac:dyDescent="0.35">
      <c r="A2" s="203"/>
      <c r="B2" s="203"/>
      <c r="C2" s="203"/>
      <c r="D2" s="203"/>
      <c r="E2" s="203"/>
      <c r="F2" s="203"/>
      <c r="G2" s="203"/>
      <c r="H2" s="205"/>
      <c r="I2" s="204" t="str">
        <f>IF(H2&lt;&gt;"",G2=H2,"")</f>
        <v/>
      </c>
      <c r="J2" s="203"/>
      <c r="K2" s="206"/>
      <c r="L2" s="204" t="str">
        <f>IF(K2&lt;&gt;"",J2=K2,"")</f>
        <v/>
      </c>
      <c r="M2" s="203"/>
      <c r="N2" s="203"/>
      <c r="O2" s="206"/>
      <c r="P2" s="204" t="str">
        <f>IF(O2&lt;&gt;"",N2=O2,"")</f>
        <v/>
      </c>
      <c r="Q2" s="203"/>
      <c r="R2" s="203"/>
      <c r="S2" s="206"/>
      <c r="T2" s="204" t="str">
        <f>IF(S2&lt;&gt;"",R2=S2,"")</f>
        <v/>
      </c>
      <c r="U2" s="203"/>
      <c r="V2" s="203"/>
      <c r="W2" s="203"/>
      <c r="X2" s="203"/>
      <c r="Y2" s="203"/>
      <c r="Z2" s="206"/>
      <c r="AA2" s="125" t="str">
        <f>IF(Z2&lt;&gt;"",Y2=Z2,"")</f>
        <v/>
      </c>
      <c r="AB2" t="str">
        <f t="array" ref="AB2">IF(AND(AA2 &lt;&gt;"", I2&lt;&gt;"",L2&lt;&gt;"",P2&lt;&gt;"",T2&lt;&gt;""), AND(EXACT(AC2:AG2,AC2)),"")</f>
        <v/>
      </c>
      <c r="AC2" s="192" t="str">
        <f>I2</f>
        <v/>
      </c>
      <c r="AD2" s="192" t="str">
        <f>L2</f>
        <v/>
      </c>
      <c r="AE2" s="192" t="str">
        <f>P2</f>
        <v/>
      </c>
      <c r="AF2" s="192" t="str">
        <f>T2</f>
        <v/>
      </c>
      <c r="AG2" s="192" t="str">
        <f>AA2</f>
        <v/>
      </c>
    </row>
    <row r="3" spans="1:33" x14ac:dyDescent="0.35">
      <c r="A3" s="203"/>
      <c r="B3" s="203"/>
      <c r="C3" s="203"/>
      <c r="D3" s="203"/>
      <c r="E3" s="203"/>
      <c r="F3" s="203"/>
      <c r="G3" s="203"/>
      <c r="H3" s="205"/>
      <c r="I3" s="204" t="str">
        <f t="shared" ref="I3:I66" si="0">IF(H3&lt;&gt;"",G3=H3,"")</f>
        <v/>
      </c>
      <c r="J3" s="203"/>
      <c r="K3" s="206"/>
      <c r="L3" s="204" t="str">
        <f t="shared" ref="L3:L66" si="1">IF(K3&lt;&gt;"",J3=K3,"")</f>
        <v/>
      </c>
      <c r="M3" s="203"/>
      <c r="N3" s="203"/>
      <c r="O3" s="206"/>
      <c r="P3" s="204" t="str">
        <f t="shared" ref="P3:P66" si="2">IF(O3&lt;&gt;"",N3=O3,"")</f>
        <v/>
      </c>
      <c r="Q3" s="203"/>
      <c r="R3" s="203"/>
      <c r="S3" s="206"/>
      <c r="T3" s="204" t="str">
        <f t="shared" ref="T3:T66" si="3">IF(S3&lt;&gt;"",R3=S3,"")</f>
        <v/>
      </c>
      <c r="U3" s="203"/>
      <c r="V3" s="203"/>
      <c r="W3" s="203"/>
      <c r="X3" s="203"/>
      <c r="Y3" s="203"/>
      <c r="Z3" s="206"/>
      <c r="AA3" s="125" t="str">
        <f t="shared" ref="AA3:AA66" si="4">IF(Z3&lt;&gt;"",Y3=Z3,"")</f>
        <v/>
      </c>
      <c r="AB3" t="str">
        <f t="array" ref="AB3">IF(OR(AA3 &lt;&gt;"", I3&lt;&gt;"",L3&lt;&gt;"",P3&lt;&gt;"",T3&lt;&gt;""), AND(EXACT(AC3:AG3,AC3)),"")</f>
        <v/>
      </c>
      <c r="AC3" s="192" t="str">
        <f>I3</f>
        <v/>
      </c>
      <c r="AD3" s="192" t="str">
        <f>L3</f>
        <v/>
      </c>
      <c r="AE3" s="192" t="str">
        <f>P3</f>
        <v/>
      </c>
      <c r="AF3" s="192" t="str">
        <f>T3</f>
        <v/>
      </c>
      <c r="AG3" s="192" t="str">
        <f>AA3</f>
        <v/>
      </c>
    </row>
    <row r="4" spans="1:33" x14ac:dyDescent="0.35">
      <c r="A4" s="203"/>
      <c r="B4" s="203"/>
      <c r="C4" s="203"/>
      <c r="D4" s="203"/>
      <c r="E4" s="203"/>
      <c r="F4" s="203"/>
      <c r="G4" s="203"/>
      <c r="H4" s="205"/>
      <c r="I4" s="204" t="str">
        <f t="shared" si="0"/>
        <v/>
      </c>
      <c r="J4" s="203"/>
      <c r="K4" s="206"/>
      <c r="L4" s="204" t="str">
        <f t="shared" si="1"/>
        <v/>
      </c>
      <c r="M4" s="203"/>
      <c r="N4" s="203"/>
      <c r="O4" s="206"/>
      <c r="P4" s="204" t="str">
        <f t="shared" si="2"/>
        <v/>
      </c>
      <c r="Q4" s="203"/>
      <c r="R4" s="203"/>
      <c r="S4" s="206"/>
      <c r="T4" s="204" t="str">
        <f t="shared" si="3"/>
        <v/>
      </c>
      <c r="U4" s="203"/>
      <c r="V4" s="203"/>
      <c r="W4" s="203"/>
      <c r="X4" s="203"/>
      <c r="Y4" s="203"/>
      <c r="Z4" s="206"/>
      <c r="AA4" s="125" t="str">
        <f t="shared" si="4"/>
        <v/>
      </c>
      <c r="AB4" t="str">
        <f t="array" ref="AB4">IF(OR(AA4 &lt;&gt;"", I4&lt;&gt;"",L4&lt;&gt;"",P4&lt;&gt;"",T4&lt;&gt;""), AND(EXACT(AC4:AG4,AC4)),"")</f>
        <v/>
      </c>
      <c r="AC4" s="192" t="str">
        <f t="shared" ref="AC4:AC67" si="5">I4</f>
        <v/>
      </c>
      <c r="AD4" s="192" t="str">
        <f t="shared" ref="AD4:AD67" si="6">L4</f>
        <v/>
      </c>
      <c r="AE4" s="192" t="str">
        <f t="shared" ref="AE4:AE67" si="7">P4</f>
        <v/>
      </c>
      <c r="AF4" s="192" t="str">
        <f t="shared" ref="AF4:AF67" si="8">T4</f>
        <v/>
      </c>
      <c r="AG4" s="192" t="str">
        <f t="shared" ref="AG4:AG67" si="9">AA4</f>
        <v/>
      </c>
    </row>
    <row r="5" spans="1:33" x14ac:dyDescent="0.35">
      <c r="A5" s="203"/>
      <c r="B5" s="203"/>
      <c r="C5" s="203"/>
      <c r="D5" s="203"/>
      <c r="E5" s="203"/>
      <c r="F5" s="203"/>
      <c r="G5" s="203"/>
      <c r="H5" s="205"/>
      <c r="I5" s="204" t="str">
        <f t="shared" si="0"/>
        <v/>
      </c>
      <c r="J5" s="203"/>
      <c r="K5" s="206"/>
      <c r="L5" s="204" t="str">
        <f t="shared" si="1"/>
        <v/>
      </c>
      <c r="M5" s="203"/>
      <c r="N5" s="203"/>
      <c r="O5" s="206"/>
      <c r="P5" s="204" t="str">
        <f t="shared" si="2"/>
        <v/>
      </c>
      <c r="Q5" s="203"/>
      <c r="R5" s="203"/>
      <c r="S5" s="206"/>
      <c r="T5" s="204" t="str">
        <f t="shared" si="3"/>
        <v/>
      </c>
      <c r="U5" s="203"/>
      <c r="V5" s="203"/>
      <c r="W5" s="203"/>
      <c r="X5" s="203"/>
      <c r="Y5" s="203"/>
      <c r="Z5" s="206"/>
      <c r="AA5" s="125" t="str">
        <f t="shared" si="4"/>
        <v/>
      </c>
      <c r="AB5" t="str">
        <f t="array" ref="AB5">IF(OR(AA5 &lt;&gt;"", I5&lt;&gt;"",L5&lt;&gt;"",P5&lt;&gt;"",T5&lt;&gt;""), AND(EXACT(AC5:AG5,AC5)),"")</f>
        <v/>
      </c>
      <c r="AC5" s="192" t="str">
        <f t="shared" si="5"/>
        <v/>
      </c>
      <c r="AD5" s="192" t="str">
        <f t="shared" si="6"/>
        <v/>
      </c>
      <c r="AE5" s="192" t="str">
        <f t="shared" si="7"/>
        <v/>
      </c>
      <c r="AF5" s="192" t="str">
        <f t="shared" si="8"/>
        <v/>
      </c>
      <c r="AG5" s="192" t="str">
        <f t="shared" si="9"/>
        <v/>
      </c>
    </row>
    <row r="6" spans="1:33" x14ac:dyDescent="0.35">
      <c r="A6" s="203"/>
      <c r="B6" s="203"/>
      <c r="C6" s="203"/>
      <c r="D6" s="203"/>
      <c r="E6" s="203"/>
      <c r="F6" s="203"/>
      <c r="G6" s="203"/>
      <c r="H6" s="205"/>
      <c r="I6" s="204" t="str">
        <f t="shared" si="0"/>
        <v/>
      </c>
      <c r="J6" s="203"/>
      <c r="K6" s="206"/>
      <c r="L6" s="204" t="str">
        <f t="shared" si="1"/>
        <v/>
      </c>
      <c r="M6" s="203"/>
      <c r="N6" s="203"/>
      <c r="O6" s="206"/>
      <c r="P6" s="204" t="str">
        <f t="shared" si="2"/>
        <v/>
      </c>
      <c r="Q6" s="203"/>
      <c r="R6" s="203"/>
      <c r="S6" s="206"/>
      <c r="T6" s="204" t="str">
        <f t="shared" si="3"/>
        <v/>
      </c>
      <c r="U6" s="203"/>
      <c r="V6" s="203"/>
      <c r="W6" s="203"/>
      <c r="X6" s="203"/>
      <c r="Y6" s="203"/>
      <c r="Z6" s="206"/>
      <c r="AA6" s="125" t="str">
        <f t="shared" si="4"/>
        <v/>
      </c>
      <c r="AB6" t="str">
        <f t="array" ref="AB6">IF(OR(AA6 &lt;&gt;"", I6&lt;&gt;"",L6&lt;&gt;"",P6&lt;&gt;"",T6&lt;&gt;""), AND(EXACT(AC6:AG6,AC6)),"")</f>
        <v/>
      </c>
      <c r="AC6" s="192" t="str">
        <f t="shared" si="5"/>
        <v/>
      </c>
      <c r="AD6" s="192" t="str">
        <f t="shared" si="6"/>
        <v/>
      </c>
      <c r="AE6" s="192" t="str">
        <f t="shared" si="7"/>
        <v/>
      </c>
      <c r="AF6" s="192" t="str">
        <f t="shared" si="8"/>
        <v/>
      </c>
      <c r="AG6" s="192" t="str">
        <f t="shared" si="9"/>
        <v/>
      </c>
    </row>
    <row r="7" spans="1:33" x14ac:dyDescent="0.35">
      <c r="A7" s="203"/>
      <c r="B7" s="203"/>
      <c r="C7" s="203"/>
      <c r="D7" s="203"/>
      <c r="E7" s="203"/>
      <c r="F7" s="203"/>
      <c r="G7" s="203"/>
      <c r="H7" s="205"/>
      <c r="I7" s="204" t="str">
        <f t="shared" si="0"/>
        <v/>
      </c>
      <c r="J7" s="203"/>
      <c r="K7" s="206"/>
      <c r="L7" s="204" t="str">
        <f t="shared" si="1"/>
        <v/>
      </c>
      <c r="M7" s="203"/>
      <c r="N7" s="203"/>
      <c r="O7" s="206"/>
      <c r="P7" s="204" t="str">
        <f t="shared" si="2"/>
        <v/>
      </c>
      <c r="Q7" s="203"/>
      <c r="R7" s="203"/>
      <c r="S7" s="206"/>
      <c r="T7" s="204" t="str">
        <f t="shared" si="3"/>
        <v/>
      </c>
      <c r="U7" s="203"/>
      <c r="V7" s="203"/>
      <c r="W7" s="203"/>
      <c r="X7" s="203"/>
      <c r="Y7" s="203"/>
      <c r="Z7" s="206"/>
      <c r="AA7" s="125" t="str">
        <f t="shared" si="4"/>
        <v/>
      </c>
      <c r="AB7" t="str">
        <f t="array" ref="AB7">IF(OR(AA7 &lt;&gt;"", I7&lt;&gt;"",L7&lt;&gt;"",P7&lt;&gt;"",T7&lt;&gt;""), AND(EXACT(AC7:AG7,AC7)),"")</f>
        <v/>
      </c>
      <c r="AC7" s="192" t="str">
        <f t="shared" si="5"/>
        <v/>
      </c>
      <c r="AD7" s="192" t="str">
        <f t="shared" si="6"/>
        <v/>
      </c>
      <c r="AE7" s="192" t="str">
        <f t="shared" si="7"/>
        <v/>
      </c>
      <c r="AF7" s="192" t="str">
        <f t="shared" si="8"/>
        <v/>
      </c>
      <c r="AG7" s="192" t="str">
        <f t="shared" si="9"/>
        <v/>
      </c>
    </row>
    <row r="8" spans="1:33" x14ac:dyDescent="0.35">
      <c r="A8" s="203"/>
      <c r="B8" s="203"/>
      <c r="C8" s="203"/>
      <c r="D8" s="203"/>
      <c r="E8" s="203"/>
      <c r="F8" s="203"/>
      <c r="G8" s="203"/>
      <c r="H8" s="205"/>
      <c r="I8" s="204" t="str">
        <f t="shared" si="0"/>
        <v/>
      </c>
      <c r="J8" s="203"/>
      <c r="K8" s="206"/>
      <c r="L8" s="204" t="str">
        <f t="shared" si="1"/>
        <v/>
      </c>
      <c r="M8" s="203"/>
      <c r="N8" s="203"/>
      <c r="O8" s="206"/>
      <c r="P8" s="204" t="str">
        <f t="shared" si="2"/>
        <v/>
      </c>
      <c r="Q8" s="203"/>
      <c r="R8" s="203"/>
      <c r="S8" s="206"/>
      <c r="T8" s="204" t="str">
        <f t="shared" si="3"/>
        <v/>
      </c>
      <c r="U8" s="203"/>
      <c r="V8" s="203"/>
      <c r="W8" s="203"/>
      <c r="X8" s="203"/>
      <c r="Y8" s="203"/>
      <c r="Z8" s="206"/>
      <c r="AA8" s="125" t="str">
        <f t="shared" si="4"/>
        <v/>
      </c>
      <c r="AB8" t="str">
        <f t="array" ref="AB8">IF(OR(AA8 &lt;&gt;"", I8&lt;&gt;"",L8&lt;&gt;"",P8&lt;&gt;"",T8&lt;&gt;""), AND(EXACT(AC8:AG8,AC8)),"")</f>
        <v/>
      </c>
      <c r="AC8" s="192" t="str">
        <f t="shared" si="5"/>
        <v/>
      </c>
      <c r="AD8" s="192" t="str">
        <f t="shared" si="6"/>
        <v/>
      </c>
      <c r="AE8" s="192" t="str">
        <f t="shared" si="7"/>
        <v/>
      </c>
      <c r="AF8" s="192" t="str">
        <f t="shared" si="8"/>
        <v/>
      </c>
      <c r="AG8" s="192" t="str">
        <f t="shared" si="9"/>
        <v/>
      </c>
    </row>
    <row r="9" spans="1:33" x14ac:dyDescent="0.35">
      <c r="A9" s="203"/>
      <c r="B9" s="203"/>
      <c r="C9" s="203"/>
      <c r="D9" s="203"/>
      <c r="E9" s="203"/>
      <c r="F9" s="203"/>
      <c r="G9" s="203"/>
      <c r="H9" s="205"/>
      <c r="I9" s="204" t="str">
        <f t="shared" si="0"/>
        <v/>
      </c>
      <c r="J9" s="203"/>
      <c r="K9" s="206"/>
      <c r="L9" s="204" t="str">
        <f t="shared" si="1"/>
        <v/>
      </c>
      <c r="M9" s="203"/>
      <c r="N9" s="203"/>
      <c r="O9" s="206"/>
      <c r="P9" s="204" t="str">
        <f t="shared" si="2"/>
        <v/>
      </c>
      <c r="Q9" s="203"/>
      <c r="R9" s="203"/>
      <c r="S9" s="206"/>
      <c r="T9" s="204" t="str">
        <f t="shared" si="3"/>
        <v/>
      </c>
      <c r="U9" s="203"/>
      <c r="V9" s="203"/>
      <c r="W9" s="203"/>
      <c r="X9" s="203"/>
      <c r="Y9" s="203"/>
      <c r="Z9" s="206"/>
      <c r="AA9" s="125" t="str">
        <f t="shared" si="4"/>
        <v/>
      </c>
      <c r="AB9" t="str">
        <f t="array" ref="AB9">IF(OR(AA9 &lt;&gt;"", I9&lt;&gt;"",L9&lt;&gt;"",P9&lt;&gt;"",T9&lt;&gt;""), AND(EXACT(AC9:AG9,AC9)),"")</f>
        <v/>
      </c>
      <c r="AC9" s="192" t="str">
        <f t="shared" si="5"/>
        <v/>
      </c>
      <c r="AD9" s="192" t="str">
        <f t="shared" si="6"/>
        <v/>
      </c>
      <c r="AE9" s="192" t="str">
        <f t="shared" si="7"/>
        <v/>
      </c>
      <c r="AF9" s="192" t="str">
        <f t="shared" si="8"/>
        <v/>
      </c>
      <c r="AG9" s="192" t="str">
        <f t="shared" si="9"/>
        <v/>
      </c>
    </row>
    <row r="10" spans="1:33" x14ac:dyDescent="0.35">
      <c r="A10" s="203"/>
      <c r="B10" s="203"/>
      <c r="C10" s="203"/>
      <c r="D10" s="203"/>
      <c r="E10" s="203"/>
      <c r="F10" s="203"/>
      <c r="G10" s="203"/>
      <c r="H10" s="205"/>
      <c r="I10" s="204" t="str">
        <f t="shared" si="0"/>
        <v/>
      </c>
      <c r="J10" s="203"/>
      <c r="K10" s="206"/>
      <c r="L10" s="204" t="str">
        <f t="shared" si="1"/>
        <v/>
      </c>
      <c r="M10" s="203"/>
      <c r="N10" s="203"/>
      <c r="O10" s="206"/>
      <c r="P10" s="204" t="str">
        <f t="shared" si="2"/>
        <v/>
      </c>
      <c r="Q10" s="203"/>
      <c r="R10" s="203"/>
      <c r="S10" s="206"/>
      <c r="T10" s="204" t="str">
        <f t="shared" si="3"/>
        <v/>
      </c>
      <c r="U10" s="203"/>
      <c r="V10" s="203"/>
      <c r="W10" s="203"/>
      <c r="X10" s="203"/>
      <c r="Y10" s="203"/>
      <c r="Z10" s="206"/>
      <c r="AA10" s="125" t="str">
        <f t="shared" si="4"/>
        <v/>
      </c>
      <c r="AB10" t="str">
        <f t="array" ref="AB10">IF(OR(AA10 &lt;&gt;"", I10&lt;&gt;"",L10&lt;&gt;"",P10&lt;&gt;"",T10&lt;&gt;""), AND(EXACT(AC10:AG10,AC10)),"")</f>
        <v/>
      </c>
      <c r="AC10" s="192" t="str">
        <f t="shared" si="5"/>
        <v/>
      </c>
      <c r="AD10" s="192" t="str">
        <f t="shared" si="6"/>
        <v/>
      </c>
      <c r="AE10" s="192" t="str">
        <f t="shared" si="7"/>
        <v/>
      </c>
      <c r="AF10" s="192" t="str">
        <f t="shared" si="8"/>
        <v/>
      </c>
      <c r="AG10" s="192" t="str">
        <f t="shared" si="9"/>
        <v/>
      </c>
    </row>
    <row r="11" spans="1:33" x14ac:dyDescent="0.35">
      <c r="A11" s="203"/>
      <c r="B11" s="203"/>
      <c r="C11" s="203"/>
      <c r="D11" s="203"/>
      <c r="E11" s="203"/>
      <c r="F11" s="203"/>
      <c r="G11" s="203"/>
      <c r="H11" s="205"/>
      <c r="I11" s="204" t="str">
        <f t="shared" si="0"/>
        <v/>
      </c>
      <c r="J11" s="203"/>
      <c r="K11" s="206"/>
      <c r="L11" s="204" t="str">
        <f t="shared" si="1"/>
        <v/>
      </c>
      <c r="M11" s="203"/>
      <c r="N11" s="203"/>
      <c r="O11" s="206"/>
      <c r="P11" s="204" t="str">
        <f t="shared" si="2"/>
        <v/>
      </c>
      <c r="Q11" s="203"/>
      <c r="R11" s="203"/>
      <c r="S11" s="206"/>
      <c r="T11" s="204" t="str">
        <f t="shared" si="3"/>
        <v/>
      </c>
      <c r="U11" s="203"/>
      <c r="V11" s="203"/>
      <c r="W11" s="203"/>
      <c r="X11" s="203"/>
      <c r="Y11" s="203"/>
      <c r="Z11" s="206"/>
      <c r="AA11" s="125" t="str">
        <f t="shared" si="4"/>
        <v/>
      </c>
      <c r="AB11" t="str">
        <f t="array" ref="AB11">IF(OR(AA11 &lt;&gt;"", I11&lt;&gt;"",L11&lt;&gt;"",P11&lt;&gt;"",T11&lt;&gt;""), AND(EXACT(AC11:AG11,AC11)),"")</f>
        <v/>
      </c>
      <c r="AC11" s="192" t="str">
        <f t="shared" si="5"/>
        <v/>
      </c>
      <c r="AD11" s="192" t="str">
        <f t="shared" si="6"/>
        <v/>
      </c>
      <c r="AE11" s="192" t="str">
        <f t="shared" si="7"/>
        <v/>
      </c>
      <c r="AF11" s="192" t="str">
        <f t="shared" si="8"/>
        <v/>
      </c>
      <c r="AG11" s="192" t="str">
        <f t="shared" si="9"/>
        <v/>
      </c>
    </row>
    <row r="12" spans="1:33" x14ac:dyDescent="0.35">
      <c r="A12" s="203"/>
      <c r="B12" s="203"/>
      <c r="C12" s="203"/>
      <c r="D12" s="203"/>
      <c r="E12" s="203"/>
      <c r="F12" s="203"/>
      <c r="G12" s="203"/>
      <c r="H12" s="205"/>
      <c r="I12" s="204" t="str">
        <f t="shared" si="0"/>
        <v/>
      </c>
      <c r="J12" s="203"/>
      <c r="K12" s="206"/>
      <c r="L12" s="204" t="str">
        <f t="shared" si="1"/>
        <v/>
      </c>
      <c r="M12" s="203"/>
      <c r="N12" s="203"/>
      <c r="O12" s="206"/>
      <c r="P12" s="204" t="str">
        <f t="shared" si="2"/>
        <v/>
      </c>
      <c r="Q12" s="203"/>
      <c r="R12" s="203"/>
      <c r="S12" s="206"/>
      <c r="T12" s="204" t="str">
        <f t="shared" si="3"/>
        <v/>
      </c>
      <c r="U12" s="203"/>
      <c r="V12" s="203"/>
      <c r="W12" s="203"/>
      <c r="X12" s="203"/>
      <c r="Y12" s="203"/>
      <c r="Z12" s="206"/>
      <c r="AA12" s="125" t="str">
        <f t="shared" si="4"/>
        <v/>
      </c>
      <c r="AB12" t="str">
        <f t="array" ref="AB12">IF(OR(AA12 &lt;&gt;"", I12&lt;&gt;"",L12&lt;&gt;"",P12&lt;&gt;"",T12&lt;&gt;""), AND(EXACT(AC12:AG12,AC12)),"")</f>
        <v/>
      </c>
      <c r="AC12" s="192" t="str">
        <f t="shared" si="5"/>
        <v/>
      </c>
      <c r="AD12" s="192" t="str">
        <f t="shared" si="6"/>
        <v/>
      </c>
      <c r="AE12" s="192" t="str">
        <f t="shared" si="7"/>
        <v/>
      </c>
      <c r="AF12" s="192" t="str">
        <f t="shared" si="8"/>
        <v/>
      </c>
      <c r="AG12" s="192" t="str">
        <f t="shared" si="9"/>
        <v/>
      </c>
    </row>
    <row r="13" spans="1:33" x14ac:dyDescent="0.35">
      <c r="A13" s="203"/>
      <c r="B13" s="203"/>
      <c r="C13" s="203"/>
      <c r="D13" s="203"/>
      <c r="E13" s="203"/>
      <c r="F13" s="203"/>
      <c r="G13" s="203"/>
      <c r="H13" s="205"/>
      <c r="I13" s="204" t="str">
        <f t="shared" si="0"/>
        <v/>
      </c>
      <c r="J13" s="203"/>
      <c r="K13" s="206"/>
      <c r="L13" s="204" t="str">
        <f t="shared" si="1"/>
        <v/>
      </c>
      <c r="M13" s="203"/>
      <c r="N13" s="203"/>
      <c r="O13" s="206"/>
      <c r="P13" s="204" t="str">
        <f t="shared" si="2"/>
        <v/>
      </c>
      <c r="Q13" s="203"/>
      <c r="R13" s="203"/>
      <c r="S13" s="206"/>
      <c r="T13" s="204" t="str">
        <f t="shared" si="3"/>
        <v/>
      </c>
      <c r="U13" s="203"/>
      <c r="V13" s="203"/>
      <c r="W13" s="203"/>
      <c r="X13" s="203"/>
      <c r="Y13" s="203"/>
      <c r="Z13" s="206"/>
      <c r="AA13" s="125" t="str">
        <f t="shared" si="4"/>
        <v/>
      </c>
      <c r="AB13" t="str">
        <f t="array" ref="AB13">IF(OR(AA13 &lt;&gt;"", I13&lt;&gt;"",L13&lt;&gt;"",P13&lt;&gt;"",T13&lt;&gt;""), AND(EXACT(AC13:AG13,AC13)),"")</f>
        <v/>
      </c>
      <c r="AC13" s="192" t="str">
        <f t="shared" si="5"/>
        <v/>
      </c>
      <c r="AD13" s="192" t="str">
        <f t="shared" si="6"/>
        <v/>
      </c>
      <c r="AE13" s="192" t="str">
        <f t="shared" si="7"/>
        <v/>
      </c>
      <c r="AF13" s="192" t="str">
        <f t="shared" si="8"/>
        <v/>
      </c>
      <c r="AG13" s="192" t="str">
        <f t="shared" si="9"/>
        <v/>
      </c>
    </row>
    <row r="14" spans="1:33" x14ac:dyDescent="0.35">
      <c r="A14" s="203"/>
      <c r="B14" s="203"/>
      <c r="C14" s="203"/>
      <c r="D14" s="203"/>
      <c r="E14" s="203"/>
      <c r="F14" s="203"/>
      <c r="G14" s="203"/>
      <c r="H14" s="205"/>
      <c r="I14" s="204" t="str">
        <f t="shared" si="0"/>
        <v/>
      </c>
      <c r="J14" s="203"/>
      <c r="K14" s="206"/>
      <c r="L14" s="204" t="str">
        <f t="shared" si="1"/>
        <v/>
      </c>
      <c r="M14" s="203"/>
      <c r="N14" s="203"/>
      <c r="O14" s="206"/>
      <c r="P14" s="204" t="str">
        <f t="shared" si="2"/>
        <v/>
      </c>
      <c r="Q14" s="203"/>
      <c r="R14" s="203"/>
      <c r="S14" s="206"/>
      <c r="T14" s="204" t="str">
        <f t="shared" si="3"/>
        <v/>
      </c>
      <c r="U14" s="203"/>
      <c r="V14" s="203"/>
      <c r="W14" s="203"/>
      <c r="X14" s="203"/>
      <c r="Y14" s="203"/>
      <c r="Z14" s="206"/>
      <c r="AA14" s="125" t="str">
        <f t="shared" si="4"/>
        <v/>
      </c>
      <c r="AB14" t="str">
        <f t="array" ref="AB14">IF(OR(AA14 &lt;&gt;"", I14&lt;&gt;"",L14&lt;&gt;"",P14&lt;&gt;"",T14&lt;&gt;""), AND(EXACT(AC14:AG14,AC14)),"")</f>
        <v/>
      </c>
      <c r="AC14" s="192" t="str">
        <f t="shared" si="5"/>
        <v/>
      </c>
      <c r="AD14" s="192" t="str">
        <f t="shared" si="6"/>
        <v/>
      </c>
      <c r="AE14" s="192" t="str">
        <f t="shared" si="7"/>
        <v/>
      </c>
      <c r="AF14" s="192" t="str">
        <f t="shared" si="8"/>
        <v/>
      </c>
      <c r="AG14" s="192" t="str">
        <f t="shared" si="9"/>
        <v/>
      </c>
    </row>
    <row r="15" spans="1:33" x14ac:dyDescent="0.35">
      <c r="A15" s="203"/>
      <c r="B15" s="203"/>
      <c r="C15" s="203"/>
      <c r="D15" s="203"/>
      <c r="E15" s="203"/>
      <c r="F15" s="203"/>
      <c r="G15" s="203"/>
      <c r="H15" s="205"/>
      <c r="I15" s="204" t="str">
        <f t="shared" si="0"/>
        <v/>
      </c>
      <c r="J15" s="203"/>
      <c r="K15" s="206"/>
      <c r="L15" s="204" t="str">
        <f t="shared" si="1"/>
        <v/>
      </c>
      <c r="M15" s="203"/>
      <c r="N15" s="203"/>
      <c r="O15" s="206"/>
      <c r="P15" s="204" t="str">
        <f t="shared" si="2"/>
        <v/>
      </c>
      <c r="Q15" s="203"/>
      <c r="R15" s="203"/>
      <c r="S15" s="206"/>
      <c r="T15" s="204" t="str">
        <f t="shared" si="3"/>
        <v/>
      </c>
      <c r="U15" s="203"/>
      <c r="V15" s="203"/>
      <c r="W15" s="203"/>
      <c r="X15" s="203"/>
      <c r="Y15" s="203"/>
      <c r="Z15" s="206"/>
      <c r="AA15" s="125" t="str">
        <f t="shared" si="4"/>
        <v/>
      </c>
      <c r="AB15" t="str">
        <f t="array" ref="AB15">IF(OR(AA15 &lt;&gt;"", I15&lt;&gt;"",L15&lt;&gt;"",P15&lt;&gt;"",T15&lt;&gt;""), AND(EXACT(AC15:AG15,AC15)),"")</f>
        <v/>
      </c>
      <c r="AC15" s="192" t="str">
        <f t="shared" si="5"/>
        <v/>
      </c>
      <c r="AD15" s="192" t="str">
        <f t="shared" si="6"/>
        <v/>
      </c>
      <c r="AE15" s="192" t="str">
        <f t="shared" si="7"/>
        <v/>
      </c>
      <c r="AF15" s="192" t="str">
        <f t="shared" si="8"/>
        <v/>
      </c>
      <c r="AG15" s="192" t="str">
        <f t="shared" si="9"/>
        <v/>
      </c>
    </row>
    <row r="16" spans="1:33" x14ac:dyDescent="0.35">
      <c r="A16" s="203"/>
      <c r="B16" s="203"/>
      <c r="C16" s="203"/>
      <c r="D16" s="203"/>
      <c r="E16" s="203"/>
      <c r="F16" s="203"/>
      <c r="G16" s="203"/>
      <c r="H16" s="205"/>
      <c r="I16" s="204" t="str">
        <f t="shared" si="0"/>
        <v/>
      </c>
      <c r="J16" s="203"/>
      <c r="K16" s="206"/>
      <c r="L16" s="204" t="str">
        <f t="shared" si="1"/>
        <v/>
      </c>
      <c r="M16" s="203"/>
      <c r="N16" s="203"/>
      <c r="O16" s="206"/>
      <c r="P16" s="204" t="str">
        <f t="shared" si="2"/>
        <v/>
      </c>
      <c r="Q16" s="203"/>
      <c r="R16" s="203"/>
      <c r="S16" s="206"/>
      <c r="T16" s="204" t="str">
        <f t="shared" si="3"/>
        <v/>
      </c>
      <c r="U16" s="203"/>
      <c r="V16" s="203"/>
      <c r="W16" s="203"/>
      <c r="X16" s="203"/>
      <c r="Y16" s="203"/>
      <c r="Z16" s="206"/>
      <c r="AA16" s="125" t="str">
        <f t="shared" si="4"/>
        <v/>
      </c>
      <c r="AB16" t="str">
        <f t="array" ref="AB16">IF(OR(AA16 &lt;&gt;"", I16&lt;&gt;"",L16&lt;&gt;"",P16&lt;&gt;"",T16&lt;&gt;""), AND(EXACT(AC16:AG16,AC16)),"")</f>
        <v/>
      </c>
      <c r="AC16" s="192" t="str">
        <f t="shared" si="5"/>
        <v/>
      </c>
      <c r="AD16" s="192" t="str">
        <f t="shared" si="6"/>
        <v/>
      </c>
      <c r="AE16" s="192" t="str">
        <f t="shared" si="7"/>
        <v/>
      </c>
      <c r="AF16" s="192" t="str">
        <f t="shared" si="8"/>
        <v/>
      </c>
      <c r="AG16" s="192" t="str">
        <f t="shared" si="9"/>
        <v/>
      </c>
    </row>
    <row r="17" spans="1:33" x14ac:dyDescent="0.35">
      <c r="A17" s="203"/>
      <c r="B17" s="203"/>
      <c r="C17" s="203"/>
      <c r="D17" s="203"/>
      <c r="E17" s="203"/>
      <c r="F17" s="203"/>
      <c r="G17" s="203"/>
      <c r="H17" s="205"/>
      <c r="I17" s="204" t="str">
        <f t="shared" si="0"/>
        <v/>
      </c>
      <c r="J17" s="203"/>
      <c r="K17" s="206"/>
      <c r="L17" s="204" t="str">
        <f t="shared" si="1"/>
        <v/>
      </c>
      <c r="M17" s="203"/>
      <c r="N17" s="203"/>
      <c r="O17" s="206"/>
      <c r="P17" s="204" t="str">
        <f t="shared" si="2"/>
        <v/>
      </c>
      <c r="Q17" s="203"/>
      <c r="R17" s="203"/>
      <c r="S17" s="206"/>
      <c r="T17" s="204" t="str">
        <f t="shared" si="3"/>
        <v/>
      </c>
      <c r="U17" s="203"/>
      <c r="V17" s="203"/>
      <c r="W17" s="203"/>
      <c r="X17" s="203"/>
      <c r="Y17" s="203"/>
      <c r="Z17" s="206"/>
      <c r="AA17" s="125" t="str">
        <f t="shared" si="4"/>
        <v/>
      </c>
      <c r="AB17" t="str">
        <f t="array" ref="AB17">IF(OR(AA17 &lt;&gt;"", I17&lt;&gt;"",L17&lt;&gt;"",P17&lt;&gt;"",T17&lt;&gt;""), AND(EXACT(AC17:AG17,AC17)),"")</f>
        <v/>
      </c>
      <c r="AC17" s="192" t="str">
        <f t="shared" si="5"/>
        <v/>
      </c>
      <c r="AD17" s="192" t="str">
        <f t="shared" si="6"/>
        <v/>
      </c>
      <c r="AE17" s="192" t="str">
        <f t="shared" si="7"/>
        <v/>
      </c>
      <c r="AF17" s="192" t="str">
        <f t="shared" si="8"/>
        <v/>
      </c>
      <c r="AG17" s="192" t="str">
        <f t="shared" si="9"/>
        <v/>
      </c>
    </row>
    <row r="18" spans="1:33" x14ac:dyDescent="0.35">
      <c r="A18" s="203"/>
      <c r="B18" s="203"/>
      <c r="C18" s="203"/>
      <c r="D18" s="203"/>
      <c r="E18" s="203"/>
      <c r="F18" s="203"/>
      <c r="G18" s="203"/>
      <c r="H18" s="205"/>
      <c r="I18" s="204" t="str">
        <f t="shared" si="0"/>
        <v/>
      </c>
      <c r="J18" s="203"/>
      <c r="K18" s="206"/>
      <c r="L18" s="204" t="str">
        <f t="shared" si="1"/>
        <v/>
      </c>
      <c r="M18" s="203"/>
      <c r="N18" s="203"/>
      <c r="O18" s="206"/>
      <c r="P18" s="204" t="str">
        <f t="shared" si="2"/>
        <v/>
      </c>
      <c r="Q18" s="203"/>
      <c r="R18" s="203"/>
      <c r="S18" s="206"/>
      <c r="T18" s="204" t="str">
        <f t="shared" si="3"/>
        <v/>
      </c>
      <c r="U18" s="203"/>
      <c r="V18" s="203"/>
      <c r="W18" s="203"/>
      <c r="X18" s="203"/>
      <c r="Y18" s="203"/>
      <c r="Z18" s="206"/>
      <c r="AA18" s="125" t="str">
        <f t="shared" si="4"/>
        <v/>
      </c>
      <c r="AB18" t="str">
        <f t="array" ref="AB18">IF(OR(AA18 &lt;&gt;"", I18&lt;&gt;"",L18&lt;&gt;"",P18&lt;&gt;"",T18&lt;&gt;""), AND(EXACT(AC18:AG18,AC18)),"")</f>
        <v/>
      </c>
      <c r="AC18" s="192" t="str">
        <f t="shared" si="5"/>
        <v/>
      </c>
      <c r="AD18" s="192" t="str">
        <f t="shared" si="6"/>
        <v/>
      </c>
      <c r="AE18" s="192" t="str">
        <f t="shared" si="7"/>
        <v/>
      </c>
      <c r="AF18" s="192" t="str">
        <f t="shared" si="8"/>
        <v/>
      </c>
      <c r="AG18" s="192" t="str">
        <f t="shared" si="9"/>
        <v/>
      </c>
    </row>
    <row r="19" spans="1:33" x14ac:dyDescent="0.35">
      <c r="A19" s="203"/>
      <c r="B19" s="203"/>
      <c r="C19" s="203"/>
      <c r="D19" s="203"/>
      <c r="E19" s="203"/>
      <c r="F19" s="203"/>
      <c r="G19" s="203"/>
      <c r="H19" s="205"/>
      <c r="I19" s="204" t="str">
        <f t="shared" si="0"/>
        <v/>
      </c>
      <c r="J19" s="203"/>
      <c r="K19" s="206"/>
      <c r="L19" s="204" t="str">
        <f t="shared" si="1"/>
        <v/>
      </c>
      <c r="M19" s="203"/>
      <c r="N19" s="203"/>
      <c r="O19" s="206"/>
      <c r="P19" s="204" t="str">
        <f t="shared" si="2"/>
        <v/>
      </c>
      <c r="Q19" s="203"/>
      <c r="R19" s="203"/>
      <c r="S19" s="206"/>
      <c r="T19" s="204" t="str">
        <f t="shared" si="3"/>
        <v/>
      </c>
      <c r="U19" s="203"/>
      <c r="V19" s="203"/>
      <c r="W19" s="203"/>
      <c r="X19" s="203"/>
      <c r="Y19" s="203"/>
      <c r="Z19" s="206"/>
      <c r="AA19" s="125" t="str">
        <f t="shared" si="4"/>
        <v/>
      </c>
      <c r="AB19" t="str">
        <f t="array" ref="AB19">IF(OR(AA19 &lt;&gt;"", I19&lt;&gt;"",L19&lt;&gt;"",P19&lt;&gt;"",T19&lt;&gt;""), AND(EXACT(AC19:AG19,AC19)),"")</f>
        <v/>
      </c>
      <c r="AC19" s="192" t="str">
        <f t="shared" si="5"/>
        <v/>
      </c>
      <c r="AD19" s="192" t="str">
        <f t="shared" si="6"/>
        <v/>
      </c>
      <c r="AE19" s="192" t="str">
        <f t="shared" si="7"/>
        <v/>
      </c>
      <c r="AF19" s="192" t="str">
        <f t="shared" si="8"/>
        <v/>
      </c>
      <c r="AG19" s="192" t="str">
        <f t="shared" si="9"/>
        <v/>
      </c>
    </row>
    <row r="20" spans="1:33" x14ac:dyDescent="0.35">
      <c r="A20" s="203"/>
      <c r="B20" s="203"/>
      <c r="C20" s="203"/>
      <c r="D20" s="203"/>
      <c r="E20" s="203"/>
      <c r="F20" s="203"/>
      <c r="G20" s="203"/>
      <c r="H20" s="205"/>
      <c r="I20" s="204" t="str">
        <f t="shared" si="0"/>
        <v/>
      </c>
      <c r="J20" s="203"/>
      <c r="K20" s="206"/>
      <c r="L20" s="204" t="str">
        <f t="shared" si="1"/>
        <v/>
      </c>
      <c r="M20" s="203"/>
      <c r="N20" s="203"/>
      <c r="O20" s="206"/>
      <c r="P20" s="204" t="str">
        <f t="shared" si="2"/>
        <v/>
      </c>
      <c r="Q20" s="203"/>
      <c r="R20" s="203"/>
      <c r="S20" s="206"/>
      <c r="T20" s="204" t="str">
        <f t="shared" si="3"/>
        <v/>
      </c>
      <c r="U20" s="203"/>
      <c r="V20" s="203"/>
      <c r="W20" s="203"/>
      <c r="X20" s="203"/>
      <c r="Y20" s="203"/>
      <c r="Z20" s="206"/>
      <c r="AA20" s="125" t="str">
        <f t="shared" si="4"/>
        <v/>
      </c>
      <c r="AB20" t="str">
        <f t="array" ref="AB20">IF(OR(AA20 &lt;&gt;"", I20&lt;&gt;"",L20&lt;&gt;"",P20&lt;&gt;"",T20&lt;&gt;""), AND(EXACT(AC20:AG20,AC20)),"")</f>
        <v/>
      </c>
      <c r="AC20" s="192" t="str">
        <f t="shared" si="5"/>
        <v/>
      </c>
      <c r="AD20" s="192" t="str">
        <f t="shared" si="6"/>
        <v/>
      </c>
      <c r="AE20" s="192" t="str">
        <f t="shared" si="7"/>
        <v/>
      </c>
      <c r="AF20" s="192" t="str">
        <f t="shared" si="8"/>
        <v/>
      </c>
      <c r="AG20" s="192" t="str">
        <f t="shared" si="9"/>
        <v/>
      </c>
    </row>
    <row r="21" spans="1:33" x14ac:dyDescent="0.35">
      <c r="A21" s="203"/>
      <c r="B21" s="203"/>
      <c r="C21" s="203"/>
      <c r="D21" s="203"/>
      <c r="E21" s="203"/>
      <c r="F21" s="203"/>
      <c r="G21" s="203"/>
      <c r="H21" s="205"/>
      <c r="I21" s="204" t="str">
        <f t="shared" si="0"/>
        <v/>
      </c>
      <c r="J21" s="203"/>
      <c r="K21" s="206"/>
      <c r="L21" s="204" t="str">
        <f t="shared" si="1"/>
        <v/>
      </c>
      <c r="M21" s="203"/>
      <c r="N21" s="203"/>
      <c r="O21" s="206"/>
      <c r="P21" s="204" t="str">
        <f t="shared" si="2"/>
        <v/>
      </c>
      <c r="Q21" s="203"/>
      <c r="R21" s="203"/>
      <c r="S21" s="206"/>
      <c r="T21" s="204" t="str">
        <f t="shared" si="3"/>
        <v/>
      </c>
      <c r="U21" s="203"/>
      <c r="V21" s="203"/>
      <c r="W21" s="203"/>
      <c r="X21" s="203"/>
      <c r="Y21" s="203"/>
      <c r="Z21" s="206"/>
      <c r="AA21" s="125" t="str">
        <f t="shared" si="4"/>
        <v/>
      </c>
      <c r="AB21" t="str">
        <f t="array" ref="AB21">IF(OR(AA21 &lt;&gt;"", I21&lt;&gt;"",L21&lt;&gt;"",P21&lt;&gt;"",T21&lt;&gt;""), AND(EXACT(AC21:AG21,AC21)),"")</f>
        <v/>
      </c>
      <c r="AC21" s="192" t="str">
        <f t="shared" si="5"/>
        <v/>
      </c>
      <c r="AD21" s="192" t="str">
        <f t="shared" si="6"/>
        <v/>
      </c>
      <c r="AE21" s="192" t="str">
        <f t="shared" si="7"/>
        <v/>
      </c>
      <c r="AF21" s="192" t="str">
        <f t="shared" si="8"/>
        <v/>
      </c>
      <c r="AG21" s="192" t="str">
        <f t="shared" si="9"/>
        <v/>
      </c>
    </row>
    <row r="22" spans="1:33" x14ac:dyDescent="0.35">
      <c r="A22" s="203"/>
      <c r="B22" s="203"/>
      <c r="C22" s="203"/>
      <c r="D22" s="203"/>
      <c r="E22" s="203"/>
      <c r="F22" s="203"/>
      <c r="G22" s="203"/>
      <c r="H22" s="205"/>
      <c r="I22" s="204" t="str">
        <f t="shared" si="0"/>
        <v/>
      </c>
      <c r="J22" s="203"/>
      <c r="K22" s="206"/>
      <c r="L22" s="204" t="str">
        <f t="shared" si="1"/>
        <v/>
      </c>
      <c r="M22" s="203"/>
      <c r="N22" s="203"/>
      <c r="O22" s="206"/>
      <c r="P22" s="204" t="str">
        <f t="shared" si="2"/>
        <v/>
      </c>
      <c r="Q22" s="203"/>
      <c r="R22" s="203"/>
      <c r="S22" s="206"/>
      <c r="T22" s="204" t="str">
        <f t="shared" si="3"/>
        <v/>
      </c>
      <c r="U22" s="203"/>
      <c r="V22" s="203"/>
      <c r="W22" s="203"/>
      <c r="X22" s="203"/>
      <c r="Y22" s="203"/>
      <c r="Z22" s="206"/>
      <c r="AA22" s="125" t="str">
        <f t="shared" si="4"/>
        <v/>
      </c>
      <c r="AB22" t="str">
        <f t="array" ref="AB22">IF(OR(AA22 &lt;&gt;"", I22&lt;&gt;"",L22&lt;&gt;"",P22&lt;&gt;"",T22&lt;&gt;""), AND(EXACT(AC22:AG22,AC22)),"")</f>
        <v/>
      </c>
      <c r="AC22" s="192" t="str">
        <f t="shared" si="5"/>
        <v/>
      </c>
      <c r="AD22" s="192" t="str">
        <f t="shared" si="6"/>
        <v/>
      </c>
      <c r="AE22" s="192" t="str">
        <f t="shared" si="7"/>
        <v/>
      </c>
      <c r="AF22" s="192" t="str">
        <f t="shared" si="8"/>
        <v/>
      </c>
      <c r="AG22" s="192" t="str">
        <f t="shared" si="9"/>
        <v/>
      </c>
    </row>
    <row r="23" spans="1:33" x14ac:dyDescent="0.35">
      <c r="A23" s="203"/>
      <c r="B23" s="203"/>
      <c r="C23" s="203"/>
      <c r="D23" s="203"/>
      <c r="E23" s="203"/>
      <c r="F23" s="203"/>
      <c r="G23" s="203"/>
      <c r="H23" s="205"/>
      <c r="I23" s="204" t="str">
        <f t="shared" si="0"/>
        <v/>
      </c>
      <c r="J23" s="203"/>
      <c r="K23" s="206"/>
      <c r="L23" s="204" t="str">
        <f t="shared" si="1"/>
        <v/>
      </c>
      <c r="M23" s="203"/>
      <c r="N23" s="203"/>
      <c r="O23" s="206"/>
      <c r="P23" s="204" t="str">
        <f t="shared" si="2"/>
        <v/>
      </c>
      <c r="Q23" s="203"/>
      <c r="R23" s="203"/>
      <c r="S23" s="206"/>
      <c r="T23" s="204" t="str">
        <f t="shared" si="3"/>
        <v/>
      </c>
      <c r="U23" s="203"/>
      <c r="V23" s="203"/>
      <c r="W23" s="203"/>
      <c r="X23" s="203"/>
      <c r="Y23" s="203"/>
      <c r="Z23" s="206"/>
      <c r="AA23" s="125" t="str">
        <f t="shared" si="4"/>
        <v/>
      </c>
      <c r="AB23" t="str">
        <f t="array" ref="AB23">IF(OR(AA23 &lt;&gt;"", I23&lt;&gt;"",L23&lt;&gt;"",P23&lt;&gt;"",T23&lt;&gt;""), AND(EXACT(AC23:AG23,AC23)),"")</f>
        <v/>
      </c>
      <c r="AC23" s="192" t="str">
        <f t="shared" si="5"/>
        <v/>
      </c>
      <c r="AD23" s="192" t="str">
        <f t="shared" si="6"/>
        <v/>
      </c>
      <c r="AE23" s="192" t="str">
        <f t="shared" si="7"/>
        <v/>
      </c>
      <c r="AF23" s="192" t="str">
        <f t="shared" si="8"/>
        <v/>
      </c>
      <c r="AG23" s="192" t="str">
        <f t="shared" si="9"/>
        <v/>
      </c>
    </row>
    <row r="24" spans="1:33" x14ac:dyDescent="0.35">
      <c r="A24" s="203"/>
      <c r="B24" s="203"/>
      <c r="C24" s="203"/>
      <c r="D24" s="203"/>
      <c r="E24" s="203"/>
      <c r="F24" s="203"/>
      <c r="G24" s="203"/>
      <c r="H24" s="205"/>
      <c r="I24" s="204" t="str">
        <f t="shared" si="0"/>
        <v/>
      </c>
      <c r="J24" s="203"/>
      <c r="K24" s="206"/>
      <c r="L24" s="204" t="str">
        <f t="shared" si="1"/>
        <v/>
      </c>
      <c r="M24" s="203"/>
      <c r="N24" s="203"/>
      <c r="O24" s="206"/>
      <c r="P24" s="204" t="str">
        <f t="shared" si="2"/>
        <v/>
      </c>
      <c r="Q24" s="203"/>
      <c r="R24" s="203"/>
      <c r="S24" s="206"/>
      <c r="T24" s="204" t="str">
        <f t="shared" si="3"/>
        <v/>
      </c>
      <c r="U24" s="203"/>
      <c r="V24" s="203"/>
      <c r="W24" s="203"/>
      <c r="X24" s="203"/>
      <c r="Y24" s="203"/>
      <c r="Z24" s="206"/>
      <c r="AA24" s="125" t="str">
        <f t="shared" si="4"/>
        <v/>
      </c>
      <c r="AB24" t="str">
        <f t="array" ref="AB24">IF(OR(AA24 &lt;&gt;"", I24&lt;&gt;"",L24&lt;&gt;"",P24&lt;&gt;"",T24&lt;&gt;""), AND(EXACT(AC24:AG24,AC24)),"")</f>
        <v/>
      </c>
      <c r="AC24" s="192" t="str">
        <f t="shared" si="5"/>
        <v/>
      </c>
      <c r="AD24" s="192" t="str">
        <f t="shared" si="6"/>
        <v/>
      </c>
      <c r="AE24" s="192" t="str">
        <f t="shared" si="7"/>
        <v/>
      </c>
      <c r="AF24" s="192" t="str">
        <f t="shared" si="8"/>
        <v/>
      </c>
      <c r="AG24" s="192" t="str">
        <f t="shared" si="9"/>
        <v/>
      </c>
    </row>
    <row r="25" spans="1:33" x14ac:dyDescent="0.35">
      <c r="A25" s="203"/>
      <c r="B25" s="203"/>
      <c r="C25" s="203"/>
      <c r="D25" s="203"/>
      <c r="E25" s="203"/>
      <c r="F25" s="203"/>
      <c r="G25" s="203"/>
      <c r="H25" s="205"/>
      <c r="I25" s="204" t="str">
        <f t="shared" si="0"/>
        <v/>
      </c>
      <c r="J25" s="203"/>
      <c r="K25" s="206"/>
      <c r="L25" s="204" t="str">
        <f t="shared" si="1"/>
        <v/>
      </c>
      <c r="M25" s="203"/>
      <c r="N25" s="203"/>
      <c r="O25" s="206"/>
      <c r="P25" s="204" t="str">
        <f t="shared" si="2"/>
        <v/>
      </c>
      <c r="Q25" s="203"/>
      <c r="R25" s="203"/>
      <c r="S25" s="206"/>
      <c r="T25" s="204" t="str">
        <f t="shared" si="3"/>
        <v/>
      </c>
      <c r="U25" s="203"/>
      <c r="V25" s="203"/>
      <c r="W25" s="203"/>
      <c r="X25" s="203"/>
      <c r="Y25" s="203"/>
      <c r="Z25" s="206"/>
      <c r="AA25" s="125" t="str">
        <f t="shared" si="4"/>
        <v/>
      </c>
      <c r="AB25" t="str">
        <f t="array" ref="AB25">IF(OR(AA25 &lt;&gt;"", I25&lt;&gt;"",L25&lt;&gt;"",P25&lt;&gt;"",T25&lt;&gt;""), AND(EXACT(AC25:AG25,AC25)),"")</f>
        <v/>
      </c>
      <c r="AC25" s="192" t="str">
        <f t="shared" si="5"/>
        <v/>
      </c>
      <c r="AD25" s="192" t="str">
        <f t="shared" si="6"/>
        <v/>
      </c>
      <c r="AE25" s="192" t="str">
        <f t="shared" si="7"/>
        <v/>
      </c>
      <c r="AF25" s="192" t="str">
        <f t="shared" si="8"/>
        <v/>
      </c>
      <c r="AG25" s="192" t="str">
        <f t="shared" si="9"/>
        <v/>
      </c>
    </row>
    <row r="26" spans="1:33" x14ac:dyDescent="0.35">
      <c r="A26" s="203"/>
      <c r="B26" s="203"/>
      <c r="C26" s="203"/>
      <c r="D26" s="203"/>
      <c r="E26" s="203"/>
      <c r="F26" s="203"/>
      <c r="G26" s="203"/>
      <c r="H26" s="205"/>
      <c r="I26" s="204" t="str">
        <f t="shared" si="0"/>
        <v/>
      </c>
      <c r="J26" s="203"/>
      <c r="K26" s="206"/>
      <c r="L26" s="204" t="str">
        <f t="shared" si="1"/>
        <v/>
      </c>
      <c r="M26" s="203"/>
      <c r="N26" s="203"/>
      <c r="O26" s="206"/>
      <c r="P26" s="204" t="str">
        <f t="shared" si="2"/>
        <v/>
      </c>
      <c r="Q26" s="203"/>
      <c r="R26" s="203"/>
      <c r="S26" s="206"/>
      <c r="T26" s="204" t="str">
        <f t="shared" si="3"/>
        <v/>
      </c>
      <c r="U26" s="203"/>
      <c r="V26" s="203"/>
      <c r="W26" s="203"/>
      <c r="X26" s="203"/>
      <c r="Y26" s="203"/>
      <c r="Z26" s="206"/>
      <c r="AA26" s="125" t="str">
        <f t="shared" si="4"/>
        <v/>
      </c>
      <c r="AB26" t="str">
        <f t="array" ref="AB26">IF(OR(AA26 &lt;&gt;"", I26&lt;&gt;"",L26&lt;&gt;"",P26&lt;&gt;"",T26&lt;&gt;""), AND(EXACT(AC26:AG26,AC26)),"")</f>
        <v/>
      </c>
      <c r="AC26" s="192" t="str">
        <f t="shared" si="5"/>
        <v/>
      </c>
      <c r="AD26" s="192" t="str">
        <f t="shared" si="6"/>
        <v/>
      </c>
      <c r="AE26" s="192" t="str">
        <f t="shared" si="7"/>
        <v/>
      </c>
      <c r="AF26" s="192" t="str">
        <f t="shared" si="8"/>
        <v/>
      </c>
      <c r="AG26" s="192" t="str">
        <f t="shared" si="9"/>
        <v/>
      </c>
    </row>
    <row r="27" spans="1:33" x14ac:dyDescent="0.35">
      <c r="A27" s="203"/>
      <c r="B27" s="203"/>
      <c r="C27" s="203"/>
      <c r="D27" s="203"/>
      <c r="E27" s="203"/>
      <c r="F27" s="203"/>
      <c r="G27" s="203"/>
      <c r="H27" s="205"/>
      <c r="I27" s="204" t="str">
        <f t="shared" si="0"/>
        <v/>
      </c>
      <c r="J27" s="203"/>
      <c r="K27" s="206"/>
      <c r="L27" s="204" t="str">
        <f t="shared" si="1"/>
        <v/>
      </c>
      <c r="M27" s="203"/>
      <c r="N27" s="203"/>
      <c r="O27" s="206"/>
      <c r="P27" s="204" t="str">
        <f t="shared" si="2"/>
        <v/>
      </c>
      <c r="Q27" s="203"/>
      <c r="R27" s="203"/>
      <c r="S27" s="206"/>
      <c r="T27" s="204" t="str">
        <f t="shared" si="3"/>
        <v/>
      </c>
      <c r="U27" s="203"/>
      <c r="V27" s="203"/>
      <c r="W27" s="203"/>
      <c r="X27" s="203"/>
      <c r="Y27" s="203"/>
      <c r="Z27" s="206"/>
      <c r="AA27" s="125" t="str">
        <f t="shared" si="4"/>
        <v/>
      </c>
      <c r="AB27" t="str">
        <f t="array" ref="AB27">IF(OR(AA27 &lt;&gt;"", I27&lt;&gt;"",L27&lt;&gt;"",P27&lt;&gt;"",T27&lt;&gt;""), AND(EXACT(AC27:AG27,AC27)),"")</f>
        <v/>
      </c>
      <c r="AC27" s="192" t="str">
        <f t="shared" si="5"/>
        <v/>
      </c>
      <c r="AD27" s="192" t="str">
        <f t="shared" si="6"/>
        <v/>
      </c>
      <c r="AE27" s="192" t="str">
        <f t="shared" si="7"/>
        <v/>
      </c>
      <c r="AF27" s="192" t="str">
        <f t="shared" si="8"/>
        <v/>
      </c>
      <c r="AG27" s="192" t="str">
        <f t="shared" si="9"/>
        <v/>
      </c>
    </row>
    <row r="28" spans="1:33" x14ac:dyDescent="0.35">
      <c r="A28" s="203"/>
      <c r="B28" s="203"/>
      <c r="C28" s="203"/>
      <c r="D28" s="203"/>
      <c r="E28" s="203"/>
      <c r="F28" s="203"/>
      <c r="G28" s="203"/>
      <c r="H28" s="205"/>
      <c r="I28" s="204" t="str">
        <f t="shared" si="0"/>
        <v/>
      </c>
      <c r="J28" s="203"/>
      <c r="K28" s="206"/>
      <c r="L28" s="204" t="str">
        <f t="shared" si="1"/>
        <v/>
      </c>
      <c r="M28" s="203"/>
      <c r="N28" s="203"/>
      <c r="O28" s="206"/>
      <c r="P28" s="204" t="str">
        <f t="shared" si="2"/>
        <v/>
      </c>
      <c r="Q28" s="203"/>
      <c r="R28" s="203"/>
      <c r="S28" s="206"/>
      <c r="T28" s="204" t="str">
        <f t="shared" si="3"/>
        <v/>
      </c>
      <c r="U28" s="203"/>
      <c r="V28" s="203"/>
      <c r="W28" s="203"/>
      <c r="X28" s="203"/>
      <c r="Y28" s="203"/>
      <c r="Z28" s="206"/>
      <c r="AA28" s="125" t="str">
        <f t="shared" si="4"/>
        <v/>
      </c>
      <c r="AB28" t="str">
        <f t="array" ref="AB28">IF(OR(AA28 &lt;&gt;"", I28&lt;&gt;"",L28&lt;&gt;"",P28&lt;&gt;"",T28&lt;&gt;""), AND(EXACT(AC28:AG28,AC28)),"")</f>
        <v/>
      </c>
      <c r="AC28" s="192" t="str">
        <f t="shared" si="5"/>
        <v/>
      </c>
      <c r="AD28" s="192" t="str">
        <f t="shared" si="6"/>
        <v/>
      </c>
      <c r="AE28" s="192" t="str">
        <f t="shared" si="7"/>
        <v/>
      </c>
      <c r="AF28" s="192" t="str">
        <f t="shared" si="8"/>
        <v/>
      </c>
      <c r="AG28" s="192" t="str">
        <f t="shared" si="9"/>
        <v/>
      </c>
    </row>
    <row r="29" spans="1:33" x14ac:dyDescent="0.35">
      <c r="A29" s="203"/>
      <c r="B29" s="203"/>
      <c r="C29" s="203"/>
      <c r="D29" s="203"/>
      <c r="E29" s="203"/>
      <c r="F29" s="203"/>
      <c r="G29" s="203"/>
      <c r="H29" s="205"/>
      <c r="I29" s="204" t="str">
        <f t="shared" si="0"/>
        <v/>
      </c>
      <c r="J29" s="203"/>
      <c r="K29" s="206"/>
      <c r="L29" s="204" t="str">
        <f t="shared" si="1"/>
        <v/>
      </c>
      <c r="M29" s="203"/>
      <c r="N29" s="203"/>
      <c r="O29" s="206"/>
      <c r="P29" s="204" t="str">
        <f t="shared" si="2"/>
        <v/>
      </c>
      <c r="Q29" s="203"/>
      <c r="R29" s="203"/>
      <c r="S29" s="206"/>
      <c r="T29" s="204" t="str">
        <f t="shared" si="3"/>
        <v/>
      </c>
      <c r="U29" s="203"/>
      <c r="V29" s="203"/>
      <c r="W29" s="203"/>
      <c r="X29" s="203"/>
      <c r="Y29" s="203"/>
      <c r="Z29" s="206"/>
      <c r="AA29" s="125" t="str">
        <f t="shared" si="4"/>
        <v/>
      </c>
      <c r="AB29" t="str">
        <f t="array" ref="AB29">IF(OR(AA29 &lt;&gt;"", I29&lt;&gt;"",L29&lt;&gt;"",P29&lt;&gt;"",T29&lt;&gt;""), AND(EXACT(AC29:AG29,AC29)),"")</f>
        <v/>
      </c>
      <c r="AC29" s="192" t="str">
        <f t="shared" si="5"/>
        <v/>
      </c>
      <c r="AD29" s="192" t="str">
        <f t="shared" si="6"/>
        <v/>
      </c>
      <c r="AE29" s="192" t="str">
        <f t="shared" si="7"/>
        <v/>
      </c>
      <c r="AF29" s="192" t="str">
        <f t="shared" si="8"/>
        <v/>
      </c>
      <c r="AG29" s="192" t="str">
        <f t="shared" si="9"/>
        <v/>
      </c>
    </row>
    <row r="30" spans="1:33" x14ac:dyDescent="0.35">
      <c r="A30" s="203"/>
      <c r="B30" s="203"/>
      <c r="C30" s="203"/>
      <c r="D30" s="203"/>
      <c r="E30" s="203"/>
      <c r="F30" s="203"/>
      <c r="G30" s="203"/>
      <c r="H30" s="205"/>
      <c r="I30" s="204" t="str">
        <f t="shared" si="0"/>
        <v/>
      </c>
      <c r="J30" s="203"/>
      <c r="K30" s="206"/>
      <c r="L30" s="204" t="str">
        <f t="shared" si="1"/>
        <v/>
      </c>
      <c r="M30" s="203"/>
      <c r="N30" s="203"/>
      <c r="O30" s="206"/>
      <c r="P30" s="204" t="str">
        <f t="shared" si="2"/>
        <v/>
      </c>
      <c r="Q30" s="203"/>
      <c r="R30" s="203"/>
      <c r="S30" s="206"/>
      <c r="T30" s="204" t="str">
        <f t="shared" si="3"/>
        <v/>
      </c>
      <c r="U30" s="203"/>
      <c r="V30" s="203"/>
      <c r="W30" s="203"/>
      <c r="X30" s="203"/>
      <c r="Y30" s="203"/>
      <c r="Z30" s="206"/>
      <c r="AA30" s="125" t="str">
        <f t="shared" si="4"/>
        <v/>
      </c>
      <c r="AB30" t="str">
        <f t="array" ref="AB30">IF(OR(AA30 &lt;&gt;"", I30&lt;&gt;"",L30&lt;&gt;"",P30&lt;&gt;"",T30&lt;&gt;""), AND(EXACT(AC30:AG30,AC30)),"")</f>
        <v/>
      </c>
      <c r="AC30" s="192" t="str">
        <f t="shared" si="5"/>
        <v/>
      </c>
      <c r="AD30" s="192" t="str">
        <f t="shared" si="6"/>
        <v/>
      </c>
      <c r="AE30" s="192" t="str">
        <f t="shared" si="7"/>
        <v/>
      </c>
      <c r="AF30" s="192" t="str">
        <f t="shared" si="8"/>
        <v/>
      </c>
      <c r="AG30" s="192" t="str">
        <f t="shared" si="9"/>
        <v/>
      </c>
    </row>
    <row r="31" spans="1:33" x14ac:dyDescent="0.35">
      <c r="A31" s="203"/>
      <c r="B31" s="203"/>
      <c r="C31" s="203"/>
      <c r="D31" s="203"/>
      <c r="E31" s="203"/>
      <c r="F31" s="203"/>
      <c r="G31" s="203"/>
      <c r="H31" s="205"/>
      <c r="I31" s="204" t="str">
        <f t="shared" si="0"/>
        <v/>
      </c>
      <c r="J31" s="203"/>
      <c r="K31" s="206"/>
      <c r="L31" s="204" t="str">
        <f t="shared" si="1"/>
        <v/>
      </c>
      <c r="M31" s="203"/>
      <c r="N31" s="203"/>
      <c r="O31" s="206"/>
      <c r="P31" s="204" t="str">
        <f t="shared" si="2"/>
        <v/>
      </c>
      <c r="Q31" s="203"/>
      <c r="R31" s="203"/>
      <c r="S31" s="206"/>
      <c r="T31" s="204" t="str">
        <f t="shared" si="3"/>
        <v/>
      </c>
      <c r="U31" s="203"/>
      <c r="V31" s="203"/>
      <c r="W31" s="203"/>
      <c r="X31" s="203"/>
      <c r="Y31" s="203"/>
      <c r="Z31" s="206"/>
      <c r="AA31" s="125" t="str">
        <f t="shared" si="4"/>
        <v/>
      </c>
      <c r="AB31" t="str">
        <f t="array" ref="AB31">IF(OR(AA31 &lt;&gt;"", I31&lt;&gt;"",L31&lt;&gt;"",P31&lt;&gt;"",T31&lt;&gt;""), AND(EXACT(AC31:AG31,AC31)),"")</f>
        <v/>
      </c>
      <c r="AC31" s="192" t="str">
        <f t="shared" si="5"/>
        <v/>
      </c>
      <c r="AD31" s="192" t="str">
        <f t="shared" si="6"/>
        <v/>
      </c>
      <c r="AE31" s="192" t="str">
        <f t="shared" si="7"/>
        <v/>
      </c>
      <c r="AF31" s="192" t="str">
        <f t="shared" si="8"/>
        <v/>
      </c>
      <c r="AG31" s="192" t="str">
        <f t="shared" si="9"/>
        <v/>
      </c>
    </row>
    <row r="32" spans="1:33" x14ac:dyDescent="0.35">
      <c r="A32" s="203"/>
      <c r="B32" s="203"/>
      <c r="C32" s="203"/>
      <c r="D32" s="203"/>
      <c r="E32" s="203"/>
      <c r="F32" s="203"/>
      <c r="G32" s="203"/>
      <c r="H32" s="205"/>
      <c r="I32" s="204" t="str">
        <f t="shared" si="0"/>
        <v/>
      </c>
      <c r="J32" s="203"/>
      <c r="K32" s="206"/>
      <c r="L32" s="204" t="str">
        <f t="shared" si="1"/>
        <v/>
      </c>
      <c r="M32" s="203"/>
      <c r="N32" s="203"/>
      <c r="O32" s="206"/>
      <c r="P32" s="204" t="str">
        <f t="shared" si="2"/>
        <v/>
      </c>
      <c r="Q32" s="203"/>
      <c r="R32" s="203"/>
      <c r="S32" s="206"/>
      <c r="T32" s="204" t="str">
        <f t="shared" si="3"/>
        <v/>
      </c>
      <c r="U32" s="203"/>
      <c r="V32" s="203"/>
      <c r="W32" s="203"/>
      <c r="X32" s="203"/>
      <c r="Y32" s="203"/>
      <c r="Z32" s="206"/>
      <c r="AA32" s="125" t="str">
        <f t="shared" si="4"/>
        <v/>
      </c>
      <c r="AB32" t="str">
        <f t="array" ref="AB32">IF(OR(AA32 &lt;&gt;"", I32&lt;&gt;"",L32&lt;&gt;"",P32&lt;&gt;"",T32&lt;&gt;""), AND(EXACT(AC32:AG32,AC32)),"")</f>
        <v/>
      </c>
      <c r="AC32" s="192" t="str">
        <f t="shared" si="5"/>
        <v/>
      </c>
      <c r="AD32" s="192" t="str">
        <f t="shared" si="6"/>
        <v/>
      </c>
      <c r="AE32" s="192" t="str">
        <f t="shared" si="7"/>
        <v/>
      </c>
      <c r="AF32" s="192" t="str">
        <f t="shared" si="8"/>
        <v/>
      </c>
      <c r="AG32" s="192" t="str">
        <f t="shared" si="9"/>
        <v/>
      </c>
    </row>
    <row r="33" spans="1:33" x14ac:dyDescent="0.35">
      <c r="A33" s="203"/>
      <c r="B33" s="203"/>
      <c r="C33" s="203"/>
      <c r="D33" s="203"/>
      <c r="E33" s="203"/>
      <c r="F33" s="203"/>
      <c r="G33" s="203"/>
      <c r="H33" s="205"/>
      <c r="I33" s="204" t="str">
        <f t="shared" si="0"/>
        <v/>
      </c>
      <c r="J33" s="203"/>
      <c r="K33" s="206"/>
      <c r="L33" s="204" t="str">
        <f t="shared" si="1"/>
        <v/>
      </c>
      <c r="M33" s="203"/>
      <c r="N33" s="203"/>
      <c r="O33" s="206"/>
      <c r="P33" s="204" t="str">
        <f t="shared" si="2"/>
        <v/>
      </c>
      <c r="Q33" s="203"/>
      <c r="R33" s="203"/>
      <c r="S33" s="206"/>
      <c r="T33" s="204" t="str">
        <f t="shared" si="3"/>
        <v/>
      </c>
      <c r="U33" s="203"/>
      <c r="V33" s="203"/>
      <c r="W33" s="203"/>
      <c r="X33" s="203"/>
      <c r="Y33" s="203"/>
      <c r="Z33" s="206"/>
      <c r="AA33" s="125" t="str">
        <f t="shared" si="4"/>
        <v/>
      </c>
      <c r="AB33" t="str">
        <f t="array" ref="AB33">IF(OR(AA33 &lt;&gt;"", I33&lt;&gt;"",L33&lt;&gt;"",P33&lt;&gt;"",T33&lt;&gt;""), AND(EXACT(AC33:AG33,AC33)),"")</f>
        <v/>
      </c>
      <c r="AC33" s="192" t="str">
        <f t="shared" si="5"/>
        <v/>
      </c>
      <c r="AD33" s="192" t="str">
        <f t="shared" si="6"/>
        <v/>
      </c>
      <c r="AE33" s="192" t="str">
        <f t="shared" si="7"/>
        <v/>
      </c>
      <c r="AF33" s="192" t="str">
        <f t="shared" si="8"/>
        <v/>
      </c>
      <c r="AG33" s="192" t="str">
        <f t="shared" si="9"/>
        <v/>
      </c>
    </row>
    <row r="34" spans="1:33" x14ac:dyDescent="0.35">
      <c r="A34" s="203"/>
      <c r="B34" s="203"/>
      <c r="C34" s="203"/>
      <c r="D34" s="203"/>
      <c r="E34" s="203"/>
      <c r="F34" s="203"/>
      <c r="G34" s="203"/>
      <c r="H34" s="205"/>
      <c r="I34" s="204" t="str">
        <f t="shared" si="0"/>
        <v/>
      </c>
      <c r="J34" s="203"/>
      <c r="K34" s="206"/>
      <c r="L34" s="204" t="str">
        <f t="shared" si="1"/>
        <v/>
      </c>
      <c r="M34" s="203"/>
      <c r="N34" s="203"/>
      <c r="O34" s="206"/>
      <c r="P34" s="204" t="str">
        <f t="shared" si="2"/>
        <v/>
      </c>
      <c r="Q34" s="203"/>
      <c r="R34" s="203"/>
      <c r="S34" s="206"/>
      <c r="T34" s="204" t="str">
        <f t="shared" si="3"/>
        <v/>
      </c>
      <c r="U34" s="203"/>
      <c r="V34" s="203"/>
      <c r="W34" s="203"/>
      <c r="X34" s="203"/>
      <c r="Y34" s="203"/>
      <c r="Z34" s="206"/>
      <c r="AA34" s="125" t="str">
        <f t="shared" si="4"/>
        <v/>
      </c>
      <c r="AB34" t="str">
        <f t="array" ref="AB34">IF(OR(AA34 &lt;&gt;"", I34&lt;&gt;"",L34&lt;&gt;"",P34&lt;&gt;"",T34&lt;&gt;""), AND(EXACT(AC34:AG34,AC34)),"")</f>
        <v/>
      </c>
      <c r="AC34" s="192" t="str">
        <f t="shared" si="5"/>
        <v/>
      </c>
      <c r="AD34" s="192" t="str">
        <f t="shared" si="6"/>
        <v/>
      </c>
      <c r="AE34" s="192" t="str">
        <f t="shared" si="7"/>
        <v/>
      </c>
      <c r="AF34" s="192" t="str">
        <f t="shared" si="8"/>
        <v/>
      </c>
      <c r="AG34" s="192" t="str">
        <f t="shared" si="9"/>
        <v/>
      </c>
    </row>
    <row r="35" spans="1:33" x14ac:dyDescent="0.35">
      <c r="A35" s="203"/>
      <c r="B35" s="203"/>
      <c r="C35" s="203"/>
      <c r="D35" s="203"/>
      <c r="E35" s="203"/>
      <c r="F35" s="203"/>
      <c r="G35" s="203"/>
      <c r="H35" s="205"/>
      <c r="I35" s="204" t="str">
        <f t="shared" si="0"/>
        <v/>
      </c>
      <c r="J35" s="203"/>
      <c r="K35" s="206"/>
      <c r="L35" s="204" t="str">
        <f t="shared" si="1"/>
        <v/>
      </c>
      <c r="M35" s="203"/>
      <c r="N35" s="203"/>
      <c r="O35" s="206"/>
      <c r="P35" s="204" t="str">
        <f t="shared" si="2"/>
        <v/>
      </c>
      <c r="Q35" s="203"/>
      <c r="R35" s="203"/>
      <c r="S35" s="206"/>
      <c r="T35" s="204" t="str">
        <f t="shared" si="3"/>
        <v/>
      </c>
      <c r="U35" s="203"/>
      <c r="V35" s="203"/>
      <c r="W35" s="203"/>
      <c r="X35" s="203"/>
      <c r="Y35" s="203"/>
      <c r="Z35" s="206"/>
      <c r="AA35" s="125" t="str">
        <f t="shared" si="4"/>
        <v/>
      </c>
      <c r="AB35" t="str">
        <f t="array" ref="AB35">IF(OR(AA35 &lt;&gt;"", I35&lt;&gt;"",L35&lt;&gt;"",P35&lt;&gt;"",T35&lt;&gt;""), AND(EXACT(AC35:AG35,AC35)),"")</f>
        <v/>
      </c>
      <c r="AC35" s="192" t="str">
        <f t="shared" si="5"/>
        <v/>
      </c>
      <c r="AD35" s="192" t="str">
        <f t="shared" si="6"/>
        <v/>
      </c>
      <c r="AE35" s="192" t="str">
        <f t="shared" si="7"/>
        <v/>
      </c>
      <c r="AF35" s="192" t="str">
        <f t="shared" si="8"/>
        <v/>
      </c>
      <c r="AG35" s="192" t="str">
        <f t="shared" si="9"/>
        <v/>
      </c>
    </row>
    <row r="36" spans="1:33" x14ac:dyDescent="0.35">
      <c r="A36" s="203"/>
      <c r="B36" s="203"/>
      <c r="C36" s="203"/>
      <c r="D36" s="203"/>
      <c r="E36" s="203"/>
      <c r="F36" s="203"/>
      <c r="G36" s="203"/>
      <c r="H36" s="205"/>
      <c r="I36" s="204" t="str">
        <f t="shared" si="0"/>
        <v/>
      </c>
      <c r="J36" s="203"/>
      <c r="K36" s="206"/>
      <c r="L36" s="204" t="str">
        <f t="shared" si="1"/>
        <v/>
      </c>
      <c r="M36" s="203"/>
      <c r="N36" s="203"/>
      <c r="O36" s="206"/>
      <c r="P36" s="204" t="str">
        <f t="shared" si="2"/>
        <v/>
      </c>
      <c r="Q36" s="203"/>
      <c r="R36" s="203"/>
      <c r="S36" s="206"/>
      <c r="T36" s="204" t="str">
        <f t="shared" si="3"/>
        <v/>
      </c>
      <c r="U36" s="203"/>
      <c r="V36" s="203"/>
      <c r="W36" s="203"/>
      <c r="X36" s="203"/>
      <c r="Y36" s="203"/>
      <c r="Z36" s="206"/>
      <c r="AA36" s="125" t="str">
        <f t="shared" si="4"/>
        <v/>
      </c>
      <c r="AB36" t="str">
        <f t="array" ref="AB36">IF(OR(AA36 &lt;&gt;"", I36&lt;&gt;"",L36&lt;&gt;"",P36&lt;&gt;"",T36&lt;&gt;""), AND(EXACT(AC36:AG36,AC36)),"")</f>
        <v/>
      </c>
      <c r="AC36" s="192" t="str">
        <f t="shared" si="5"/>
        <v/>
      </c>
      <c r="AD36" s="192" t="str">
        <f t="shared" si="6"/>
        <v/>
      </c>
      <c r="AE36" s="192" t="str">
        <f t="shared" si="7"/>
        <v/>
      </c>
      <c r="AF36" s="192" t="str">
        <f t="shared" si="8"/>
        <v/>
      </c>
      <c r="AG36" s="192" t="str">
        <f t="shared" si="9"/>
        <v/>
      </c>
    </row>
    <row r="37" spans="1:33" x14ac:dyDescent="0.35">
      <c r="A37" s="203"/>
      <c r="B37" s="203"/>
      <c r="C37" s="203"/>
      <c r="D37" s="203"/>
      <c r="E37" s="203"/>
      <c r="F37" s="203"/>
      <c r="G37" s="203"/>
      <c r="H37" s="205"/>
      <c r="I37" s="204" t="str">
        <f t="shared" si="0"/>
        <v/>
      </c>
      <c r="J37" s="203"/>
      <c r="K37" s="206"/>
      <c r="L37" s="204" t="str">
        <f t="shared" si="1"/>
        <v/>
      </c>
      <c r="M37" s="203"/>
      <c r="N37" s="203"/>
      <c r="O37" s="206"/>
      <c r="P37" s="204" t="str">
        <f t="shared" si="2"/>
        <v/>
      </c>
      <c r="Q37" s="203"/>
      <c r="R37" s="203"/>
      <c r="S37" s="206"/>
      <c r="T37" s="204" t="str">
        <f t="shared" si="3"/>
        <v/>
      </c>
      <c r="U37" s="203"/>
      <c r="V37" s="203"/>
      <c r="W37" s="203"/>
      <c r="X37" s="203"/>
      <c r="Y37" s="203"/>
      <c r="Z37" s="206"/>
      <c r="AA37" s="125" t="str">
        <f t="shared" si="4"/>
        <v/>
      </c>
      <c r="AB37" t="str">
        <f t="array" ref="AB37">IF(OR(AA37 &lt;&gt;"", I37&lt;&gt;"",L37&lt;&gt;"",P37&lt;&gt;"",T37&lt;&gt;""), AND(EXACT(AC37:AG37,AC37)),"")</f>
        <v/>
      </c>
      <c r="AC37" s="192" t="str">
        <f t="shared" si="5"/>
        <v/>
      </c>
      <c r="AD37" s="192" t="str">
        <f t="shared" si="6"/>
        <v/>
      </c>
      <c r="AE37" s="192" t="str">
        <f t="shared" si="7"/>
        <v/>
      </c>
      <c r="AF37" s="192" t="str">
        <f t="shared" si="8"/>
        <v/>
      </c>
      <c r="AG37" s="192" t="str">
        <f t="shared" si="9"/>
        <v/>
      </c>
    </row>
    <row r="38" spans="1:33" x14ac:dyDescent="0.35">
      <c r="A38" s="203"/>
      <c r="B38" s="203"/>
      <c r="C38" s="203"/>
      <c r="D38" s="203"/>
      <c r="E38" s="203"/>
      <c r="F38" s="203"/>
      <c r="G38" s="203"/>
      <c r="H38" s="205"/>
      <c r="I38" s="204" t="str">
        <f t="shared" si="0"/>
        <v/>
      </c>
      <c r="J38" s="203"/>
      <c r="K38" s="206"/>
      <c r="L38" s="204" t="str">
        <f t="shared" si="1"/>
        <v/>
      </c>
      <c r="M38" s="203"/>
      <c r="N38" s="203"/>
      <c r="O38" s="206"/>
      <c r="P38" s="204" t="str">
        <f t="shared" si="2"/>
        <v/>
      </c>
      <c r="Q38" s="203"/>
      <c r="R38" s="203"/>
      <c r="S38" s="206"/>
      <c r="T38" s="204" t="str">
        <f t="shared" si="3"/>
        <v/>
      </c>
      <c r="U38" s="203"/>
      <c r="V38" s="203"/>
      <c r="W38" s="203"/>
      <c r="X38" s="203"/>
      <c r="Y38" s="203"/>
      <c r="Z38" s="206"/>
      <c r="AA38" s="125" t="str">
        <f t="shared" si="4"/>
        <v/>
      </c>
      <c r="AB38" t="str">
        <f t="array" ref="AB38">IF(OR(AA38 &lt;&gt;"", I38&lt;&gt;"",L38&lt;&gt;"",P38&lt;&gt;"",T38&lt;&gt;""), AND(EXACT(AC38:AG38,AC38)),"")</f>
        <v/>
      </c>
      <c r="AC38" s="192" t="str">
        <f t="shared" si="5"/>
        <v/>
      </c>
      <c r="AD38" s="192" t="str">
        <f t="shared" si="6"/>
        <v/>
      </c>
      <c r="AE38" s="192" t="str">
        <f t="shared" si="7"/>
        <v/>
      </c>
      <c r="AF38" s="192" t="str">
        <f t="shared" si="8"/>
        <v/>
      </c>
      <c r="AG38" s="192" t="str">
        <f t="shared" si="9"/>
        <v/>
      </c>
    </row>
    <row r="39" spans="1:33" x14ac:dyDescent="0.35">
      <c r="A39" s="203"/>
      <c r="B39" s="203"/>
      <c r="C39" s="203"/>
      <c r="D39" s="203"/>
      <c r="E39" s="203"/>
      <c r="F39" s="203"/>
      <c r="G39" s="203"/>
      <c r="H39" s="205"/>
      <c r="I39" s="204" t="str">
        <f t="shared" si="0"/>
        <v/>
      </c>
      <c r="J39" s="203"/>
      <c r="K39" s="206"/>
      <c r="L39" s="204" t="str">
        <f t="shared" si="1"/>
        <v/>
      </c>
      <c r="M39" s="203"/>
      <c r="N39" s="203"/>
      <c r="O39" s="206"/>
      <c r="P39" s="204" t="str">
        <f t="shared" si="2"/>
        <v/>
      </c>
      <c r="Q39" s="203"/>
      <c r="R39" s="203"/>
      <c r="S39" s="206"/>
      <c r="T39" s="204" t="str">
        <f t="shared" si="3"/>
        <v/>
      </c>
      <c r="U39" s="203"/>
      <c r="V39" s="203"/>
      <c r="W39" s="203"/>
      <c r="X39" s="203"/>
      <c r="Y39" s="203"/>
      <c r="Z39" s="206"/>
      <c r="AA39" s="125" t="str">
        <f t="shared" si="4"/>
        <v/>
      </c>
      <c r="AB39" t="str">
        <f t="array" ref="AB39">IF(OR(AA39 &lt;&gt;"", I39&lt;&gt;"",L39&lt;&gt;"",P39&lt;&gt;"",T39&lt;&gt;""), AND(EXACT(AC39:AG39,AC39)),"")</f>
        <v/>
      </c>
      <c r="AC39" s="192" t="str">
        <f t="shared" si="5"/>
        <v/>
      </c>
      <c r="AD39" s="192" t="str">
        <f t="shared" si="6"/>
        <v/>
      </c>
      <c r="AE39" s="192" t="str">
        <f t="shared" si="7"/>
        <v/>
      </c>
      <c r="AF39" s="192" t="str">
        <f t="shared" si="8"/>
        <v/>
      </c>
      <c r="AG39" s="192" t="str">
        <f t="shared" si="9"/>
        <v/>
      </c>
    </row>
    <row r="40" spans="1:33" x14ac:dyDescent="0.35">
      <c r="A40" s="203"/>
      <c r="B40" s="203"/>
      <c r="C40" s="203"/>
      <c r="D40" s="203"/>
      <c r="E40" s="203"/>
      <c r="F40" s="203"/>
      <c r="G40" s="203"/>
      <c r="H40" s="205"/>
      <c r="I40" s="204" t="str">
        <f t="shared" si="0"/>
        <v/>
      </c>
      <c r="J40" s="203"/>
      <c r="K40" s="206"/>
      <c r="L40" s="204" t="str">
        <f t="shared" si="1"/>
        <v/>
      </c>
      <c r="M40" s="203"/>
      <c r="N40" s="203"/>
      <c r="O40" s="206"/>
      <c r="P40" s="204" t="str">
        <f t="shared" si="2"/>
        <v/>
      </c>
      <c r="Q40" s="203"/>
      <c r="R40" s="203"/>
      <c r="S40" s="206"/>
      <c r="T40" s="204" t="str">
        <f t="shared" si="3"/>
        <v/>
      </c>
      <c r="U40" s="203"/>
      <c r="V40" s="203"/>
      <c r="W40" s="203"/>
      <c r="X40" s="203"/>
      <c r="Y40" s="203"/>
      <c r="Z40" s="206"/>
      <c r="AA40" s="125" t="str">
        <f t="shared" si="4"/>
        <v/>
      </c>
      <c r="AB40" t="str">
        <f t="array" ref="AB40">IF(OR(AA40 &lt;&gt;"", I40&lt;&gt;"",L40&lt;&gt;"",P40&lt;&gt;"",T40&lt;&gt;""), AND(EXACT(AC40:AG40,AC40)),"")</f>
        <v/>
      </c>
      <c r="AC40" s="192" t="str">
        <f t="shared" si="5"/>
        <v/>
      </c>
      <c r="AD40" s="192" t="str">
        <f t="shared" si="6"/>
        <v/>
      </c>
      <c r="AE40" s="192" t="str">
        <f t="shared" si="7"/>
        <v/>
      </c>
      <c r="AF40" s="192" t="str">
        <f t="shared" si="8"/>
        <v/>
      </c>
      <c r="AG40" s="192" t="str">
        <f t="shared" si="9"/>
        <v/>
      </c>
    </row>
    <row r="41" spans="1:33" x14ac:dyDescent="0.35">
      <c r="A41" s="203"/>
      <c r="B41" s="203"/>
      <c r="C41" s="203"/>
      <c r="D41" s="203"/>
      <c r="E41" s="203"/>
      <c r="F41" s="203"/>
      <c r="G41" s="203"/>
      <c r="H41" s="205"/>
      <c r="I41" s="204" t="str">
        <f t="shared" si="0"/>
        <v/>
      </c>
      <c r="J41" s="203"/>
      <c r="K41" s="206"/>
      <c r="L41" s="204" t="str">
        <f t="shared" si="1"/>
        <v/>
      </c>
      <c r="M41" s="203"/>
      <c r="N41" s="203"/>
      <c r="O41" s="206"/>
      <c r="P41" s="204" t="str">
        <f t="shared" si="2"/>
        <v/>
      </c>
      <c r="Q41" s="203"/>
      <c r="R41" s="203"/>
      <c r="S41" s="206"/>
      <c r="T41" s="204" t="str">
        <f t="shared" si="3"/>
        <v/>
      </c>
      <c r="U41" s="203"/>
      <c r="V41" s="203"/>
      <c r="W41" s="203"/>
      <c r="X41" s="203"/>
      <c r="Y41" s="203"/>
      <c r="Z41" s="206"/>
      <c r="AA41" s="125" t="str">
        <f t="shared" si="4"/>
        <v/>
      </c>
      <c r="AB41" t="str">
        <f t="array" ref="AB41">IF(OR(AA41 &lt;&gt;"", I41&lt;&gt;"",L41&lt;&gt;"",P41&lt;&gt;"",T41&lt;&gt;""), AND(EXACT(AC41:AG41,AC41)),"")</f>
        <v/>
      </c>
      <c r="AC41" s="192" t="str">
        <f t="shared" si="5"/>
        <v/>
      </c>
      <c r="AD41" s="192" t="str">
        <f t="shared" si="6"/>
        <v/>
      </c>
      <c r="AE41" s="192" t="str">
        <f t="shared" si="7"/>
        <v/>
      </c>
      <c r="AF41" s="192" t="str">
        <f t="shared" si="8"/>
        <v/>
      </c>
      <c r="AG41" s="192" t="str">
        <f t="shared" si="9"/>
        <v/>
      </c>
    </row>
    <row r="42" spans="1:33" x14ac:dyDescent="0.35">
      <c r="A42" s="203"/>
      <c r="B42" s="203"/>
      <c r="C42" s="203"/>
      <c r="D42" s="203"/>
      <c r="E42" s="203"/>
      <c r="F42" s="203"/>
      <c r="G42" s="203"/>
      <c r="H42" s="205"/>
      <c r="I42" s="204" t="str">
        <f t="shared" si="0"/>
        <v/>
      </c>
      <c r="J42" s="203"/>
      <c r="K42" s="206"/>
      <c r="L42" s="204" t="str">
        <f t="shared" si="1"/>
        <v/>
      </c>
      <c r="M42" s="203"/>
      <c r="N42" s="203"/>
      <c r="O42" s="206"/>
      <c r="P42" s="204" t="str">
        <f t="shared" si="2"/>
        <v/>
      </c>
      <c r="Q42" s="203"/>
      <c r="R42" s="203"/>
      <c r="S42" s="206"/>
      <c r="T42" s="204" t="str">
        <f t="shared" si="3"/>
        <v/>
      </c>
      <c r="U42" s="203"/>
      <c r="V42" s="203"/>
      <c r="W42" s="203"/>
      <c r="X42" s="203"/>
      <c r="Y42" s="203"/>
      <c r="Z42" s="206"/>
      <c r="AA42" s="125" t="str">
        <f t="shared" si="4"/>
        <v/>
      </c>
      <c r="AB42" t="str">
        <f t="array" ref="AB42">IF(OR(AA42 &lt;&gt;"", I42&lt;&gt;"",L42&lt;&gt;"",P42&lt;&gt;"",T42&lt;&gt;""), AND(EXACT(AC42:AG42,AC42)),"")</f>
        <v/>
      </c>
      <c r="AC42" s="192" t="str">
        <f t="shared" si="5"/>
        <v/>
      </c>
      <c r="AD42" s="192" t="str">
        <f t="shared" si="6"/>
        <v/>
      </c>
      <c r="AE42" s="192" t="str">
        <f t="shared" si="7"/>
        <v/>
      </c>
      <c r="AF42" s="192" t="str">
        <f t="shared" si="8"/>
        <v/>
      </c>
      <c r="AG42" s="192" t="str">
        <f t="shared" si="9"/>
        <v/>
      </c>
    </row>
    <row r="43" spans="1:33" x14ac:dyDescent="0.35">
      <c r="A43" s="203"/>
      <c r="B43" s="203"/>
      <c r="C43" s="203"/>
      <c r="D43" s="203"/>
      <c r="E43" s="203"/>
      <c r="F43" s="203"/>
      <c r="G43" s="203"/>
      <c r="H43" s="205"/>
      <c r="I43" s="204" t="str">
        <f t="shared" si="0"/>
        <v/>
      </c>
      <c r="J43" s="203"/>
      <c r="K43" s="206"/>
      <c r="L43" s="204" t="str">
        <f t="shared" si="1"/>
        <v/>
      </c>
      <c r="M43" s="203"/>
      <c r="N43" s="203"/>
      <c r="O43" s="206"/>
      <c r="P43" s="204" t="str">
        <f t="shared" si="2"/>
        <v/>
      </c>
      <c r="Q43" s="203"/>
      <c r="R43" s="203"/>
      <c r="S43" s="206"/>
      <c r="T43" s="204" t="str">
        <f t="shared" si="3"/>
        <v/>
      </c>
      <c r="U43" s="203"/>
      <c r="V43" s="203"/>
      <c r="W43" s="203"/>
      <c r="X43" s="203"/>
      <c r="Y43" s="203"/>
      <c r="Z43" s="206"/>
      <c r="AA43" s="125" t="str">
        <f t="shared" si="4"/>
        <v/>
      </c>
      <c r="AB43" t="str">
        <f t="array" ref="AB43">IF(OR(AA43 &lt;&gt;"", I43&lt;&gt;"",L43&lt;&gt;"",P43&lt;&gt;"",T43&lt;&gt;""), AND(EXACT(AC43:AG43,AC43)),"")</f>
        <v/>
      </c>
      <c r="AC43" s="192" t="str">
        <f t="shared" si="5"/>
        <v/>
      </c>
      <c r="AD43" s="192" t="str">
        <f t="shared" si="6"/>
        <v/>
      </c>
      <c r="AE43" s="192" t="str">
        <f t="shared" si="7"/>
        <v/>
      </c>
      <c r="AF43" s="192" t="str">
        <f t="shared" si="8"/>
        <v/>
      </c>
      <c r="AG43" s="192" t="str">
        <f t="shared" si="9"/>
        <v/>
      </c>
    </row>
    <row r="44" spans="1:33" x14ac:dyDescent="0.35">
      <c r="A44" s="203"/>
      <c r="B44" s="203"/>
      <c r="C44" s="203"/>
      <c r="D44" s="203"/>
      <c r="E44" s="203"/>
      <c r="F44" s="203"/>
      <c r="G44" s="203"/>
      <c r="H44" s="205"/>
      <c r="I44" s="204" t="str">
        <f t="shared" si="0"/>
        <v/>
      </c>
      <c r="J44" s="203"/>
      <c r="K44" s="206"/>
      <c r="L44" s="204" t="str">
        <f t="shared" si="1"/>
        <v/>
      </c>
      <c r="M44" s="203"/>
      <c r="N44" s="203"/>
      <c r="O44" s="206"/>
      <c r="P44" s="204" t="str">
        <f t="shared" si="2"/>
        <v/>
      </c>
      <c r="Q44" s="203"/>
      <c r="R44" s="203"/>
      <c r="S44" s="206"/>
      <c r="T44" s="204" t="str">
        <f t="shared" si="3"/>
        <v/>
      </c>
      <c r="U44" s="203"/>
      <c r="V44" s="203"/>
      <c r="W44" s="203"/>
      <c r="X44" s="203"/>
      <c r="Y44" s="203"/>
      <c r="Z44" s="206"/>
      <c r="AA44" s="125" t="str">
        <f t="shared" si="4"/>
        <v/>
      </c>
      <c r="AB44" t="str">
        <f t="array" ref="AB44">IF(OR(AA44 &lt;&gt;"", I44&lt;&gt;"",L44&lt;&gt;"",P44&lt;&gt;"",T44&lt;&gt;""), AND(EXACT(AC44:AG44,AC44)),"")</f>
        <v/>
      </c>
      <c r="AC44" s="192" t="str">
        <f t="shared" si="5"/>
        <v/>
      </c>
      <c r="AD44" s="192" t="str">
        <f t="shared" si="6"/>
        <v/>
      </c>
      <c r="AE44" s="192" t="str">
        <f t="shared" si="7"/>
        <v/>
      </c>
      <c r="AF44" s="192" t="str">
        <f t="shared" si="8"/>
        <v/>
      </c>
      <c r="AG44" s="192" t="str">
        <f t="shared" si="9"/>
        <v/>
      </c>
    </row>
    <row r="45" spans="1:33" x14ac:dyDescent="0.35">
      <c r="A45" s="203"/>
      <c r="B45" s="203"/>
      <c r="C45" s="203"/>
      <c r="D45" s="203"/>
      <c r="E45" s="203"/>
      <c r="F45" s="203"/>
      <c r="G45" s="203"/>
      <c r="H45" s="205"/>
      <c r="I45" s="204" t="str">
        <f t="shared" si="0"/>
        <v/>
      </c>
      <c r="J45" s="203"/>
      <c r="K45" s="206"/>
      <c r="L45" s="204" t="str">
        <f t="shared" si="1"/>
        <v/>
      </c>
      <c r="M45" s="203"/>
      <c r="N45" s="203"/>
      <c r="O45" s="206"/>
      <c r="P45" s="204" t="str">
        <f t="shared" si="2"/>
        <v/>
      </c>
      <c r="Q45" s="203"/>
      <c r="R45" s="203"/>
      <c r="S45" s="206"/>
      <c r="T45" s="204" t="str">
        <f t="shared" si="3"/>
        <v/>
      </c>
      <c r="U45" s="203"/>
      <c r="V45" s="203"/>
      <c r="W45" s="203"/>
      <c r="X45" s="203"/>
      <c r="Y45" s="203"/>
      <c r="Z45" s="206"/>
      <c r="AA45" s="125" t="str">
        <f t="shared" si="4"/>
        <v/>
      </c>
      <c r="AB45" t="str">
        <f t="array" ref="AB45">IF(OR(AA45 &lt;&gt;"", I45&lt;&gt;"",L45&lt;&gt;"",P45&lt;&gt;"",T45&lt;&gt;""), AND(EXACT(AC45:AG45,AC45)),"")</f>
        <v/>
      </c>
      <c r="AC45" s="192" t="str">
        <f t="shared" si="5"/>
        <v/>
      </c>
      <c r="AD45" s="192" t="str">
        <f t="shared" si="6"/>
        <v/>
      </c>
      <c r="AE45" s="192" t="str">
        <f t="shared" si="7"/>
        <v/>
      </c>
      <c r="AF45" s="192" t="str">
        <f t="shared" si="8"/>
        <v/>
      </c>
      <c r="AG45" s="192" t="str">
        <f t="shared" si="9"/>
        <v/>
      </c>
    </row>
    <row r="46" spans="1:33" x14ac:dyDescent="0.35">
      <c r="A46" s="203"/>
      <c r="B46" s="203"/>
      <c r="C46" s="203"/>
      <c r="D46" s="203"/>
      <c r="E46" s="203"/>
      <c r="F46" s="203"/>
      <c r="G46" s="203"/>
      <c r="H46" s="205"/>
      <c r="I46" s="204" t="str">
        <f t="shared" si="0"/>
        <v/>
      </c>
      <c r="J46" s="203"/>
      <c r="K46" s="206"/>
      <c r="L46" s="204" t="str">
        <f t="shared" si="1"/>
        <v/>
      </c>
      <c r="M46" s="203"/>
      <c r="N46" s="203"/>
      <c r="O46" s="206"/>
      <c r="P46" s="204" t="str">
        <f t="shared" si="2"/>
        <v/>
      </c>
      <c r="Q46" s="203"/>
      <c r="R46" s="203"/>
      <c r="S46" s="206"/>
      <c r="T46" s="204" t="str">
        <f t="shared" si="3"/>
        <v/>
      </c>
      <c r="U46" s="203"/>
      <c r="V46" s="203"/>
      <c r="W46" s="203"/>
      <c r="X46" s="203"/>
      <c r="Y46" s="203"/>
      <c r="Z46" s="206"/>
      <c r="AA46" s="125" t="str">
        <f t="shared" si="4"/>
        <v/>
      </c>
      <c r="AB46" t="str">
        <f t="array" ref="AB46">IF(OR(AA46 &lt;&gt;"", I46&lt;&gt;"",L46&lt;&gt;"",P46&lt;&gt;"",T46&lt;&gt;""), AND(EXACT(AC46:AG46,AC46)),"")</f>
        <v/>
      </c>
      <c r="AC46" s="192" t="str">
        <f t="shared" si="5"/>
        <v/>
      </c>
      <c r="AD46" s="192" t="str">
        <f t="shared" si="6"/>
        <v/>
      </c>
      <c r="AE46" s="192" t="str">
        <f t="shared" si="7"/>
        <v/>
      </c>
      <c r="AF46" s="192" t="str">
        <f t="shared" si="8"/>
        <v/>
      </c>
      <c r="AG46" s="192" t="str">
        <f t="shared" si="9"/>
        <v/>
      </c>
    </row>
    <row r="47" spans="1:33" x14ac:dyDescent="0.35">
      <c r="A47" s="203"/>
      <c r="B47" s="203"/>
      <c r="C47" s="203"/>
      <c r="D47" s="203"/>
      <c r="E47" s="203"/>
      <c r="F47" s="203"/>
      <c r="G47" s="203"/>
      <c r="H47" s="205"/>
      <c r="I47" s="204" t="str">
        <f t="shared" si="0"/>
        <v/>
      </c>
      <c r="J47" s="203"/>
      <c r="K47" s="206"/>
      <c r="L47" s="204" t="str">
        <f t="shared" si="1"/>
        <v/>
      </c>
      <c r="M47" s="203"/>
      <c r="N47" s="203"/>
      <c r="O47" s="206"/>
      <c r="P47" s="204" t="str">
        <f t="shared" si="2"/>
        <v/>
      </c>
      <c r="Q47" s="203"/>
      <c r="R47" s="203"/>
      <c r="S47" s="206"/>
      <c r="T47" s="204" t="str">
        <f t="shared" si="3"/>
        <v/>
      </c>
      <c r="U47" s="203"/>
      <c r="V47" s="203"/>
      <c r="W47" s="203"/>
      <c r="X47" s="203"/>
      <c r="Y47" s="203"/>
      <c r="Z47" s="206"/>
      <c r="AA47" s="125" t="str">
        <f t="shared" si="4"/>
        <v/>
      </c>
      <c r="AB47" t="str">
        <f t="array" ref="AB47">IF(OR(AA47 &lt;&gt;"", I47&lt;&gt;"",L47&lt;&gt;"",P47&lt;&gt;"",T47&lt;&gt;""), AND(EXACT(AC47:AG47,AC47)),"")</f>
        <v/>
      </c>
      <c r="AC47" s="192" t="str">
        <f t="shared" si="5"/>
        <v/>
      </c>
      <c r="AD47" s="192" t="str">
        <f t="shared" si="6"/>
        <v/>
      </c>
      <c r="AE47" s="192" t="str">
        <f t="shared" si="7"/>
        <v/>
      </c>
      <c r="AF47" s="192" t="str">
        <f t="shared" si="8"/>
        <v/>
      </c>
      <c r="AG47" s="192" t="str">
        <f t="shared" si="9"/>
        <v/>
      </c>
    </row>
    <row r="48" spans="1:33" x14ac:dyDescent="0.35">
      <c r="A48" s="203"/>
      <c r="B48" s="203"/>
      <c r="C48" s="203"/>
      <c r="D48" s="203"/>
      <c r="E48" s="203"/>
      <c r="F48" s="203"/>
      <c r="G48" s="203"/>
      <c r="H48" s="205"/>
      <c r="I48" s="204" t="str">
        <f t="shared" si="0"/>
        <v/>
      </c>
      <c r="J48" s="203"/>
      <c r="K48" s="206"/>
      <c r="L48" s="204" t="str">
        <f t="shared" si="1"/>
        <v/>
      </c>
      <c r="M48" s="203"/>
      <c r="N48" s="203"/>
      <c r="O48" s="206"/>
      <c r="P48" s="204" t="str">
        <f t="shared" si="2"/>
        <v/>
      </c>
      <c r="Q48" s="203"/>
      <c r="R48" s="203"/>
      <c r="S48" s="206"/>
      <c r="T48" s="204" t="str">
        <f t="shared" si="3"/>
        <v/>
      </c>
      <c r="U48" s="203"/>
      <c r="V48" s="203"/>
      <c r="W48" s="203"/>
      <c r="X48" s="203"/>
      <c r="Y48" s="203"/>
      <c r="Z48" s="206"/>
      <c r="AA48" s="125" t="str">
        <f t="shared" si="4"/>
        <v/>
      </c>
      <c r="AB48" t="str">
        <f t="array" ref="AB48">IF(OR(AA48 &lt;&gt;"", I48&lt;&gt;"",L48&lt;&gt;"",P48&lt;&gt;"",T48&lt;&gt;""), AND(EXACT(AC48:AG48,AC48)),"")</f>
        <v/>
      </c>
      <c r="AC48" s="192" t="str">
        <f t="shared" si="5"/>
        <v/>
      </c>
      <c r="AD48" s="192" t="str">
        <f t="shared" si="6"/>
        <v/>
      </c>
      <c r="AE48" s="192" t="str">
        <f t="shared" si="7"/>
        <v/>
      </c>
      <c r="AF48" s="192" t="str">
        <f t="shared" si="8"/>
        <v/>
      </c>
      <c r="AG48" s="192" t="str">
        <f t="shared" si="9"/>
        <v/>
      </c>
    </row>
    <row r="49" spans="1:33" x14ac:dyDescent="0.35">
      <c r="A49" s="203"/>
      <c r="B49" s="203"/>
      <c r="C49" s="203"/>
      <c r="D49" s="203"/>
      <c r="E49" s="203"/>
      <c r="F49" s="203"/>
      <c r="G49" s="203"/>
      <c r="H49" s="205"/>
      <c r="I49" s="204" t="str">
        <f t="shared" si="0"/>
        <v/>
      </c>
      <c r="J49" s="203"/>
      <c r="K49" s="206"/>
      <c r="L49" s="204" t="str">
        <f t="shared" si="1"/>
        <v/>
      </c>
      <c r="M49" s="203"/>
      <c r="N49" s="203"/>
      <c r="O49" s="206"/>
      <c r="P49" s="204" t="str">
        <f t="shared" si="2"/>
        <v/>
      </c>
      <c r="Q49" s="203"/>
      <c r="R49" s="203"/>
      <c r="S49" s="206"/>
      <c r="T49" s="204" t="str">
        <f t="shared" si="3"/>
        <v/>
      </c>
      <c r="U49" s="203"/>
      <c r="V49" s="203"/>
      <c r="W49" s="203"/>
      <c r="X49" s="203"/>
      <c r="Y49" s="203"/>
      <c r="Z49" s="206"/>
      <c r="AA49" s="125" t="str">
        <f t="shared" si="4"/>
        <v/>
      </c>
      <c r="AB49" t="str">
        <f t="array" ref="AB49">IF(OR(AA49 &lt;&gt;"", I49&lt;&gt;"",L49&lt;&gt;"",P49&lt;&gt;"",T49&lt;&gt;""), AND(EXACT(AC49:AG49,AC49)),"")</f>
        <v/>
      </c>
      <c r="AC49" s="192" t="str">
        <f t="shared" si="5"/>
        <v/>
      </c>
      <c r="AD49" s="192" t="str">
        <f t="shared" si="6"/>
        <v/>
      </c>
      <c r="AE49" s="192" t="str">
        <f t="shared" si="7"/>
        <v/>
      </c>
      <c r="AF49" s="192" t="str">
        <f t="shared" si="8"/>
        <v/>
      </c>
      <c r="AG49" s="192" t="str">
        <f t="shared" si="9"/>
        <v/>
      </c>
    </row>
    <row r="50" spans="1:33" x14ac:dyDescent="0.35">
      <c r="A50" s="203"/>
      <c r="B50" s="203"/>
      <c r="C50" s="203"/>
      <c r="D50" s="203"/>
      <c r="E50" s="203"/>
      <c r="F50" s="203"/>
      <c r="G50" s="203"/>
      <c r="H50" s="205"/>
      <c r="I50" s="204" t="str">
        <f t="shared" si="0"/>
        <v/>
      </c>
      <c r="J50" s="203"/>
      <c r="K50" s="206"/>
      <c r="L50" s="204" t="str">
        <f t="shared" si="1"/>
        <v/>
      </c>
      <c r="M50" s="203"/>
      <c r="N50" s="203"/>
      <c r="O50" s="206"/>
      <c r="P50" s="204" t="str">
        <f t="shared" si="2"/>
        <v/>
      </c>
      <c r="Q50" s="203"/>
      <c r="R50" s="203"/>
      <c r="S50" s="206"/>
      <c r="T50" s="204" t="str">
        <f t="shared" si="3"/>
        <v/>
      </c>
      <c r="U50" s="203"/>
      <c r="V50" s="203"/>
      <c r="W50" s="203"/>
      <c r="X50" s="203"/>
      <c r="Y50" s="203"/>
      <c r="Z50" s="206"/>
      <c r="AA50" s="125" t="str">
        <f t="shared" si="4"/>
        <v/>
      </c>
      <c r="AB50" t="str">
        <f t="array" ref="AB50">IF(OR(AA50 &lt;&gt;"", I50&lt;&gt;"",L50&lt;&gt;"",P50&lt;&gt;"",T50&lt;&gt;""), AND(EXACT(AC50:AG50,AC50)),"")</f>
        <v/>
      </c>
      <c r="AC50" s="192" t="str">
        <f t="shared" si="5"/>
        <v/>
      </c>
      <c r="AD50" s="192" t="str">
        <f t="shared" si="6"/>
        <v/>
      </c>
      <c r="AE50" s="192" t="str">
        <f t="shared" si="7"/>
        <v/>
      </c>
      <c r="AF50" s="192" t="str">
        <f t="shared" si="8"/>
        <v/>
      </c>
      <c r="AG50" s="192" t="str">
        <f t="shared" si="9"/>
        <v/>
      </c>
    </row>
    <row r="51" spans="1:33" x14ac:dyDescent="0.35">
      <c r="A51" s="203"/>
      <c r="B51" s="203"/>
      <c r="C51" s="203"/>
      <c r="D51" s="203"/>
      <c r="E51" s="203"/>
      <c r="F51" s="203"/>
      <c r="G51" s="203"/>
      <c r="H51" s="205"/>
      <c r="I51" s="204" t="str">
        <f t="shared" si="0"/>
        <v/>
      </c>
      <c r="J51" s="203"/>
      <c r="K51" s="206"/>
      <c r="L51" s="204" t="str">
        <f t="shared" si="1"/>
        <v/>
      </c>
      <c r="M51" s="203"/>
      <c r="N51" s="203"/>
      <c r="O51" s="206"/>
      <c r="P51" s="204" t="str">
        <f t="shared" si="2"/>
        <v/>
      </c>
      <c r="Q51" s="203"/>
      <c r="R51" s="203"/>
      <c r="S51" s="206"/>
      <c r="T51" s="204" t="str">
        <f t="shared" si="3"/>
        <v/>
      </c>
      <c r="U51" s="203"/>
      <c r="V51" s="203"/>
      <c r="W51" s="203"/>
      <c r="X51" s="203"/>
      <c r="Y51" s="203"/>
      <c r="Z51" s="206"/>
      <c r="AA51" s="125" t="str">
        <f t="shared" si="4"/>
        <v/>
      </c>
      <c r="AB51" t="str">
        <f t="array" ref="AB51">IF(OR(AA51 &lt;&gt;"", I51&lt;&gt;"",L51&lt;&gt;"",P51&lt;&gt;"",T51&lt;&gt;""), AND(EXACT(AC51:AG51,AC51)),"")</f>
        <v/>
      </c>
      <c r="AC51" s="192" t="str">
        <f t="shared" si="5"/>
        <v/>
      </c>
      <c r="AD51" s="192" t="str">
        <f t="shared" si="6"/>
        <v/>
      </c>
      <c r="AE51" s="192" t="str">
        <f t="shared" si="7"/>
        <v/>
      </c>
      <c r="AF51" s="192" t="str">
        <f t="shared" si="8"/>
        <v/>
      </c>
      <c r="AG51" s="192" t="str">
        <f t="shared" si="9"/>
        <v/>
      </c>
    </row>
    <row r="52" spans="1:33" x14ac:dyDescent="0.35">
      <c r="A52" s="203"/>
      <c r="B52" s="203"/>
      <c r="C52" s="203"/>
      <c r="D52" s="203"/>
      <c r="E52" s="203"/>
      <c r="F52" s="203"/>
      <c r="G52" s="203"/>
      <c r="H52" s="205"/>
      <c r="I52" s="204" t="str">
        <f t="shared" si="0"/>
        <v/>
      </c>
      <c r="J52" s="203"/>
      <c r="K52" s="206"/>
      <c r="L52" s="204" t="str">
        <f t="shared" si="1"/>
        <v/>
      </c>
      <c r="M52" s="203"/>
      <c r="N52" s="203"/>
      <c r="O52" s="206"/>
      <c r="P52" s="204" t="str">
        <f t="shared" si="2"/>
        <v/>
      </c>
      <c r="Q52" s="203"/>
      <c r="R52" s="203"/>
      <c r="S52" s="206"/>
      <c r="T52" s="204" t="str">
        <f t="shared" si="3"/>
        <v/>
      </c>
      <c r="U52" s="203"/>
      <c r="V52" s="203"/>
      <c r="W52" s="203"/>
      <c r="X52" s="203"/>
      <c r="Y52" s="203"/>
      <c r="Z52" s="206"/>
      <c r="AA52" s="125" t="str">
        <f t="shared" si="4"/>
        <v/>
      </c>
      <c r="AB52" t="str">
        <f t="array" ref="AB52">IF(OR(AA52 &lt;&gt;"", I52&lt;&gt;"",L52&lt;&gt;"",P52&lt;&gt;"",T52&lt;&gt;""), AND(EXACT(AC52:AG52,AC52)),"")</f>
        <v/>
      </c>
      <c r="AC52" s="192" t="str">
        <f t="shared" si="5"/>
        <v/>
      </c>
      <c r="AD52" s="192" t="str">
        <f t="shared" si="6"/>
        <v/>
      </c>
      <c r="AE52" s="192" t="str">
        <f t="shared" si="7"/>
        <v/>
      </c>
      <c r="AF52" s="192" t="str">
        <f t="shared" si="8"/>
        <v/>
      </c>
      <c r="AG52" s="192" t="str">
        <f t="shared" si="9"/>
        <v/>
      </c>
    </row>
    <row r="53" spans="1:33" x14ac:dyDescent="0.35">
      <c r="A53" s="203"/>
      <c r="B53" s="203"/>
      <c r="C53" s="203"/>
      <c r="D53" s="203"/>
      <c r="E53" s="203"/>
      <c r="F53" s="203"/>
      <c r="G53" s="203"/>
      <c r="H53" s="205"/>
      <c r="I53" s="204" t="str">
        <f t="shared" si="0"/>
        <v/>
      </c>
      <c r="J53" s="203"/>
      <c r="K53" s="206"/>
      <c r="L53" s="204" t="str">
        <f t="shared" si="1"/>
        <v/>
      </c>
      <c r="M53" s="203"/>
      <c r="N53" s="203"/>
      <c r="O53" s="206"/>
      <c r="P53" s="204" t="str">
        <f t="shared" si="2"/>
        <v/>
      </c>
      <c r="Q53" s="203"/>
      <c r="R53" s="203"/>
      <c r="S53" s="206"/>
      <c r="T53" s="204" t="str">
        <f t="shared" si="3"/>
        <v/>
      </c>
      <c r="U53" s="203"/>
      <c r="V53" s="203"/>
      <c r="W53" s="203"/>
      <c r="X53" s="203"/>
      <c r="Y53" s="203"/>
      <c r="Z53" s="206"/>
      <c r="AA53" s="125" t="str">
        <f t="shared" si="4"/>
        <v/>
      </c>
      <c r="AB53" t="str">
        <f t="array" ref="AB53">IF(OR(AA53 &lt;&gt;"", I53&lt;&gt;"",L53&lt;&gt;"",P53&lt;&gt;"",T53&lt;&gt;""), AND(EXACT(AC53:AG53,AC53)),"")</f>
        <v/>
      </c>
      <c r="AC53" s="192" t="str">
        <f t="shared" si="5"/>
        <v/>
      </c>
      <c r="AD53" s="192" t="str">
        <f t="shared" si="6"/>
        <v/>
      </c>
      <c r="AE53" s="192" t="str">
        <f t="shared" si="7"/>
        <v/>
      </c>
      <c r="AF53" s="192" t="str">
        <f t="shared" si="8"/>
        <v/>
      </c>
      <c r="AG53" s="192" t="str">
        <f t="shared" si="9"/>
        <v/>
      </c>
    </row>
    <row r="54" spans="1:33" x14ac:dyDescent="0.35">
      <c r="A54" s="203"/>
      <c r="B54" s="203"/>
      <c r="C54" s="203"/>
      <c r="D54" s="203"/>
      <c r="E54" s="203"/>
      <c r="F54" s="203"/>
      <c r="G54" s="203"/>
      <c r="H54" s="205"/>
      <c r="I54" s="204" t="str">
        <f t="shared" si="0"/>
        <v/>
      </c>
      <c r="J54" s="203"/>
      <c r="K54" s="206"/>
      <c r="L54" s="204" t="str">
        <f t="shared" si="1"/>
        <v/>
      </c>
      <c r="M54" s="203"/>
      <c r="N54" s="203"/>
      <c r="O54" s="206"/>
      <c r="P54" s="204" t="str">
        <f t="shared" si="2"/>
        <v/>
      </c>
      <c r="Q54" s="203"/>
      <c r="R54" s="203"/>
      <c r="S54" s="206"/>
      <c r="T54" s="204" t="str">
        <f t="shared" si="3"/>
        <v/>
      </c>
      <c r="U54" s="203"/>
      <c r="V54" s="203"/>
      <c r="W54" s="203"/>
      <c r="X54" s="203"/>
      <c r="Y54" s="203"/>
      <c r="Z54" s="206"/>
      <c r="AA54" s="125" t="str">
        <f t="shared" si="4"/>
        <v/>
      </c>
      <c r="AB54" t="str">
        <f t="array" ref="AB54">IF(OR(AA54 &lt;&gt;"", I54&lt;&gt;"",L54&lt;&gt;"",P54&lt;&gt;"",T54&lt;&gt;""), AND(EXACT(AC54:AG54,AC54)),"")</f>
        <v/>
      </c>
      <c r="AC54" s="192" t="str">
        <f t="shared" si="5"/>
        <v/>
      </c>
      <c r="AD54" s="192" t="str">
        <f t="shared" si="6"/>
        <v/>
      </c>
      <c r="AE54" s="192" t="str">
        <f t="shared" si="7"/>
        <v/>
      </c>
      <c r="AF54" s="192" t="str">
        <f t="shared" si="8"/>
        <v/>
      </c>
      <c r="AG54" s="192" t="str">
        <f t="shared" si="9"/>
        <v/>
      </c>
    </row>
    <row r="55" spans="1:33" x14ac:dyDescent="0.35">
      <c r="A55" s="203"/>
      <c r="B55" s="203"/>
      <c r="C55" s="203"/>
      <c r="D55" s="203"/>
      <c r="E55" s="203"/>
      <c r="F55" s="203"/>
      <c r="G55" s="203"/>
      <c r="H55" s="205"/>
      <c r="I55" s="204" t="str">
        <f t="shared" si="0"/>
        <v/>
      </c>
      <c r="J55" s="203"/>
      <c r="K55" s="206"/>
      <c r="L55" s="204" t="str">
        <f t="shared" si="1"/>
        <v/>
      </c>
      <c r="M55" s="203"/>
      <c r="N55" s="203"/>
      <c r="O55" s="206"/>
      <c r="P55" s="204" t="str">
        <f t="shared" si="2"/>
        <v/>
      </c>
      <c r="Q55" s="203"/>
      <c r="R55" s="203"/>
      <c r="S55" s="206"/>
      <c r="T55" s="204" t="str">
        <f t="shared" si="3"/>
        <v/>
      </c>
      <c r="U55" s="203"/>
      <c r="V55" s="203"/>
      <c r="W55" s="203"/>
      <c r="X55" s="203"/>
      <c r="Y55" s="203"/>
      <c r="Z55" s="206"/>
      <c r="AA55" s="125" t="str">
        <f t="shared" si="4"/>
        <v/>
      </c>
      <c r="AB55" t="str">
        <f t="array" ref="AB55">IF(OR(AA55 &lt;&gt;"", I55&lt;&gt;"",L55&lt;&gt;"",P55&lt;&gt;"",T55&lt;&gt;""), AND(EXACT(AC55:AG55,AC55)),"")</f>
        <v/>
      </c>
      <c r="AC55" s="192" t="str">
        <f t="shared" si="5"/>
        <v/>
      </c>
      <c r="AD55" s="192" t="str">
        <f t="shared" si="6"/>
        <v/>
      </c>
      <c r="AE55" s="192" t="str">
        <f t="shared" si="7"/>
        <v/>
      </c>
      <c r="AF55" s="192" t="str">
        <f t="shared" si="8"/>
        <v/>
      </c>
      <c r="AG55" s="192" t="str">
        <f t="shared" si="9"/>
        <v/>
      </c>
    </row>
    <row r="56" spans="1:33" x14ac:dyDescent="0.35">
      <c r="A56" s="203"/>
      <c r="B56" s="203"/>
      <c r="C56" s="203"/>
      <c r="D56" s="203"/>
      <c r="E56" s="203"/>
      <c r="F56" s="203"/>
      <c r="G56" s="203"/>
      <c r="H56" s="205"/>
      <c r="I56" s="204" t="str">
        <f t="shared" si="0"/>
        <v/>
      </c>
      <c r="J56" s="203"/>
      <c r="K56" s="206"/>
      <c r="L56" s="204" t="str">
        <f t="shared" si="1"/>
        <v/>
      </c>
      <c r="M56" s="203"/>
      <c r="N56" s="203"/>
      <c r="O56" s="206"/>
      <c r="P56" s="204" t="str">
        <f t="shared" si="2"/>
        <v/>
      </c>
      <c r="Q56" s="203"/>
      <c r="R56" s="203"/>
      <c r="S56" s="206"/>
      <c r="T56" s="204" t="str">
        <f t="shared" si="3"/>
        <v/>
      </c>
      <c r="U56" s="203"/>
      <c r="V56" s="203"/>
      <c r="W56" s="203"/>
      <c r="X56" s="203"/>
      <c r="Y56" s="203"/>
      <c r="Z56" s="206"/>
      <c r="AA56" s="125" t="str">
        <f t="shared" si="4"/>
        <v/>
      </c>
      <c r="AB56" t="str">
        <f t="array" ref="AB56">IF(OR(AA56 &lt;&gt;"", I56&lt;&gt;"",L56&lt;&gt;"",P56&lt;&gt;"",T56&lt;&gt;""), AND(EXACT(AC56:AG56,AC56)),"")</f>
        <v/>
      </c>
      <c r="AC56" s="192" t="str">
        <f t="shared" si="5"/>
        <v/>
      </c>
      <c r="AD56" s="192" t="str">
        <f t="shared" si="6"/>
        <v/>
      </c>
      <c r="AE56" s="192" t="str">
        <f t="shared" si="7"/>
        <v/>
      </c>
      <c r="AF56" s="192" t="str">
        <f t="shared" si="8"/>
        <v/>
      </c>
      <c r="AG56" s="192" t="str">
        <f t="shared" si="9"/>
        <v/>
      </c>
    </row>
    <row r="57" spans="1:33" x14ac:dyDescent="0.35">
      <c r="A57" s="203"/>
      <c r="B57" s="203"/>
      <c r="C57" s="203"/>
      <c r="D57" s="203"/>
      <c r="E57" s="203"/>
      <c r="F57" s="203"/>
      <c r="G57" s="203"/>
      <c r="H57" s="205"/>
      <c r="I57" s="204" t="str">
        <f t="shared" si="0"/>
        <v/>
      </c>
      <c r="J57" s="203"/>
      <c r="K57" s="206"/>
      <c r="L57" s="204" t="str">
        <f t="shared" si="1"/>
        <v/>
      </c>
      <c r="M57" s="203"/>
      <c r="N57" s="203"/>
      <c r="O57" s="206"/>
      <c r="P57" s="204" t="str">
        <f t="shared" si="2"/>
        <v/>
      </c>
      <c r="Q57" s="203"/>
      <c r="R57" s="203"/>
      <c r="S57" s="206"/>
      <c r="T57" s="204" t="str">
        <f t="shared" si="3"/>
        <v/>
      </c>
      <c r="U57" s="203"/>
      <c r="V57" s="203"/>
      <c r="W57" s="203"/>
      <c r="X57" s="203"/>
      <c r="Y57" s="203"/>
      <c r="Z57" s="206"/>
      <c r="AA57" s="125" t="str">
        <f t="shared" si="4"/>
        <v/>
      </c>
      <c r="AB57" t="str">
        <f t="array" ref="AB57">IF(OR(AA57 &lt;&gt;"", I57&lt;&gt;"",L57&lt;&gt;"",P57&lt;&gt;"",T57&lt;&gt;""), AND(EXACT(AC57:AG57,AC57)),"")</f>
        <v/>
      </c>
      <c r="AC57" s="192" t="str">
        <f t="shared" si="5"/>
        <v/>
      </c>
      <c r="AD57" s="192" t="str">
        <f t="shared" si="6"/>
        <v/>
      </c>
      <c r="AE57" s="192" t="str">
        <f t="shared" si="7"/>
        <v/>
      </c>
      <c r="AF57" s="192" t="str">
        <f t="shared" si="8"/>
        <v/>
      </c>
      <c r="AG57" s="192" t="str">
        <f t="shared" si="9"/>
        <v/>
      </c>
    </row>
    <row r="58" spans="1:33" x14ac:dyDescent="0.35">
      <c r="A58" s="203"/>
      <c r="B58" s="203"/>
      <c r="C58" s="203"/>
      <c r="D58" s="203"/>
      <c r="E58" s="203"/>
      <c r="F58" s="203"/>
      <c r="G58" s="203"/>
      <c r="H58" s="205"/>
      <c r="I58" s="204" t="str">
        <f t="shared" si="0"/>
        <v/>
      </c>
      <c r="J58" s="203"/>
      <c r="K58" s="206"/>
      <c r="L58" s="204" t="str">
        <f t="shared" si="1"/>
        <v/>
      </c>
      <c r="M58" s="203"/>
      <c r="N58" s="203"/>
      <c r="O58" s="206"/>
      <c r="P58" s="204" t="str">
        <f t="shared" si="2"/>
        <v/>
      </c>
      <c r="Q58" s="203"/>
      <c r="R58" s="203"/>
      <c r="S58" s="206"/>
      <c r="T58" s="204" t="str">
        <f t="shared" si="3"/>
        <v/>
      </c>
      <c r="U58" s="203"/>
      <c r="V58" s="203"/>
      <c r="W58" s="203"/>
      <c r="X58" s="203"/>
      <c r="Y58" s="203"/>
      <c r="Z58" s="206"/>
      <c r="AA58" s="125" t="str">
        <f t="shared" si="4"/>
        <v/>
      </c>
      <c r="AB58" t="str">
        <f t="array" ref="AB58">IF(OR(AA58 &lt;&gt;"", I58&lt;&gt;"",L58&lt;&gt;"",P58&lt;&gt;"",T58&lt;&gt;""), AND(EXACT(AC58:AG58,AC58)),"")</f>
        <v/>
      </c>
      <c r="AC58" s="192" t="str">
        <f t="shared" si="5"/>
        <v/>
      </c>
      <c r="AD58" s="192" t="str">
        <f t="shared" si="6"/>
        <v/>
      </c>
      <c r="AE58" s="192" t="str">
        <f t="shared" si="7"/>
        <v/>
      </c>
      <c r="AF58" s="192" t="str">
        <f t="shared" si="8"/>
        <v/>
      </c>
      <c r="AG58" s="192" t="str">
        <f t="shared" si="9"/>
        <v/>
      </c>
    </row>
    <row r="59" spans="1:33" x14ac:dyDescent="0.35">
      <c r="A59" s="203"/>
      <c r="B59" s="203"/>
      <c r="C59" s="203"/>
      <c r="D59" s="203"/>
      <c r="E59" s="203"/>
      <c r="F59" s="203"/>
      <c r="G59" s="203"/>
      <c r="H59" s="205"/>
      <c r="I59" s="204" t="str">
        <f t="shared" si="0"/>
        <v/>
      </c>
      <c r="J59" s="203"/>
      <c r="K59" s="206"/>
      <c r="L59" s="204" t="str">
        <f t="shared" si="1"/>
        <v/>
      </c>
      <c r="M59" s="203"/>
      <c r="N59" s="203"/>
      <c r="O59" s="206"/>
      <c r="P59" s="204" t="str">
        <f t="shared" si="2"/>
        <v/>
      </c>
      <c r="Q59" s="203"/>
      <c r="R59" s="203"/>
      <c r="S59" s="206"/>
      <c r="T59" s="204" t="str">
        <f t="shared" si="3"/>
        <v/>
      </c>
      <c r="U59" s="203"/>
      <c r="V59" s="203"/>
      <c r="W59" s="203"/>
      <c r="X59" s="203"/>
      <c r="Y59" s="203"/>
      <c r="Z59" s="206"/>
      <c r="AA59" s="125" t="str">
        <f t="shared" si="4"/>
        <v/>
      </c>
      <c r="AB59" t="str">
        <f t="array" ref="AB59">IF(OR(AA59 &lt;&gt;"", I59&lt;&gt;"",L59&lt;&gt;"",P59&lt;&gt;"",T59&lt;&gt;""), AND(EXACT(AC59:AG59,AC59)),"")</f>
        <v/>
      </c>
      <c r="AC59" s="192" t="str">
        <f t="shared" si="5"/>
        <v/>
      </c>
      <c r="AD59" s="192" t="str">
        <f t="shared" si="6"/>
        <v/>
      </c>
      <c r="AE59" s="192" t="str">
        <f t="shared" si="7"/>
        <v/>
      </c>
      <c r="AF59" s="192" t="str">
        <f t="shared" si="8"/>
        <v/>
      </c>
      <c r="AG59" s="192" t="str">
        <f t="shared" si="9"/>
        <v/>
      </c>
    </row>
    <row r="60" spans="1:33" x14ac:dyDescent="0.35">
      <c r="A60" s="203"/>
      <c r="B60" s="203"/>
      <c r="C60" s="203"/>
      <c r="D60" s="203"/>
      <c r="E60" s="203"/>
      <c r="F60" s="203"/>
      <c r="G60" s="203"/>
      <c r="H60" s="205"/>
      <c r="I60" s="204" t="str">
        <f t="shared" si="0"/>
        <v/>
      </c>
      <c r="J60" s="203"/>
      <c r="K60" s="206"/>
      <c r="L60" s="204" t="str">
        <f t="shared" si="1"/>
        <v/>
      </c>
      <c r="M60" s="203"/>
      <c r="N60" s="203"/>
      <c r="O60" s="206"/>
      <c r="P60" s="204" t="str">
        <f t="shared" si="2"/>
        <v/>
      </c>
      <c r="Q60" s="203"/>
      <c r="R60" s="203"/>
      <c r="S60" s="206"/>
      <c r="T60" s="204" t="str">
        <f t="shared" si="3"/>
        <v/>
      </c>
      <c r="U60" s="203"/>
      <c r="V60" s="203"/>
      <c r="W60" s="203"/>
      <c r="X60" s="203"/>
      <c r="Y60" s="203"/>
      <c r="Z60" s="206"/>
      <c r="AA60" s="125" t="str">
        <f t="shared" si="4"/>
        <v/>
      </c>
      <c r="AB60" t="str">
        <f t="array" ref="AB60">IF(OR(AA60 &lt;&gt;"", I60&lt;&gt;"",L60&lt;&gt;"",P60&lt;&gt;"",T60&lt;&gt;""), AND(EXACT(AC60:AG60,AC60)),"")</f>
        <v/>
      </c>
      <c r="AC60" s="192" t="str">
        <f t="shared" si="5"/>
        <v/>
      </c>
      <c r="AD60" s="192" t="str">
        <f t="shared" si="6"/>
        <v/>
      </c>
      <c r="AE60" s="192" t="str">
        <f t="shared" si="7"/>
        <v/>
      </c>
      <c r="AF60" s="192" t="str">
        <f t="shared" si="8"/>
        <v/>
      </c>
      <c r="AG60" s="192" t="str">
        <f t="shared" si="9"/>
        <v/>
      </c>
    </row>
    <row r="61" spans="1:33" x14ac:dyDescent="0.35">
      <c r="A61" s="203"/>
      <c r="B61" s="203"/>
      <c r="C61" s="203"/>
      <c r="D61" s="203"/>
      <c r="E61" s="203"/>
      <c r="F61" s="203"/>
      <c r="G61" s="203"/>
      <c r="H61" s="205"/>
      <c r="I61" s="204" t="str">
        <f t="shared" si="0"/>
        <v/>
      </c>
      <c r="J61" s="203"/>
      <c r="K61" s="206"/>
      <c r="L61" s="204" t="str">
        <f t="shared" si="1"/>
        <v/>
      </c>
      <c r="M61" s="203"/>
      <c r="N61" s="203"/>
      <c r="O61" s="206"/>
      <c r="P61" s="204" t="str">
        <f t="shared" si="2"/>
        <v/>
      </c>
      <c r="Q61" s="203"/>
      <c r="R61" s="203"/>
      <c r="S61" s="206"/>
      <c r="T61" s="204" t="str">
        <f t="shared" si="3"/>
        <v/>
      </c>
      <c r="U61" s="203"/>
      <c r="V61" s="203"/>
      <c r="W61" s="203"/>
      <c r="X61" s="203"/>
      <c r="Y61" s="203"/>
      <c r="Z61" s="206"/>
      <c r="AA61" s="125" t="str">
        <f t="shared" si="4"/>
        <v/>
      </c>
      <c r="AB61" t="str">
        <f t="array" ref="AB61">IF(OR(AA61 &lt;&gt;"", I61&lt;&gt;"",L61&lt;&gt;"",P61&lt;&gt;"",T61&lt;&gt;""), AND(EXACT(AC61:AG61,AC61)),"")</f>
        <v/>
      </c>
      <c r="AC61" s="192" t="str">
        <f t="shared" si="5"/>
        <v/>
      </c>
      <c r="AD61" s="192" t="str">
        <f t="shared" si="6"/>
        <v/>
      </c>
      <c r="AE61" s="192" t="str">
        <f t="shared" si="7"/>
        <v/>
      </c>
      <c r="AF61" s="192" t="str">
        <f t="shared" si="8"/>
        <v/>
      </c>
      <c r="AG61" s="192" t="str">
        <f t="shared" si="9"/>
        <v/>
      </c>
    </row>
    <row r="62" spans="1:33" x14ac:dyDescent="0.35">
      <c r="A62" s="203"/>
      <c r="B62" s="203"/>
      <c r="C62" s="203"/>
      <c r="D62" s="203"/>
      <c r="E62" s="203"/>
      <c r="F62" s="203"/>
      <c r="G62" s="203"/>
      <c r="H62" s="205"/>
      <c r="I62" s="204" t="str">
        <f t="shared" si="0"/>
        <v/>
      </c>
      <c r="J62" s="203"/>
      <c r="K62" s="206"/>
      <c r="L62" s="204" t="str">
        <f t="shared" si="1"/>
        <v/>
      </c>
      <c r="M62" s="203"/>
      <c r="N62" s="203"/>
      <c r="O62" s="206"/>
      <c r="P62" s="204" t="str">
        <f t="shared" si="2"/>
        <v/>
      </c>
      <c r="Q62" s="203"/>
      <c r="R62" s="203"/>
      <c r="S62" s="206"/>
      <c r="T62" s="204" t="str">
        <f t="shared" si="3"/>
        <v/>
      </c>
      <c r="U62" s="203"/>
      <c r="V62" s="203"/>
      <c r="W62" s="203"/>
      <c r="X62" s="203"/>
      <c r="Y62" s="203"/>
      <c r="Z62" s="206"/>
      <c r="AA62" s="125" t="str">
        <f t="shared" si="4"/>
        <v/>
      </c>
      <c r="AB62" t="str">
        <f t="array" ref="AB62">IF(OR(AA62 &lt;&gt;"", I62&lt;&gt;"",L62&lt;&gt;"",P62&lt;&gt;"",T62&lt;&gt;""), AND(EXACT(AC62:AG62,AC62)),"")</f>
        <v/>
      </c>
      <c r="AC62" s="192" t="str">
        <f t="shared" si="5"/>
        <v/>
      </c>
      <c r="AD62" s="192" t="str">
        <f t="shared" si="6"/>
        <v/>
      </c>
      <c r="AE62" s="192" t="str">
        <f t="shared" si="7"/>
        <v/>
      </c>
      <c r="AF62" s="192" t="str">
        <f t="shared" si="8"/>
        <v/>
      </c>
      <c r="AG62" s="192" t="str">
        <f t="shared" si="9"/>
        <v/>
      </c>
    </row>
    <row r="63" spans="1:33" x14ac:dyDescent="0.35">
      <c r="A63" s="203"/>
      <c r="B63" s="203"/>
      <c r="C63" s="203"/>
      <c r="D63" s="203"/>
      <c r="E63" s="203"/>
      <c r="F63" s="203"/>
      <c r="G63" s="203"/>
      <c r="H63" s="205"/>
      <c r="I63" s="204" t="str">
        <f t="shared" si="0"/>
        <v/>
      </c>
      <c r="J63" s="203"/>
      <c r="K63" s="206"/>
      <c r="L63" s="204" t="str">
        <f t="shared" si="1"/>
        <v/>
      </c>
      <c r="M63" s="203"/>
      <c r="N63" s="203"/>
      <c r="O63" s="206"/>
      <c r="P63" s="204" t="str">
        <f t="shared" si="2"/>
        <v/>
      </c>
      <c r="Q63" s="203"/>
      <c r="R63" s="203"/>
      <c r="S63" s="206"/>
      <c r="T63" s="204" t="str">
        <f t="shared" si="3"/>
        <v/>
      </c>
      <c r="U63" s="203"/>
      <c r="V63" s="203"/>
      <c r="W63" s="203"/>
      <c r="X63" s="203"/>
      <c r="Y63" s="203"/>
      <c r="Z63" s="206"/>
      <c r="AA63" s="125" t="str">
        <f t="shared" si="4"/>
        <v/>
      </c>
      <c r="AB63" t="str">
        <f t="array" ref="AB63">IF(OR(AA63 &lt;&gt;"", I63&lt;&gt;"",L63&lt;&gt;"",P63&lt;&gt;"",T63&lt;&gt;""), AND(EXACT(AC63:AG63,AC63)),"")</f>
        <v/>
      </c>
      <c r="AC63" s="192" t="str">
        <f t="shared" si="5"/>
        <v/>
      </c>
      <c r="AD63" s="192" t="str">
        <f t="shared" si="6"/>
        <v/>
      </c>
      <c r="AE63" s="192" t="str">
        <f t="shared" si="7"/>
        <v/>
      </c>
      <c r="AF63" s="192" t="str">
        <f t="shared" si="8"/>
        <v/>
      </c>
      <c r="AG63" s="192" t="str">
        <f t="shared" si="9"/>
        <v/>
      </c>
    </row>
    <row r="64" spans="1:33" x14ac:dyDescent="0.35">
      <c r="A64" s="203"/>
      <c r="B64" s="203"/>
      <c r="C64" s="203"/>
      <c r="D64" s="203"/>
      <c r="E64" s="203"/>
      <c r="F64" s="203"/>
      <c r="G64" s="203"/>
      <c r="H64" s="205"/>
      <c r="I64" s="204" t="str">
        <f t="shared" si="0"/>
        <v/>
      </c>
      <c r="J64" s="203"/>
      <c r="K64" s="206"/>
      <c r="L64" s="204" t="str">
        <f t="shared" si="1"/>
        <v/>
      </c>
      <c r="M64" s="203"/>
      <c r="N64" s="203"/>
      <c r="O64" s="206"/>
      <c r="P64" s="204" t="str">
        <f t="shared" si="2"/>
        <v/>
      </c>
      <c r="Q64" s="203"/>
      <c r="R64" s="203"/>
      <c r="S64" s="206"/>
      <c r="T64" s="204" t="str">
        <f t="shared" si="3"/>
        <v/>
      </c>
      <c r="U64" s="203"/>
      <c r="V64" s="203"/>
      <c r="W64" s="203"/>
      <c r="X64" s="203"/>
      <c r="Y64" s="203"/>
      <c r="Z64" s="206"/>
      <c r="AA64" s="125" t="str">
        <f t="shared" si="4"/>
        <v/>
      </c>
      <c r="AB64" t="str">
        <f t="array" ref="AB64">IF(OR(AA64 &lt;&gt;"", I64&lt;&gt;"",L64&lt;&gt;"",P64&lt;&gt;"",T64&lt;&gt;""), AND(EXACT(AC64:AG64,AC64)),"")</f>
        <v/>
      </c>
      <c r="AC64" s="192" t="str">
        <f t="shared" si="5"/>
        <v/>
      </c>
      <c r="AD64" s="192" t="str">
        <f t="shared" si="6"/>
        <v/>
      </c>
      <c r="AE64" s="192" t="str">
        <f t="shared" si="7"/>
        <v/>
      </c>
      <c r="AF64" s="192" t="str">
        <f t="shared" si="8"/>
        <v/>
      </c>
      <c r="AG64" s="192" t="str">
        <f t="shared" si="9"/>
        <v/>
      </c>
    </row>
    <row r="65" spans="1:33" x14ac:dyDescent="0.35">
      <c r="A65" s="203"/>
      <c r="B65" s="203"/>
      <c r="C65" s="203"/>
      <c r="D65" s="203"/>
      <c r="E65" s="203"/>
      <c r="F65" s="203"/>
      <c r="G65" s="203"/>
      <c r="H65" s="205"/>
      <c r="I65" s="204" t="str">
        <f t="shared" si="0"/>
        <v/>
      </c>
      <c r="J65" s="203"/>
      <c r="K65" s="206"/>
      <c r="L65" s="204" t="str">
        <f t="shared" si="1"/>
        <v/>
      </c>
      <c r="M65" s="203"/>
      <c r="N65" s="203"/>
      <c r="O65" s="206"/>
      <c r="P65" s="204" t="str">
        <f t="shared" si="2"/>
        <v/>
      </c>
      <c r="Q65" s="203"/>
      <c r="R65" s="203"/>
      <c r="S65" s="206"/>
      <c r="T65" s="204" t="str">
        <f t="shared" si="3"/>
        <v/>
      </c>
      <c r="U65" s="203"/>
      <c r="V65" s="203"/>
      <c r="W65" s="203"/>
      <c r="X65" s="203"/>
      <c r="Y65" s="203"/>
      <c r="Z65" s="206"/>
      <c r="AA65" s="125" t="str">
        <f t="shared" si="4"/>
        <v/>
      </c>
      <c r="AB65" t="str">
        <f t="array" ref="AB65">IF(OR(AA65 &lt;&gt;"", I65&lt;&gt;"",L65&lt;&gt;"",P65&lt;&gt;"",T65&lt;&gt;""), AND(EXACT(AC65:AG65,AC65)),"")</f>
        <v/>
      </c>
      <c r="AC65" s="192" t="str">
        <f t="shared" si="5"/>
        <v/>
      </c>
      <c r="AD65" s="192" t="str">
        <f t="shared" si="6"/>
        <v/>
      </c>
      <c r="AE65" s="192" t="str">
        <f t="shared" si="7"/>
        <v/>
      </c>
      <c r="AF65" s="192" t="str">
        <f t="shared" si="8"/>
        <v/>
      </c>
      <c r="AG65" s="192" t="str">
        <f t="shared" si="9"/>
        <v/>
      </c>
    </row>
    <row r="66" spans="1:33" x14ac:dyDescent="0.35">
      <c r="A66" s="203"/>
      <c r="B66" s="203"/>
      <c r="C66" s="203"/>
      <c r="D66" s="203"/>
      <c r="E66" s="203"/>
      <c r="F66" s="203"/>
      <c r="G66" s="203"/>
      <c r="H66" s="205"/>
      <c r="I66" s="204" t="str">
        <f t="shared" si="0"/>
        <v/>
      </c>
      <c r="J66" s="203"/>
      <c r="K66" s="206"/>
      <c r="L66" s="204" t="str">
        <f t="shared" si="1"/>
        <v/>
      </c>
      <c r="M66" s="203"/>
      <c r="N66" s="203"/>
      <c r="O66" s="206"/>
      <c r="P66" s="204" t="str">
        <f t="shared" si="2"/>
        <v/>
      </c>
      <c r="Q66" s="203"/>
      <c r="R66" s="203"/>
      <c r="S66" s="206"/>
      <c r="T66" s="204" t="str">
        <f t="shared" si="3"/>
        <v/>
      </c>
      <c r="U66" s="203"/>
      <c r="V66" s="203"/>
      <c r="W66" s="203"/>
      <c r="X66" s="203"/>
      <c r="Y66" s="203"/>
      <c r="Z66" s="206"/>
      <c r="AA66" s="125" t="str">
        <f t="shared" si="4"/>
        <v/>
      </c>
      <c r="AB66" t="str">
        <f t="array" ref="AB66">IF(OR(AA66 &lt;&gt;"", I66&lt;&gt;"",L66&lt;&gt;"",P66&lt;&gt;"",T66&lt;&gt;""), AND(EXACT(AC66:AG66,AC66)),"")</f>
        <v/>
      </c>
      <c r="AC66" s="192" t="str">
        <f t="shared" si="5"/>
        <v/>
      </c>
      <c r="AD66" s="192" t="str">
        <f t="shared" si="6"/>
        <v/>
      </c>
      <c r="AE66" s="192" t="str">
        <f t="shared" si="7"/>
        <v/>
      </c>
      <c r="AF66" s="192" t="str">
        <f t="shared" si="8"/>
        <v/>
      </c>
      <c r="AG66" s="192" t="str">
        <f t="shared" si="9"/>
        <v/>
      </c>
    </row>
    <row r="67" spans="1:33" x14ac:dyDescent="0.35">
      <c r="A67" s="203"/>
      <c r="B67" s="203"/>
      <c r="C67" s="203"/>
      <c r="D67" s="203"/>
      <c r="E67" s="203"/>
      <c r="F67" s="203"/>
      <c r="G67" s="203"/>
      <c r="H67" s="205"/>
      <c r="I67" s="204" t="str">
        <f t="shared" ref="I67:I107" si="10">IF(H67&lt;&gt;"",G67=H67,"")</f>
        <v/>
      </c>
      <c r="J67" s="203"/>
      <c r="K67" s="206"/>
      <c r="L67" s="204" t="str">
        <f t="shared" ref="L67:L107" si="11">IF(K67&lt;&gt;"",J67=K67,"")</f>
        <v/>
      </c>
      <c r="M67" s="203"/>
      <c r="N67" s="203"/>
      <c r="O67" s="206"/>
      <c r="P67" s="204" t="str">
        <f t="shared" ref="P67:P107" si="12">IF(O67&lt;&gt;"",N67=O67,"")</f>
        <v/>
      </c>
      <c r="Q67" s="203"/>
      <c r="R67" s="203"/>
      <c r="S67" s="206"/>
      <c r="T67" s="204" t="str">
        <f t="shared" ref="T67:T107" si="13">IF(S67&lt;&gt;"",R67=S67,"")</f>
        <v/>
      </c>
      <c r="U67" s="203"/>
      <c r="V67" s="203"/>
      <c r="W67" s="203"/>
      <c r="X67" s="203"/>
      <c r="Y67" s="203"/>
      <c r="Z67" s="206"/>
      <c r="AA67" s="125" t="str">
        <f t="shared" ref="AA67:AA107" si="14">IF(Z67&lt;&gt;"",Y67=Z67,"")</f>
        <v/>
      </c>
      <c r="AB67" t="str">
        <f t="array" ref="AB67">IF(OR(AA67 &lt;&gt;"", I67&lt;&gt;"",L67&lt;&gt;"",P67&lt;&gt;"",T67&lt;&gt;""), AND(EXACT(AC67:AG67,AC67)),"")</f>
        <v/>
      </c>
      <c r="AC67" s="192" t="str">
        <f t="shared" si="5"/>
        <v/>
      </c>
      <c r="AD67" s="192" t="str">
        <f t="shared" si="6"/>
        <v/>
      </c>
      <c r="AE67" s="192" t="str">
        <f t="shared" si="7"/>
        <v/>
      </c>
      <c r="AF67" s="192" t="str">
        <f t="shared" si="8"/>
        <v/>
      </c>
      <c r="AG67" s="192" t="str">
        <f t="shared" si="9"/>
        <v/>
      </c>
    </row>
    <row r="68" spans="1:33" x14ac:dyDescent="0.35">
      <c r="A68" s="203"/>
      <c r="B68" s="203"/>
      <c r="C68" s="203"/>
      <c r="D68" s="203"/>
      <c r="E68" s="203"/>
      <c r="F68" s="203"/>
      <c r="G68" s="203"/>
      <c r="H68" s="205"/>
      <c r="I68" s="204" t="str">
        <f t="shared" si="10"/>
        <v/>
      </c>
      <c r="J68" s="203"/>
      <c r="K68" s="206"/>
      <c r="L68" s="204" t="str">
        <f t="shared" si="11"/>
        <v/>
      </c>
      <c r="M68" s="203"/>
      <c r="N68" s="203"/>
      <c r="O68" s="206"/>
      <c r="P68" s="204" t="str">
        <f t="shared" si="12"/>
        <v/>
      </c>
      <c r="Q68" s="203"/>
      <c r="R68" s="203"/>
      <c r="S68" s="206"/>
      <c r="T68" s="204" t="str">
        <f t="shared" si="13"/>
        <v/>
      </c>
      <c r="U68" s="203"/>
      <c r="V68" s="203"/>
      <c r="W68" s="203"/>
      <c r="X68" s="203"/>
      <c r="Y68" s="203"/>
      <c r="Z68" s="206"/>
      <c r="AA68" s="125" t="str">
        <f t="shared" si="14"/>
        <v/>
      </c>
      <c r="AB68" t="str">
        <f t="array" ref="AB68">IF(OR(AA68 &lt;&gt;"", I68&lt;&gt;"",L68&lt;&gt;"",P68&lt;&gt;"",T68&lt;&gt;""), AND(EXACT(AC68:AG68,AC68)),"")</f>
        <v/>
      </c>
      <c r="AC68" s="192" t="str">
        <f t="shared" ref="AC68:AC107" si="15">I68</f>
        <v/>
      </c>
      <c r="AD68" s="192" t="str">
        <f t="shared" ref="AD68:AD107" si="16">L68</f>
        <v/>
      </c>
      <c r="AE68" s="192" t="str">
        <f t="shared" ref="AE68:AE107" si="17">P68</f>
        <v/>
      </c>
      <c r="AF68" s="192" t="str">
        <f t="shared" ref="AF68:AF107" si="18">T68</f>
        <v/>
      </c>
      <c r="AG68" s="192" t="str">
        <f t="shared" ref="AG68:AG107" si="19">AA68</f>
        <v/>
      </c>
    </row>
    <row r="69" spans="1:33" x14ac:dyDescent="0.35">
      <c r="A69" s="203"/>
      <c r="B69" s="203"/>
      <c r="C69" s="203"/>
      <c r="D69" s="203"/>
      <c r="E69" s="203"/>
      <c r="F69" s="203"/>
      <c r="G69" s="203"/>
      <c r="H69" s="205"/>
      <c r="I69" s="204" t="str">
        <f t="shared" si="10"/>
        <v/>
      </c>
      <c r="J69" s="203"/>
      <c r="K69" s="206"/>
      <c r="L69" s="204" t="str">
        <f t="shared" si="11"/>
        <v/>
      </c>
      <c r="M69" s="203"/>
      <c r="N69" s="203"/>
      <c r="O69" s="206"/>
      <c r="P69" s="204" t="str">
        <f t="shared" si="12"/>
        <v/>
      </c>
      <c r="Q69" s="203"/>
      <c r="R69" s="203"/>
      <c r="S69" s="206"/>
      <c r="T69" s="204" t="str">
        <f t="shared" si="13"/>
        <v/>
      </c>
      <c r="U69" s="203"/>
      <c r="V69" s="203"/>
      <c r="W69" s="203"/>
      <c r="X69" s="203"/>
      <c r="Y69" s="203"/>
      <c r="Z69" s="206"/>
      <c r="AA69" s="125" t="str">
        <f t="shared" si="14"/>
        <v/>
      </c>
      <c r="AB69" t="str">
        <f t="array" ref="AB69">IF(OR(AA69 &lt;&gt;"", I69&lt;&gt;"",L69&lt;&gt;"",P69&lt;&gt;"",T69&lt;&gt;""), AND(EXACT(AC69:AG69,AC69)),"")</f>
        <v/>
      </c>
      <c r="AC69" s="192" t="str">
        <f t="shared" si="15"/>
        <v/>
      </c>
      <c r="AD69" s="192" t="str">
        <f t="shared" si="16"/>
        <v/>
      </c>
      <c r="AE69" s="192" t="str">
        <f t="shared" si="17"/>
        <v/>
      </c>
      <c r="AF69" s="192" t="str">
        <f t="shared" si="18"/>
        <v/>
      </c>
      <c r="AG69" s="192" t="str">
        <f t="shared" si="19"/>
        <v/>
      </c>
    </row>
    <row r="70" spans="1:33" x14ac:dyDescent="0.35">
      <c r="A70" s="203"/>
      <c r="B70" s="203"/>
      <c r="C70" s="203"/>
      <c r="D70" s="203"/>
      <c r="E70" s="203"/>
      <c r="F70" s="203"/>
      <c r="G70" s="203"/>
      <c r="H70" s="205"/>
      <c r="I70" s="204" t="str">
        <f t="shared" si="10"/>
        <v/>
      </c>
      <c r="J70" s="203"/>
      <c r="K70" s="206"/>
      <c r="L70" s="204" t="str">
        <f t="shared" si="11"/>
        <v/>
      </c>
      <c r="M70" s="203"/>
      <c r="N70" s="203"/>
      <c r="O70" s="206"/>
      <c r="P70" s="204" t="str">
        <f t="shared" si="12"/>
        <v/>
      </c>
      <c r="Q70" s="203"/>
      <c r="R70" s="203"/>
      <c r="S70" s="206"/>
      <c r="T70" s="204" t="str">
        <f t="shared" si="13"/>
        <v/>
      </c>
      <c r="U70" s="203"/>
      <c r="V70" s="203"/>
      <c r="W70" s="203"/>
      <c r="X70" s="203"/>
      <c r="Y70" s="203"/>
      <c r="Z70" s="206"/>
      <c r="AA70" s="125" t="str">
        <f t="shared" si="14"/>
        <v/>
      </c>
      <c r="AB70" t="str">
        <f t="array" ref="AB70">IF(OR(AA70 &lt;&gt;"", I70&lt;&gt;"",L70&lt;&gt;"",P70&lt;&gt;"",T70&lt;&gt;""), AND(EXACT(AC70:AG70,AC70)),"")</f>
        <v/>
      </c>
      <c r="AC70" s="192" t="str">
        <f t="shared" si="15"/>
        <v/>
      </c>
      <c r="AD70" s="192" t="str">
        <f t="shared" si="16"/>
        <v/>
      </c>
      <c r="AE70" s="192" t="str">
        <f t="shared" si="17"/>
        <v/>
      </c>
      <c r="AF70" s="192" t="str">
        <f t="shared" si="18"/>
        <v/>
      </c>
      <c r="AG70" s="192" t="str">
        <f t="shared" si="19"/>
        <v/>
      </c>
    </row>
    <row r="71" spans="1:33" x14ac:dyDescent="0.35">
      <c r="A71" s="203"/>
      <c r="B71" s="203"/>
      <c r="C71" s="203"/>
      <c r="D71" s="203"/>
      <c r="E71" s="203"/>
      <c r="F71" s="203"/>
      <c r="G71" s="203"/>
      <c r="H71" s="205"/>
      <c r="I71" s="204" t="str">
        <f t="shared" si="10"/>
        <v/>
      </c>
      <c r="J71" s="203"/>
      <c r="K71" s="206"/>
      <c r="L71" s="204" t="str">
        <f t="shared" si="11"/>
        <v/>
      </c>
      <c r="M71" s="203"/>
      <c r="N71" s="203"/>
      <c r="O71" s="206"/>
      <c r="P71" s="204" t="str">
        <f t="shared" si="12"/>
        <v/>
      </c>
      <c r="Q71" s="203"/>
      <c r="R71" s="203"/>
      <c r="S71" s="206"/>
      <c r="T71" s="204" t="str">
        <f t="shared" si="13"/>
        <v/>
      </c>
      <c r="U71" s="203"/>
      <c r="V71" s="203"/>
      <c r="W71" s="203"/>
      <c r="X71" s="203"/>
      <c r="Y71" s="203"/>
      <c r="Z71" s="206"/>
      <c r="AA71" s="125" t="str">
        <f t="shared" si="14"/>
        <v/>
      </c>
      <c r="AB71" t="str">
        <f t="array" ref="AB71">IF(OR(AA71 &lt;&gt;"", I71&lt;&gt;"",L71&lt;&gt;"",P71&lt;&gt;"",T71&lt;&gt;""), AND(EXACT(AC71:AG71,AC71)),"")</f>
        <v/>
      </c>
      <c r="AC71" s="192" t="str">
        <f t="shared" si="15"/>
        <v/>
      </c>
      <c r="AD71" s="192" t="str">
        <f t="shared" si="16"/>
        <v/>
      </c>
      <c r="AE71" s="192" t="str">
        <f t="shared" si="17"/>
        <v/>
      </c>
      <c r="AF71" s="192" t="str">
        <f t="shared" si="18"/>
        <v/>
      </c>
      <c r="AG71" s="192" t="str">
        <f t="shared" si="19"/>
        <v/>
      </c>
    </row>
    <row r="72" spans="1:33" x14ac:dyDescent="0.35">
      <c r="A72" s="203"/>
      <c r="B72" s="203"/>
      <c r="C72" s="203"/>
      <c r="D72" s="203"/>
      <c r="E72" s="203"/>
      <c r="F72" s="203"/>
      <c r="G72" s="203"/>
      <c r="H72" s="205"/>
      <c r="I72" s="204" t="str">
        <f t="shared" si="10"/>
        <v/>
      </c>
      <c r="J72" s="203"/>
      <c r="K72" s="206"/>
      <c r="L72" s="204" t="str">
        <f t="shared" si="11"/>
        <v/>
      </c>
      <c r="M72" s="203"/>
      <c r="N72" s="203"/>
      <c r="O72" s="206"/>
      <c r="P72" s="204" t="str">
        <f t="shared" si="12"/>
        <v/>
      </c>
      <c r="Q72" s="203"/>
      <c r="R72" s="203"/>
      <c r="S72" s="206"/>
      <c r="T72" s="204" t="str">
        <f t="shared" si="13"/>
        <v/>
      </c>
      <c r="U72" s="203"/>
      <c r="V72" s="203"/>
      <c r="W72" s="203"/>
      <c r="X72" s="203"/>
      <c r="Y72" s="203"/>
      <c r="Z72" s="206"/>
      <c r="AA72" s="125" t="str">
        <f t="shared" si="14"/>
        <v/>
      </c>
      <c r="AB72" t="str">
        <f t="array" ref="AB72">IF(OR(AA72 &lt;&gt;"", I72&lt;&gt;"",L72&lt;&gt;"",P72&lt;&gt;"",T72&lt;&gt;""), AND(EXACT(AC72:AG72,AC72)),"")</f>
        <v/>
      </c>
      <c r="AC72" s="192" t="str">
        <f t="shared" si="15"/>
        <v/>
      </c>
      <c r="AD72" s="192" t="str">
        <f t="shared" si="16"/>
        <v/>
      </c>
      <c r="AE72" s="192" t="str">
        <f t="shared" si="17"/>
        <v/>
      </c>
      <c r="AF72" s="192" t="str">
        <f t="shared" si="18"/>
        <v/>
      </c>
      <c r="AG72" s="192" t="str">
        <f t="shared" si="19"/>
        <v/>
      </c>
    </row>
    <row r="73" spans="1:33" x14ac:dyDescent="0.35">
      <c r="A73" s="203"/>
      <c r="B73" s="203"/>
      <c r="C73" s="203"/>
      <c r="D73" s="203"/>
      <c r="E73" s="203"/>
      <c r="F73" s="203"/>
      <c r="G73" s="203"/>
      <c r="H73" s="205"/>
      <c r="I73" s="204" t="str">
        <f t="shared" si="10"/>
        <v/>
      </c>
      <c r="J73" s="203"/>
      <c r="K73" s="206"/>
      <c r="L73" s="204" t="str">
        <f t="shared" si="11"/>
        <v/>
      </c>
      <c r="M73" s="203"/>
      <c r="N73" s="203"/>
      <c r="O73" s="206"/>
      <c r="P73" s="204" t="str">
        <f t="shared" si="12"/>
        <v/>
      </c>
      <c r="Q73" s="203"/>
      <c r="R73" s="203"/>
      <c r="S73" s="206"/>
      <c r="T73" s="204" t="str">
        <f t="shared" si="13"/>
        <v/>
      </c>
      <c r="U73" s="203"/>
      <c r="V73" s="203"/>
      <c r="W73" s="203"/>
      <c r="X73" s="203"/>
      <c r="Y73" s="203"/>
      <c r="Z73" s="206"/>
      <c r="AA73" s="125" t="str">
        <f t="shared" si="14"/>
        <v/>
      </c>
      <c r="AB73" t="str">
        <f t="array" ref="AB73">IF(OR(AA73 &lt;&gt;"", I73&lt;&gt;"",L73&lt;&gt;"",P73&lt;&gt;"",T73&lt;&gt;""), AND(EXACT(AC73:AG73,AC73)),"")</f>
        <v/>
      </c>
      <c r="AC73" s="192" t="str">
        <f t="shared" si="15"/>
        <v/>
      </c>
      <c r="AD73" s="192" t="str">
        <f t="shared" si="16"/>
        <v/>
      </c>
      <c r="AE73" s="192" t="str">
        <f t="shared" si="17"/>
        <v/>
      </c>
      <c r="AF73" s="192" t="str">
        <f t="shared" si="18"/>
        <v/>
      </c>
      <c r="AG73" s="192" t="str">
        <f t="shared" si="19"/>
        <v/>
      </c>
    </row>
    <row r="74" spans="1:33" x14ac:dyDescent="0.35">
      <c r="A74" s="203"/>
      <c r="B74" s="203"/>
      <c r="C74" s="203"/>
      <c r="D74" s="203"/>
      <c r="E74" s="203"/>
      <c r="F74" s="203"/>
      <c r="G74" s="203"/>
      <c r="H74" s="205"/>
      <c r="I74" s="204" t="str">
        <f t="shared" si="10"/>
        <v/>
      </c>
      <c r="J74" s="203"/>
      <c r="K74" s="206"/>
      <c r="L74" s="204" t="str">
        <f t="shared" si="11"/>
        <v/>
      </c>
      <c r="M74" s="203"/>
      <c r="N74" s="203"/>
      <c r="O74" s="206"/>
      <c r="P74" s="204" t="str">
        <f t="shared" si="12"/>
        <v/>
      </c>
      <c r="Q74" s="203"/>
      <c r="R74" s="203"/>
      <c r="S74" s="206"/>
      <c r="T74" s="204" t="str">
        <f t="shared" si="13"/>
        <v/>
      </c>
      <c r="U74" s="203"/>
      <c r="V74" s="203"/>
      <c r="W74" s="203"/>
      <c r="X74" s="203"/>
      <c r="Y74" s="203"/>
      <c r="Z74" s="206"/>
      <c r="AA74" s="125" t="str">
        <f t="shared" si="14"/>
        <v/>
      </c>
      <c r="AB74" t="str">
        <f t="array" ref="AB74">IF(OR(AA74 &lt;&gt;"", I74&lt;&gt;"",L74&lt;&gt;"",P74&lt;&gt;"",T74&lt;&gt;""), AND(EXACT(AC74:AG74,AC74)),"")</f>
        <v/>
      </c>
      <c r="AC74" s="192" t="str">
        <f t="shared" si="15"/>
        <v/>
      </c>
      <c r="AD74" s="192" t="str">
        <f t="shared" si="16"/>
        <v/>
      </c>
      <c r="AE74" s="192" t="str">
        <f t="shared" si="17"/>
        <v/>
      </c>
      <c r="AF74" s="192" t="str">
        <f t="shared" si="18"/>
        <v/>
      </c>
      <c r="AG74" s="192" t="str">
        <f t="shared" si="19"/>
        <v/>
      </c>
    </row>
    <row r="75" spans="1:33" x14ac:dyDescent="0.35">
      <c r="A75" s="203"/>
      <c r="B75" s="203"/>
      <c r="C75" s="203"/>
      <c r="D75" s="203"/>
      <c r="E75" s="203"/>
      <c r="F75" s="203"/>
      <c r="G75" s="203"/>
      <c r="H75" s="205"/>
      <c r="I75" s="204" t="str">
        <f t="shared" si="10"/>
        <v/>
      </c>
      <c r="J75" s="203"/>
      <c r="K75" s="206"/>
      <c r="L75" s="204" t="str">
        <f t="shared" si="11"/>
        <v/>
      </c>
      <c r="M75" s="203"/>
      <c r="N75" s="203"/>
      <c r="O75" s="206"/>
      <c r="P75" s="204" t="str">
        <f t="shared" si="12"/>
        <v/>
      </c>
      <c r="Q75" s="203"/>
      <c r="R75" s="203"/>
      <c r="S75" s="206"/>
      <c r="T75" s="204" t="str">
        <f t="shared" si="13"/>
        <v/>
      </c>
      <c r="U75" s="203"/>
      <c r="V75" s="203"/>
      <c r="W75" s="203"/>
      <c r="X75" s="203"/>
      <c r="Y75" s="203"/>
      <c r="Z75" s="206"/>
      <c r="AA75" s="125" t="str">
        <f t="shared" si="14"/>
        <v/>
      </c>
      <c r="AB75" t="str">
        <f t="array" ref="AB75">IF(OR(AA75 &lt;&gt;"", I75&lt;&gt;"",L75&lt;&gt;"",P75&lt;&gt;"",T75&lt;&gt;""), AND(EXACT(AC75:AG75,AC75)),"")</f>
        <v/>
      </c>
      <c r="AC75" s="192" t="str">
        <f t="shared" si="15"/>
        <v/>
      </c>
      <c r="AD75" s="192" t="str">
        <f t="shared" si="16"/>
        <v/>
      </c>
      <c r="AE75" s="192" t="str">
        <f t="shared" si="17"/>
        <v/>
      </c>
      <c r="AF75" s="192" t="str">
        <f t="shared" si="18"/>
        <v/>
      </c>
      <c r="AG75" s="192" t="str">
        <f t="shared" si="19"/>
        <v/>
      </c>
    </row>
    <row r="76" spans="1:33" x14ac:dyDescent="0.35">
      <c r="A76" s="203"/>
      <c r="B76" s="203"/>
      <c r="C76" s="203"/>
      <c r="D76" s="203"/>
      <c r="E76" s="203"/>
      <c r="F76" s="203"/>
      <c r="G76" s="203"/>
      <c r="H76" s="205"/>
      <c r="I76" s="204" t="str">
        <f t="shared" si="10"/>
        <v/>
      </c>
      <c r="J76" s="203"/>
      <c r="K76" s="206"/>
      <c r="L76" s="204" t="str">
        <f t="shared" si="11"/>
        <v/>
      </c>
      <c r="M76" s="203"/>
      <c r="N76" s="203"/>
      <c r="O76" s="206"/>
      <c r="P76" s="204" t="str">
        <f t="shared" si="12"/>
        <v/>
      </c>
      <c r="Q76" s="203"/>
      <c r="R76" s="203"/>
      <c r="S76" s="206"/>
      <c r="T76" s="204" t="str">
        <f t="shared" si="13"/>
        <v/>
      </c>
      <c r="U76" s="203"/>
      <c r="V76" s="203"/>
      <c r="W76" s="203"/>
      <c r="X76" s="203"/>
      <c r="Y76" s="203"/>
      <c r="Z76" s="206"/>
      <c r="AA76" s="125" t="str">
        <f t="shared" si="14"/>
        <v/>
      </c>
      <c r="AB76" t="str">
        <f t="array" ref="AB76">IF(OR(AA76 &lt;&gt;"", I76&lt;&gt;"",L76&lt;&gt;"",P76&lt;&gt;"",T76&lt;&gt;""), AND(EXACT(AC76:AG76,AC76)),"")</f>
        <v/>
      </c>
      <c r="AC76" s="192" t="str">
        <f t="shared" si="15"/>
        <v/>
      </c>
      <c r="AD76" s="192" t="str">
        <f t="shared" si="16"/>
        <v/>
      </c>
      <c r="AE76" s="192" t="str">
        <f t="shared" si="17"/>
        <v/>
      </c>
      <c r="AF76" s="192" t="str">
        <f t="shared" si="18"/>
        <v/>
      </c>
      <c r="AG76" s="192" t="str">
        <f t="shared" si="19"/>
        <v/>
      </c>
    </row>
    <row r="77" spans="1:33" x14ac:dyDescent="0.35">
      <c r="A77" s="203"/>
      <c r="B77" s="203"/>
      <c r="C77" s="203"/>
      <c r="D77" s="203"/>
      <c r="E77" s="203"/>
      <c r="F77" s="203"/>
      <c r="G77" s="203"/>
      <c r="H77" s="205"/>
      <c r="I77" s="204" t="str">
        <f t="shared" si="10"/>
        <v/>
      </c>
      <c r="J77" s="203"/>
      <c r="K77" s="206"/>
      <c r="L77" s="204" t="str">
        <f t="shared" si="11"/>
        <v/>
      </c>
      <c r="M77" s="203"/>
      <c r="N77" s="203"/>
      <c r="O77" s="206"/>
      <c r="P77" s="204" t="str">
        <f t="shared" si="12"/>
        <v/>
      </c>
      <c r="Q77" s="203"/>
      <c r="R77" s="203"/>
      <c r="S77" s="206"/>
      <c r="T77" s="204" t="str">
        <f t="shared" si="13"/>
        <v/>
      </c>
      <c r="U77" s="203"/>
      <c r="V77" s="203"/>
      <c r="W77" s="203"/>
      <c r="X77" s="203"/>
      <c r="Y77" s="203"/>
      <c r="Z77" s="206"/>
      <c r="AA77" s="125" t="str">
        <f t="shared" si="14"/>
        <v/>
      </c>
      <c r="AB77" t="str">
        <f t="array" ref="AB77">IF(OR(AA77 &lt;&gt;"", I77&lt;&gt;"",L77&lt;&gt;"",P77&lt;&gt;"",T77&lt;&gt;""), AND(EXACT(AC77:AG77,AC77)),"")</f>
        <v/>
      </c>
      <c r="AC77" s="192" t="str">
        <f t="shared" si="15"/>
        <v/>
      </c>
      <c r="AD77" s="192" t="str">
        <f t="shared" si="16"/>
        <v/>
      </c>
      <c r="AE77" s="192" t="str">
        <f t="shared" si="17"/>
        <v/>
      </c>
      <c r="AF77" s="192" t="str">
        <f t="shared" si="18"/>
        <v/>
      </c>
      <c r="AG77" s="192" t="str">
        <f t="shared" si="19"/>
        <v/>
      </c>
    </row>
    <row r="78" spans="1:33" x14ac:dyDescent="0.35">
      <c r="A78" s="203"/>
      <c r="B78" s="203"/>
      <c r="C78" s="203"/>
      <c r="D78" s="203"/>
      <c r="E78" s="203"/>
      <c r="F78" s="203"/>
      <c r="G78" s="203"/>
      <c r="H78" s="205"/>
      <c r="I78" s="204" t="str">
        <f t="shared" si="10"/>
        <v/>
      </c>
      <c r="J78" s="203"/>
      <c r="K78" s="206"/>
      <c r="L78" s="204" t="str">
        <f t="shared" si="11"/>
        <v/>
      </c>
      <c r="M78" s="203"/>
      <c r="N78" s="203"/>
      <c r="O78" s="206"/>
      <c r="P78" s="204" t="str">
        <f t="shared" si="12"/>
        <v/>
      </c>
      <c r="Q78" s="203"/>
      <c r="R78" s="203"/>
      <c r="S78" s="206"/>
      <c r="T78" s="204" t="str">
        <f t="shared" si="13"/>
        <v/>
      </c>
      <c r="U78" s="203"/>
      <c r="V78" s="203"/>
      <c r="W78" s="203"/>
      <c r="X78" s="203"/>
      <c r="Y78" s="203"/>
      <c r="Z78" s="206"/>
      <c r="AA78" s="125" t="str">
        <f t="shared" si="14"/>
        <v/>
      </c>
      <c r="AB78" t="str">
        <f t="array" ref="AB78">IF(OR(AA78 &lt;&gt;"", I78&lt;&gt;"",L78&lt;&gt;"",P78&lt;&gt;"",T78&lt;&gt;""), AND(EXACT(AC78:AG78,AC78)),"")</f>
        <v/>
      </c>
      <c r="AC78" s="192" t="str">
        <f t="shared" si="15"/>
        <v/>
      </c>
      <c r="AD78" s="192" t="str">
        <f t="shared" si="16"/>
        <v/>
      </c>
      <c r="AE78" s="192" t="str">
        <f t="shared" si="17"/>
        <v/>
      </c>
      <c r="AF78" s="192" t="str">
        <f t="shared" si="18"/>
        <v/>
      </c>
      <c r="AG78" s="192" t="str">
        <f t="shared" si="19"/>
        <v/>
      </c>
    </row>
    <row r="79" spans="1:33" x14ac:dyDescent="0.35">
      <c r="A79" s="203"/>
      <c r="B79" s="203"/>
      <c r="C79" s="203"/>
      <c r="D79" s="203"/>
      <c r="E79" s="203"/>
      <c r="F79" s="203"/>
      <c r="G79" s="203"/>
      <c r="H79" s="205"/>
      <c r="I79" s="204" t="str">
        <f t="shared" si="10"/>
        <v/>
      </c>
      <c r="J79" s="203"/>
      <c r="K79" s="206"/>
      <c r="L79" s="204" t="str">
        <f t="shared" si="11"/>
        <v/>
      </c>
      <c r="M79" s="203"/>
      <c r="N79" s="203"/>
      <c r="O79" s="206"/>
      <c r="P79" s="204" t="str">
        <f t="shared" si="12"/>
        <v/>
      </c>
      <c r="Q79" s="203"/>
      <c r="R79" s="203"/>
      <c r="S79" s="206"/>
      <c r="T79" s="204" t="str">
        <f t="shared" si="13"/>
        <v/>
      </c>
      <c r="U79" s="203"/>
      <c r="V79" s="203"/>
      <c r="W79" s="203"/>
      <c r="X79" s="203"/>
      <c r="Y79" s="203"/>
      <c r="Z79" s="206"/>
      <c r="AA79" s="125" t="str">
        <f t="shared" si="14"/>
        <v/>
      </c>
      <c r="AB79" t="str">
        <f t="array" ref="AB79">IF(OR(AA79 &lt;&gt;"", I79&lt;&gt;"",L79&lt;&gt;"",P79&lt;&gt;"",T79&lt;&gt;""), AND(EXACT(AC79:AG79,AC79)),"")</f>
        <v/>
      </c>
      <c r="AC79" s="192" t="str">
        <f t="shared" si="15"/>
        <v/>
      </c>
      <c r="AD79" s="192" t="str">
        <f t="shared" si="16"/>
        <v/>
      </c>
      <c r="AE79" s="192" t="str">
        <f t="shared" si="17"/>
        <v/>
      </c>
      <c r="AF79" s="192" t="str">
        <f t="shared" si="18"/>
        <v/>
      </c>
      <c r="AG79" s="192" t="str">
        <f t="shared" si="19"/>
        <v/>
      </c>
    </row>
    <row r="80" spans="1:33" x14ac:dyDescent="0.35">
      <c r="A80" s="203"/>
      <c r="B80" s="203"/>
      <c r="C80" s="203"/>
      <c r="D80" s="203"/>
      <c r="E80" s="203"/>
      <c r="F80" s="203"/>
      <c r="G80" s="203"/>
      <c r="H80" s="205"/>
      <c r="I80" s="204" t="str">
        <f t="shared" si="10"/>
        <v/>
      </c>
      <c r="J80" s="203"/>
      <c r="K80" s="206"/>
      <c r="L80" s="204" t="str">
        <f t="shared" si="11"/>
        <v/>
      </c>
      <c r="M80" s="203"/>
      <c r="N80" s="203"/>
      <c r="O80" s="206"/>
      <c r="P80" s="204" t="str">
        <f t="shared" si="12"/>
        <v/>
      </c>
      <c r="Q80" s="203"/>
      <c r="R80" s="203"/>
      <c r="S80" s="206"/>
      <c r="T80" s="204" t="str">
        <f t="shared" si="13"/>
        <v/>
      </c>
      <c r="U80" s="203"/>
      <c r="V80" s="203"/>
      <c r="W80" s="203"/>
      <c r="X80" s="203"/>
      <c r="Y80" s="203"/>
      <c r="Z80" s="206"/>
      <c r="AA80" s="125" t="str">
        <f t="shared" si="14"/>
        <v/>
      </c>
      <c r="AB80" t="str">
        <f t="array" ref="AB80">IF(OR(AA80 &lt;&gt;"", I80&lt;&gt;"",L80&lt;&gt;"",P80&lt;&gt;"",T80&lt;&gt;""), AND(EXACT(AC80:AG80,AC80)),"")</f>
        <v/>
      </c>
      <c r="AC80" s="192" t="str">
        <f t="shared" si="15"/>
        <v/>
      </c>
      <c r="AD80" s="192" t="str">
        <f t="shared" si="16"/>
        <v/>
      </c>
      <c r="AE80" s="192" t="str">
        <f t="shared" si="17"/>
        <v/>
      </c>
      <c r="AF80" s="192" t="str">
        <f t="shared" si="18"/>
        <v/>
      </c>
      <c r="AG80" s="192" t="str">
        <f t="shared" si="19"/>
        <v/>
      </c>
    </row>
    <row r="81" spans="1:33" x14ac:dyDescent="0.35">
      <c r="A81" s="203"/>
      <c r="B81" s="203"/>
      <c r="C81" s="203"/>
      <c r="D81" s="203"/>
      <c r="E81" s="203"/>
      <c r="F81" s="203"/>
      <c r="G81" s="203"/>
      <c r="H81" s="205"/>
      <c r="I81" s="204" t="str">
        <f t="shared" si="10"/>
        <v/>
      </c>
      <c r="J81" s="203"/>
      <c r="K81" s="206"/>
      <c r="L81" s="204" t="str">
        <f t="shared" si="11"/>
        <v/>
      </c>
      <c r="M81" s="203"/>
      <c r="N81" s="203"/>
      <c r="O81" s="206"/>
      <c r="P81" s="204" t="str">
        <f t="shared" si="12"/>
        <v/>
      </c>
      <c r="Q81" s="203"/>
      <c r="R81" s="203"/>
      <c r="S81" s="206"/>
      <c r="T81" s="204" t="str">
        <f t="shared" si="13"/>
        <v/>
      </c>
      <c r="U81" s="203"/>
      <c r="V81" s="203"/>
      <c r="W81" s="203"/>
      <c r="X81" s="203"/>
      <c r="Y81" s="203"/>
      <c r="Z81" s="206"/>
      <c r="AA81" s="125" t="str">
        <f t="shared" si="14"/>
        <v/>
      </c>
      <c r="AB81" t="str">
        <f t="array" ref="AB81">IF(OR(AA81 &lt;&gt;"", I81&lt;&gt;"",L81&lt;&gt;"",P81&lt;&gt;"",T81&lt;&gt;""), AND(EXACT(AC81:AG81,AC81)),"")</f>
        <v/>
      </c>
      <c r="AC81" s="192" t="str">
        <f t="shared" si="15"/>
        <v/>
      </c>
      <c r="AD81" s="192" t="str">
        <f t="shared" si="16"/>
        <v/>
      </c>
      <c r="AE81" s="192" t="str">
        <f t="shared" si="17"/>
        <v/>
      </c>
      <c r="AF81" s="192" t="str">
        <f t="shared" si="18"/>
        <v/>
      </c>
      <c r="AG81" s="192" t="str">
        <f t="shared" si="19"/>
        <v/>
      </c>
    </row>
    <row r="82" spans="1:33" x14ac:dyDescent="0.35">
      <c r="A82" s="203"/>
      <c r="B82" s="203"/>
      <c r="C82" s="203"/>
      <c r="D82" s="203"/>
      <c r="E82" s="203"/>
      <c r="F82" s="203"/>
      <c r="G82" s="203"/>
      <c r="H82" s="205"/>
      <c r="I82" s="204" t="str">
        <f t="shared" si="10"/>
        <v/>
      </c>
      <c r="J82" s="203"/>
      <c r="K82" s="206"/>
      <c r="L82" s="204" t="str">
        <f t="shared" si="11"/>
        <v/>
      </c>
      <c r="M82" s="203"/>
      <c r="N82" s="203"/>
      <c r="O82" s="206"/>
      <c r="P82" s="204" t="str">
        <f t="shared" si="12"/>
        <v/>
      </c>
      <c r="Q82" s="203"/>
      <c r="R82" s="203"/>
      <c r="S82" s="206"/>
      <c r="T82" s="204" t="str">
        <f t="shared" si="13"/>
        <v/>
      </c>
      <c r="U82" s="203"/>
      <c r="V82" s="203"/>
      <c r="W82" s="203"/>
      <c r="X82" s="203"/>
      <c r="Y82" s="203"/>
      <c r="Z82" s="206"/>
      <c r="AA82" s="125" t="str">
        <f t="shared" si="14"/>
        <v/>
      </c>
      <c r="AB82" t="str">
        <f t="array" ref="AB82">IF(OR(AA82 &lt;&gt;"", I82&lt;&gt;"",L82&lt;&gt;"",P82&lt;&gt;"",T82&lt;&gt;""), AND(EXACT(AC82:AG82,AC82)),"")</f>
        <v/>
      </c>
      <c r="AC82" s="192" t="str">
        <f t="shared" si="15"/>
        <v/>
      </c>
      <c r="AD82" s="192" t="str">
        <f t="shared" si="16"/>
        <v/>
      </c>
      <c r="AE82" s="192" t="str">
        <f t="shared" si="17"/>
        <v/>
      </c>
      <c r="AF82" s="192" t="str">
        <f t="shared" si="18"/>
        <v/>
      </c>
      <c r="AG82" s="192" t="str">
        <f t="shared" si="19"/>
        <v/>
      </c>
    </row>
    <row r="83" spans="1:33" x14ac:dyDescent="0.35">
      <c r="A83" s="203"/>
      <c r="B83" s="203"/>
      <c r="C83" s="203"/>
      <c r="D83" s="203"/>
      <c r="E83" s="203"/>
      <c r="F83" s="203"/>
      <c r="G83" s="203"/>
      <c r="H83" s="205"/>
      <c r="I83" s="204" t="str">
        <f t="shared" si="10"/>
        <v/>
      </c>
      <c r="J83" s="203"/>
      <c r="K83" s="206"/>
      <c r="L83" s="204" t="str">
        <f t="shared" si="11"/>
        <v/>
      </c>
      <c r="M83" s="203"/>
      <c r="N83" s="203"/>
      <c r="O83" s="206"/>
      <c r="P83" s="204" t="str">
        <f t="shared" si="12"/>
        <v/>
      </c>
      <c r="Q83" s="203"/>
      <c r="R83" s="203"/>
      <c r="S83" s="206"/>
      <c r="T83" s="204" t="str">
        <f t="shared" si="13"/>
        <v/>
      </c>
      <c r="U83" s="203"/>
      <c r="V83" s="203"/>
      <c r="W83" s="203"/>
      <c r="X83" s="203"/>
      <c r="Y83" s="203"/>
      <c r="Z83" s="206"/>
      <c r="AA83" s="125" t="str">
        <f t="shared" si="14"/>
        <v/>
      </c>
      <c r="AB83" t="str">
        <f t="array" ref="AB83">IF(OR(AA83 &lt;&gt;"", I83&lt;&gt;"",L83&lt;&gt;"",P83&lt;&gt;"",T83&lt;&gt;""), AND(EXACT(AC83:AG83,AC83)),"")</f>
        <v/>
      </c>
      <c r="AC83" s="192" t="str">
        <f t="shared" si="15"/>
        <v/>
      </c>
      <c r="AD83" s="192" t="str">
        <f t="shared" si="16"/>
        <v/>
      </c>
      <c r="AE83" s="192" t="str">
        <f t="shared" si="17"/>
        <v/>
      </c>
      <c r="AF83" s="192" t="str">
        <f t="shared" si="18"/>
        <v/>
      </c>
      <c r="AG83" s="192" t="str">
        <f t="shared" si="19"/>
        <v/>
      </c>
    </row>
    <row r="84" spans="1:33" x14ac:dyDescent="0.35">
      <c r="A84" s="203"/>
      <c r="B84" s="203"/>
      <c r="C84" s="203"/>
      <c r="D84" s="203"/>
      <c r="E84" s="203"/>
      <c r="F84" s="203"/>
      <c r="G84" s="203"/>
      <c r="H84" s="205"/>
      <c r="I84" s="204" t="str">
        <f t="shared" si="10"/>
        <v/>
      </c>
      <c r="J84" s="203"/>
      <c r="K84" s="206"/>
      <c r="L84" s="204" t="str">
        <f t="shared" si="11"/>
        <v/>
      </c>
      <c r="M84" s="203"/>
      <c r="N84" s="203"/>
      <c r="O84" s="206"/>
      <c r="P84" s="204" t="str">
        <f t="shared" si="12"/>
        <v/>
      </c>
      <c r="Q84" s="203"/>
      <c r="R84" s="203"/>
      <c r="S84" s="206"/>
      <c r="T84" s="204" t="str">
        <f t="shared" si="13"/>
        <v/>
      </c>
      <c r="U84" s="203"/>
      <c r="V84" s="203"/>
      <c r="W84" s="203"/>
      <c r="X84" s="203"/>
      <c r="Y84" s="203"/>
      <c r="Z84" s="206"/>
      <c r="AA84" s="125" t="str">
        <f t="shared" si="14"/>
        <v/>
      </c>
      <c r="AB84" t="str">
        <f t="array" ref="AB84">IF(OR(AA84 &lt;&gt;"", I84&lt;&gt;"",L84&lt;&gt;"",P84&lt;&gt;"",T84&lt;&gt;""), AND(EXACT(AC84:AG84,AC84)),"")</f>
        <v/>
      </c>
      <c r="AC84" s="192" t="str">
        <f t="shared" si="15"/>
        <v/>
      </c>
      <c r="AD84" s="192" t="str">
        <f t="shared" si="16"/>
        <v/>
      </c>
      <c r="AE84" s="192" t="str">
        <f t="shared" si="17"/>
        <v/>
      </c>
      <c r="AF84" s="192" t="str">
        <f t="shared" si="18"/>
        <v/>
      </c>
      <c r="AG84" s="192" t="str">
        <f t="shared" si="19"/>
        <v/>
      </c>
    </row>
    <row r="85" spans="1:33" x14ac:dyDescent="0.35">
      <c r="A85" s="203"/>
      <c r="B85" s="203"/>
      <c r="C85" s="203"/>
      <c r="D85" s="203"/>
      <c r="E85" s="203"/>
      <c r="F85" s="203"/>
      <c r="G85" s="203"/>
      <c r="H85" s="205"/>
      <c r="I85" s="204" t="str">
        <f t="shared" si="10"/>
        <v/>
      </c>
      <c r="J85" s="203"/>
      <c r="K85" s="206"/>
      <c r="L85" s="204" t="str">
        <f t="shared" si="11"/>
        <v/>
      </c>
      <c r="M85" s="203"/>
      <c r="N85" s="203"/>
      <c r="O85" s="206"/>
      <c r="P85" s="204" t="str">
        <f t="shared" si="12"/>
        <v/>
      </c>
      <c r="Q85" s="203"/>
      <c r="R85" s="203"/>
      <c r="S85" s="206"/>
      <c r="T85" s="204" t="str">
        <f t="shared" si="13"/>
        <v/>
      </c>
      <c r="U85" s="203"/>
      <c r="V85" s="203"/>
      <c r="W85" s="203"/>
      <c r="X85" s="203"/>
      <c r="Y85" s="203"/>
      <c r="Z85" s="206"/>
      <c r="AA85" s="125" t="str">
        <f t="shared" si="14"/>
        <v/>
      </c>
      <c r="AB85" t="str">
        <f t="array" ref="AB85">IF(OR(AA85 &lt;&gt;"", I85&lt;&gt;"",L85&lt;&gt;"",P85&lt;&gt;"",T85&lt;&gt;""), AND(EXACT(AC85:AG85,AC85)),"")</f>
        <v/>
      </c>
      <c r="AC85" s="192" t="str">
        <f t="shared" si="15"/>
        <v/>
      </c>
      <c r="AD85" s="192" t="str">
        <f t="shared" si="16"/>
        <v/>
      </c>
      <c r="AE85" s="192" t="str">
        <f t="shared" si="17"/>
        <v/>
      </c>
      <c r="AF85" s="192" t="str">
        <f t="shared" si="18"/>
        <v/>
      </c>
      <c r="AG85" s="192" t="str">
        <f t="shared" si="19"/>
        <v/>
      </c>
    </row>
    <row r="86" spans="1:33" x14ac:dyDescent="0.35">
      <c r="A86" s="203"/>
      <c r="B86" s="203"/>
      <c r="C86" s="203"/>
      <c r="D86" s="203"/>
      <c r="E86" s="203"/>
      <c r="F86" s="203"/>
      <c r="G86" s="203"/>
      <c r="H86" s="205"/>
      <c r="I86" s="204" t="str">
        <f t="shared" si="10"/>
        <v/>
      </c>
      <c r="J86" s="203"/>
      <c r="K86" s="206"/>
      <c r="L86" s="204" t="str">
        <f t="shared" si="11"/>
        <v/>
      </c>
      <c r="M86" s="203"/>
      <c r="N86" s="203"/>
      <c r="O86" s="206"/>
      <c r="P86" s="204" t="str">
        <f t="shared" si="12"/>
        <v/>
      </c>
      <c r="Q86" s="203"/>
      <c r="R86" s="203"/>
      <c r="S86" s="206"/>
      <c r="T86" s="204" t="str">
        <f t="shared" si="13"/>
        <v/>
      </c>
      <c r="U86" s="203"/>
      <c r="V86" s="203"/>
      <c r="W86" s="203"/>
      <c r="X86" s="203"/>
      <c r="Y86" s="203"/>
      <c r="Z86" s="206"/>
      <c r="AA86" s="125" t="str">
        <f t="shared" si="14"/>
        <v/>
      </c>
      <c r="AB86" t="str">
        <f t="array" ref="AB86">IF(OR(AA86 &lt;&gt;"", I86&lt;&gt;"",L86&lt;&gt;"",P86&lt;&gt;"",T86&lt;&gt;""), AND(EXACT(AC86:AG86,AC86)),"")</f>
        <v/>
      </c>
      <c r="AC86" s="192" t="str">
        <f t="shared" si="15"/>
        <v/>
      </c>
      <c r="AD86" s="192" t="str">
        <f t="shared" si="16"/>
        <v/>
      </c>
      <c r="AE86" s="192" t="str">
        <f t="shared" si="17"/>
        <v/>
      </c>
      <c r="AF86" s="192" t="str">
        <f t="shared" si="18"/>
        <v/>
      </c>
      <c r="AG86" s="192" t="str">
        <f t="shared" si="19"/>
        <v/>
      </c>
    </row>
    <row r="87" spans="1:33" x14ac:dyDescent="0.35">
      <c r="A87" s="203"/>
      <c r="B87" s="203"/>
      <c r="C87" s="203"/>
      <c r="D87" s="203"/>
      <c r="E87" s="203"/>
      <c r="F87" s="203"/>
      <c r="G87" s="203"/>
      <c r="H87" s="205"/>
      <c r="I87" s="204" t="str">
        <f t="shared" si="10"/>
        <v/>
      </c>
      <c r="J87" s="203"/>
      <c r="K87" s="206"/>
      <c r="L87" s="204" t="str">
        <f t="shared" si="11"/>
        <v/>
      </c>
      <c r="M87" s="203"/>
      <c r="N87" s="203"/>
      <c r="O87" s="206"/>
      <c r="P87" s="204" t="str">
        <f t="shared" si="12"/>
        <v/>
      </c>
      <c r="Q87" s="203"/>
      <c r="R87" s="203"/>
      <c r="S87" s="206"/>
      <c r="T87" s="204" t="str">
        <f t="shared" si="13"/>
        <v/>
      </c>
      <c r="U87" s="203"/>
      <c r="V87" s="203"/>
      <c r="W87" s="203"/>
      <c r="X87" s="203"/>
      <c r="Y87" s="203"/>
      <c r="Z87" s="206"/>
      <c r="AA87" s="125" t="str">
        <f t="shared" si="14"/>
        <v/>
      </c>
      <c r="AB87" t="str">
        <f t="array" ref="AB87">IF(OR(AA87 &lt;&gt;"", I87&lt;&gt;"",L87&lt;&gt;"",P87&lt;&gt;"",T87&lt;&gt;""), AND(EXACT(AC87:AG87,AC87)),"")</f>
        <v/>
      </c>
      <c r="AC87" s="192" t="str">
        <f t="shared" si="15"/>
        <v/>
      </c>
      <c r="AD87" s="192" t="str">
        <f t="shared" si="16"/>
        <v/>
      </c>
      <c r="AE87" s="192" t="str">
        <f t="shared" si="17"/>
        <v/>
      </c>
      <c r="AF87" s="192" t="str">
        <f t="shared" si="18"/>
        <v/>
      </c>
      <c r="AG87" s="192" t="str">
        <f t="shared" si="19"/>
        <v/>
      </c>
    </row>
    <row r="88" spans="1:33" x14ac:dyDescent="0.35">
      <c r="A88" s="203"/>
      <c r="B88" s="203"/>
      <c r="C88" s="203"/>
      <c r="D88" s="203"/>
      <c r="E88" s="203"/>
      <c r="F88" s="203"/>
      <c r="G88" s="203"/>
      <c r="H88" s="205"/>
      <c r="I88" s="204" t="str">
        <f t="shared" si="10"/>
        <v/>
      </c>
      <c r="J88" s="203"/>
      <c r="K88" s="206"/>
      <c r="L88" s="204" t="str">
        <f t="shared" si="11"/>
        <v/>
      </c>
      <c r="M88" s="203"/>
      <c r="N88" s="203"/>
      <c r="O88" s="206"/>
      <c r="P88" s="204" t="str">
        <f t="shared" si="12"/>
        <v/>
      </c>
      <c r="Q88" s="203"/>
      <c r="R88" s="203"/>
      <c r="S88" s="206"/>
      <c r="T88" s="204" t="str">
        <f t="shared" si="13"/>
        <v/>
      </c>
      <c r="U88" s="203"/>
      <c r="V88" s="203"/>
      <c r="W88" s="203"/>
      <c r="X88" s="203"/>
      <c r="Y88" s="203"/>
      <c r="Z88" s="206"/>
      <c r="AA88" s="125" t="str">
        <f t="shared" si="14"/>
        <v/>
      </c>
      <c r="AB88" t="str">
        <f t="array" ref="AB88">IF(OR(AA88 &lt;&gt;"", I88&lt;&gt;"",L88&lt;&gt;"",P88&lt;&gt;"",T88&lt;&gt;""), AND(EXACT(AC88:AG88,AC88)),"")</f>
        <v/>
      </c>
      <c r="AC88" s="192" t="str">
        <f t="shared" si="15"/>
        <v/>
      </c>
      <c r="AD88" s="192" t="str">
        <f t="shared" si="16"/>
        <v/>
      </c>
      <c r="AE88" s="192" t="str">
        <f t="shared" si="17"/>
        <v/>
      </c>
      <c r="AF88" s="192" t="str">
        <f t="shared" si="18"/>
        <v/>
      </c>
      <c r="AG88" s="192" t="str">
        <f t="shared" si="19"/>
        <v/>
      </c>
    </row>
    <row r="89" spans="1:33" x14ac:dyDescent="0.35">
      <c r="A89" s="203"/>
      <c r="B89" s="203"/>
      <c r="C89" s="203"/>
      <c r="D89" s="203"/>
      <c r="E89" s="203"/>
      <c r="F89" s="203"/>
      <c r="G89" s="203"/>
      <c r="H89" s="205"/>
      <c r="I89" s="204" t="str">
        <f t="shared" si="10"/>
        <v/>
      </c>
      <c r="J89" s="203"/>
      <c r="K89" s="206"/>
      <c r="L89" s="204" t="str">
        <f t="shared" si="11"/>
        <v/>
      </c>
      <c r="M89" s="203"/>
      <c r="N89" s="203"/>
      <c r="O89" s="206"/>
      <c r="P89" s="204" t="str">
        <f t="shared" si="12"/>
        <v/>
      </c>
      <c r="Q89" s="203"/>
      <c r="R89" s="203"/>
      <c r="S89" s="206"/>
      <c r="T89" s="204" t="str">
        <f t="shared" si="13"/>
        <v/>
      </c>
      <c r="U89" s="203"/>
      <c r="V89" s="203"/>
      <c r="W89" s="203"/>
      <c r="X89" s="203"/>
      <c r="Y89" s="203"/>
      <c r="Z89" s="206"/>
      <c r="AA89" s="125" t="str">
        <f t="shared" si="14"/>
        <v/>
      </c>
      <c r="AB89" t="str">
        <f t="array" ref="AB89">IF(OR(AA89 &lt;&gt;"", I89&lt;&gt;"",L89&lt;&gt;"",P89&lt;&gt;"",T89&lt;&gt;""), AND(EXACT(AC89:AG89,AC89)),"")</f>
        <v/>
      </c>
      <c r="AC89" s="192" t="str">
        <f t="shared" si="15"/>
        <v/>
      </c>
      <c r="AD89" s="192" t="str">
        <f t="shared" si="16"/>
        <v/>
      </c>
      <c r="AE89" s="192" t="str">
        <f t="shared" si="17"/>
        <v/>
      </c>
      <c r="AF89" s="192" t="str">
        <f t="shared" si="18"/>
        <v/>
      </c>
      <c r="AG89" s="192" t="str">
        <f t="shared" si="19"/>
        <v/>
      </c>
    </row>
    <row r="90" spans="1:33" x14ac:dyDescent="0.35">
      <c r="A90" s="203"/>
      <c r="B90" s="203"/>
      <c r="C90" s="203"/>
      <c r="D90" s="203"/>
      <c r="E90" s="203"/>
      <c r="F90" s="203"/>
      <c r="G90" s="203"/>
      <c r="H90" s="205"/>
      <c r="I90" s="204" t="str">
        <f t="shared" si="10"/>
        <v/>
      </c>
      <c r="J90" s="203"/>
      <c r="K90" s="206"/>
      <c r="L90" s="204" t="str">
        <f t="shared" si="11"/>
        <v/>
      </c>
      <c r="M90" s="203"/>
      <c r="N90" s="203"/>
      <c r="O90" s="206"/>
      <c r="P90" s="204" t="str">
        <f t="shared" si="12"/>
        <v/>
      </c>
      <c r="Q90" s="203"/>
      <c r="R90" s="203"/>
      <c r="S90" s="206"/>
      <c r="T90" s="204" t="str">
        <f t="shared" si="13"/>
        <v/>
      </c>
      <c r="U90" s="203"/>
      <c r="V90" s="203"/>
      <c r="W90" s="203"/>
      <c r="X90" s="203"/>
      <c r="Y90" s="203"/>
      <c r="Z90" s="206"/>
      <c r="AA90" s="125" t="str">
        <f t="shared" si="14"/>
        <v/>
      </c>
      <c r="AB90" t="str">
        <f t="array" ref="AB90">IF(OR(AA90 &lt;&gt;"", I90&lt;&gt;"",L90&lt;&gt;"",P90&lt;&gt;"",T90&lt;&gt;""), AND(EXACT(AC90:AG90,AC90)),"")</f>
        <v/>
      </c>
      <c r="AC90" s="192" t="str">
        <f t="shared" si="15"/>
        <v/>
      </c>
      <c r="AD90" s="192" t="str">
        <f t="shared" si="16"/>
        <v/>
      </c>
      <c r="AE90" s="192" t="str">
        <f t="shared" si="17"/>
        <v/>
      </c>
      <c r="AF90" s="192" t="str">
        <f t="shared" si="18"/>
        <v/>
      </c>
      <c r="AG90" s="192" t="str">
        <f t="shared" si="19"/>
        <v/>
      </c>
    </row>
    <row r="91" spans="1:33" x14ac:dyDescent="0.35">
      <c r="A91" s="203"/>
      <c r="B91" s="203"/>
      <c r="C91" s="203"/>
      <c r="D91" s="203"/>
      <c r="E91" s="203"/>
      <c r="F91" s="203"/>
      <c r="G91" s="203"/>
      <c r="H91" s="205"/>
      <c r="I91" s="204" t="str">
        <f t="shared" si="10"/>
        <v/>
      </c>
      <c r="J91" s="203"/>
      <c r="K91" s="206"/>
      <c r="L91" s="204" t="str">
        <f t="shared" si="11"/>
        <v/>
      </c>
      <c r="M91" s="203"/>
      <c r="N91" s="203"/>
      <c r="O91" s="206"/>
      <c r="P91" s="204" t="str">
        <f t="shared" si="12"/>
        <v/>
      </c>
      <c r="Q91" s="203"/>
      <c r="R91" s="203"/>
      <c r="S91" s="206"/>
      <c r="T91" s="204" t="str">
        <f t="shared" si="13"/>
        <v/>
      </c>
      <c r="U91" s="203"/>
      <c r="V91" s="203"/>
      <c r="W91" s="203"/>
      <c r="X91" s="203"/>
      <c r="Y91" s="203"/>
      <c r="Z91" s="206"/>
      <c r="AA91" s="125" t="str">
        <f t="shared" si="14"/>
        <v/>
      </c>
      <c r="AB91" t="str">
        <f t="array" ref="AB91">IF(OR(AA91 &lt;&gt;"", I91&lt;&gt;"",L91&lt;&gt;"",P91&lt;&gt;"",T91&lt;&gt;""), AND(EXACT(AC91:AG91,AC91)),"")</f>
        <v/>
      </c>
      <c r="AC91" s="192" t="str">
        <f t="shared" si="15"/>
        <v/>
      </c>
      <c r="AD91" s="192" t="str">
        <f t="shared" si="16"/>
        <v/>
      </c>
      <c r="AE91" s="192" t="str">
        <f t="shared" si="17"/>
        <v/>
      </c>
      <c r="AF91" s="192" t="str">
        <f t="shared" si="18"/>
        <v/>
      </c>
      <c r="AG91" s="192" t="str">
        <f t="shared" si="19"/>
        <v/>
      </c>
    </row>
    <row r="92" spans="1:33" x14ac:dyDescent="0.35">
      <c r="A92" s="203"/>
      <c r="B92" s="203"/>
      <c r="C92" s="203"/>
      <c r="D92" s="203"/>
      <c r="E92" s="203"/>
      <c r="F92" s="203"/>
      <c r="G92" s="203"/>
      <c r="H92" s="205"/>
      <c r="I92" s="204" t="str">
        <f t="shared" si="10"/>
        <v/>
      </c>
      <c r="J92" s="203"/>
      <c r="K92" s="206"/>
      <c r="L92" s="204" t="str">
        <f t="shared" si="11"/>
        <v/>
      </c>
      <c r="M92" s="203"/>
      <c r="N92" s="203"/>
      <c r="O92" s="206"/>
      <c r="P92" s="204" t="str">
        <f t="shared" si="12"/>
        <v/>
      </c>
      <c r="Q92" s="203"/>
      <c r="R92" s="203"/>
      <c r="S92" s="206"/>
      <c r="T92" s="204" t="str">
        <f t="shared" si="13"/>
        <v/>
      </c>
      <c r="U92" s="203"/>
      <c r="V92" s="203"/>
      <c r="W92" s="203"/>
      <c r="X92" s="203"/>
      <c r="Y92" s="203"/>
      <c r="Z92" s="206"/>
      <c r="AA92" s="125" t="str">
        <f t="shared" si="14"/>
        <v/>
      </c>
      <c r="AB92" t="str">
        <f t="array" ref="AB92">IF(OR(AA92 &lt;&gt;"", I92&lt;&gt;"",L92&lt;&gt;"",P92&lt;&gt;"",T92&lt;&gt;""), AND(EXACT(AC92:AG92,AC92)),"")</f>
        <v/>
      </c>
      <c r="AC92" s="192" t="str">
        <f t="shared" si="15"/>
        <v/>
      </c>
      <c r="AD92" s="192" t="str">
        <f t="shared" si="16"/>
        <v/>
      </c>
      <c r="AE92" s="192" t="str">
        <f t="shared" si="17"/>
        <v/>
      </c>
      <c r="AF92" s="192" t="str">
        <f t="shared" si="18"/>
        <v/>
      </c>
      <c r="AG92" s="192" t="str">
        <f t="shared" si="19"/>
        <v/>
      </c>
    </row>
    <row r="93" spans="1:33" x14ac:dyDescent="0.35">
      <c r="A93" s="203"/>
      <c r="B93" s="203"/>
      <c r="C93" s="203"/>
      <c r="D93" s="203"/>
      <c r="E93" s="203"/>
      <c r="F93" s="203"/>
      <c r="G93" s="203"/>
      <c r="H93" s="205"/>
      <c r="I93" s="204" t="str">
        <f t="shared" si="10"/>
        <v/>
      </c>
      <c r="J93" s="203"/>
      <c r="K93" s="206"/>
      <c r="L93" s="204" t="str">
        <f t="shared" si="11"/>
        <v/>
      </c>
      <c r="M93" s="203"/>
      <c r="N93" s="203"/>
      <c r="O93" s="206"/>
      <c r="P93" s="204" t="str">
        <f t="shared" si="12"/>
        <v/>
      </c>
      <c r="Q93" s="203"/>
      <c r="R93" s="203"/>
      <c r="S93" s="206"/>
      <c r="T93" s="204" t="str">
        <f t="shared" si="13"/>
        <v/>
      </c>
      <c r="U93" s="203"/>
      <c r="V93" s="203"/>
      <c r="W93" s="203"/>
      <c r="X93" s="203"/>
      <c r="Y93" s="203"/>
      <c r="Z93" s="206"/>
      <c r="AA93" s="125" t="str">
        <f t="shared" si="14"/>
        <v/>
      </c>
      <c r="AB93" t="str">
        <f t="array" ref="AB93">IF(OR(AA93 &lt;&gt;"", I93&lt;&gt;"",L93&lt;&gt;"",P93&lt;&gt;"",T93&lt;&gt;""), AND(EXACT(AC93:AG93,AC93)),"")</f>
        <v/>
      </c>
      <c r="AC93" s="192" t="str">
        <f t="shared" si="15"/>
        <v/>
      </c>
      <c r="AD93" s="192" t="str">
        <f t="shared" si="16"/>
        <v/>
      </c>
      <c r="AE93" s="192" t="str">
        <f t="shared" si="17"/>
        <v/>
      </c>
      <c r="AF93" s="192" t="str">
        <f t="shared" si="18"/>
        <v/>
      </c>
      <c r="AG93" s="192" t="str">
        <f t="shared" si="19"/>
        <v/>
      </c>
    </row>
    <row r="94" spans="1:33" x14ac:dyDescent="0.35">
      <c r="A94" s="203"/>
      <c r="B94" s="203"/>
      <c r="C94" s="203"/>
      <c r="D94" s="203"/>
      <c r="E94" s="203"/>
      <c r="F94" s="203"/>
      <c r="G94" s="203"/>
      <c r="H94" s="205"/>
      <c r="I94" s="204" t="str">
        <f t="shared" si="10"/>
        <v/>
      </c>
      <c r="J94" s="203"/>
      <c r="K94" s="206"/>
      <c r="L94" s="204" t="str">
        <f t="shared" si="11"/>
        <v/>
      </c>
      <c r="M94" s="203"/>
      <c r="N94" s="203"/>
      <c r="O94" s="206"/>
      <c r="P94" s="204" t="str">
        <f t="shared" si="12"/>
        <v/>
      </c>
      <c r="Q94" s="203"/>
      <c r="R94" s="203"/>
      <c r="S94" s="206"/>
      <c r="T94" s="204" t="str">
        <f t="shared" si="13"/>
        <v/>
      </c>
      <c r="U94" s="203"/>
      <c r="V94" s="203"/>
      <c r="W94" s="203"/>
      <c r="X94" s="203"/>
      <c r="Y94" s="203"/>
      <c r="Z94" s="206"/>
      <c r="AA94" s="125" t="str">
        <f t="shared" si="14"/>
        <v/>
      </c>
      <c r="AB94" t="str">
        <f t="array" ref="AB94">IF(OR(AA94 &lt;&gt;"", I94&lt;&gt;"",L94&lt;&gt;"",P94&lt;&gt;"",T94&lt;&gt;""), AND(EXACT(AC94:AG94,AC94)),"")</f>
        <v/>
      </c>
      <c r="AC94" s="192" t="str">
        <f t="shared" si="15"/>
        <v/>
      </c>
      <c r="AD94" s="192" t="str">
        <f t="shared" si="16"/>
        <v/>
      </c>
      <c r="AE94" s="192" t="str">
        <f t="shared" si="17"/>
        <v/>
      </c>
      <c r="AF94" s="192" t="str">
        <f t="shared" si="18"/>
        <v/>
      </c>
      <c r="AG94" s="192" t="str">
        <f t="shared" si="19"/>
        <v/>
      </c>
    </row>
    <row r="95" spans="1:33" x14ac:dyDescent="0.35">
      <c r="A95" s="203"/>
      <c r="B95" s="203"/>
      <c r="C95" s="203"/>
      <c r="D95" s="203"/>
      <c r="E95" s="203"/>
      <c r="F95" s="203"/>
      <c r="G95" s="203"/>
      <c r="H95" s="205"/>
      <c r="I95" s="204" t="str">
        <f t="shared" si="10"/>
        <v/>
      </c>
      <c r="J95" s="203"/>
      <c r="K95" s="206"/>
      <c r="L95" s="204" t="str">
        <f t="shared" si="11"/>
        <v/>
      </c>
      <c r="M95" s="203"/>
      <c r="N95" s="203"/>
      <c r="O95" s="206"/>
      <c r="P95" s="204" t="str">
        <f t="shared" si="12"/>
        <v/>
      </c>
      <c r="Q95" s="203"/>
      <c r="R95" s="203"/>
      <c r="S95" s="206"/>
      <c r="T95" s="204" t="str">
        <f t="shared" si="13"/>
        <v/>
      </c>
      <c r="U95" s="203"/>
      <c r="V95" s="203"/>
      <c r="W95" s="203"/>
      <c r="X95" s="203"/>
      <c r="Y95" s="203"/>
      <c r="Z95" s="206"/>
      <c r="AA95" s="125" t="str">
        <f t="shared" si="14"/>
        <v/>
      </c>
      <c r="AB95" t="str">
        <f t="array" ref="AB95">IF(OR(AA95 &lt;&gt;"", I95&lt;&gt;"",L95&lt;&gt;"",P95&lt;&gt;"",T95&lt;&gt;""), AND(EXACT(AC95:AG95,AC95)),"")</f>
        <v/>
      </c>
      <c r="AC95" s="192" t="str">
        <f t="shared" si="15"/>
        <v/>
      </c>
      <c r="AD95" s="192" t="str">
        <f t="shared" si="16"/>
        <v/>
      </c>
      <c r="AE95" s="192" t="str">
        <f t="shared" si="17"/>
        <v/>
      </c>
      <c r="AF95" s="192" t="str">
        <f t="shared" si="18"/>
        <v/>
      </c>
      <c r="AG95" s="192" t="str">
        <f t="shared" si="19"/>
        <v/>
      </c>
    </row>
    <row r="96" spans="1:33" x14ac:dyDescent="0.35">
      <c r="A96" s="203"/>
      <c r="B96" s="203"/>
      <c r="C96" s="203"/>
      <c r="D96" s="203"/>
      <c r="E96" s="203"/>
      <c r="F96" s="203"/>
      <c r="G96" s="203"/>
      <c r="H96" s="205"/>
      <c r="I96" s="204" t="str">
        <f t="shared" si="10"/>
        <v/>
      </c>
      <c r="J96" s="203"/>
      <c r="K96" s="206"/>
      <c r="L96" s="204" t="str">
        <f t="shared" si="11"/>
        <v/>
      </c>
      <c r="M96" s="203"/>
      <c r="N96" s="203"/>
      <c r="O96" s="206"/>
      <c r="P96" s="204" t="str">
        <f t="shared" si="12"/>
        <v/>
      </c>
      <c r="Q96" s="203"/>
      <c r="R96" s="203"/>
      <c r="S96" s="206"/>
      <c r="T96" s="204" t="str">
        <f t="shared" si="13"/>
        <v/>
      </c>
      <c r="U96" s="203"/>
      <c r="V96" s="203"/>
      <c r="W96" s="203"/>
      <c r="X96" s="203"/>
      <c r="Y96" s="203"/>
      <c r="Z96" s="206"/>
      <c r="AA96" s="125" t="str">
        <f t="shared" si="14"/>
        <v/>
      </c>
      <c r="AB96" t="str">
        <f t="array" ref="AB96">IF(OR(AA96 &lt;&gt;"", I96&lt;&gt;"",L96&lt;&gt;"",P96&lt;&gt;"",T96&lt;&gt;""), AND(EXACT(AC96:AG96,AC96)),"")</f>
        <v/>
      </c>
      <c r="AC96" s="192" t="str">
        <f t="shared" si="15"/>
        <v/>
      </c>
      <c r="AD96" s="192" t="str">
        <f t="shared" si="16"/>
        <v/>
      </c>
      <c r="AE96" s="192" t="str">
        <f t="shared" si="17"/>
        <v/>
      </c>
      <c r="AF96" s="192" t="str">
        <f t="shared" si="18"/>
        <v/>
      </c>
      <c r="AG96" s="192" t="str">
        <f t="shared" si="19"/>
        <v/>
      </c>
    </row>
    <row r="97" spans="1:33" x14ac:dyDescent="0.35">
      <c r="A97" s="203"/>
      <c r="B97" s="203"/>
      <c r="C97" s="203"/>
      <c r="D97" s="203"/>
      <c r="E97" s="203"/>
      <c r="F97" s="203"/>
      <c r="G97" s="203"/>
      <c r="H97" s="205"/>
      <c r="I97" s="204" t="str">
        <f t="shared" si="10"/>
        <v/>
      </c>
      <c r="J97" s="203"/>
      <c r="K97" s="206"/>
      <c r="L97" s="204" t="str">
        <f t="shared" si="11"/>
        <v/>
      </c>
      <c r="M97" s="203"/>
      <c r="N97" s="203"/>
      <c r="O97" s="206"/>
      <c r="P97" s="204" t="str">
        <f t="shared" si="12"/>
        <v/>
      </c>
      <c r="Q97" s="203"/>
      <c r="R97" s="203"/>
      <c r="S97" s="206"/>
      <c r="T97" s="204" t="str">
        <f t="shared" si="13"/>
        <v/>
      </c>
      <c r="U97" s="203"/>
      <c r="V97" s="203"/>
      <c r="W97" s="203"/>
      <c r="X97" s="203"/>
      <c r="Y97" s="203"/>
      <c r="Z97" s="206"/>
      <c r="AA97" s="125" t="str">
        <f t="shared" si="14"/>
        <v/>
      </c>
      <c r="AB97" t="str">
        <f t="array" ref="AB97">IF(OR(AA97 &lt;&gt;"", I97&lt;&gt;"",L97&lt;&gt;"",P97&lt;&gt;"",T97&lt;&gt;""), AND(EXACT(AC97:AG97,AC97)),"")</f>
        <v/>
      </c>
      <c r="AC97" s="192" t="str">
        <f t="shared" si="15"/>
        <v/>
      </c>
      <c r="AD97" s="192" t="str">
        <f t="shared" si="16"/>
        <v/>
      </c>
      <c r="AE97" s="192" t="str">
        <f t="shared" si="17"/>
        <v/>
      </c>
      <c r="AF97" s="192" t="str">
        <f t="shared" si="18"/>
        <v/>
      </c>
      <c r="AG97" s="192" t="str">
        <f t="shared" si="19"/>
        <v/>
      </c>
    </row>
    <row r="98" spans="1:33" x14ac:dyDescent="0.35">
      <c r="A98" s="203"/>
      <c r="B98" s="203"/>
      <c r="C98" s="203"/>
      <c r="D98" s="203"/>
      <c r="E98" s="203"/>
      <c r="F98" s="203"/>
      <c r="G98" s="203"/>
      <c r="H98" s="205"/>
      <c r="I98" s="204" t="str">
        <f t="shared" si="10"/>
        <v/>
      </c>
      <c r="J98" s="203"/>
      <c r="K98" s="206"/>
      <c r="L98" s="204" t="str">
        <f t="shared" si="11"/>
        <v/>
      </c>
      <c r="M98" s="203"/>
      <c r="N98" s="203"/>
      <c r="O98" s="206"/>
      <c r="P98" s="204" t="str">
        <f t="shared" si="12"/>
        <v/>
      </c>
      <c r="Q98" s="203"/>
      <c r="R98" s="203"/>
      <c r="S98" s="206"/>
      <c r="T98" s="204" t="str">
        <f t="shared" si="13"/>
        <v/>
      </c>
      <c r="U98" s="203"/>
      <c r="V98" s="203"/>
      <c r="W98" s="203"/>
      <c r="X98" s="203"/>
      <c r="Y98" s="203"/>
      <c r="Z98" s="206"/>
      <c r="AA98" s="125" t="str">
        <f t="shared" si="14"/>
        <v/>
      </c>
      <c r="AB98" t="str">
        <f t="array" ref="AB98">IF(OR(AA98 &lt;&gt;"", I98&lt;&gt;"",L98&lt;&gt;"",P98&lt;&gt;"",T98&lt;&gt;""), AND(EXACT(AC98:AG98,AC98)),"")</f>
        <v/>
      </c>
      <c r="AC98" s="192" t="str">
        <f t="shared" si="15"/>
        <v/>
      </c>
      <c r="AD98" s="192" t="str">
        <f t="shared" si="16"/>
        <v/>
      </c>
      <c r="AE98" s="192" t="str">
        <f t="shared" si="17"/>
        <v/>
      </c>
      <c r="AF98" s="192" t="str">
        <f t="shared" si="18"/>
        <v/>
      </c>
      <c r="AG98" s="192" t="str">
        <f t="shared" si="19"/>
        <v/>
      </c>
    </row>
    <row r="99" spans="1:33" x14ac:dyDescent="0.35">
      <c r="A99" s="203"/>
      <c r="B99" s="203"/>
      <c r="C99" s="203"/>
      <c r="D99" s="203"/>
      <c r="E99" s="203"/>
      <c r="F99" s="203"/>
      <c r="G99" s="203"/>
      <c r="H99" s="205"/>
      <c r="I99" s="204" t="str">
        <f t="shared" si="10"/>
        <v/>
      </c>
      <c r="J99" s="203"/>
      <c r="K99" s="206"/>
      <c r="L99" s="204" t="str">
        <f t="shared" si="11"/>
        <v/>
      </c>
      <c r="M99" s="203"/>
      <c r="N99" s="203"/>
      <c r="O99" s="206"/>
      <c r="P99" s="204" t="str">
        <f t="shared" si="12"/>
        <v/>
      </c>
      <c r="Q99" s="203"/>
      <c r="R99" s="203"/>
      <c r="S99" s="206"/>
      <c r="T99" s="204" t="str">
        <f t="shared" si="13"/>
        <v/>
      </c>
      <c r="U99" s="203"/>
      <c r="V99" s="203"/>
      <c r="W99" s="203"/>
      <c r="X99" s="203"/>
      <c r="Y99" s="203"/>
      <c r="Z99" s="206"/>
      <c r="AA99" s="125" t="str">
        <f t="shared" si="14"/>
        <v/>
      </c>
      <c r="AB99" t="str">
        <f t="array" ref="AB99">IF(OR(AA99 &lt;&gt;"", I99&lt;&gt;"",L99&lt;&gt;"",P99&lt;&gt;"",T99&lt;&gt;""), AND(EXACT(AC99:AG99,AC99)),"")</f>
        <v/>
      </c>
      <c r="AC99" s="192" t="str">
        <f t="shared" si="15"/>
        <v/>
      </c>
      <c r="AD99" s="192" t="str">
        <f t="shared" si="16"/>
        <v/>
      </c>
      <c r="AE99" s="192" t="str">
        <f t="shared" si="17"/>
        <v/>
      </c>
      <c r="AF99" s="192" t="str">
        <f t="shared" si="18"/>
        <v/>
      </c>
      <c r="AG99" s="192" t="str">
        <f t="shared" si="19"/>
        <v/>
      </c>
    </row>
    <row r="100" spans="1:33" x14ac:dyDescent="0.35">
      <c r="A100" s="203"/>
      <c r="B100" s="203"/>
      <c r="C100" s="203"/>
      <c r="D100" s="203"/>
      <c r="E100" s="203"/>
      <c r="F100" s="203"/>
      <c r="G100" s="203"/>
      <c r="H100" s="205"/>
      <c r="I100" s="204" t="str">
        <f t="shared" si="10"/>
        <v/>
      </c>
      <c r="J100" s="203"/>
      <c r="K100" s="206"/>
      <c r="L100" s="204" t="str">
        <f t="shared" si="11"/>
        <v/>
      </c>
      <c r="M100" s="203"/>
      <c r="N100" s="203"/>
      <c r="O100" s="206"/>
      <c r="P100" s="204" t="str">
        <f t="shared" si="12"/>
        <v/>
      </c>
      <c r="Q100" s="203"/>
      <c r="R100" s="203"/>
      <c r="S100" s="206"/>
      <c r="T100" s="204" t="str">
        <f t="shared" si="13"/>
        <v/>
      </c>
      <c r="U100" s="203"/>
      <c r="V100" s="203"/>
      <c r="W100" s="203"/>
      <c r="X100" s="203"/>
      <c r="Y100" s="203"/>
      <c r="Z100" s="206"/>
      <c r="AA100" s="125" t="str">
        <f t="shared" si="14"/>
        <v/>
      </c>
      <c r="AB100" t="str">
        <f t="array" ref="AB100">IF(OR(AA100 &lt;&gt;"", I100&lt;&gt;"",L100&lt;&gt;"",P100&lt;&gt;"",T100&lt;&gt;""), AND(EXACT(AC100:AG100,AC100)),"")</f>
        <v/>
      </c>
      <c r="AC100" s="192" t="str">
        <f t="shared" si="15"/>
        <v/>
      </c>
      <c r="AD100" s="192" t="str">
        <f t="shared" si="16"/>
        <v/>
      </c>
      <c r="AE100" s="192" t="str">
        <f t="shared" si="17"/>
        <v/>
      </c>
      <c r="AF100" s="192" t="str">
        <f t="shared" si="18"/>
        <v/>
      </c>
      <c r="AG100" s="192" t="str">
        <f t="shared" si="19"/>
        <v/>
      </c>
    </row>
    <row r="101" spans="1:33" x14ac:dyDescent="0.35">
      <c r="A101" s="203"/>
      <c r="B101" s="203"/>
      <c r="C101" s="203"/>
      <c r="D101" s="203"/>
      <c r="E101" s="203"/>
      <c r="F101" s="203"/>
      <c r="G101" s="203"/>
      <c r="H101" s="205"/>
      <c r="I101" s="204" t="str">
        <f t="shared" si="10"/>
        <v/>
      </c>
      <c r="J101" s="203"/>
      <c r="K101" s="206"/>
      <c r="L101" s="204" t="str">
        <f t="shared" si="11"/>
        <v/>
      </c>
      <c r="M101" s="203"/>
      <c r="N101" s="203"/>
      <c r="O101" s="206"/>
      <c r="P101" s="204" t="str">
        <f t="shared" si="12"/>
        <v/>
      </c>
      <c r="Q101" s="203"/>
      <c r="R101" s="203"/>
      <c r="S101" s="206"/>
      <c r="T101" s="204" t="str">
        <f t="shared" si="13"/>
        <v/>
      </c>
      <c r="U101" s="203"/>
      <c r="V101" s="203"/>
      <c r="W101" s="203"/>
      <c r="X101" s="203"/>
      <c r="Y101" s="203"/>
      <c r="Z101" s="206"/>
      <c r="AA101" s="125" t="str">
        <f t="shared" si="14"/>
        <v/>
      </c>
      <c r="AB101" t="str">
        <f t="array" ref="AB101">IF(OR(AA101 &lt;&gt;"", I101&lt;&gt;"",L101&lt;&gt;"",P101&lt;&gt;"",T101&lt;&gt;""), AND(EXACT(AC101:AG101,AC101)),"")</f>
        <v/>
      </c>
      <c r="AC101" s="192" t="str">
        <f t="shared" si="15"/>
        <v/>
      </c>
      <c r="AD101" s="192" t="str">
        <f t="shared" si="16"/>
        <v/>
      </c>
      <c r="AE101" s="192" t="str">
        <f t="shared" si="17"/>
        <v/>
      </c>
      <c r="AF101" s="192" t="str">
        <f t="shared" si="18"/>
        <v/>
      </c>
      <c r="AG101" s="192" t="str">
        <f t="shared" si="19"/>
        <v/>
      </c>
    </row>
    <row r="102" spans="1:33" x14ac:dyDescent="0.35">
      <c r="A102" s="203"/>
      <c r="B102" s="203"/>
      <c r="C102" s="203"/>
      <c r="D102" s="203"/>
      <c r="E102" s="203"/>
      <c r="F102" s="203"/>
      <c r="G102" s="203"/>
      <c r="H102" s="205"/>
      <c r="I102" s="204" t="str">
        <f t="shared" si="10"/>
        <v/>
      </c>
      <c r="J102" s="203"/>
      <c r="K102" s="206"/>
      <c r="L102" s="204" t="str">
        <f t="shared" si="11"/>
        <v/>
      </c>
      <c r="M102" s="203"/>
      <c r="N102" s="203"/>
      <c r="O102" s="206"/>
      <c r="P102" s="204" t="str">
        <f t="shared" si="12"/>
        <v/>
      </c>
      <c r="Q102" s="203"/>
      <c r="R102" s="203"/>
      <c r="S102" s="206"/>
      <c r="T102" s="204" t="str">
        <f t="shared" si="13"/>
        <v/>
      </c>
      <c r="U102" s="203"/>
      <c r="V102" s="203"/>
      <c r="W102" s="203"/>
      <c r="X102" s="203"/>
      <c r="Y102" s="203"/>
      <c r="Z102" s="206"/>
      <c r="AA102" s="125" t="str">
        <f t="shared" si="14"/>
        <v/>
      </c>
      <c r="AB102" t="str">
        <f t="array" ref="AB102">IF(OR(AA102 &lt;&gt;"", I102&lt;&gt;"",L102&lt;&gt;"",P102&lt;&gt;"",T102&lt;&gt;""), AND(EXACT(AC102:AG102,AC102)),"")</f>
        <v/>
      </c>
      <c r="AC102" s="192" t="str">
        <f t="shared" si="15"/>
        <v/>
      </c>
      <c r="AD102" s="192" t="str">
        <f t="shared" si="16"/>
        <v/>
      </c>
      <c r="AE102" s="192" t="str">
        <f t="shared" si="17"/>
        <v/>
      </c>
      <c r="AF102" s="192" t="str">
        <f t="shared" si="18"/>
        <v/>
      </c>
      <c r="AG102" s="192" t="str">
        <f t="shared" si="19"/>
        <v/>
      </c>
    </row>
    <row r="103" spans="1:33" x14ac:dyDescent="0.35">
      <c r="A103" s="203"/>
      <c r="B103" s="203"/>
      <c r="C103" s="203"/>
      <c r="D103" s="203"/>
      <c r="E103" s="203"/>
      <c r="F103" s="203"/>
      <c r="G103" s="203"/>
      <c r="H103" s="205"/>
      <c r="I103" s="204" t="str">
        <f t="shared" si="10"/>
        <v/>
      </c>
      <c r="J103" s="203"/>
      <c r="K103" s="206"/>
      <c r="L103" s="204" t="str">
        <f t="shared" si="11"/>
        <v/>
      </c>
      <c r="M103" s="203"/>
      <c r="N103" s="203"/>
      <c r="O103" s="206"/>
      <c r="P103" s="204" t="str">
        <f t="shared" si="12"/>
        <v/>
      </c>
      <c r="Q103" s="203"/>
      <c r="R103" s="203"/>
      <c r="S103" s="206"/>
      <c r="T103" s="204" t="str">
        <f t="shared" si="13"/>
        <v/>
      </c>
      <c r="U103" s="203"/>
      <c r="V103" s="203"/>
      <c r="W103" s="203"/>
      <c r="X103" s="203"/>
      <c r="Y103" s="203"/>
      <c r="Z103" s="206"/>
      <c r="AA103" s="125" t="str">
        <f t="shared" si="14"/>
        <v/>
      </c>
      <c r="AB103" t="str">
        <f t="array" ref="AB103">IF(OR(AA103 &lt;&gt;"", I103&lt;&gt;"",L103&lt;&gt;"",P103&lt;&gt;"",T103&lt;&gt;""), AND(EXACT(AC103:AG103,AC103)),"")</f>
        <v/>
      </c>
      <c r="AC103" s="192" t="str">
        <f t="shared" si="15"/>
        <v/>
      </c>
      <c r="AD103" s="192" t="str">
        <f t="shared" si="16"/>
        <v/>
      </c>
      <c r="AE103" s="192" t="str">
        <f t="shared" si="17"/>
        <v/>
      </c>
      <c r="AF103" s="192" t="str">
        <f t="shared" si="18"/>
        <v/>
      </c>
      <c r="AG103" s="192" t="str">
        <f t="shared" si="19"/>
        <v/>
      </c>
    </row>
    <row r="104" spans="1:33" x14ac:dyDescent="0.35">
      <c r="A104" s="203"/>
      <c r="B104" s="203"/>
      <c r="C104" s="203"/>
      <c r="D104" s="203"/>
      <c r="E104" s="203"/>
      <c r="F104" s="203"/>
      <c r="G104" s="203"/>
      <c r="H104" s="205"/>
      <c r="I104" s="204" t="str">
        <f t="shared" si="10"/>
        <v/>
      </c>
      <c r="J104" s="203"/>
      <c r="K104" s="206"/>
      <c r="L104" s="204" t="str">
        <f t="shared" si="11"/>
        <v/>
      </c>
      <c r="M104" s="203"/>
      <c r="N104" s="203"/>
      <c r="O104" s="206"/>
      <c r="P104" s="204" t="str">
        <f t="shared" si="12"/>
        <v/>
      </c>
      <c r="Q104" s="203"/>
      <c r="R104" s="203"/>
      <c r="S104" s="206"/>
      <c r="T104" s="204" t="str">
        <f t="shared" si="13"/>
        <v/>
      </c>
      <c r="U104" s="203"/>
      <c r="V104" s="203"/>
      <c r="W104" s="203"/>
      <c r="X104" s="203"/>
      <c r="Y104" s="203"/>
      <c r="Z104" s="206"/>
      <c r="AA104" s="125" t="str">
        <f t="shared" si="14"/>
        <v/>
      </c>
      <c r="AB104" t="str">
        <f t="array" ref="AB104">IF(OR(AA104 &lt;&gt;"", I104&lt;&gt;"",L104&lt;&gt;"",P104&lt;&gt;"",T104&lt;&gt;""), AND(EXACT(AC104:AG104,AC104)),"")</f>
        <v/>
      </c>
      <c r="AC104" s="192" t="str">
        <f t="shared" si="15"/>
        <v/>
      </c>
      <c r="AD104" s="192" t="str">
        <f t="shared" si="16"/>
        <v/>
      </c>
      <c r="AE104" s="192" t="str">
        <f t="shared" si="17"/>
        <v/>
      </c>
      <c r="AF104" s="192" t="str">
        <f t="shared" si="18"/>
        <v/>
      </c>
      <c r="AG104" s="192" t="str">
        <f t="shared" si="19"/>
        <v/>
      </c>
    </row>
    <row r="105" spans="1:33" x14ac:dyDescent="0.35">
      <c r="A105" s="203"/>
      <c r="B105" s="203"/>
      <c r="C105" s="203"/>
      <c r="D105" s="203"/>
      <c r="E105" s="203"/>
      <c r="F105" s="203"/>
      <c r="G105" s="203"/>
      <c r="H105" s="205"/>
      <c r="I105" s="204" t="str">
        <f t="shared" si="10"/>
        <v/>
      </c>
      <c r="J105" s="203"/>
      <c r="K105" s="206"/>
      <c r="L105" s="204" t="str">
        <f t="shared" si="11"/>
        <v/>
      </c>
      <c r="M105" s="203"/>
      <c r="N105" s="203"/>
      <c r="O105" s="206"/>
      <c r="P105" s="204" t="str">
        <f t="shared" si="12"/>
        <v/>
      </c>
      <c r="Q105" s="203"/>
      <c r="R105" s="203"/>
      <c r="S105" s="206"/>
      <c r="T105" s="204" t="str">
        <f t="shared" si="13"/>
        <v/>
      </c>
      <c r="U105" s="203"/>
      <c r="V105" s="203"/>
      <c r="W105" s="203"/>
      <c r="X105" s="203"/>
      <c r="Y105" s="203"/>
      <c r="Z105" s="206"/>
      <c r="AA105" s="125" t="str">
        <f t="shared" si="14"/>
        <v/>
      </c>
      <c r="AB105" t="str">
        <f t="array" ref="AB105">IF(OR(AA105 &lt;&gt;"", I105&lt;&gt;"",L105&lt;&gt;"",P105&lt;&gt;"",T105&lt;&gt;""), AND(EXACT(AC105:AG105,AC105)),"")</f>
        <v/>
      </c>
      <c r="AC105" s="192" t="str">
        <f t="shared" si="15"/>
        <v/>
      </c>
      <c r="AD105" s="192" t="str">
        <f t="shared" si="16"/>
        <v/>
      </c>
      <c r="AE105" s="192" t="str">
        <f t="shared" si="17"/>
        <v/>
      </c>
      <c r="AF105" s="192" t="str">
        <f t="shared" si="18"/>
        <v/>
      </c>
      <c r="AG105" s="192" t="str">
        <f t="shared" si="19"/>
        <v/>
      </c>
    </row>
    <row r="106" spans="1:33" x14ac:dyDescent="0.35">
      <c r="A106" s="203"/>
      <c r="B106" s="203"/>
      <c r="C106" s="203"/>
      <c r="D106" s="203"/>
      <c r="E106" s="203"/>
      <c r="F106" s="203"/>
      <c r="G106" s="203"/>
      <c r="H106" s="205"/>
      <c r="I106" s="204" t="str">
        <f t="shared" si="10"/>
        <v/>
      </c>
      <c r="J106" s="203"/>
      <c r="K106" s="206"/>
      <c r="L106" s="204" t="str">
        <f t="shared" si="11"/>
        <v/>
      </c>
      <c r="M106" s="203"/>
      <c r="N106" s="203"/>
      <c r="O106" s="206"/>
      <c r="P106" s="204" t="str">
        <f t="shared" si="12"/>
        <v/>
      </c>
      <c r="Q106" s="203"/>
      <c r="R106" s="203"/>
      <c r="S106" s="206"/>
      <c r="T106" s="204" t="str">
        <f t="shared" si="13"/>
        <v/>
      </c>
      <c r="U106" s="203"/>
      <c r="V106" s="203"/>
      <c r="W106" s="203"/>
      <c r="X106" s="203"/>
      <c r="Y106" s="203"/>
      <c r="Z106" s="206"/>
      <c r="AA106" s="125" t="str">
        <f t="shared" si="14"/>
        <v/>
      </c>
      <c r="AB106" t="str">
        <f t="array" ref="AB106">IF(OR(AA106 &lt;&gt;"", I106&lt;&gt;"",L106&lt;&gt;"",P106&lt;&gt;"",T106&lt;&gt;""), AND(EXACT(AC106:AG106,AC106)),"")</f>
        <v/>
      </c>
      <c r="AC106" s="192" t="str">
        <f t="shared" si="15"/>
        <v/>
      </c>
      <c r="AD106" s="192" t="str">
        <f t="shared" si="16"/>
        <v/>
      </c>
      <c r="AE106" s="192" t="str">
        <f t="shared" si="17"/>
        <v/>
      </c>
      <c r="AF106" s="192" t="str">
        <f t="shared" si="18"/>
        <v/>
      </c>
      <c r="AG106" s="192" t="str">
        <f t="shared" si="19"/>
        <v/>
      </c>
    </row>
    <row r="107" spans="1:33" x14ac:dyDescent="0.35">
      <c r="A107" s="203"/>
      <c r="B107" s="203"/>
      <c r="C107" s="203"/>
      <c r="D107" s="203"/>
      <c r="E107" s="203"/>
      <c r="F107" s="203"/>
      <c r="G107" s="203"/>
      <c r="H107" s="205"/>
      <c r="I107" s="204" t="str">
        <f t="shared" si="10"/>
        <v/>
      </c>
      <c r="J107" s="203"/>
      <c r="K107" s="206"/>
      <c r="L107" s="204" t="str">
        <f t="shared" si="11"/>
        <v/>
      </c>
      <c r="M107" s="203"/>
      <c r="N107" s="203"/>
      <c r="O107" s="206"/>
      <c r="P107" s="204" t="str">
        <f t="shared" si="12"/>
        <v/>
      </c>
      <c r="Q107" s="203"/>
      <c r="R107" s="203"/>
      <c r="S107" s="206"/>
      <c r="T107" s="204" t="str">
        <f t="shared" si="13"/>
        <v/>
      </c>
      <c r="U107" s="203"/>
      <c r="V107" s="203"/>
      <c r="W107" s="203"/>
      <c r="X107" s="203"/>
      <c r="Y107" s="203"/>
      <c r="Z107" s="206"/>
      <c r="AA107" s="125" t="str">
        <f t="shared" si="14"/>
        <v/>
      </c>
      <c r="AB107" t="str">
        <f t="array" ref="AB107">IF(OR(AA107 &lt;&gt;"", I107&lt;&gt;"",L107&lt;&gt;"",P107&lt;&gt;"",T107&lt;&gt;""), AND(EXACT(AC107:AG107,AC107)),"")</f>
        <v/>
      </c>
      <c r="AC107" s="192" t="str">
        <f t="shared" si="15"/>
        <v/>
      </c>
      <c r="AD107" s="192" t="str">
        <f t="shared" si="16"/>
        <v/>
      </c>
      <c r="AE107" s="192" t="str">
        <f t="shared" si="17"/>
        <v/>
      </c>
      <c r="AF107" s="192" t="str">
        <f t="shared" si="18"/>
        <v/>
      </c>
      <c r="AG107" s="192" t="str">
        <f t="shared" si="19"/>
        <v/>
      </c>
    </row>
    <row r="108" spans="1:33" x14ac:dyDescent="0.35">
      <c r="A108" s="203"/>
      <c r="B108" s="203"/>
      <c r="C108" s="203"/>
      <c r="D108" s="203"/>
      <c r="E108" s="203"/>
      <c r="F108" s="203"/>
      <c r="G108" s="203"/>
      <c r="H108" s="205"/>
      <c r="I108" s="204" t="str">
        <f>IF(H108&lt;&gt;"",G108=H108,"")</f>
        <v/>
      </c>
      <c r="J108" s="203"/>
      <c r="K108" s="206"/>
      <c r="L108" s="204" t="str">
        <f>IF(K108&lt;&gt;"",J108=K108,"")</f>
        <v/>
      </c>
      <c r="M108" s="203"/>
      <c r="N108" s="203"/>
      <c r="O108" s="206"/>
      <c r="P108" s="204" t="str">
        <f>IF(O108&lt;&gt;"",N108=O108,"")</f>
        <v/>
      </c>
      <c r="Q108" s="203"/>
      <c r="R108" s="203"/>
      <c r="S108" s="206"/>
      <c r="T108" s="204" t="str">
        <f>IF(S108&lt;&gt;"",R108=S108,"")</f>
        <v/>
      </c>
      <c r="U108" s="203"/>
      <c r="V108" s="203"/>
      <c r="W108" s="203"/>
      <c r="X108" s="203"/>
      <c r="Y108" s="203"/>
      <c r="Z108" s="206"/>
      <c r="AA108" s="125" t="str">
        <f>IF(Z108&lt;&gt;"",Y108=Z108,"")</f>
        <v/>
      </c>
      <c r="AB108" t="str">
        <f t="array" ref="AB108">IF(OR(AA108 &lt;&gt;"", I108&lt;&gt;"",L108&lt;&gt;"",P108&lt;&gt;"",T108&lt;&gt;""), AND(EXACT(AC108:AG108,AC108)),"")</f>
        <v/>
      </c>
      <c r="AC108" s="192" t="str">
        <f>I108</f>
        <v/>
      </c>
      <c r="AD108" s="192" t="str">
        <f>L108</f>
        <v/>
      </c>
      <c r="AE108" s="192" t="str">
        <f>P108</f>
        <v/>
      </c>
      <c r="AF108" s="192" t="str">
        <f>T108</f>
        <v/>
      </c>
      <c r="AG108" s="192" t="str">
        <f>AA108</f>
        <v/>
      </c>
    </row>
    <row r="109" spans="1:33" x14ac:dyDescent="0.35">
      <c r="I109" s="162"/>
      <c r="J109" s="80"/>
      <c r="K109" s="80"/>
      <c r="L109" s="162"/>
      <c r="M109" s="80"/>
      <c r="N109" s="80"/>
      <c r="O109" s="80"/>
      <c r="P109" s="162"/>
      <c r="Q109" s="80"/>
      <c r="R109" s="80"/>
      <c r="S109" s="80"/>
      <c r="T109" s="162"/>
      <c r="U109" s="80"/>
      <c r="V109" s="80"/>
      <c r="W109" s="80"/>
      <c r="X109" s="80"/>
      <c r="Y109" s="80"/>
      <c r="Z109" s="80"/>
      <c r="AA109" s="162" t="s">
        <v>22</v>
      </c>
      <c r="AB109" s="126">
        <f>COUNTIF(AB2:AB108,TRUE)</f>
        <v>0</v>
      </c>
    </row>
    <row r="110" spans="1:33" x14ac:dyDescent="0.35">
      <c r="I110" s="127"/>
      <c r="J110" s="80"/>
      <c r="K110" s="80"/>
      <c r="L110" s="127"/>
      <c r="M110" s="80"/>
      <c r="N110" s="80"/>
      <c r="O110" s="80"/>
      <c r="P110" s="127"/>
      <c r="Q110" s="80"/>
      <c r="R110" s="80"/>
      <c r="S110" s="80"/>
      <c r="T110" s="127"/>
      <c r="U110" s="80"/>
      <c r="V110" s="80"/>
      <c r="W110" s="80"/>
      <c r="X110" s="80"/>
      <c r="Y110" s="80"/>
      <c r="Z110" s="80"/>
      <c r="AA110" s="162" t="s">
        <v>23</v>
      </c>
      <c r="AB110" s="126">
        <f>COUNTIF(AB2:AB108,FALSE)</f>
        <v>0</v>
      </c>
    </row>
    <row r="111" spans="1:33" x14ac:dyDescent="0.35">
      <c r="AA111" s="127" t="s">
        <v>24</v>
      </c>
      <c r="AB111" s="178" t="e">
        <f>(AB109/(AB109+AB110))</f>
        <v>#DIV/0!</v>
      </c>
    </row>
    <row r="112" spans="1:33" x14ac:dyDescent="0.35">
      <c r="AA112" t="s">
        <v>25</v>
      </c>
      <c r="AB112" s="179">
        <f>SUM(AB109:AB110)</f>
        <v>0</v>
      </c>
    </row>
  </sheetData>
  <sheetProtection algorithmName="SHA-512" hashValue="AC3mBN25o4GsYp8Qjh+6AwITe5zi2cTpFM80NT/QWLZSmyEG78Aw6L6My3/E06WO81CaT/s3muYLgMccxVK5xw==" saltValue="a9fJ+6DS13lvivZUNpkLq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10"/>
  <sheetViews>
    <sheetView view="pageBreakPreview" zoomScaleNormal="100" zoomScaleSheetLayoutView="100" workbookViewId="0">
      <selection activeCell="C4" sqref="C4"/>
    </sheetView>
  </sheetViews>
  <sheetFormatPr defaultRowHeight="14.5" x14ac:dyDescent="0.35"/>
  <cols>
    <col min="1" max="1" width="13.7265625" customWidth="1"/>
    <col min="2" max="2" width="16.26953125" customWidth="1"/>
    <col min="3" max="3" width="18" customWidth="1"/>
    <col min="4" max="4" width="25.7265625" customWidth="1"/>
  </cols>
  <sheetData>
    <row r="1" spans="1:4" ht="37.15" customHeight="1" x14ac:dyDescent="0.35">
      <c r="A1" s="214" t="s">
        <v>0</v>
      </c>
      <c r="B1" s="214" t="s">
        <v>3565</v>
      </c>
      <c r="C1" s="214" t="s">
        <v>3566</v>
      </c>
      <c r="D1" s="214" t="s">
        <v>3567</v>
      </c>
    </row>
    <row r="2" spans="1:4" x14ac:dyDescent="0.35">
      <c r="A2" s="213"/>
      <c r="B2" s="213"/>
      <c r="C2" s="213"/>
      <c r="D2" s="215"/>
    </row>
    <row r="3" spans="1:4" x14ac:dyDescent="0.35">
      <c r="A3" s="213"/>
      <c r="B3" s="213"/>
      <c r="C3" s="213"/>
      <c r="D3" s="215"/>
    </row>
    <row r="4" spans="1:4" x14ac:dyDescent="0.35">
      <c r="A4" s="213"/>
      <c r="B4" s="213"/>
      <c r="C4" s="213"/>
      <c r="D4" s="215"/>
    </row>
    <row r="5" spans="1:4" x14ac:dyDescent="0.35">
      <c r="A5" s="213"/>
      <c r="B5" s="213"/>
      <c r="C5" s="213"/>
      <c r="D5" s="215"/>
    </row>
    <row r="6" spans="1:4" x14ac:dyDescent="0.35">
      <c r="A6" s="213"/>
      <c r="B6" s="213"/>
      <c r="C6" s="213"/>
      <c r="D6" s="215"/>
    </row>
    <row r="7" spans="1:4" x14ac:dyDescent="0.35">
      <c r="A7" s="213"/>
      <c r="B7" s="213"/>
      <c r="C7" s="213"/>
      <c r="D7" s="215"/>
    </row>
    <row r="8" spans="1:4" x14ac:dyDescent="0.35">
      <c r="A8" s="213"/>
      <c r="B8" s="213"/>
      <c r="C8" s="213"/>
      <c r="D8" s="215"/>
    </row>
    <row r="9" spans="1:4" x14ac:dyDescent="0.35">
      <c r="A9" s="213"/>
      <c r="B9" s="213"/>
      <c r="C9" s="213"/>
      <c r="D9" s="215"/>
    </row>
    <row r="10" spans="1:4" x14ac:dyDescent="0.35">
      <c r="A10" s="213"/>
      <c r="B10" s="213"/>
      <c r="C10" s="213"/>
      <c r="D10" s="215"/>
    </row>
    <row r="11" spans="1:4" x14ac:dyDescent="0.35">
      <c r="A11" s="213"/>
      <c r="B11" s="213"/>
      <c r="C11" s="213"/>
      <c r="D11" s="215"/>
    </row>
    <row r="12" spans="1:4" x14ac:dyDescent="0.35">
      <c r="A12" s="213"/>
      <c r="B12" s="213"/>
      <c r="C12" s="213"/>
      <c r="D12" s="215"/>
    </row>
    <row r="13" spans="1:4" x14ac:dyDescent="0.35">
      <c r="A13" s="213"/>
      <c r="B13" s="213"/>
      <c r="C13" s="213"/>
      <c r="D13" s="215"/>
    </row>
    <row r="14" spans="1:4" x14ac:dyDescent="0.35">
      <c r="A14" s="213"/>
      <c r="B14" s="213"/>
      <c r="C14" s="213"/>
      <c r="D14" s="215"/>
    </row>
    <row r="15" spans="1:4" x14ac:dyDescent="0.35">
      <c r="A15" s="213"/>
      <c r="B15" s="213"/>
      <c r="C15" s="213"/>
      <c r="D15" s="215"/>
    </row>
    <row r="16" spans="1:4" x14ac:dyDescent="0.35">
      <c r="A16" s="213"/>
      <c r="B16" s="213"/>
      <c r="C16" s="213"/>
      <c r="D16" s="215"/>
    </row>
    <row r="17" spans="1:4" x14ac:dyDescent="0.35">
      <c r="A17" s="213"/>
      <c r="B17" s="213"/>
      <c r="C17" s="213"/>
      <c r="D17" s="215"/>
    </row>
    <row r="18" spans="1:4" x14ac:dyDescent="0.35">
      <c r="A18" s="213"/>
      <c r="B18" s="213"/>
      <c r="C18" s="213"/>
      <c r="D18" s="215"/>
    </row>
    <row r="19" spans="1:4" x14ac:dyDescent="0.35">
      <c r="A19" s="213"/>
      <c r="B19" s="213"/>
      <c r="C19" s="213"/>
      <c r="D19" s="215"/>
    </row>
    <row r="20" spans="1:4" x14ac:dyDescent="0.35">
      <c r="A20" s="213"/>
      <c r="B20" s="213"/>
      <c r="C20" s="213"/>
      <c r="D20" s="215"/>
    </row>
    <row r="21" spans="1:4" x14ac:dyDescent="0.35">
      <c r="A21" s="213"/>
      <c r="B21" s="213"/>
      <c r="C21" s="213"/>
      <c r="D21" s="215"/>
    </row>
    <row r="22" spans="1:4" x14ac:dyDescent="0.35">
      <c r="A22" s="213"/>
      <c r="B22" s="213"/>
      <c r="C22" s="213"/>
      <c r="D22" s="215"/>
    </row>
    <row r="23" spans="1:4" x14ac:dyDescent="0.35">
      <c r="A23" s="213"/>
      <c r="B23" s="213"/>
      <c r="C23" s="213"/>
      <c r="D23" s="215"/>
    </row>
    <row r="24" spans="1:4" x14ac:dyDescent="0.35">
      <c r="A24" s="213"/>
      <c r="B24" s="213"/>
      <c r="C24" s="213"/>
      <c r="D24" s="215"/>
    </row>
    <row r="25" spans="1:4" x14ac:dyDescent="0.35">
      <c r="A25" s="213"/>
      <c r="B25" s="213"/>
      <c r="C25" s="213"/>
      <c r="D25" s="215"/>
    </row>
    <row r="26" spans="1:4" x14ac:dyDescent="0.35">
      <c r="A26" s="213"/>
      <c r="B26" s="213"/>
      <c r="C26" s="213"/>
      <c r="D26" s="215"/>
    </row>
    <row r="27" spans="1:4" x14ac:dyDescent="0.35">
      <c r="A27" s="213"/>
      <c r="B27" s="213"/>
      <c r="C27" s="213"/>
      <c r="D27" s="215"/>
    </row>
    <row r="28" spans="1:4" x14ac:dyDescent="0.35">
      <c r="A28" s="213"/>
      <c r="B28" s="213"/>
      <c r="C28" s="213"/>
      <c r="D28" s="215"/>
    </row>
    <row r="29" spans="1:4" x14ac:dyDescent="0.35">
      <c r="A29" s="213"/>
      <c r="B29" s="213"/>
      <c r="C29" s="213"/>
      <c r="D29" s="215"/>
    </row>
    <row r="30" spans="1:4" x14ac:dyDescent="0.35">
      <c r="A30" s="213"/>
      <c r="B30" s="213"/>
      <c r="C30" s="213"/>
      <c r="D30" s="215"/>
    </row>
    <row r="31" spans="1:4" x14ac:dyDescent="0.35">
      <c r="A31" s="213"/>
      <c r="B31" s="213"/>
      <c r="C31" s="213"/>
      <c r="D31" s="215"/>
    </row>
    <row r="32" spans="1:4" x14ac:dyDescent="0.35">
      <c r="A32" s="213"/>
      <c r="B32" s="213"/>
      <c r="C32" s="213"/>
      <c r="D32" s="215"/>
    </row>
    <row r="33" spans="1:4" x14ac:dyDescent="0.35">
      <c r="A33" s="213"/>
      <c r="B33" s="213"/>
      <c r="C33" s="213"/>
      <c r="D33" s="215"/>
    </row>
    <row r="34" spans="1:4" x14ac:dyDescent="0.35">
      <c r="A34" s="213"/>
      <c r="B34" s="213"/>
      <c r="C34" s="213"/>
      <c r="D34" s="215"/>
    </row>
    <row r="35" spans="1:4" x14ac:dyDescent="0.35">
      <c r="A35" s="213"/>
      <c r="B35" s="213"/>
      <c r="C35" s="213"/>
      <c r="D35" s="215"/>
    </row>
    <row r="36" spans="1:4" x14ac:dyDescent="0.35">
      <c r="A36" s="213"/>
      <c r="B36" s="213"/>
      <c r="C36" s="213"/>
      <c r="D36" s="215"/>
    </row>
    <row r="37" spans="1:4" x14ac:dyDescent="0.35">
      <c r="A37" s="213"/>
      <c r="B37" s="213"/>
      <c r="C37" s="213"/>
      <c r="D37" s="215"/>
    </row>
    <row r="38" spans="1:4" x14ac:dyDescent="0.35">
      <c r="A38" s="213"/>
      <c r="B38" s="213"/>
      <c r="C38" s="213"/>
      <c r="D38" s="215"/>
    </row>
    <row r="39" spans="1:4" x14ac:dyDescent="0.35">
      <c r="A39" s="213"/>
      <c r="B39" s="213"/>
      <c r="C39" s="213"/>
      <c r="D39" s="215"/>
    </row>
    <row r="40" spans="1:4" x14ac:dyDescent="0.35">
      <c r="A40" s="213"/>
      <c r="B40" s="213"/>
      <c r="C40" s="213"/>
      <c r="D40" s="215"/>
    </row>
    <row r="41" spans="1:4" x14ac:dyDescent="0.35">
      <c r="A41" s="213"/>
      <c r="B41" s="213"/>
      <c r="C41" s="213"/>
      <c r="D41" s="215"/>
    </row>
    <row r="42" spans="1:4" x14ac:dyDescent="0.35">
      <c r="A42" s="213"/>
      <c r="B42" s="213"/>
      <c r="C42" s="213"/>
      <c r="D42" s="215"/>
    </row>
    <row r="43" spans="1:4" x14ac:dyDescent="0.35">
      <c r="A43" s="213"/>
      <c r="B43" s="213"/>
      <c r="C43" s="213"/>
      <c r="D43" s="215"/>
    </row>
    <row r="44" spans="1:4" x14ac:dyDescent="0.35">
      <c r="A44" s="213"/>
      <c r="B44" s="213"/>
      <c r="C44" s="213"/>
      <c r="D44" s="215"/>
    </row>
    <row r="45" spans="1:4" x14ac:dyDescent="0.35">
      <c r="A45" s="213"/>
      <c r="B45" s="213"/>
      <c r="C45" s="213"/>
      <c r="D45" s="215"/>
    </row>
    <row r="46" spans="1:4" x14ac:dyDescent="0.35">
      <c r="A46" s="213"/>
      <c r="B46" s="213"/>
      <c r="C46" s="213"/>
      <c r="D46" s="215"/>
    </row>
    <row r="47" spans="1:4" x14ac:dyDescent="0.35">
      <c r="A47" s="213"/>
      <c r="B47" s="213"/>
      <c r="C47" s="213"/>
      <c r="D47" s="215"/>
    </row>
    <row r="48" spans="1:4" x14ac:dyDescent="0.35">
      <c r="A48" s="213"/>
      <c r="B48" s="213"/>
      <c r="C48" s="213"/>
      <c r="D48" s="215"/>
    </row>
    <row r="49" spans="1:4" x14ac:dyDescent="0.35">
      <c r="A49" s="213"/>
      <c r="B49" s="213"/>
      <c r="C49" s="213"/>
      <c r="D49" s="215"/>
    </row>
    <row r="50" spans="1:4" x14ac:dyDescent="0.35">
      <c r="A50" s="213"/>
      <c r="B50" s="213"/>
      <c r="C50" s="213"/>
      <c r="D50" s="215"/>
    </row>
    <row r="51" spans="1:4" x14ac:dyDescent="0.35">
      <c r="A51" s="213"/>
      <c r="B51" s="213"/>
      <c r="C51" s="213"/>
      <c r="D51" s="215"/>
    </row>
    <row r="52" spans="1:4" x14ac:dyDescent="0.35">
      <c r="A52" s="213"/>
      <c r="B52" s="213"/>
      <c r="C52" s="213"/>
      <c r="D52" s="215"/>
    </row>
    <row r="53" spans="1:4" x14ac:dyDescent="0.35">
      <c r="A53" s="213"/>
      <c r="B53" s="213"/>
      <c r="C53" s="213"/>
      <c r="D53" s="215"/>
    </row>
    <row r="54" spans="1:4" x14ac:dyDescent="0.35">
      <c r="A54" s="213"/>
      <c r="B54" s="213"/>
      <c r="C54" s="213"/>
      <c r="D54" s="215"/>
    </row>
    <row r="55" spans="1:4" x14ac:dyDescent="0.35">
      <c r="A55" s="213"/>
      <c r="B55" s="213"/>
      <c r="C55" s="213"/>
      <c r="D55" s="215"/>
    </row>
    <row r="56" spans="1:4" x14ac:dyDescent="0.35">
      <c r="A56" s="213"/>
      <c r="B56" s="213"/>
      <c r="C56" s="213"/>
      <c r="D56" s="215"/>
    </row>
    <row r="57" spans="1:4" x14ac:dyDescent="0.35">
      <c r="A57" s="213"/>
      <c r="B57" s="213"/>
      <c r="C57" s="213"/>
      <c r="D57" s="215"/>
    </row>
    <row r="58" spans="1:4" x14ac:dyDescent="0.35">
      <c r="A58" s="213"/>
      <c r="B58" s="213"/>
      <c r="C58" s="213"/>
      <c r="D58" s="215"/>
    </row>
    <row r="59" spans="1:4" x14ac:dyDescent="0.35">
      <c r="A59" s="213"/>
      <c r="B59" s="213"/>
      <c r="C59" s="213"/>
      <c r="D59" s="215"/>
    </row>
    <row r="60" spans="1:4" x14ac:dyDescent="0.35">
      <c r="A60" s="213"/>
      <c r="B60" s="213"/>
      <c r="C60" s="213"/>
      <c r="D60" s="215"/>
    </row>
    <row r="61" spans="1:4" x14ac:dyDescent="0.35">
      <c r="A61" s="213"/>
      <c r="B61" s="213"/>
      <c r="C61" s="213"/>
      <c r="D61" s="215"/>
    </row>
    <row r="62" spans="1:4" x14ac:dyDescent="0.35">
      <c r="A62" s="213"/>
      <c r="B62" s="213"/>
      <c r="C62" s="213"/>
      <c r="D62" s="215"/>
    </row>
    <row r="63" spans="1:4" x14ac:dyDescent="0.35">
      <c r="A63" s="213"/>
      <c r="B63" s="213"/>
      <c r="C63" s="213"/>
      <c r="D63" s="215"/>
    </row>
    <row r="64" spans="1:4" x14ac:dyDescent="0.35">
      <c r="A64" s="213"/>
      <c r="B64" s="213"/>
      <c r="C64" s="213"/>
      <c r="D64" s="215"/>
    </row>
    <row r="65" spans="1:4" x14ac:dyDescent="0.35">
      <c r="A65" s="213"/>
      <c r="B65" s="213"/>
      <c r="C65" s="213"/>
      <c r="D65" s="215"/>
    </row>
    <row r="66" spans="1:4" x14ac:dyDescent="0.35">
      <c r="A66" s="213"/>
      <c r="B66" s="213"/>
      <c r="C66" s="213"/>
      <c r="D66" s="215"/>
    </row>
    <row r="67" spans="1:4" x14ac:dyDescent="0.35">
      <c r="A67" s="213"/>
      <c r="B67" s="213"/>
      <c r="C67" s="213"/>
      <c r="D67" s="215"/>
    </row>
    <row r="68" spans="1:4" x14ac:dyDescent="0.35">
      <c r="A68" s="213"/>
      <c r="B68" s="213"/>
      <c r="C68" s="213"/>
      <c r="D68" s="215"/>
    </row>
    <row r="69" spans="1:4" x14ac:dyDescent="0.35">
      <c r="A69" s="213"/>
      <c r="B69" s="213"/>
      <c r="C69" s="213"/>
      <c r="D69" s="215"/>
    </row>
    <row r="70" spans="1:4" x14ac:dyDescent="0.35">
      <c r="A70" s="213"/>
      <c r="B70" s="213"/>
      <c r="C70" s="213"/>
      <c r="D70" s="215"/>
    </row>
    <row r="71" spans="1:4" x14ac:dyDescent="0.35">
      <c r="A71" s="213"/>
      <c r="B71" s="213"/>
      <c r="C71" s="213"/>
      <c r="D71" s="215"/>
    </row>
    <row r="72" spans="1:4" x14ac:dyDescent="0.35">
      <c r="A72" s="213"/>
      <c r="B72" s="213"/>
      <c r="C72" s="213"/>
      <c r="D72" s="215"/>
    </row>
    <row r="73" spans="1:4" x14ac:dyDescent="0.35">
      <c r="A73" s="213"/>
      <c r="B73" s="213"/>
      <c r="C73" s="213"/>
      <c r="D73" s="215"/>
    </row>
    <row r="74" spans="1:4" x14ac:dyDescent="0.35">
      <c r="A74" s="213"/>
      <c r="B74" s="213"/>
      <c r="C74" s="213"/>
      <c r="D74" s="215"/>
    </row>
    <row r="75" spans="1:4" x14ac:dyDescent="0.35">
      <c r="A75" s="213"/>
      <c r="B75" s="213"/>
      <c r="C75" s="213"/>
      <c r="D75" s="215"/>
    </row>
    <row r="76" spans="1:4" x14ac:dyDescent="0.35">
      <c r="A76" s="213"/>
      <c r="B76" s="213"/>
      <c r="C76" s="213"/>
      <c r="D76" s="215"/>
    </row>
    <row r="77" spans="1:4" x14ac:dyDescent="0.35">
      <c r="A77" s="213"/>
      <c r="B77" s="213"/>
      <c r="C77" s="213"/>
      <c r="D77" s="215"/>
    </row>
    <row r="78" spans="1:4" x14ac:dyDescent="0.35">
      <c r="A78" s="213"/>
      <c r="B78" s="213"/>
      <c r="C78" s="213"/>
      <c r="D78" s="215"/>
    </row>
    <row r="79" spans="1:4" x14ac:dyDescent="0.35">
      <c r="A79" s="213"/>
      <c r="B79" s="213"/>
      <c r="C79" s="213"/>
      <c r="D79" s="215"/>
    </row>
    <row r="80" spans="1:4" x14ac:dyDescent="0.35">
      <c r="A80" s="213"/>
      <c r="B80" s="213"/>
      <c r="C80" s="213"/>
      <c r="D80" s="215"/>
    </row>
    <row r="81" spans="1:4" x14ac:dyDescent="0.35">
      <c r="A81" s="213"/>
      <c r="B81" s="213"/>
      <c r="C81" s="213"/>
      <c r="D81" s="215"/>
    </row>
    <row r="82" spans="1:4" x14ac:dyDescent="0.35">
      <c r="A82" s="213"/>
      <c r="B82" s="213"/>
      <c r="C82" s="213"/>
      <c r="D82" s="215"/>
    </row>
    <row r="83" spans="1:4" x14ac:dyDescent="0.35">
      <c r="A83" s="213"/>
      <c r="B83" s="213"/>
      <c r="C83" s="213"/>
      <c r="D83" s="215"/>
    </row>
    <row r="84" spans="1:4" x14ac:dyDescent="0.35">
      <c r="A84" s="213"/>
      <c r="B84" s="213"/>
      <c r="C84" s="213"/>
      <c r="D84" s="215"/>
    </row>
    <row r="85" spans="1:4" x14ac:dyDescent="0.35">
      <c r="A85" s="213"/>
      <c r="B85" s="213"/>
      <c r="C85" s="213"/>
      <c r="D85" s="215"/>
    </row>
    <row r="86" spans="1:4" x14ac:dyDescent="0.35">
      <c r="A86" s="213"/>
      <c r="B86" s="213"/>
      <c r="C86" s="213"/>
      <c r="D86" s="215"/>
    </row>
    <row r="87" spans="1:4" x14ac:dyDescent="0.35">
      <c r="A87" s="213"/>
      <c r="B87" s="213"/>
      <c r="C87" s="213"/>
      <c r="D87" s="215"/>
    </row>
    <row r="88" spans="1:4" x14ac:dyDescent="0.35">
      <c r="A88" s="213"/>
      <c r="B88" s="213"/>
      <c r="C88" s="213"/>
      <c r="D88" s="215"/>
    </row>
    <row r="89" spans="1:4" x14ac:dyDescent="0.35">
      <c r="A89" s="213"/>
      <c r="B89" s="213"/>
      <c r="C89" s="213"/>
      <c r="D89" s="215"/>
    </row>
    <row r="90" spans="1:4" x14ac:dyDescent="0.35">
      <c r="A90" s="213"/>
      <c r="B90" s="213"/>
      <c r="C90" s="213"/>
      <c r="D90" s="215"/>
    </row>
    <row r="91" spans="1:4" x14ac:dyDescent="0.35">
      <c r="A91" s="213"/>
      <c r="B91" s="213"/>
      <c r="C91" s="213"/>
      <c r="D91" s="215"/>
    </row>
    <row r="92" spans="1:4" x14ac:dyDescent="0.35">
      <c r="A92" s="213"/>
      <c r="B92" s="213"/>
      <c r="C92" s="213"/>
      <c r="D92" s="215"/>
    </row>
    <row r="93" spans="1:4" x14ac:dyDescent="0.35">
      <c r="A93" s="213"/>
      <c r="B93" s="213"/>
      <c r="C93" s="213"/>
      <c r="D93" s="215"/>
    </row>
    <row r="94" spans="1:4" x14ac:dyDescent="0.35">
      <c r="A94" s="213"/>
      <c r="B94" s="213"/>
      <c r="C94" s="213"/>
      <c r="D94" s="215"/>
    </row>
    <row r="95" spans="1:4" x14ac:dyDescent="0.35">
      <c r="A95" s="213"/>
      <c r="B95" s="213"/>
      <c r="C95" s="213"/>
      <c r="D95" s="215"/>
    </row>
    <row r="96" spans="1:4" x14ac:dyDescent="0.35">
      <c r="A96" s="213"/>
      <c r="B96" s="213"/>
      <c r="C96" s="213"/>
      <c r="D96" s="215"/>
    </row>
    <row r="97" spans="1:4" x14ac:dyDescent="0.35">
      <c r="A97" s="213"/>
      <c r="B97" s="213"/>
      <c r="C97" s="213"/>
      <c r="D97" s="215"/>
    </row>
    <row r="98" spans="1:4" x14ac:dyDescent="0.35">
      <c r="A98" s="213"/>
      <c r="B98" s="213"/>
      <c r="C98" s="213"/>
      <c r="D98" s="215"/>
    </row>
    <row r="99" spans="1:4" x14ac:dyDescent="0.35">
      <c r="A99" s="213"/>
      <c r="B99" s="213"/>
      <c r="C99" s="213"/>
      <c r="D99" s="215"/>
    </row>
    <row r="100" spans="1:4" x14ac:dyDescent="0.35">
      <c r="A100" s="213"/>
      <c r="B100" s="213"/>
      <c r="C100" s="213"/>
      <c r="D100" s="215"/>
    </row>
    <row r="101" spans="1:4" x14ac:dyDescent="0.35">
      <c r="A101" s="213"/>
      <c r="B101" s="213"/>
      <c r="C101" s="213"/>
      <c r="D101" s="215"/>
    </row>
    <row r="102" spans="1:4" x14ac:dyDescent="0.35">
      <c r="A102" s="213"/>
      <c r="B102" s="213"/>
      <c r="C102" s="213"/>
      <c r="D102" s="215"/>
    </row>
    <row r="103" spans="1:4" x14ac:dyDescent="0.35">
      <c r="A103" s="213"/>
      <c r="B103" s="213"/>
      <c r="C103" s="213"/>
      <c r="D103" s="215"/>
    </row>
    <row r="104" spans="1:4" x14ac:dyDescent="0.35">
      <c r="A104" s="213"/>
      <c r="B104" s="213"/>
      <c r="C104" s="213"/>
      <c r="D104" s="215"/>
    </row>
    <row r="105" spans="1:4" x14ac:dyDescent="0.35">
      <c r="A105" s="213"/>
      <c r="B105" s="213"/>
      <c r="C105" s="213"/>
      <c r="D105" s="215"/>
    </row>
    <row r="106" spans="1:4" x14ac:dyDescent="0.35">
      <c r="A106" s="213"/>
      <c r="B106" s="213"/>
      <c r="C106" s="213"/>
      <c r="D106" s="215"/>
    </row>
    <row r="107" spans="1:4" x14ac:dyDescent="0.35">
      <c r="A107" s="213"/>
      <c r="B107" s="213"/>
      <c r="C107" s="213"/>
      <c r="D107" s="215"/>
    </row>
    <row r="108" spans="1:4" x14ac:dyDescent="0.35">
      <c r="A108" s="213"/>
      <c r="B108" s="213"/>
      <c r="C108" s="213"/>
      <c r="D108" s="215"/>
    </row>
    <row r="109" spans="1:4" hidden="1" x14ac:dyDescent="0.35">
      <c r="C109" t="s">
        <v>3568</v>
      </c>
      <c r="D109">
        <f>COUNTIF(D2:D108, "Active")</f>
        <v>0</v>
      </c>
    </row>
    <row r="110" spans="1:4" hidden="1" x14ac:dyDescent="0.35">
      <c r="C110" t="s">
        <v>25</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formula1>"Active, Transferred out, LTFU, Dead, Stopped"</formula1>
    </dataValidation>
  </dataValidations>
  <pageMargins left="0.7" right="0.7" top="0.75" bottom="0.75" header="0.3" footer="0.3"/>
  <pageSetup scale="74" orientation="portrait" r:id="rId1"/>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style="58" customWidth="1"/>
    <col min="2" max="2" width="17.453125" style="65" customWidth="1"/>
    <col min="3" max="3" width="10.1796875" style="66" customWidth="1"/>
    <col min="4" max="4" width="20.453125" style="65" customWidth="1"/>
    <col min="5" max="5" width="17.81640625" style="65" customWidth="1"/>
    <col min="6" max="6" width="29.54296875" style="65" customWidth="1"/>
    <col min="7" max="7" width="14.26953125" style="58" customWidth="1"/>
    <col min="8" max="8" width="14" style="58" customWidth="1"/>
    <col min="9" max="9" width="16.7265625" style="58" customWidth="1"/>
    <col min="10" max="10" width="11.81640625" style="58" customWidth="1"/>
    <col min="11" max="11" width="23.453125" style="58" customWidth="1"/>
    <col min="12" max="12" width="17.81640625" style="58" customWidth="1"/>
    <col min="13" max="13" width="16.7265625" style="58" customWidth="1"/>
    <col min="14" max="14" width="17.26953125" style="58" customWidth="1"/>
    <col min="15" max="16" width="16" style="58" customWidth="1"/>
    <col min="17" max="17" width="22.26953125" style="58" customWidth="1"/>
    <col min="18" max="23" width="16" style="58" customWidth="1"/>
    <col min="24" max="24" width="16.453125" style="58" customWidth="1"/>
    <col min="25" max="25" width="8.81640625" style="58" customWidth="1"/>
    <col min="26" max="16384" width="8.81640625" style="58"/>
  </cols>
  <sheetData>
    <row r="1" spans="1:26" ht="40.15" customHeight="1" x14ac:dyDescent="0.35">
      <c r="A1" s="94"/>
      <c r="B1" s="102"/>
      <c r="C1" s="101"/>
      <c r="D1" s="102"/>
      <c r="E1" s="102"/>
      <c r="F1" s="102"/>
      <c r="G1" s="94"/>
      <c r="H1" s="94"/>
      <c r="I1" s="94"/>
      <c r="J1" s="94"/>
      <c r="K1" s="94"/>
      <c r="L1" s="94"/>
      <c r="M1" s="182"/>
    </row>
    <row r="2" spans="1:26" ht="25.15" customHeight="1" x14ac:dyDescent="0.35">
      <c r="A2" s="94"/>
      <c r="B2" s="329" t="s">
        <v>35</v>
      </c>
      <c r="C2" s="330"/>
      <c r="D2" s="331" t="s">
        <v>245</v>
      </c>
      <c r="E2" s="332"/>
      <c r="F2" s="332"/>
      <c r="G2" s="94"/>
      <c r="H2" s="94"/>
      <c r="I2" s="94"/>
      <c r="J2" s="94"/>
      <c r="K2" s="94"/>
      <c r="L2" s="94"/>
      <c r="M2" s="182"/>
    </row>
    <row r="3" spans="1:26" ht="24" customHeight="1" x14ac:dyDescent="0.35">
      <c r="A3" s="94"/>
      <c r="B3" s="333" t="s">
        <v>37</v>
      </c>
      <c r="C3" s="334"/>
      <c r="D3" s="327" t="s">
        <v>274</v>
      </c>
      <c r="E3" s="328"/>
      <c r="F3" s="328"/>
      <c r="G3" s="94"/>
      <c r="H3" s="94"/>
      <c r="I3" s="94"/>
      <c r="J3" s="94"/>
      <c r="K3" s="94"/>
      <c r="L3" s="94"/>
      <c r="M3" s="182"/>
    </row>
    <row r="4" spans="1:26" ht="23.5" customHeight="1" x14ac:dyDescent="0.35">
      <c r="A4" s="94"/>
      <c r="B4" s="333" t="s">
        <v>39</v>
      </c>
      <c r="C4" s="334"/>
      <c r="D4" s="327" t="s">
        <v>595</v>
      </c>
      <c r="E4" s="328"/>
      <c r="F4" s="328"/>
      <c r="G4" s="94"/>
      <c r="H4" s="94"/>
      <c r="I4" s="94"/>
      <c r="J4" s="94"/>
      <c r="K4" s="94"/>
      <c r="L4" s="94"/>
      <c r="M4" s="182"/>
    </row>
    <row r="5" spans="1:26" ht="22.15" customHeight="1" x14ac:dyDescent="0.35">
      <c r="A5" s="94"/>
      <c r="B5" s="325" t="s">
        <v>43</v>
      </c>
      <c r="C5" s="326"/>
      <c r="D5" s="327" t="s">
        <v>233</v>
      </c>
      <c r="E5" s="328"/>
      <c r="F5" s="328"/>
      <c r="G5" s="94"/>
      <c r="H5" s="94"/>
      <c r="I5" s="94"/>
      <c r="J5" s="94"/>
      <c r="K5" s="94"/>
      <c r="L5" s="94"/>
      <c r="M5" s="182"/>
    </row>
    <row r="6" spans="1:26" ht="40.15" customHeight="1" x14ac:dyDescent="0.35">
      <c r="A6" s="94"/>
      <c r="B6" s="100" t="s">
        <v>26</v>
      </c>
      <c r="C6" s="101"/>
      <c r="D6" s="102"/>
      <c r="E6" s="94"/>
      <c r="F6" s="94"/>
      <c r="G6" s="94"/>
      <c r="H6" s="94"/>
      <c r="I6" s="94"/>
      <c r="J6" s="94"/>
      <c r="K6" s="94"/>
      <c r="L6" s="94"/>
      <c r="M6" s="182"/>
      <c r="X6" s="94"/>
      <c r="Y6" s="94"/>
    </row>
    <row r="7" spans="1:26" ht="40.15" customHeight="1" x14ac:dyDescent="0.35">
      <c r="A7" s="94"/>
      <c r="B7" s="81" t="s">
        <v>30</v>
      </c>
      <c r="C7" s="338" t="s">
        <v>31</v>
      </c>
      <c r="D7" s="339"/>
      <c r="E7" s="339"/>
      <c r="F7" s="339"/>
      <c r="G7" s="339"/>
      <c r="H7" s="340"/>
      <c r="I7" s="82" t="s">
        <v>32</v>
      </c>
      <c r="J7" s="94"/>
      <c r="K7" s="346" t="s">
        <v>3557</v>
      </c>
      <c r="L7" s="347"/>
      <c r="M7" s="182"/>
      <c r="N7" s="182"/>
      <c r="O7" s="182"/>
      <c r="P7" s="182"/>
      <c r="Q7" s="94"/>
      <c r="R7" s="94"/>
      <c r="S7" s="94"/>
      <c r="T7" s="94"/>
      <c r="U7" s="94"/>
    </row>
    <row r="8" spans="1:26" ht="40.15" customHeight="1" x14ac:dyDescent="0.35">
      <c r="A8" s="94"/>
      <c r="B8" s="183"/>
      <c r="C8" s="345" t="s">
        <v>3558</v>
      </c>
      <c r="D8" s="345"/>
      <c r="E8" s="345"/>
      <c r="F8" s="345"/>
      <c r="G8" s="345"/>
      <c r="H8" s="345"/>
      <c r="I8" s="191"/>
      <c r="J8" s="94"/>
      <c r="K8" s="161" t="s">
        <v>3559</v>
      </c>
      <c r="L8" s="189">
        <f>I8</f>
        <v>0</v>
      </c>
      <c r="M8" s="94"/>
      <c r="N8" s="94"/>
      <c r="O8" s="94"/>
      <c r="P8" s="94"/>
      <c r="Q8" s="94"/>
      <c r="R8" s="94"/>
      <c r="S8" s="94"/>
      <c r="T8" s="94"/>
      <c r="U8" s="94"/>
      <c r="V8" s="94"/>
    </row>
    <row r="9" spans="1:26" ht="30" customHeight="1" x14ac:dyDescent="0.35">
      <c r="A9" s="94"/>
      <c r="B9" s="183"/>
      <c r="C9" s="335" t="s">
        <v>3560</v>
      </c>
      <c r="D9" s="336"/>
      <c r="E9" s="336"/>
      <c r="F9" s="336"/>
      <c r="G9" s="336"/>
      <c r="H9" s="337"/>
      <c r="I9" s="200" t="s">
        <v>3561</v>
      </c>
      <c r="J9" s="94"/>
      <c r="K9" s="161" t="s">
        <v>69</v>
      </c>
      <c r="L9" s="189">
        <f>SUM(G10:I12)</f>
        <v>0</v>
      </c>
      <c r="M9" s="94"/>
      <c r="N9" s="94"/>
      <c r="O9" s="94"/>
      <c r="P9" s="94"/>
      <c r="Q9" s="94"/>
      <c r="R9" s="94"/>
      <c r="S9" s="94"/>
      <c r="T9" s="94"/>
      <c r="U9" s="94"/>
      <c r="V9" s="94"/>
    </row>
    <row r="10" spans="1:26" ht="40.15" customHeight="1" x14ac:dyDescent="0.35">
      <c r="A10" s="94"/>
      <c r="B10" s="84">
        <v>221</v>
      </c>
      <c r="C10" s="342" t="s">
        <v>3562</v>
      </c>
      <c r="D10" s="343"/>
      <c r="E10" s="343"/>
      <c r="F10" s="343"/>
      <c r="G10" s="343"/>
      <c r="H10" s="344"/>
      <c r="I10" s="184"/>
      <c r="J10" s="94"/>
      <c r="K10" s="161" t="s">
        <v>83</v>
      </c>
      <c r="L10" s="190">
        <f>IFERROR(L9/L8,0)</f>
        <v>0</v>
      </c>
      <c r="M10" s="94"/>
      <c r="N10" s="94"/>
      <c r="O10" s="94"/>
      <c r="P10" s="94"/>
      <c r="Q10" s="94"/>
      <c r="R10" s="94"/>
      <c r="S10" s="94"/>
      <c r="T10" s="94"/>
      <c r="U10" s="94"/>
      <c r="V10" s="94"/>
    </row>
    <row r="11" spans="1:26" ht="49.15" customHeight="1" x14ac:dyDescent="0.35">
      <c r="A11" s="94"/>
      <c r="B11" s="84">
        <v>222</v>
      </c>
      <c r="C11" s="342" t="s">
        <v>3563</v>
      </c>
      <c r="D11" s="343"/>
      <c r="E11" s="343"/>
      <c r="F11" s="343"/>
      <c r="G11" s="343"/>
      <c r="H11" s="344"/>
      <c r="I11" s="184"/>
      <c r="J11" s="94"/>
      <c r="K11" s="160"/>
      <c r="L11" s="160"/>
      <c r="M11" s="160"/>
      <c r="N11" s="160"/>
      <c r="O11" s="94"/>
      <c r="P11" s="94"/>
      <c r="Q11" s="94"/>
      <c r="R11" s="94"/>
      <c r="S11" s="94"/>
      <c r="T11" s="94"/>
      <c r="U11" s="94"/>
      <c r="V11" s="94"/>
      <c r="W11" s="94"/>
      <c r="X11" s="94"/>
      <c r="Y11" s="94"/>
      <c r="Z11" s="94"/>
    </row>
    <row r="12" spans="1:26" ht="45.65" customHeight="1" x14ac:dyDescent="0.4">
      <c r="A12" s="94"/>
      <c r="B12" s="84">
        <v>223</v>
      </c>
      <c r="C12" s="342" t="s">
        <v>3564</v>
      </c>
      <c r="D12" s="343"/>
      <c r="E12" s="343"/>
      <c r="F12" s="343"/>
      <c r="G12" s="343"/>
      <c r="H12" s="344"/>
      <c r="I12" s="184"/>
      <c r="J12" s="94"/>
      <c r="K12" s="185"/>
      <c r="L12" s="303"/>
      <c r="M12" s="303"/>
      <c r="N12" s="94"/>
      <c r="O12" s="94"/>
      <c r="P12" s="94"/>
      <c r="Q12" s="94"/>
      <c r="R12" s="94"/>
      <c r="S12" s="94"/>
      <c r="T12" s="94"/>
      <c r="U12" s="94"/>
      <c r="V12" s="94"/>
      <c r="W12" s="94"/>
      <c r="X12" s="94"/>
      <c r="Y12" s="94"/>
    </row>
    <row r="13" spans="1:26" ht="21.65" customHeight="1" x14ac:dyDescent="0.35">
      <c r="A13" s="94"/>
      <c r="B13" s="94"/>
      <c r="C13" s="341"/>
      <c r="D13" s="341"/>
      <c r="E13" s="341"/>
      <c r="F13" s="341"/>
      <c r="G13" s="187"/>
      <c r="H13" s="94"/>
      <c r="I13" s="94"/>
      <c r="J13" s="94"/>
      <c r="K13" s="186"/>
      <c r="L13" s="303"/>
      <c r="M13" s="303"/>
      <c r="N13" s="94"/>
      <c r="O13" s="94"/>
      <c r="P13" s="94"/>
      <c r="Q13" s="94"/>
      <c r="R13" s="94"/>
      <c r="S13" s="94"/>
      <c r="T13" s="94"/>
      <c r="U13" s="94"/>
      <c r="V13" s="94"/>
      <c r="W13" s="94"/>
      <c r="X13" s="94"/>
      <c r="Y13" s="94"/>
    </row>
    <row r="14" spans="1:26" ht="50.5" customHeight="1" x14ac:dyDescent="0.35">
      <c r="A14" s="94"/>
      <c r="B14" s="94"/>
      <c r="C14" s="341"/>
      <c r="D14" s="341"/>
      <c r="E14" s="341"/>
      <c r="F14" s="341"/>
      <c r="G14" s="187"/>
      <c r="H14" s="94"/>
      <c r="I14" s="94"/>
      <c r="J14" s="94"/>
      <c r="K14" s="94"/>
      <c r="L14" s="94"/>
      <c r="M14" s="94"/>
      <c r="N14" s="94"/>
      <c r="O14" s="94"/>
      <c r="P14" s="94"/>
      <c r="Q14" s="94"/>
      <c r="R14" s="94"/>
      <c r="S14" s="94"/>
      <c r="T14" s="94"/>
      <c r="U14" s="94"/>
      <c r="V14" s="94"/>
      <c r="W14" s="94"/>
      <c r="X14" s="94"/>
      <c r="Y14" s="94"/>
    </row>
    <row r="15" spans="1:26" ht="48.65" customHeight="1" x14ac:dyDescent="0.35">
      <c r="A15" s="94"/>
      <c r="B15" s="94"/>
      <c r="C15" s="94"/>
      <c r="D15" s="94"/>
      <c r="E15" s="94"/>
      <c r="F15" s="94"/>
      <c r="G15" s="188"/>
      <c r="H15" s="94"/>
      <c r="I15" s="94"/>
      <c r="J15" s="94"/>
      <c r="K15" s="94"/>
      <c r="L15" s="94"/>
      <c r="M15" s="94"/>
      <c r="N15" s="94"/>
      <c r="O15" s="94"/>
      <c r="P15" s="94"/>
      <c r="Q15" s="94"/>
      <c r="R15" s="94"/>
      <c r="S15" s="94"/>
      <c r="T15" s="94"/>
      <c r="U15" s="94"/>
      <c r="V15" s="94"/>
      <c r="W15" s="94"/>
      <c r="X15" s="94"/>
      <c r="Y15" s="94"/>
    </row>
    <row r="16" spans="1:26" ht="48.65" customHeight="1" x14ac:dyDescent="0.35">
      <c r="A16" s="94"/>
      <c r="B16" s="94"/>
      <c r="C16" s="94"/>
      <c r="D16" s="94"/>
      <c r="E16" s="94"/>
      <c r="F16" s="94"/>
      <c r="G16" s="188"/>
      <c r="H16" s="94"/>
      <c r="I16" s="94"/>
      <c r="J16" s="94"/>
      <c r="K16" s="94"/>
      <c r="L16" s="94"/>
      <c r="M16" s="94"/>
      <c r="N16" s="94"/>
      <c r="O16" s="94"/>
      <c r="P16" s="94"/>
      <c r="Q16" s="94"/>
      <c r="R16" s="94"/>
      <c r="S16" s="94"/>
      <c r="T16" s="94"/>
      <c r="U16" s="94"/>
      <c r="V16" s="94"/>
      <c r="W16" s="94"/>
      <c r="X16" s="94"/>
      <c r="Y16" s="94"/>
    </row>
    <row r="17" spans="1:25" ht="40.15" customHeight="1" x14ac:dyDescent="0.35">
      <c r="A17" s="94"/>
      <c r="B17" s="94"/>
      <c r="C17" s="94"/>
      <c r="D17" s="94"/>
      <c r="E17" s="94"/>
      <c r="F17" s="94"/>
      <c r="G17" s="188"/>
      <c r="H17" s="94"/>
      <c r="I17" s="94"/>
      <c r="J17" s="94"/>
      <c r="K17" s="94"/>
      <c r="L17" s="94"/>
      <c r="M17" s="94"/>
      <c r="N17" s="94"/>
      <c r="O17" s="94"/>
      <c r="P17" s="94"/>
      <c r="Q17" s="94"/>
      <c r="R17" s="94"/>
      <c r="S17" s="94"/>
      <c r="T17" s="94"/>
      <c r="U17" s="94"/>
      <c r="V17" s="94"/>
      <c r="W17" s="94"/>
      <c r="X17" s="94"/>
      <c r="Y17" s="94"/>
    </row>
    <row r="18" spans="1:25" ht="47.5" customHeight="1" x14ac:dyDescent="0.35">
      <c r="A18" s="94"/>
      <c r="B18" s="94"/>
      <c r="C18" s="94"/>
      <c r="D18" s="94"/>
      <c r="E18" s="94"/>
      <c r="F18" s="94"/>
      <c r="G18" s="188"/>
      <c r="H18" s="94"/>
      <c r="I18" s="94"/>
      <c r="J18" s="94"/>
      <c r="K18" s="94"/>
      <c r="L18" s="94"/>
      <c r="M18" s="94"/>
      <c r="N18" s="94"/>
      <c r="O18" s="94"/>
      <c r="P18" s="94"/>
      <c r="Q18" s="94"/>
      <c r="R18" s="94"/>
      <c r="S18" s="94"/>
      <c r="T18" s="94"/>
      <c r="U18" s="94"/>
      <c r="V18" s="94"/>
      <c r="W18" s="94"/>
      <c r="X18" s="94"/>
      <c r="Y18" s="94"/>
    </row>
    <row r="19" spans="1:25" ht="40.15" customHeight="1" x14ac:dyDescent="0.35">
      <c r="A19" s="94"/>
      <c r="B19" s="94"/>
      <c r="C19" s="94"/>
      <c r="D19" s="94"/>
      <c r="E19" s="94"/>
      <c r="F19" s="94"/>
      <c r="G19" s="188"/>
      <c r="H19" s="94"/>
      <c r="I19" s="94"/>
      <c r="J19" s="160"/>
      <c r="K19" s="94"/>
      <c r="L19" s="94"/>
      <c r="M19" s="94"/>
      <c r="N19" s="94"/>
      <c r="O19" s="94"/>
      <c r="P19" s="94"/>
      <c r="Q19" s="94"/>
      <c r="R19" s="94"/>
      <c r="S19" s="94"/>
      <c r="T19" s="94"/>
      <c r="U19" s="94"/>
      <c r="V19" s="94"/>
      <c r="W19" s="94"/>
      <c r="X19" s="94"/>
      <c r="Y19" s="94"/>
    </row>
    <row r="20" spans="1:25" ht="40.15" customHeight="1" x14ac:dyDescent="0.35">
      <c r="A20" s="99"/>
      <c r="B20" s="94"/>
      <c r="C20" s="94"/>
      <c r="D20" s="94"/>
      <c r="E20" s="94"/>
      <c r="F20" s="94"/>
      <c r="G20" s="188"/>
      <c r="H20" s="94"/>
      <c r="I20" s="94"/>
      <c r="J20" s="94"/>
      <c r="K20" s="94"/>
      <c r="L20" s="94"/>
      <c r="M20" s="94"/>
      <c r="N20" s="94"/>
      <c r="O20" s="94"/>
      <c r="P20" s="94"/>
      <c r="Q20" s="94"/>
      <c r="R20" s="94"/>
      <c r="S20" s="94"/>
      <c r="T20" s="94"/>
      <c r="U20" s="94"/>
      <c r="V20" s="94"/>
      <c r="W20" s="94"/>
      <c r="X20" s="94"/>
      <c r="Y20" s="94"/>
    </row>
    <row r="21" spans="1:25" ht="40.15" customHeight="1" x14ac:dyDescent="0.35">
      <c r="A21" s="99"/>
      <c r="B21" s="94"/>
      <c r="C21" s="94"/>
      <c r="D21" s="94"/>
      <c r="E21" s="94"/>
      <c r="F21" s="94"/>
      <c r="G21" s="188"/>
      <c r="H21" s="94"/>
      <c r="I21" s="94"/>
      <c r="J21" s="94"/>
      <c r="K21" s="94"/>
      <c r="L21" s="94"/>
      <c r="M21" s="94"/>
      <c r="N21" s="94"/>
      <c r="O21" s="94"/>
      <c r="P21" s="94"/>
      <c r="Q21" s="94"/>
      <c r="R21" s="94"/>
      <c r="S21" s="94"/>
      <c r="T21" s="94"/>
      <c r="U21" s="94"/>
      <c r="V21" s="94"/>
      <c r="W21" s="94"/>
      <c r="X21" s="94"/>
      <c r="Y21" s="94"/>
    </row>
    <row r="22" spans="1:25" ht="40.15" customHeight="1" x14ac:dyDescent="0.35">
      <c r="A22" s="99"/>
      <c r="B22" s="94"/>
      <c r="C22" s="94"/>
      <c r="D22" s="94"/>
      <c r="E22" s="94"/>
      <c r="F22" s="94"/>
      <c r="G22" s="188"/>
      <c r="H22" s="94"/>
      <c r="I22" s="94"/>
      <c r="J22" s="94"/>
      <c r="K22" s="94"/>
      <c r="L22" s="94"/>
      <c r="M22" s="94"/>
      <c r="N22" s="94"/>
      <c r="O22" s="94"/>
      <c r="P22" s="94"/>
      <c r="Q22" s="94"/>
      <c r="R22" s="94"/>
      <c r="S22" s="94"/>
      <c r="T22" s="94"/>
      <c r="U22" s="94"/>
      <c r="V22" s="94"/>
      <c r="W22" s="94"/>
      <c r="X22" s="94"/>
      <c r="Y22" s="94"/>
    </row>
    <row r="23" spans="1:25" ht="40.15" customHeight="1" x14ac:dyDescent="0.35">
      <c r="A23" s="94"/>
      <c r="B23" s="94"/>
      <c r="C23" s="94"/>
      <c r="D23" s="94"/>
      <c r="E23" s="94"/>
      <c r="F23" s="94"/>
      <c r="G23" s="188"/>
      <c r="H23" s="94"/>
      <c r="I23" s="94"/>
      <c r="J23" s="94"/>
      <c r="K23" s="94"/>
      <c r="L23" s="94"/>
      <c r="M23" s="94"/>
      <c r="N23" s="94"/>
      <c r="O23" s="94"/>
      <c r="P23" s="94"/>
      <c r="Q23" s="94"/>
      <c r="R23" s="94"/>
      <c r="S23" s="94"/>
      <c r="T23" s="94"/>
      <c r="U23" s="94"/>
      <c r="V23" s="94"/>
      <c r="W23" s="94"/>
      <c r="X23" s="94"/>
      <c r="Y23" s="94"/>
    </row>
    <row r="24" spans="1:25" ht="40.15" customHeight="1" x14ac:dyDescent="0.35">
      <c r="A24" s="94"/>
      <c r="B24" s="94"/>
      <c r="C24" s="94"/>
      <c r="D24" s="94"/>
      <c r="E24" s="94"/>
      <c r="F24" s="94"/>
      <c r="G24" s="188"/>
      <c r="H24" s="94"/>
      <c r="I24" s="94"/>
      <c r="J24" s="94"/>
      <c r="K24" s="94"/>
      <c r="L24" s="94"/>
      <c r="M24" s="94"/>
      <c r="N24" s="94"/>
      <c r="O24" s="94"/>
      <c r="P24" s="94"/>
      <c r="Q24" s="94"/>
      <c r="R24" s="94"/>
      <c r="S24" s="94"/>
      <c r="T24" s="94"/>
      <c r="U24" s="94"/>
      <c r="V24" s="94"/>
      <c r="W24" s="94"/>
      <c r="X24" s="94"/>
      <c r="Y24" s="94"/>
    </row>
    <row r="25" spans="1:25" ht="40.15" customHeight="1" x14ac:dyDescent="0.35">
      <c r="A25" s="94"/>
      <c r="B25" s="94"/>
      <c r="C25" s="94"/>
      <c r="D25" s="94"/>
      <c r="E25" s="94"/>
      <c r="F25" s="94"/>
      <c r="G25" s="188"/>
      <c r="H25" s="94"/>
      <c r="I25" s="94"/>
      <c r="J25" s="94"/>
      <c r="K25" s="94"/>
      <c r="L25" s="94"/>
      <c r="M25" s="94"/>
      <c r="N25" s="94"/>
      <c r="O25" s="94"/>
      <c r="P25" s="94"/>
      <c r="Q25" s="94"/>
      <c r="R25" s="94"/>
      <c r="S25" s="94"/>
      <c r="T25" s="94"/>
      <c r="U25" s="94"/>
      <c r="V25" s="94"/>
      <c r="W25" s="94"/>
      <c r="X25" s="94"/>
      <c r="Y25" s="94"/>
    </row>
    <row r="26" spans="1:25" ht="40.15" customHeight="1" x14ac:dyDescent="0.35">
      <c r="A26" s="94"/>
      <c r="B26" s="94"/>
      <c r="C26" s="94"/>
      <c r="D26" s="94"/>
      <c r="E26" s="94"/>
      <c r="F26" s="94"/>
      <c r="G26" s="188"/>
      <c r="H26" s="94"/>
      <c r="I26" s="94"/>
      <c r="J26" s="94"/>
      <c r="K26" s="94"/>
      <c r="L26" s="94"/>
      <c r="M26" s="94"/>
      <c r="N26" s="94"/>
      <c r="O26" s="94"/>
      <c r="P26" s="94"/>
      <c r="Q26" s="94"/>
      <c r="R26" s="94"/>
      <c r="S26" s="94"/>
      <c r="T26" s="94"/>
      <c r="U26" s="94"/>
      <c r="V26" s="94"/>
      <c r="W26" s="94"/>
      <c r="X26" s="94"/>
      <c r="Y26" s="94"/>
    </row>
    <row r="27" spans="1:25" ht="40.15" customHeight="1" x14ac:dyDescent="0.35">
      <c r="A27" s="94"/>
      <c r="B27" s="94"/>
      <c r="C27" s="94"/>
      <c r="D27" s="94"/>
      <c r="E27" s="94"/>
      <c r="F27" s="94"/>
      <c r="G27" s="188"/>
      <c r="H27" s="94"/>
      <c r="I27" s="94"/>
      <c r="J27" s="94"/>
      <c r="K27" s="94"/>
      <c r="L27" s="94"/>
      <c r="M27" s="94"/>
      <c r="N27" s="94"/>
      <c r="O27" s="94"/>
      <c r="P27" s="94"/>
      <c r="Q27" s="94"/>
      <c r="R27" s="94"/>
      <c r="S27" s="94"/>
      <c r="T27" s="94"/>
      <c r="U27" s="94"/>
      <c r="V27" s="94"/>
      <c r="W27" s="94"/>
      <c r="X27" s="94"/>
      <c r="Y27" s="94"/>
    </row>
    <row r="28" spans="1:25" ht="40.15" customHeight="1" x14ac:dyDescent="0.35">
      <c r="A28" s="94"/>
      <c r="B28" s="94"/>
      <c r="C28" s="94"/>
      <c r="D28" s="94"/>
      <c r="E28" s="94"/>
      <c r="F28" s="94"/>
      <c r="G28" s="188"/>
      <c r="H28" s="94"/>
      <c r="I28" s="94"/>
      <c r="J28" s="94"/>
      <c r="K28" s="94"/>
      <c r="L28" s="94"/>
      <c r="M28" s="94"/>
      <c r="N28" s="94"/>
      <c r="O28" s="94"/>
      <c r="P28" s="94"/>
      <c r="Q28" s="94"/>
      <c r="R28" s="94"/>
      <c r="S28" s="94"/>
      <c r="T28" s="94"/>
      <c r="U28" s="94"/>
      <c r="V28" s="94"/>
      <c r="W28" s="94"/>
      <c r="X28" s="94"/>
      <c r="Y28" s="94"/>
    </row>
    <row r="29" spans="1:25" ht="40.15" customHeight="1" x14ac:dyDescent="0.35">
      <c r="A29" s="94"/>
      <c r="B29" s="94"/>
      <c r="C29" s="94"/>
      <c r="D29" s="94"/>
      <c r="E29" s="94"/>
      <c r="F29" s="94"/>
      <c r="G29" s="188"/>
      <c r="H29" s="94"/>
      <c r="I29" s="94"/>
      <c r="J29" s="94"/>
      <c r="K29" s="94"/>
      <c r="L29" s="94"/>
      <c r="M29" s="94"/>
      <c r="N29" s="94"/>
      <c r="O29" s="94"/>
      <c r="P29" s="94"/>
      <c r="Q29" s="94"/>
      <c r="R29" s="94"/>
      <c r="S29" s="94"/>
      <c r="T29" s="94"/>
      <c r="U29" s="94"/>
      <c r="V29" s="94"/>
      <c r="W29" s="94"/>
      <c r="X29" s="94"/>
      <c r="Y29" s="94"/>
    </row>
    <row r="30" spans="1:25" ht="40.15" customHeight="1" x14ac:dyDescent="0.35">
      <c r="A30" s="94"/>
      <c r="B30" s="94"/>
      <c r="C30" s="94"/>
      <c r="D30" s="94"/>
      <c r="E30" s="94"/>
      <c r="F30" s="94"/>
      <c r="G30" s="188"/>
      <c r="H30" s="94"/>
      <c r="I30" s="94"/>
      <c r="J30" s="94"/>
      <c r="K30" s="94"/>
      <c r="L30" s="94"/>
      <c r="M30" s="94"/>
      <c r="N30" s="57"/>
      <c r="O30" s="94"/>
      <c r="P30" s="94"/>
      <c r="Q30" s="94"/>
      <c r="R30" s="94"/>
      <c r="S30" s="94"/>
      <c r="T30" s="94"/>
      <c r="U30" s="94"/>
      <c r="V30" s="94"/>
      <c r="W30" s="94"/>
      <c r="X30" s="94"/>
      <c r="Y30" s="94"/>
    </row>
    <row r="31" spans="1:25" ht="40.15" customHeight="1" x14ac:dyDescent="0.35">
      <c r="A31" s="94"/>
      <c r="B31" s="94"/>
      <c r="C31" s="94"/>
      <c r="D31" s="94"/>
      <c r="E31" s="94"/>
      <c r="F31" s="94"/>
      <c r="G31" s="188"/>
      <c r="H31" s="94"/>
      <c r="I31" s="94"/>
      <c r="J31" s="94"/>
      <c r="K31" s="94"/>
      <c r="L31" s="94"/>
      <c r="M31" s="94"/>
      <c r="N31" s="57"/>
      <c r="O31" s="94"/>
      <c r="P31" s="94"/>
      <c r="Q31" s="94"/>
      <c r="R31" s="94"/>
      <c r="S31" s="94"/>
      <c r="T31" s="94"/>
      <c r="U31" s="94"/>
      <c r="V31" s="94"/>
      <c r="W31" s="94"/>
      <c r="X31" s="94"/>
      <c r="Y31" s="94"/>
    </row>
    <row r="32" spans="1:25" ht="40.15" customHeight="1" x14ac:dyDescent="0.35">
      <c r="A32" s="94"/>
      <c r="B32" s="94"/>
      <c r="C32" s="94"/>
      <c r="D32" s="94"/>
      <c r="E32" s="94"/>
      <c r="F32" s="94"/>
      <c r="G32" s="188"/>
      <c r="H32" s="94"/>
      <c r="I32" s="94"/>
      <c r="J32" s="94"/>
      <c r="K32" s="94"/>
      <c r="L32" s="94"/>
      <c r="M32" s="94"/>
      <c r="N32" s="57"/>
      <c r="O32" s="94"/>
      <c r="P32" s="94"/>
      <c r="Q32" s="94"/>
      <c r="R32" s="94"/>
      <c r="S32" s="94"/>
      <c r="T32" s="94"/>
      <c r="U32" s="94"/>
      <c r="V32" s="94"/>
      <c r="W32" s="94"/>
      <c r="X32" s="94"/>
      <c r="Y32" s="94"/>
    </row>
    <row r="33" spans="1:25" ht="40.15" customHeight="1" x14ac:dyDescent="0.35">
      <c r="A33" s="94"/>
      <c r="B33" s="94"/>
      <c r="C33" s="94"/>
      <c r="D33" s="94"/>
      <c r="E33" s="94"/>
      <c r="F33" s="94"/>
      <c r="G33" s="188"/>
      <c r="H33" s="94"/>
      <c r="I33" s="94"/>
      <c r="J33" s="94"/>
      <c r="K33" s="94"/>
      <c r="L33" s="94"/>
      <c r="M33" s="94"/>
      <c r="N33" s="57"/>
      <c r="O33" s="94"/>
      <c r="P33" s="94"/>
      <c r="Q33" s="94"/>
      <c r="R33" s="94"/>
      <c r="S33" s="94"/>
      <c r="T33" s="94"/>
      <c r="U33" s="94"/>
      <c r="V33" s="94"/>
      <c r="W33" s="94"/>
      <c r="X33" s="94"/>
      <c r="Y33" s="94"/>
    </row>
    <row r="34" spans="1:25" ht="40.15" customHeight="1" x14ac:dyDescent="0.35">
      <c r="A34" s="94"/>
      <c r="B34" s="94"/>
      <c r="C34" s="94"/>
      <c r="D34" s="94"/>
      <c r="E34" s="94"/>
      <c r="F34" s="94"/>
      <c r="G34" s="188"/>
      <c r="H34" s="94"/>
      <c r="I34" s="94"/>
      <c r="J34" s="94"/>
      <c r="K34" s="94"/>
      <c r="L34" s="94"/>
      <c r="M34" s="94"/>
      <c r="N34" s="57"/>
      <c r="O34" s="94"/>
      <c r="P34" s="94"/>
      <c r="Q34" s="94"/>
      <c r="R34" s="94"/>
      <c r="S34" s="94"/>
      <c r="T34" s="94"/>
      <c r="U34" s="94"/>
      <c r="V34" s="94"/>
      <c r="W34" s="94"/>
      <c r="X34" s="94"/>
      <c r="Y34" s="94"/>
    </row>
    <row r="35" spans="1:25" ht="40.15" customHeight="1" x14ac:dyDescent="0.35">
      <c r="A35" s="94"/>
      <c r="B35" s="94"/>
      <c r="C35" s="94"/>
      <c r="D35" s="94"/>
      <c r="E35" s="94"/>
      <c r="F35" s="94"/>
      <c r="G35" s="188"/>
      <c r="H35" s="94"/>
      <c r="I35" s="94"/>
      <c r="J35" s="94"/>
      <c r="K35" s="94"/>
      <c r="L35" s="94"/>
      <c r="M35" s="94"/>
      <c r="N35" s="57"/>
      <c r="O35" s="57"/>
      <c r="P35" s="57"/>
      <c r="Q35" s="57"/>
      <c r="R35" s="57"/>
      <c r="S35" s="57"/>
      <c r="T35" s="57"/>
      <c r="U35" s="57"/>
      <c r="V35" s="57"/>
      <c r="W35" s="57"/>
      <c r="Y35" s="94"/>
    </row>
    <row r="36" spans="1:25" ht="40.15" customHeight="1" x14ac:dyDescent="0.35">
      <c r="A36" s="94"/>
      <c r="B36" s="94"/>
      <c r="C36" s="94"/>
      <c r="D36" s="94"/>
      <c r="E36" s="94"/>
      <c r="F36" s="94"/>
      <c r="G36" s="188"/>
      <c r="H36" s="94"/>
      <c r="I36" s="94"/>
      <c r="J36" s="94"/>
      <c r="K36" s="57"/>
      <c r="L36" s="57"/>
      <c r="M36" s="57"/>
      <c r="N36" s="57"/>
      <c r="O36" s="57"/>
      <c r="P36" s="57"/>
      <c r="Q36" s="57"/>
      <c r="R36" s="57"/>
      <c r="S36" s="57"/>
      <c r="T36" s="57"/>
      <c r="U36" s="57"/>
      <c r="V36" s="57"/>
      <c r="W36" s="57"/>
      <c r="Y36" s="94"/>
    </row>
    <row r="37" spans="1:25" ht="40.15" customHeight="1" x14ac:dyDescent="0.35">
      <c r="A37" s="94"/>
      <c r="B37" s="94"/>
      <c r="C37" s="94"/>
      <c r="D37" s="94"/>
      <c r="E37" s="94"/>
      <c r="F37" s="94"/>
      <c r="G37" s="188"/>
      <c r="H37" s="94"/>
      <c r="I37" s="94"/>
      <c r="J37" s="94"/>
      <c r="K37" s="57"/>
      <c r="L37" s="57"/>
      <c r="M37" s="57"/>
      <c r="N37" s="57"/>
      <c r="O37" s="57"/>
      <c r="P37" s="57"/>
      <c r="Q37" s="57"/>
      <c r="R37" s="57"/>
      <c r="S37" s="57"/>
      <c r="T37" s="57"/>
      <c r="U37" s="57"/>
      <c r="V37" s="57"/>
      <c r="W37" s="57"/>
      <c r="Y37" s="94"/>
    </row>
    <row r="38" spans="1:25" ht="40.15" customHeight="1" x14ac:dyDescent="0.3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3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3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3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3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3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3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3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3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3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3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3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3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3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3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3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3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3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3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3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3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3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3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3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3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3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3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3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3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3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3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3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3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3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3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3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3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3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3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3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3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3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3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3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3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3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3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3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3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3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3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3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3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3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3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3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3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3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3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3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3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3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3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3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3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3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3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3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3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3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3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3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3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3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3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35">
      <c r="A113" s="57"/>
      <c r="G113" s="57"/>
      <c r="H113" s="57"/>
      <c r="I113" s="57"/>
      <c r="J113" s="57"/>
      <c r="K113" s="57"/>
      <c r="L113" s="57"/>
      <c r="M113" s="57"/>
      <c r="N113" s="57"/>
      <c r="O113" s="57"/>
      <c r="P113" s="57"/>
      <c r="Q113" s="57"/>
      <c r="R113" s="57"/>
      <c r="S113" s="57"/>
      <c r="T113" s="57"/>
      <c r="U113" s="57"/>
      <c r="V113" s="57"/>
      <c r="W113" s="57"/>
    </row>
    <row r="114" spans="1:23" ht="40.15" customHeight="1" x14ac:dyDescent="0.35">
      <c r="A114" s="57"/>
      <c r="G114" s="57"/>
      <c r="H114" s="57"/>
      <c r="I114" s="57"/>
      <c r="J114" s="57"/>
      <c r="K114" s="57"/>
      <c r="L114" s="57"/>
      <c r="M114" s="57"/>
      <c r="N114" s="57"/>
      <c r="O114" s="57"/>
      <c r="P114" s="57"/>
      <c r="Q114" s="57"/>
      <c r="R114" s="57"/>
      <c r="S114" s="57"/>
      <c r="T114" s="57"/>
      <c r="U114" s="57"/>
      <c r="V114" s="57"/>
      <c r="W114" s="57"/>
    </row>
    <row r="115" spans="1:23" ht="40.15" customHeight="1" x14ac:dyDescent="0.35">
      <c r="A115" s="57"/>
      <c r="G115" s="57"/>
      <c r="H115" s="57"/>
      <c r="I115" s="57"/>
      <c r="J115" s="57"/>
      <c r="K115" s="57"/>
      <c r="L115" s="57"/>
      <c r="M115" s="57"/>
      <c r="N115" s="57"/>
      <c r="O115" s="57"/>
      <c r="P115" s="57"/>
      <c r="Q115" s="57"/>
      <c r="R115" s="57"/>
      <c r="S115" s="57"/>
      <c r="T115" s="57"/>
      <c r="U115" s="57"/>
      <c r="V115" s="57"/>
      <c r="W115" s="57"/>
    </row>
    <row r="116" spans="1:23" ht="40.15" customHeight="1" x14ac:dyDescent="0.35">
      <c r="A116" s="57"/>
      <c r="G116" s="57"/>
      <c r="H116" s="57"/>
      <c r="I116" s="57"/>
      <c r="J116" s="57"/>
      <c r="K116" s="57"/>
      <c r="L116" s="57"/>
      <c r="M116" s="57"/>
      <c r="N116" s="57"/>
      <c r="O116" s="57"/>
      <c r="P116" s="57"/>
      <c r="Q116" s="57"/>
      <c r="R116" s="57"/>
      <c r="S116" s="57"/>
      <c r="T116" s="57"/>
      <c r="U116" s="57"/>
      <c r="V116" s="57"/>
      <c r="W116" s="57"/>
    </row>
    <row r="117" spans="1:23" ht="40.15" customHeight="1" x14ac:dyDescent="0.35">
      <c r="A117" s="57"/>
      <c r="G117" s="57"/>
      <c r="H117" s="57"/>
      <c r="I117" s="57"/>
      <c r="J117" s="57"/>
      <c r="K117" s="57"/>
      <c r="L117" s="57"/>
      <c r="M117" s="57"/>
      <c r="N117" s="57"/>
      <c r="O117" s="57"/>
      <c r="P117" s="57"/>
      <c r="Q117" s="57"/>
      <c r="R117" s="57"/>
      <c r="S117" s="57"/>
      <c r="T117" s="57"/>
      <c r="U117" s="57"/>
      <c r="V117" s="57"/>
      <c r="W117" s="57"/>
    </row>
    <row r="118" spans="1:23" ht="40.15" customHeight="1" x14ac:dyDescent="0.35">
      <c r="A118" s="57"/>
      <c r="G118" s="57"/>
      <c r="H118" s="57"/>
      <c r="I118" s="57"/>
      <c r="J118" s="57"/>
      <c r="K118" s="57"/>
      <c r="L118" s="57"/>
      <c r="M118" s="57"/>
      <c r="N118" s="57"/>
      <c r="O118" s="57"/>
      <c r="P118" s="57"/>
      <c r="Q118" s="57"/>
      <c r="R118" s="57"/>
      <c r="S118" s="57"/>
      <c r="T118" s="57"/>
      <c r="U118" s="57"/>
      <c r="V118" s="57"/>
      <c r="W118" s="57"/>
    </row>
    <row r="119" spans="1:23" ht="40.15" customHeight="1" x14ac:dyDescent="0.35">
      <c r="A119" s="57"/>
      <c r="G119" s="57"/>
      <c r="H119" s="57"/>
      <c r="I119" s="57"/>
      <c r="J119" s="57"/>
      <c r="K119" s="57"/>
      <c r="L119" s="57"/>
      <c r="M119" s="57"/>
      <c r="N119" s="57"/>
      <c r="O119" s="57"/>
      <c r="P119" s="57"/>
      <c r="Q119" s="57"/>
      <c r="R119" s="57"/>
      <c r="S119" s="57"/>
      <c r="T119" s="57"/>
      <c r="U119" s="57"/>
      <c r="V119" s="57"/>
      <c r="W119" s="57"/>
    </row>
    <row r="120" spans="1:23" ht="40.15" customHeight="1" x14ac:dyDescent="0.35">
      <c r="A120" s="57"/>
      <c r="G120" s="57"/>
      <c r="H120" s="57"/>
      <c r="I120" s="57"/>
      <c r="J120" s="57"/>
      <c r="K120" s="57"/>
      <c r="L120" s="57"/>
      <c r="M120" s="57"/>
      <c r="N120" s="57"/>
      <c r="O120" s="57"/>
      <c r="P120" s="57"/>
      <c r="Q120" s="57"/>
      <c r="R120" s="57"/>
      <c r="S120" s="57"/>
      <c r="T120" s="57"/>
      <c r="U120" s="57"/>
      <c r="V120" s="57"/>
      <c r="W120" s="57"/>
    </row>
    <row r="121" spans="1:23" ht="40.15" customHeight="1" x14ac:dyDescent="0.35">
      <c r="A121" s="57"/>
      <c r="G121" s="57"/>
      <c r="H121" s="57"/>
      <c r="I121" s="57"/>
      <c r="J121" s="57"/>
      <c r="K121" s="57"/>
      <c r="L121" s="57"/>
      <c r="M121" s="57"/>
      <c r="N121" s="57"/>
      <c r="O121" s="57"/>
      <c r="P121" s="57"/>
      <c r="Q121" s="57"/>
      <c r="R121" s="57"/>
      <c r="S121" s="57"/>
      <c r="T121" s="57"/>
      <c r="U121" s="57"/>
      <c r="V121" s="57"/>
      <c r="W121" s="57"/>
    </row>
    <row r="122" spans="1:23" ht="40.15" customHeight="1" x14ac:dyDescent="0.35">
      <c r="A122" s="57"/>
      <c r="G122" s="57"/>
      <c r="H122" s="57"/>
      <c r="I122" s="57"/>
      <c r="J122" s="57"/>
      <c r="K122" s="57"/>
      <c r="L122" s="57"/>
      <c r="M122" s="57"/>
      <c r="N122" s="57"/>
      <c r="O122" s="57"/>
      <c r="P122" s="57"/>
      <c r="Q122" s="57"/>
      <c r="R122" s="57"/>
      <c r="S122" s="57"/>
      <c r="T122" s="57"/>
      <c r="U122" s="57"/>
      <c r="V122" s="57"/>
      <c r="W122" s="57"/>
    </row>
    <row r="123" spans="1:23" ht="40.15" customHeight="1" x14ac:dyDescent="0.35">
      <c r="A123" s="57"/>
      <c r="G123" s="57"/>
      <c r="H123" s="57"/>
      <c r="I123" s="57"/>
      <c r="J123" s="57"/>
      <c r="K123" s="57"/>
      <c r="L123" s="57"/>
      <c r="M123" s="57"/>
      <c r="N123" s="57"/>
      <c r="O123" s="57"/>
      <c r="P123" s="57"/>
      <c r="Q123" s="57"/>
      <c r="R123" s="57"/>
      <c r="S123" s="57"/>
      <c r="T123" s="57"/>
      <c r="U123" s="57"/>
      <c r="V123" s="57"/>
      <c r="W123" s="57"/>
    </row>
    <row r="124" spans="1:23" ht="40.15" customHeight="1" x14ac:dyDescent="0.35">
      <c r="A124" s="57"/>
      <c r="G124" s="57"/>
      <c r="H124" s="57"/>
      <c r="I124" s="57"/>
      <c r="J124" s="57"/>
      <c r="K124" s="57"/>
      <c r="L124" s="57"/>
      <c r="M124" s="57"/>
      <c r="N124" s="57"/>
      <c r="O124" s="57"/>
      <c r="P124" s="57"/>
      <c r="Q124" s="57"/>
      <c r="R124" s="57"/>
      <c r="S124" s="57"/>
      <c r="T124" s="57"/>
      <c r="U124" s="57"/>
      <c r="V124" s="57"/>
      <c r="W124" s="57"/>
    </row>
    <row r="125" spans="1:23" ht="40.15" customHeight="1" x14ac:dyDescent="0.35">
      <c r="A125" s="57"/>
      <c r="G125" s="57"/>
      <c r="H125" s="57"/>
      <c r="I125" s="57"/>
      <c r="J125" s="57"/>
      <c r="K125" s="57"/>
      <c r="L125" s="57"/>
      <c r="M125" s="57"/>
      <c r="N125" s="57"/>
      <c r="O125" s="57"/>
      <c r="P125" s="57"/>
      <c r="Q125" s="57"/>
      <c r="R125" s="57"/>
      <c r="S125" s="57"/>
      <c r="T125" s="57"/>
      <c r="U125" s="57"/>
      <c r="V125" s="57"/>
      <c r="W125" s="57"/>
    </row>
    <row r="126" spans="1:23" ht="40.15" customHeight="1" x14ac:dyDescent="0.35">
      <c r="A126" s="57"/>
      <c r="G126" s="57"/>
      <c r="H126" s="57"/>
      <c r="I126" s="57"/>
      <c r="J126" s="57"/>
      <c r="K126" s="57"/>
      <c r="L126" s="57"/>
      <c r="M126" s="57"/>
      <c r="N126" s="57"/>
      <c r="O126" s="57"/>
      <c r="P126" s="57"/>
      <c r="Q126" s="57"/>
      <c r="R126" s="57"/>
      <c r="S126" s="57"/>
      <c r="T126" s="57"/>
      <c r="U126" s="57"/>
      <c r="V126" s="57"/>
      <c r="W126" s="57"/>
    </row>
    <row r="127" spans="1:23" ht="40.15" customHeight="1" x14ac:dyDescent="0.35">
      <c r="A127" s="57"/>
      <c r="G127" s="57"/>
      <c r="H127" s="57"/>
      <c r="I127" s="57"/>
      <c r="J127" s="57"/>
      <c r="K127" s="57"/>
      <c r="L127" s="57"/>
      <c r="M127" s="57"/>
      <c r="N127" s="57"/>
      <c r="O127" s="57"/>
      <c r="P127" s="57"/>
      <c r="Q127" s="57"/>
      <c r="R127" s="57"/>
      <c r="S127" s="57"/>
      <c r="T127" s="57"/>
      <c r="U127" s="57"/>
      <c r="V127" s="57"/>
      <c r="W127" s="57"/>
    </row>
    <row r="128" spans="1:23" ht="40.15" customHeight="1" x14ac:dyDescent="0.35">
      <c r="A128" s="57"/>
      <c r="G128" s="57"/>
      <c r="H128" s="57"/>
      <c r="I128" s="57"/>
      <c r="J128" s="57"/>
      <c r="K128" s="57"/>
      <c r="L128" s="57"/>
      <c r="M128" s="57"/>
      <c r="N128" s="57"/>
      <c r="O128" s="57"/>
      <c r="P128" s="57"/>
      <c r="Q128" s="57"/>
      <c r="R128" s="57"/>
      <c r="S128" s="57"/>
      <c r="T128" s="57"/>
      <c r="U128" s="57"/>
      <c r="V128" s="57"/>
      <c r="W128" s="57"/>
    </row>
    <row r="129" spans="1:23" ht="40.15" customHeight="1" x14ac:dyDescent="0.35">
      <c r="A129" s="57"/>
      <c r="G129" s="57"/>
      <c r="H129" s="57"/>
      <c r="I129" s="57"/>
      <c r="J129" s="57"/>
      <c r="K129" s="57"/>
      <c r="L129" s="57"/>
      <c r="M129" s="57"/>
      <c r="N129" s="57"/>
      <c r="O129" s="57"/>
      <c r="P129" s="57"/>
      <c r="Q129" s="57"/>
      <c r="R129" s="57"/>
      <c r="S129" s="57"/>
      <c r="T129" s="57"/>
      <c r="U129" s="57"/>
      <c r="V129" s="57"/>
      <c r="W129" s="57"/>
    </row>
    <row r="130" spans="1:23" ht="40.15" customHeight="1" x14ac:dyDescent="0.35">
      <c r="A130" s="57"/>
      <c r="G130" s="57"/>
      <c r="H130" s="57"/>
      <c r="I130" s="57"/>
      <c r="J130" s="57"/>
      <c r="K130" s="57"/>
      <c r="L130" s="57"/>
      <c r="M130" s="57"/>
      <c r="N130" s="57"/>
      <c r="O130" s="57"/>
      <c r="P130" s="57"/>
      <c r="Q130" s="57"/>
      <c r="R130" s="57"/>
      <c r="S130" s="57"/>
      <c r="T130" s="57"/>
      <c r="U130" s="57"/>
      <c r="V130" s="57"/>
      <c r="W130" s="57"/>
    </row>
    <row r="131" spans="1:23" ht="40.15" customHeight="1" x14ac:dyDescent="0.35">
      <c r="A131" s="57"/>
      <c r="G131" s="57"/>
      <c r="H131" s="57"/>
      <c r="I131" s="57"/>
      <c r="J131" s="57"/>
      <c r="K131" s="57"/>
      <c r="L131" s="57"/>
      <c r="M131" s="57"/>
      <c r="N131" s="57"/>
      <c r="O131" s="57"/>
      <c r="P131" s="57"/>
      <c r="Q131" s="57"/>
      <c r="R131" s="57"/>
      <c r="S131" s="57"/>
      <c r="T131" s="57"/>
      <c r="U131" s="57"/>
      <c r="V131" s="57"/>
      <c r="W131" s="57"/>
    </row>
    <row r="132" spans="1:23" ht="40.15" customHeight="1" x14ac:dyDescent="0.35">
      <c r="A132" s="57"/>
      <c r="G132" s="57"/>
      <c r="H132" s="57"/>
      <c r="I132" s="57"/>
      <c r="J132" s="57"/>
      <c r="K132" s="57"/>
      <c r="L132" s="57"/>
      <c r="M132" s="57"/>
      <c r="N132" s="57"/>
      <c r="O132" s="57"/>
      <c r="P132" s="57"/>
      <c r="Q132" s="57"/>
      <c r="R132" s="57"/>
      <c r="S132" s="57"/>
      <c r="T132" s="57"/>
      <c r="U132" s="57"/>
      <c r="V132" s="57"/>
      <c r="W132" s="57"/>
    </row>
    <row r="133" spans="1:23" ht="40.15" customHeight="1" x14ac:dyDescent="0.35">
      <c r="A133" s="57"/>
      <c r="G133" s="57"/>
      <c r="H133" s="57"/>
      <c r="I133" s="57"/>
      <c r="J133" s="57"/>
      <c r="K133" s="57"/>
      <c r="L133" s="57"/>
      <c r="M133" s="57"/>
      <c r="N133" s="57"/>
      <c r="O133" s="57"/>
      <c r="P133" s="57"/>
      <c r="Q133" s="57"/>
      <c r="R133" s="57"/>
      <c r="S133" s="57"/>
      <c r="T133" s="57"/>
      <c r="U133" s="57"/>
      <c r="V133" s="57"/>
      <c r="W133" s="57"/>
    </row>
    <row r="134" spans="1:23" ht="40.15" customHeight="1" x14ac:dyDescent="0.35">
      <c r="A134" s="57"/>
      <c r="G134" s="57"/>
      <c r="H134" s="57"/>
      <c r="I134" s="57"/>
      <c r="J134" s="57"/>
      <c r="K134" s="57"/>
      <c r="L134" s="57"/>
      <c r="M134" s="57"/>
      <c r="N134" s="57"/>
      <c r="O134" s="57"/>
      <c r="P134" s="57"/>
      <c r="Q134" s="57"/>
      <c r="R134" s="57"/>
      <c r="S134" s="57"/>
      <c r="T134" s="57"/>
      <c r="U134" s="57"/>
      <c r="V134" s="57"/>
      <c r="W134" s="57"/>
    </row>
    <row r="135" spans="1:23" ht="40.15" customHeight="1" x14ac:dyDescent="0.35">
      <c r="A135" s="57"/>
      <c r="G135" s="57"/>
      <c r="H135" s="57"/>
      <c r="I135" s="57"/>
      <c r="J135" s="57"/>
      <c r="K135" s="57"/>
      <c r="L135" s="57"/>
      <c r="M135" s="57"/>
      <c r="N135" s="57"/>
      <c r="O135" s="57"/>
      <c r="P135" s="57"/>
      <c r="Q135" s="57"/>
      <c r="R135" s="57"/>
      <c r="S135" s="57"/>
      <c r="T135" s="57"/>
      <c r="U135" s="57"/>
      <c r="V135" s="57"/>
      <c r="W135" s="57"/>
    </row>
    <row r="136" spans="1:23" ht="40.15" customHeight="1" x14ac:dyDescent="0.35">
      <c r="A136" s="57"/>
      <c r="G136" s="57"/>
      <c r="H136" s="57"/>
      <c r="I136" s="57"/>
      <c r="J136" s="57"/>
      <c r="K136" s="57"/>
      <c r="L136" s="57"/>
      <c r="M136" s="57"/>
      <c r="N136" s="57"/>
      <c r="O136" s="57"/>
      <c r="P136" s="57"/>
      <c r="Q136" s="57"/>
      <c r="R136" s="57"/>
      <c r="S136" s="57"/>
      <c r="T136" s="57"/>
      <c r="U136" s="57"/>
      <c r="V136" s="57"/>
      <c r="W136" s="57"/>
    </row>
    <row r="137" spans="1:23" ht="40.15" customHeight="1" x14ac:dyDescent="0.35">
      <c r="A137" s="57"/>
      <c r="G137" s="57"/>
      <c r="H137" s="57"/>
      <c r="I137" s="57"/>
      <c r="J137" s="57"/>
      <c r="K137" s="57"/>
      <c r="L137" s="57"/>
      <c r="M137" s="57"/>
      <c r="N137" s="57"/>
      <c r="O137" s="57"/>
      <c r="P137" s="57"/>
      <c r="Q137" s="57"/>
      <c r="R137" s="57"/>
      <c r="S137" s="57"/>
      <c r="T137" s="57"/>
      <c r="U137" s="57"/>
      <c r="V137" s="57"/>
      <c r="W137" s="57"/>
    </row>
    <row r="138" spans="1:23" ht="40.15" customHeight="1" x14ac:dyDescent="0.35">
      <c r="A138" s="57"/>
      <c r="G138" s="57"/>
      <c r="H138" s="57"/>
      <c r="I138" s="57"/>
      <c r="J138" s="57"/>
      <c r="K138" s="57"/>
      <c r="L138" s="57"/>
      <c r="M138" s="57"/>
      <c r="N138" s="57"/>
      <c r="O138" s="57"/>
      <c r="P138" s="57"/>
      <c r="Q138" s="57"/>
      <c r="R138" s="57"/>
      <c r="S138" s="57"/>
      <c r="T138" s="57"/>
      <c r="U138" s="57"/>
      <c r="V138" s="57"/>
      <c r="W138" s="57"/>
    </row>
    <row r="139" spans="1:23" ht="40.15" customHeight="1" x14ac:dyDescent="0.35">
      <c r="A139" s="57"/>
      <c r="G139" s="57"/>
      <c r="H139" s="57"/>
      <c r="I139" s="57"/>
      <c r="J139" s="57"/>
      <c r="K139" s="57"/>
      <c r="L139" s="57"/>
      <c r="M139" s="57"/>
      <c r="N139" s="57"/>
      <c r="O139" s="57"/>
      <c r="P139" s="57"/>
      <c r="Q139" s="57"/>
      <c r="R139" s="57"/>
      <c r="S139" s="57"/>
      <c r="T139" s="57"/>
      <c r="U139" s="57"/>
      <c r="V139" s="57"/>
      <c r="W139" s="57"/>
    </row>
    <row r="140" spans="1:23" ht="40.15" customHeight="1" x14ac:dyDescent="0.35">
      <c r="A140" s="57"/>
      <c r="G140" s="57"/>
      <c r="H140" s="57"/>
      <c r="I140" s="57"/>
      <c r="J140" s="57"/>
      <c r="K140" s="57"/>
      <c r="L140" s="57"/>
      <c r="M140" s="57"/>
      <c r="N140" s="57"/>
      <c r="O140" s="57"/>
      <c r="P140" s="57"/>
      <c r="Q140" s="57"/>
      <c r="R140" s="57"/>
      <c r="S140" s="57"/>
      <c r="T140" s="57"/>
      <c r="U140" s="57"/>
      <c r="V140" s="57"/>
      <c r="W140" s="57"/>
    </row>
    <row r="141" spans="1:23" ht="40.15" customHeight="1" x14ac:dyDescent="0.35">
      <c r="A141" s="57"/>
      <c r="G141" s="57"/>
      <c r="H141" s="57"/>
      <c r="I141" s="57"/>
      <c r="J141" s="57"/>
      <c r="K141" s="57"/>
      <c r="L141" s="57"/>
      <c r="M141" s="57"/>
      <c r="N141" s="57"/>
      <c r="O141" s="57"/>
      <c r="P141" s="57"/>
      <c r="Q141" s="57"/>
      <c r="R141" s="57"/>
      <c r="S141" s="57"/>
      <c r="T141" s="57"/>
      <c r="U141" s="57"/>
      <c r="V141" s="57"/>
      <c r="W141" s="57"/>
    </row>
    <row r="142" spans="1:23" ht="40.15" customHeight="1" x14ac:dyDescent="0.35">
      <c r="A142" s="57"/>
      <c r="G142" s="57"/>
      <c r="H142" s="57"/>
      <c r="I142" s="57"/>
      <c r="J142" s="57"/>
      <c r="K142" s="57"/>
      <c r="L142" s="57"/>
      <c r="M142" s="57"/>
      <c r="N142" s="57"/>
      <c r="O142" s="57"/>
      <c r="P142" s="57"/>
      <c r="Q142" s="57"/>
      <c r="R142" s="57"/>
      <c r="S142" s="57"/>
      <c r="T142" s="57"/>
      <c r="U142" s="57"/>
      <c r="V142" s="57"/>
      <c r="W142" s="57"/>
    </row>
    <row r="143" spans="1:23" ht="40.15" customHeight="1" x14ac:dyDescent="0.35">
      <c r="A143" s="57"/>
      <c r="G143" s="57"/>
      <c r="H143" s="57"/>
      <c r="I143" s="57"/>
      <c r="J143" s="57"/>
      <c r="K143" s="57"/>
      <c r="L143" s="57"/>
      <c r="M143" s="57"/>
      <c r="N143" s="57"/>
      <c r="O143" s="57"/>
      <c r="P143" s="57"/>
      <c r="Q143" s="57"/>
      <c r="R143" s="57"/>
      <c r="S143" s="57"/>
      <c r="T143" s="57"/>
      <c r="U143" s="57"/>
      <c r="V143" s="57"/>
      <c r="W143" s="57"/>
    </row>
    <row r="144" spans="1:23" ht="40.15" customHeight="1" x14ac:dyDescent="0.35">
      <c r="A144" s="57"/>
      <c r="G144" s="57"/>
      <c r="H144" s="57"/>
      <c r="I144" s="57"/>
      <c r="J144" s="57"/>
      <c r="K144" s="57"/>
      <c r="L144" s="57"/>
      <c r="M144" s="57"/>
      <c r="N144" s="57"/>
      <c r="O144" s="57"/>
      <c r="P144" s="57"/>
      <c r="Q144" s="57"/>
      <c r="R144" s="57"/>
      <c r="S144" s="57"/>
      <c r="T144" s="57"/>
      <c r="U144" s="57"/>
      <c r="V144" s="57"/>
      <c r="W144" s="57"/>
    </row>
    <row r="145" spans="1:23" ht="40.15" customHeight="1" x14ac:dyDescent="0.35">
      <c r="A145" s="57"/>
      <c r="G145" s="57"/>
      <c r="H145" s="57"/>
      <c r="I145" s="57"/>
      <c r="J145" s="57"/>
      <c r="K145" s="57"/>
      <c r="L145" s="57"/>
      <c r="M145" s="57"/>
      <c r="N145" s="57"/>
      <c r="O145" s="57"/>
      <c r="P145" s="57"/>
      <c r="Q145" s="57"/>
      <c r="R145" s="57"/>
      <c r="S145" s="57"/>
      <c r="T145" s="57"/>
      <c r="U145" s="57"/>
      <c r="V145" s="57"/>
      <c r="W145" s="57"/>
    </row>
    <row r="146" spans="1:23" ht="40.15" customHeight="1" x14ac:dyDescent="0.35">
      <c r="A146" s="57"/>
      <c r="G146" s="57"/>
      <c r="H146" s="57"/>
      <c r="I146" s="57"/>
      <c r="J146" s="57"/>
      <c r="K146" s="57"/>
      <c r="L146" s="57"/>
      <c r="M146" s="57"/>
      <c r="N146" s="57"/>
      <c r="O146" s="57"/>
      <c r="P146" s="57"/>
      <c r="Q146" s="57"/>
      <c r="R146" s="57"/>
      <c r="S146" s="57"/>
      <c r="T146" s="57"/>
      <c r="U146" s="57"/>
      <c r="V146" s="57"/>
      <c r="W146" s="57"/>
    </row>
    <row r="147" spans="1:23" ht="40.15" customHeight="1" x14ac:dyDescent="0.35">
      <c r="A147" s="57"/>
      <c r="G147" s="57"/>
      <c r="H147" s="57"/>
      <c r="I147" s="57"/>
      <c r="J147" s="57"/>
      <c r="K147" s="57"/>
      <c r="L147" s="57"/>
      <c r="M147" s="57"/>
      <c r="N147" s="57"/>
      <c r="O147" s="57"/>
      <c r="P147" s="57"/>
      <c r="Q147" s="57"/>
      <c r="R147" s="57"/>
      <c r="S147" s="57"/>
      <c r="T147" s="57"/>
      <c r="U147" s="57"/>
      <c r="V147" s="57"/>
      <c r="W147" s="57"/>
    </row>
    <row r="148" spans="1:23" ht="40.15" customHeight="1" x14ac:dyDescent="0.35">
      <c r="A148" s="57"/>
      <c r="G148" s="57"/>
      <c r="H148" s="57"/>
      <c r="I148" s="57"/>
      <c r="J148" s="57"/>
      <c r="K148" s="57"/>
      <c r="L148" s="57"/>
      <c r="M148" s="57"/>
      <c r="N148" s="57"/>
      <c r="O148" s="57"/>
      <c r="P148" s="57"/>
      <c r="Q148" s="57"/>
      <c r="R148" s="57"/>
      <c r="S148" s="57"/>
      <c r="T148" s="57"/>
      <c r="U148" s="57"/>
      <c r="V148" s="57"/>
      <c r="W148" s="57"/>
    </row>
    <row r="149" spans="1:23" ht="40.15" customHeight="1" x14ac:dyDescent="0.35">
      <c r="A149" s="57"/>
      <c r="G149" s="57"/>
      <c r="H149" s="57"/>
      <c r="I149" s="57"/>
      <c r="J149" s="57"/>
      <c r="K149" s="57"/>
      <c r="L149" s="57"/>
      <c r="M149" s="57"/>
      <c r="N149" s="57"/>
      <c r="O149" s="57"/>
      <c r="P149" s="57"/>
      <c r="Q149" s="57"/>
      <c r="R149" s="57"/>
      <c r="S149" s="57"/>
      <c r="T149" s="57"/>
      <c r="U149" s="57"/>
      <c r="V149" s="57"/>
      <c r="W149" s="57"/>
    </row>
    <row r="150" spans="1:23" ht="40.15" customHeight="1" x14ac:dyDescent="0.35">
      <c r="A150" s="57"/>
      <c r="G150" s="57"/>
      <c r="H150" s="57"/>
      <c r="I150" s="57"/>
      <c r="J150" s="57"/>
      <c r="K150" s="57"/>
      <c r="L150" s="57"/>
      <c r="M150" s="57"/>
      <c r="N150" s="57"/>
      <c r="O150" s="57"/>
      <c r="P150" s="57"/>
      <c r="Q150" s="57"/>
      <c r="R150" s="57"/>
      <c r="S150" s="57"/>
      <c r="T150" s="57"/>
      <c r="U150" s="57"/>
      <c r="V150" s="57"/>
      <c r="W150" s="57"/>
    </row>
    <row r="151" spans="1:23" ht="40.15" customHeight="1" x14ac:dyDescent="0.35">
      <c r="A151" s="57"/>
      <c r="G151" s="57"/>
      <c r="H151" s="57"/>
      <c r="I151" s="57"/>
      <c r="J151" s="57"/>
      <c r="K151" s="57"/>
      <c r="L151" s="57"/>
      <c r="M151" s="57"/>
      <c r="N151" s="57"/>
      <c r="O151" s="57"/>
      <c r="P151" s="57"/>
      <c r="Q151" s="57"/>
      <c r="R151" s="57"/>
      <c r="S151" s="57"/>
      <c r="T151" s="57"/>
      <c r="U151" s="57"/>
      <c r="V151" s="57"/>
      <c r="W151" s="57"/>
    </row>
    <row r="152" spans="1:23" ht="40.15" customHeight="1" x14ac:dyDescent="0.35">
      <c r="A152" s="57"/>
      <c r="G152" s="57"/>
      <c r="H152" s="57"/>
      <c r="I152" s="57"/>
      <c r="J152" s="57"/>
      <c r="K152" s="57"/>
      <c r="L152" s="57"/>
      <c r="M152" s="57"/>
      <c r="N152" s="57"/>
      <c r="O152" s="57"/>
      <c r="P152" s="57"/>
      <c r="Q152" s="57"/>
      <c r="R152" s="57"/>
      <c r="S152" s="57"/>
      <c r="T152" s="57"/>
      <c r="U152" s="57"/>
      <c r="V152" s="57"/>
      <c r="W152" s="57"/>
    </row>
    <row r="153" spans="1:23" ht="40.15" customHeight="1" x14ac:dyDescent="0.35">
      <c r="A153" s="57"/>
      <c r="G153" s="57"/>
      <c r="H153" s="57"/>
      <c r="I153" s="57"/>
      <c r="J153" s="57"/>
      <c r="K153" s="57"/>
      <c r="L153" s="57"/>
      <c r="M153" s="57"/>
      <c r="N153" s="57"/>
      <c r="O153" s="57"/>
      <c r="P153" s="57"/>
      <c r="Q153" s="57"/>
      <c r="R153" s="57"/>
      <c r="S153" s="57"/>
      <c r="T153" s="57"/>
      <c r="U153" s="57"/>
      <c r="V153" s="57"/>
      <c r="W153" s="57"/>
    </row>
    <row r="154" spans="1:23" ht="40.15" customHeight="1" x14ac:dyDescent="0.35">
      <c r="A154" s="57"/>
      <c r="G154" s="57"/>
      <c r="H154" s="57"/>
      <c r="I154" s="57"/>
      <c r="J154" s="57"/>
      <c r="K154" s="57"/>
      <c r="L154" s="57"/>
      <c r="M154" s="57"/>
      <c r="N154" s="57"/>
      <c r="O154" s="57"/>
      <c r="P154" s="57"/>
      <c r="Q154" s="57"/>
      <c r="R154" s="57"/>
      <c r="S154" s="57"/>
      <c r="T154" s="57"/>
      <c r="U154" s="57"/>
      <c r="V154" s="57"/>
      <c r="W154" s="57"/>
    </row>
    <row r="155" spans="1:23" ht="40.15" customHeight="1" x14ac:dyDescent="0.35">
      <c r="A155" s="57"/>
      <c r="G155" s="57"/>
      <c r="H155" s="57"/>
      <c r="I155" s="57"/>
      <c r="J155" s="57"/>
      <c r="K155" s="57"/>
      <c r="L155" s="57"/>
      <c r="M155" s="57"/>
      <c r="N155" s="57"/>
      <c r="O155" s="57"/>
      <c r="P155" s="57"/>
      <c r="Q155" s="57"/>
      <c r="R155" s="57"/>
      <c r="S155" s="57"/>
      <c r="T155" s="57"/>
      <c r="U155" s="57"/>
      <c r="V155" s="57"/>
      <c r="W155" s="57"/>
    </row>
    <row r="156" spans="1:23" ht="40.15" customHeight="1" x14ac:dyDescent="0.35">
      <c r="A156" s="57"/>
      <c r="G156" s="57"/>
      <c r="H156" s="57"/>
      <c r="I156" s="57"/>
      <c r="J156" s="57"/>
      <c r="K156" s="57"/>
      <c r="L156" s="57"/>
      <c r="M156" s="57"/>
      <c r="N156" s="57"/>
      <c r="O156" s="57"/>
      <c r="P156" s="57"/>
      <c r="Q156" s="57"/>
      <c r="R156" s="57"/>
      <c r="S156" s="57"/>
      <c r="T156" s="57"/>
      <c r="U156" s="57"/>
      <c r="V156" s="57"/>
      <c r="W156" s="57"/>
    </row>
    <row r="157" spans="1:23" ht="40.15" customHeight="1" x14ac:dyDescent="0.35">
      <c r="A157" s="57"/>
      <c r="G157" s="57"/>
      <c r="H157" s="57"/>
      <c r="I157" s="57"/>
      <c r="J157" s="57"/>
      <c r="K157" s="57"/>
      <c r="L157" s="57"/>
      <c r="M157" s="57"/>
      <c r="N157" s="57"/>
      <c r="O157" s="57"/>
      <c r="P157" s="57"/>
      <c r="Q157" s="57"/>
      <c r="R157" s="57"/>
      <c r="S157" s="57"/>
      <c r="T157" s="57"/>
      <c r="U157" s="57"/>
      <c r="V157" s="57"/>
      <c r="W157" s="57"/>
    </row>
    <row r="158" spans="1:23" ht="40.15" customHeight="1" x14ac:dyDescent="0.35">
      <c r="A158" s="57"/>
      <c r="G158" s="57"/>
      <c r="H158" s="57"/>
      <c r="I158" s="57"/>
      <c r="J158" s="57"/>
      <c r="K158" s="57"/>
      <c r="L158" s="57"/>
      <c r="M158" s="57"/>
      <c r="N158" s="57"/>
      <c r="O158" s="57"/>
      <c r="P158" s="57"/>
      <c r="Q158" s="57"/>
      <c r="R158" s="57"/>
      <c r="S158" s="57"/>
      <c r="T158" s="57"/>
      <c r="U158" s="57"/>
      <c r="V158" s="57"/>
      <c r="W158" s="57"/>
    </row>
    <row r="159" spans="1:23" ht="40.15" customHeight="1" x14ac:dyDescent="0.35">
      <c r="A159" s="57"/>
      <c r="G159" s="57"/>
      <c r="H159" s="57"/>
      <c r="I159" s="57"/>
      <c r="J159" s="57"/>
      <c r="K159" s="57"/>
      <c r="L159" s="57"/>
      <c r="M159" s="57"/>
      <c r="N159" s="57"/>
      <c r="O159" s="57"/>
      <c r="P159" s="57"/>
      <c r="Q159" s="57"/>
      <c r="R159" s="57"/>
      <c r="S159" s="57"/>
      <c r="T159" s="57"/>
      <c r="U159" s="57"/>
      <c r="V159" s="57"/>
      <c r="W159" s="57"/>
    </row>
    <row r="160" spans="1:23" ht="40.15" customHeight="1" x14ac:dyDescent="0.35">
      <c r="A160" s="57"/>
      <c r="G160" s="57"/>
      <c r="H160" s="57"/>
      <c r="I160" s="57"/>
      <c r="J160" s="57"/>
      <c r="K160" s="57"/>
      <c r="L160" s="57"/>
      <c r="M160" s="57"/>
      <c r="N160" s="57"/>
      <c r="O160" s="57"/>
      <c r="P160" s="57"/>
      <c r="Q160" s="57"/>
      <c r="R160" s="57"/>
      <c r="S160" s="57"/>
      <c r="T160" s="57"/>
      <c r="U160" s="57"/>
      <c r="V160" s="57"/>
      <c r="W160" s="57"/>
    </row>
    <row r="161" spans="1:23" ht="40.15" customHeight="1" x14ac:dyDescent="0.35">
      <c r="A161" s="57"/>
      <c r="G161" s="57"/>
      <c r="H161" s="57"/>
      <c r="I161" s="57"/>
      <c r="J161" s="57"/>
      <c r="K161" s="57"/>
      <c r="L161" s="57"/>
      <c r="M161" s="57"/>
      <c r="N161" s="57"/>
      <c r="O161" s="57"/>
      <c r="P161" s="57"/>
      <c r="Q161" s="57"/>
      <c r="R161" s="57"/>
      <c r="S161" s="57"/>
      <c r="T161" s="57"/>
      <c r="U161" s="57"/>
      <c r="V161" s="57"/>
      <c r="W161" s="57"/>
    </row>
    <row r="162" spans="1:23" ht="40.15" customHeight="1" x14ac:dyDescent="0.35">
      <c r="A162" s="57"/>
      <c r="G162" s="57"/>
      <c r="H162" s="57"/>
      <c r="I162" s="57"/>
      <c r="J162" s="57"/>
      <c r="K162" s="57"/>
      <c r="L162" s="57"/>
      <c r="M162" s="57"/>
      <c r="N162" s="57"/>
      <c r="O162" s="57"/>
      <c r="P162" s="57"/>
      <c r="Q162" s="57"/>
      <c r="R162" s="57"/>
      <c r="S162" s="57"/>
      <c r="T162" s="57"/>
      <c r="U162" s="57"/>
      <c r="V162" s="57"/>
      <c r="W162" s="57"/>
    </row>
    <row r="163" spans="1:23" ht="40.15" customHeight="1" x14ac:dyDescent="0.35">
      <c r="A163" s="57"/>
      <c r="G163" s="57"/>
      <c r="H163" s="57"/>
      <c r="I163" s="57"/>
      <c r="J163" s="57"/>
      <c r="K163" s="57"/>
      <c r="L163" s="57"/>
      <c r="M163" s="57"/>
      <c r="N163" s="57"/>
      <c r="O163" s="57"/>
      <c r="P163" s="57"/>
      <c r="Q163" s="57"/>
      <c r="R163" s="57"/>
      <c r="S163" s="57"/>
      <c r="T163" s="57"/>
      <c r="U163" s="57"/>
      <c r="V163" s="57"/>
      <c r="W163" s="57"/>
    </row>
    <row r="164" spans="1:23" ht="40.15" customHeight="1" x14ac:dyDescent="0.35">
      <c r="A164" s="57"/>
      <c r="G164" s="57"/>
      <c r="H164" s="57"/>
      <c r="I164" s="57"/>
      <c r="J164" s="57"/>
      <c r="K164" s="57"/>
      <c r="L164" s="57"/>
      <c r="M164" s="57"/>
      <c r="N164" s="57"/>
      <c r="O164" s="57"/>
      <c r="P164" s="57"/>
      <c r="Q164" s="57"/>
      <c r="R164" s="57"/>
      <c r="S164" s="57"/>
      <c r="T164" s="57"/>
      <c r="U164" s="57"/>
      <c r="V164" s="57"/>
      <c r="W164" s="57"/>
    </row>
    <row r="165" spans="1:23" ht="40.15" customHeight="1" x14ac:dyDescent="0.35">
      <c r="A165" s="57"/>
      <c r="G165" s="57"/>
      <c r="H165" s="57"/>
      <c r="I165" s="57"/>
      <c r="J165" s="57"/>
      <c r="K165" s="57"/>
      <c r="L165" s="57"/>
      <c r="M165" s="57"/>
      <c r="N165" s="57"/>
      <c r="O165" s="57"/>
      <c r="P165" s="57"/>
      <c r="Q165" s="57"/>
      <c r="R165" s="57"/>
      <c r="S165" s="57"/>
      <c r="T165" s="57"/>
      <c r="U165" s="57"/>
      <c r="V165" s="57"/>
      <c r="W165" s="57"/>
    </row>
    <row r="166" spans="1:23" ht="40.15" customHeight="1" x14ac:dyDescent="0.35">
      <c r="A166" s="57"/>
      <c r="G166" s="57"/>
      <c r="H166" s="57"/>
      <c r="I166" s="57"/>
      <c r="J166" s="57"/>
      <c r="K166" s="57"/>
      <c r="L166" s="57"/>
      <c r="M166" s="57"/>
      <c r="N166" s="57"/>
      <c r="O166" s="57"/>
      <c r="P166" s="57"/>
      <c r="Q166" s="57"/>
      <c r="R166" s="57"/>
      <c r="S166" s="57"/>
      <c r="T166" s="57"/>
      <c r="U166" s="57"/>
      <c r="V166" s="57"/>
      <c r="W166" s="57"/>
    </row>
    <row r="167" spans="1:23" ht="40.15" customHeight="1" x14ac:dyDescent="0.35">
      <c r="A167" s="57"/>
      <c r="G167" s="57"/>
      <c r="H167" s="57"/>
      <c r="I167" s="57"/>
      <c r="J167" s="57"/>
      <c r="K167" s="57"/>
      <c r="L167" s="57"/>
      <c r="M167" s="57"/>
      <c r="N167" s="57"/>
      <c r="O167" s="57"/>
      <c r="P167" s="57"/>
      <c r="Q167" s="57"/>
      <c r="R167" s="57"/>
      <c r="S167" s="57"/>
      <c r="T167" s="57"/>
      <c r="U167" s="57"/>
      <c r="V167" s="57"/>
      <c r="W167" s="57"/>
    </row>
    <row r="168" spans="1:23" ht="40.15" customHeight="1" x14ac:dyDescent="0.35">
      <c r="A168" s="57"/>
      <c r="G168" s="57"/>
      <c r="H168" s="57"/>
      <c r="I168" s="57"/>
      <c r="J168" s="57"/>
      <c r="K168" s="57"/>
      <c r="L168" s="57"/>
      <c r="M168" s="57"/>
      <c r="N168" s="57"/>
      <c r="O168" s="57"/>
      <c r="P168" s="57"/>
      <c r="Q168" s="57"/>
      <c r="R168" s="57"/>
      <c r="S168" s="57"/>
      <c r="T168" s="57"/>
      <c r="U168" s="57"/>
      <c r="V168" s="57"/>
      <c r="W168" s="57"/>
    </row>
    <row r="169" spans="1:23" ht="40.15" customHeight="1" x14ac:dyDescent="0.35">
      <c r="A169" s="57"/>
      <c r="G169" s="57"/>
      <c r="H169" s="57"/>
      <c r="I169" s="57"/>
      <c r="J169" s="57"/>
      <c r="K169" s="57"/>
      <c r="L169" s="57"/>
      <c r="M169" s="57"/>
      <c r="N169" s="57"/>
      <c r="O169" s="57"/>
      <c r="P169" s="57"/>
      <c r="Q169" s="57"/>
      <c r="R169" s="57"/>
      <c r="S169" s="57"/>
      <c r="T169" s="57"/>
      <c r="U169" s="57"/>
      <c r="V169" s="57"/>
      <c r="W169" s="57"/>
    </row>
    <row r="170" spans="1:23" ht="40.15" customHeight="1" x14ac:dyDescent="0.35">
      <c r="A170" s="57"/>
      <c r="G170" s="57"/>
      <c r="H170" s="57"/>
      <c r="I170" s="57"/>
      <c r="J170" s="57"/>
      <c r="K170" s="57"/>
      <c r="L170" s="57"/>
      <c r="M170" s="57"/>
      <c r="N170" s="57"/>
      <c r="O170" s="57"/>
      <c r="P170" s="57"/>
      <c r="Q170" s="57"/>
      <c r="R170" s="57"/>
      <c r="S170" s="57"/>
      <c r="T170" s="57"/>
      <c r="U170" s="57"/>
      <c r="V170" s="57"/>
      <c r="W170" s="57"/>
    </row>
    <row r="171" spans="1:23" ht="40.15" customHeight="1" x14ac:dyDescent="0.35">
      <c r="A171" s="57"/>
      <c r="G171" s="57"/>
      <c r="H171" s="57"/>
      <c r="I171" s="57"/>
      <c r="J171" s="57"/>
      <c r="K171" s="57"/>
      <c r="L171" s="57"/>
      <c r="M171" s="57"/>
      <c r="N171" s="57"/>
      <c r="O171" s="57"/>
      <c r="P171" s="57"/>
      <c r="Q171" s="57"/>
      <c r="R171" s="57"/>
      <c r="S171" s="57"/>
      <c r="T171" s="57"/>
      <c r="U171" s="57"/>
      <c r="V171" s="57"/>
      <c r="W171" s="57"/>
    </row>
    <row r="172" spans="1:23" ht="40.15" customHeight="1" x14ac:dyDescent="0.35">
      <c r="A172" s="57"/>
      <c r="G172" s="57"/>
      <c r="H172" s="57"/>
      <c r="I172" s="57"/>
      <c r="J172" s="57"/>
      <c r="K172" s="57"/>
      <c r="L172" s="57"/>
      <c r="M172" s="57"/>
      <c r="N172" s="57"/>
      <c r="O172" s="57"/>
      <c r="P172" s="57"/>
      <c r="Q172" s="57"/>
      <c r="R172" s="57"/>
      <c r="S172" s="57"/>
      <c r="T172" s="57"/>
      <c r="U172" s="57"/>
      <c r="V172" s="57"/>
      <c r="W172" s="57"/>
    </row>
    <row r="173" spans="1:23" ht="40.15" customHeight="1" x14ac:dyDescent="0.35">
      <c r="A173" s="57"/>
      <c r="G173" s="57"/>
      <c r="H173" s="57"/>
      <c r="I173" s="57"/>
      <c r="J173" s="57"/>
      <c r="K173" s="57"/>
      <c r="L173" s="57"/>
      <c r="M173" s="57"/>
      <c r="N173" s="57"/>
      <c r="O173" s="57"/>
      <c r="P173" s="57"/>
      <c r="Q173" s="57"/>
      <c r="R173" s="57"/>
      <c r="S173" s="57"/>
      <c r="T173" s="57"/>
      <c r="U173" s="57"/>
      <c r="V173" s="57"/>
      <c r="W173" s="57"/>
    </row>
    <row r="174" spans="1:23" ht="40.15" customHeight="1" x14ac:dyDescent="0.35">
      <c r="A174" s="57"/>
      <c r="G174" s="57"/>
      <c r="H174" s="57"/>
      <c r="I174" s="57"/>
      <c r="J174" s="57"/>
      <c r="K174" s="57"/>
      <c r="L174" s="57"/>
      <c r="M174" s="57"/>
      <c r="N174" s="57"/>
      <c r="O174" s="57"/>
      <c r="P174" s="57"/>
      <c r="Q174" s="57"/>
      <c r="R174" s="57"/>
      <c r="S174" s="57"/>
      <c r="T174" s="57"/>
      <c r="U174" s="57"/>
      <c r="V174" s="57"/>
      <c r="W174" s="57"/>
    </row>
    <row r="175" spans="1:23" ht="40.15" customHeight="1" x14ac:dyDescent="0.35">
      <c r="A175" s="57"/>
      <c r="G175" s="57"/>
      <c r="H175" s="57"/>
      <c r="I175" s="57"/>
      <c r="J175" s="57"/>
      <c r="K175" s="57"/>
      <c r="L175" s="57"/>
      <c r="M175" s="57"/>
      <c r="N175" s="57"/>
      <c r="O175" s="57"/>
      <c r="P175" s="57"/>
      <c r="Q175" s="57"/>
      <c r="R175" s="57"/>
      <c r="S175" s="57"/>
      <c r="T175" s="57"/>
      <c r="U175" s="57"/>
      <c r="V175" s="57"/>
      <c r="W175" s="57"/>
    </row>
    <row r="176" spans="1:23" ht="40.15" customHeight="1" x14ac:dyDescent="0.35">
      <c r="A176" s="57"/>
      <c r="G176" s="57"/>
      <c r="H176" s="57"/>
      <c r="I176" s="57"/>
      <c r="J176" s="57"/>
      <c r="K176" s="57"/>
      <c r="L176" s="57"/>
      <c r="M176" s="57"/>
      <c r="N176" s="57"/>
      <c r="O176" s="57"/>
      <c r="P176" s="57"/>
      <c r="Q176" s="57"/>
      <c r="R176" s="57"/>
      <c r="S176" s="57"/>
      <c r="T176" s="57"/>
      <c r="U176" s="57"/>
      <c r="V176" s="57"/>
      <c r="W176" s="57"/>
    </row>
    <row r="177" spans="1:23" ht="40.15" customHeight="1" x14ac:dyDescent="0.35">
      <c r="A177" s="57"/>
      <c r="G177" s="57"/>
      <c r="H177" s="57"/>
      <c r="I177" s="57"/>
      <c r="J177" s="57"/>
      <c r="K177" s="57"/>
      <c r="L177" s="57"/>
      <c r="M177" s="57"/>
      <c r="N177" s="57"/>
      <c r="O177" s="57"/>
      <c r="P177" s="57"/>
      <c r="Q177" s="57"/>
      <c r="R177" s="57"/>
      <c r="S177" s="57"/>
      <c r="T177" s="57"/>
      <c r="U177" s="57"/>
      <c r="V177" s="57"/>
      <c r="W177" s="57"/>
    </row>
    <row r="178" spans="1:23" ht="40.15" customHeight="1" x14ac:dyDescent="0.35">
      <c r="A178" s="57"/>
      <c r="G178" s="57"/>
      <c r="H178" s="57"/>
      <c r="I178" s="57"/>
      <c r="J178" s="57"/>
      <c r="K178" s="57"/>
      <c r="L178" s="57"/>
      <c r="M178" s="57"/>
      <c r="N178" s="57"/>
      <c r="O178" s="57"/>
      <c r="P178" s="57"/>
      <c r="Q178" s="57"/>
      <c r="R178" s="57"/>
      <c r="S178" s="57"/>
      <c r="T178" s="57"/>
      <c r="U178" s="57"/>
      <c r="V178" s="57"/>
      <c r="W178" s="57"/>
    </row>
    <row r="179" spans="1:23" ht="40.15" customHeight="1" x14ac:dyDescent="0.35">
      <c r="A179" s="57"/>
      <c r="G179" s="57"/>
      <c r="H179" s="57"/>
      <c r="I179" s="57"/>
      <c r="J179" s="57"/>
      <c r="K179" s="57"/>
      <c r="L179" s="57"/>
      <c r="M179" s="57"/>
      <c r="N179" s="57"/>
      <c r="O179" s="57"/>
      <c r="P179" s="57"/>
      <c r="Q179" s="57"/>
      <c r="R179" s="57"/>
      <c r="S179" s="57"/>
      <c r="T179" s="57"/>
      <c r="U179" s="57"/>
      <c r="V179" s="57"/>
      <c r="W179" s="57"/>
    </row>
    <row r="180" spans="1:23" ht="40.15" customHeight="1" x14ac:dyDescent="0.35">
      <c r="A180" s="57"/>
      <c r="G180" s="57"/>
      <c r="H180" s="57"/>
      <c r="I180" s="57"/>
      <c r="J180" s="57"/>
      <c r="K180" s="57"/>
      <c r="L180" s="57"/>
      <c r="M180" s="57"/>
      <c r="N180" s="57"/>
      <c r="O180" s="57"/>
      <c r="P180" s="57"/>
      <c r="Q180" s="57"/>
      <c r="R180" s="57"/>
      <c r="S180" s="57"/>
      <c r="T180" s="57"/>
      <c r="U180" s="57"/>
      <c r="V180" s="57"/>
      <c r="W180" s="57"/>
    </row>
    <row r="181" spans="1:23" ht="40.15" customHeight="1" x14ac:dyDescent="0.35">
      <c r="A181" s="57"/>
      <c r="G181" s="57"/>
      <c r="H181" s="57"/>
      <c r="I181" s="57"/>
      <c r="J181" s="57"/>
      <c r="K181" s="57"/>
      <c r="L181" s="57"/>
      <c r="M181" s="57"/>
      <c r="N181" s="57"/>
      <c r="O181" s="57"/>
      <c r="P181" s="57"/>
      <c r="Q181" s="57"/>
      <c r="R181" s="57"/>
      <c r="S181" s="57"/>
      <c r="T181" s="57"/>
      <c r="U181" s="57"/>
      <c r="V181" s="57"/>
      <c r="W181" s="57"/>
    </row>
    <row r="182" spans="1:23" ht="40.15" customHeight="1" x14ac:dyDescent="0.35">
      <c r="A182" s="57"/>
      <c r="G182" s="57"/>
      <c r="H182" s="57"/>
      <c r="I182" s="57"/>
      <c r="J182" s="57"/>
      <c r="K182" s="57"/>
      <c r="L182" s="57"/>
      <c r="M182" s="57"/>
      <c r="N182" s="57"/>
      <c r="O182" s="57"/>
      <c r="P182" s="57"/>
      <c r="Q182" s="57"/>
      <c r="R182" s="57"/>
      <c r="S182" s="57"/>
      <c r="T182" s="57"/>
      <c r="U182" s="57"/>
      <c r="V182" s="57"/>
      <c r="W182" s="57"/>
    </row>
    <row r="183" spans="1:23" ht="40.15" customHeight="1" x14ac:dyDescent="0.35">
      <c r="A183" s="57"/>
      <c r="G183" s="57"/>
      <c r="H183" s="57"/>
      <c r="I183" s="57"/>
      <c r="J183" s="57"/>
      <c r="K183" s="57"/>
      <c r="L183" s="57"/>
      <c r="M183" s="57"/>
      <c r="N183" s="57"/>
      <c r="O183" s="57"/>
      <c r="P183" s="57"/>
      <c r="Q183" s="57"/>
      <c r="R183" s="57"/>
      <c r="S183" s="57"/>
      <c r="T183" s="57"/>
      <c r="U183" s="57"/>
      <c r="V183" s="57"/>
      <c r="W183" s="57"/>
    </row>
    <row r="184" spans="1:23" ht="40.15" customHeight="1" x14ac:dyDescent="0.35">
      <c r="A184" s="57"/>
      <c r="G184" s="57"/>
      <c r="H184" s="57"/>
      <c r="I184" s="57"/>
      <c r="J184" s="57"/>
      <c r="K184" s="57"/>
      <c r="L184" s="57"/>
      <c r="M184" s="57"/>
      <c r="N184" s="57"/>
      <c r="O184" s="57"/>
      <c r="P184" s="57"/>
      <c r="Q184" s="57"/>
      <c r="R184" s="57"/>
      <c r="S184" s="57"/>
      <c r="T184" s="57"/>
      <c r="U184" s="57"/>
      <c r="V184" s="57"/>
      <c r="W184" s="57"/>
    </row>
    <row r="185" spans="1:23" ht="40.15" customHeight="1" x14ac:dyDescent="0.35">
      <c r="A185" s="57"/>
      <c r="G185" s="57"/>
      <c r="H185" s="57"/>
      <c r="I185" s="57"/>
      <c r="J185" s="57"/>
      <c r="K185" s="57"/>
      <c r="L185" s="57"/>
      <c r="M185" s="57"/>
      <c r="N185" s="57"/>
      <c r="O185" s="57"/>
      <c r="P185" s="57"/>
      <c r="Q185" s="57"/>
      <c r="R185" s="57"/>
      <c r="S185" s="57"/>
      <c r="T185" s="57"/>
      <c r="U185" s="57"/>
      <c r="V185" s="57"/>
      <c r="W185" s="57"/>
    </row>
    <row r="186" spans="1:23" ht="40.15" customHeight="1" x14ac:dyDescent="0.35">
      <c r="A186" s="57"/>
      <c r="G186" s="57"/>
      <c r="H186" s="57"/>
      <c r="I186" s="57"/>
      <c r="J186" s="57"/>
      <c r="K186" s="57"/>
      <c r="L186" s="57"/>
      <c r="M186" s="57"/>
      <c r="N186" s="57"/>
      <c r="O186" s="57"/>
      <c r="P186" s="57"/>
      <c r="Q186" s="57"/>
      <c r="R186" s="57"/>
      <c r="S186" s="57"/>
      <c r="T186" s="57"/>
      <c r="U186" s="57"/>
      <c r="V186" s="57"/>
      <c r="W186" s="57"/>
    </row>
    <row r="187" spans="1:23" ht="40.15" customHeight="1" x14ac:dyDescent="0.35">
      <c r="A187" s="57"/>
      <c r="G187" s="57"/>
      <c r="H187" s="57"/>
      <c r="I187" s="57"/>
      <c r="J187" s="57"/>
      <c r="K187" s="57"/>
      <c r="L187" s="57"/>
      <c r="M187" s="57"/>
      <c r="N187" s="57"/>
      <c r="O187" s="57"/>
      <c r="P187" s="57"/>
      <c r="Q187" s="57"/>
      <c r="R187" s="57"/>
      <c r="S187" s="57"/>
      <c r="T187" s="57"/>
      <c r="U187" s="57"/>
      <c r="V187" s="57"/>
      <c r="W187" s="57"/>
    </row>
    <row r="188" spans="1:23" ht="40.15" customHeight="1" x14ac:dyDescent="0.35">
      <c r="A188" s="57"/>
      <c r="G188" s="57"/>
      <c r="H188" s="57"/>
      <c r="I188" s="57"/>
      <c r="J188" s="57"/>
      <c r="K188" s="57"/>
      <c r="L188" s="57"/>
      <c r="M188" s="57"/>
      <c r="N188" s="57"/>
      <c r="O188" s="57"/>
      <c r="P188" s="57"/>
      <c r="Q188" s="57"/>
      <c r="R188" s="57"/>
      <c r="S188" s="57"/>
      <c r="T188" s="57"/>
      <c r="U188" s="57"/>
      <c r="V188" s="57"/>
      <c r="W188" s="57"/>
    </row>
    <row r="189" spans="1:23" ht="40.15" customHeight="1" x14ac:dyDescent="0.35">
      <c r="A189" s="57"/>
      <c r="G189" s="57"/>
      <c r="H189" s="57"/>
      <c r="I189" s="57"/>
      <c r="J189" s="57"/>
      <c r="K189" s="57"/>
      <c r="L189" s="57"/>
      <c r="M189" s="57"/>
      <c r="N189" s="57"/>
      <c r="O189" s="57"/>
      <c r="P189" s="57"/>
      <c r="Q189" s="57"/>
      <c r="R189" s="57"/>
      <c r="S189" s="57"/>
      <c r="T189" s="57"/>
      <c r="U189" s="57"/>
      <c r="V189" s="57"/>
      <c r="W189" s="57"/>
    </row>
    <row r="190" spans="1:23" ht="40.15" customHeight="1" x14ac:dyDescent="0.35">
      <c r="A190" s="57"/>
      <c r="G190" s="57"/>
      <c r="H190" s="57"/>
      <c r="I190" s="57"/>
      <c r="J190" s="57"/>
      <c r="K190" s="57"/>
      <c r="L190" s="57"/>
      <c r="M190" s="57"/>
      <c r="N190" s="57"/>
      <c r="O190" s="57"/>
      <c r="P190" s="57"/>
      <c r="Q190" s="57"/>
      <c r="R190" s="57"/>
      <c r="S190" s="57"/>
      <c r="T190" s="57"/>
      <c r="U190" s="57"/>
      <c r="V190" s="57"/>
      <c r="W190" s="57"/>
    </row>
    <row r="191" spans="1:23" ht="40.15" customHeight="1" x14ac:dyDescent="0.35">
      <c r="A191" s="57"/>
      <c r="G191" s="57"/>
      <c r="H191" s="57"/>
      <c r="I191" s="57"/>
      <c r="J191" s="57"/>
      <c r="K191" s="57"/>
      <c r="L191" s="57"/>
      <c r="M191" s="57"/>
      <c r="N191" s="57"/>
      <c r="O191" s="57"/>
      <c r="P191" s="57"/>
      <c r="Q191" s="57"/>
      <c r="R191" s="57"/>
      <c r="S191" s="57"/>
      <c r="T191" s="57"/>
      <c r="U191" s="57"/>
      <c r="V191" s="57"/>
      <c r="W191" s="57"/>
    </row>
    <row r="192" spans="1:23" ht="40.15" customHeight="1" x14ac:dyDescent="0.35">
      <c r="A192" s="57"/>
      <c r="G192" s="57"/>
      <c r="H192" s="57"/>
      <c r="I192" s="57"/>
      <c r="J192" s="57"/>
      <c r="K192" s="57"/>
      <c r="L192" s="57"/>
      <c r="M192" s="57"/>
      <c r="N192" s="57"/>
      <c r="O192" s="57"/>
      <c r="P192" s="57"/>
      <c r="Q192" s="57"/>
      <c r="R192" s="57"/>
      <c r="S192" s="57"/>
      <c r="T192" s="57"/>
      <c r="U192" s="57"/>
      <c r="V192" s="57"/>
      <c r="W192" s="57"/>
    </row>
    <row r="193" spans="1:23" ht="40.15" customHeight="1" x14ac:dyDescent="0.35">
      <c r="A193" s="57"/>
      <c r="G193" s="57"/>
      <c r="H193" s="57"/>
      <c r="I193" s="57"/>
      <c r="J193" s="57"/>
      <c r="K193" s="57"/>
      <c r="L193" s="57"/>
      <c r="M193" s="57"/>
      <c r="N193" s="57"/>
      <c r="O193" s="57"/>
      <c r="P193" s="57"/>
      <c r="Q193" s="57"/>
      <c r="R193" s="57"/>
      <c r="S193" s="57"/>
      <c r="T193" s="57"/>
      <c r="U193" s="57"/>
      <c r="V193" s="57"/>
      <c r="W193" s="57"/>
    </row>
    <row r="194" spans="1:23" ht="40.15" customHeight="1" x14ac:dyDescent="0.35">
      <c r="A194" s="57"/>
      <c r="G194" s="57"/>
      <c r="H194" s="57"/>
      <c r="I194" s="57"/>
      <c r="J194" s="57"/>
      <c r="K194" s="57"/>
      <c r="L194" s="57"/>
      <c r="M194" s="57"/>
      <c r="N194" s="57"/>
      <c r="O194" s="57"/>
      <c r="P194" s="57"/>
      <c r="Q194" s="57"/>
      <c r="R194" s="57"/>
      <c r="S194" s="57"/>
      <c r="T194" s="57"/>
      <c r="U194" s="57"/>
      <c r="V194" s="57"/>
      <c r="W194" s="57"/>
    </row>
    <row r="195" spans="1:23" ht="40.15" customHeight="1" x14ac:dyDescent="0.35">
      <c r="A195" s="57"/>
      <c r="G195" s="57"/>
      <c r="H195" s="57"/>
      <c r="I195" s="57"/>
      <c r="J195" s="57"/>
      <c r="K195" s="57"/>
      <c r="L195" s="57"/>
      <c r="M195" s="57"/>
      <c r="N195" s="57"/>
      <c r="O195" s="57"/>
      <c r="P195" s="57"/>
      <c r="Q195" s="57"/>
      <c r="R195" s="57"/>
      <c r="S195" s="57"/>
      <c r="T195" s="57"/>
      <c r="U195" s="57"/>
      <c r="V195" s="57"/>
      <c r="W195" s="57"/>
    </row>
    <row r="196" spans="1:23" ht="40.15" customHeight="1" x14ac:dyDescent="0.35">
      <c r="A196" s="57"/>
      <c r="G196" s="57"/>
      <c r="H196" s="57"/>
      <c r="I196" s="57"/>
      <c r="J196" s="57"/>
      <c r="K196" s="57"/>
      <c r="L196" s="57"/>
      <c r="M196" s="57"/>
      <c r="N196" s="57"/>
      <c r="O196" s="57"/>
      <c r="P196" s="57"/>
      <c r="Q196" s="57"/>
      <c r="R196" s="57"/>
      <c r="S196" s="57"/>
      <c r="T196" s="57"/>
      <c r="U196" s="57"/>
      <c r="V196" s="57"/>
      <c r="W196" s="57"/>
    </row>
    <row r="197" spans="1:23" ht="40.15" customHeight="1" x14ac:dyDescent="0.35">
      <c r="A197" s="57"/>
      <c r="G197" s="57"/>
      <c r="H197" s="57"/>
      <c r="I197" s="57"/>
      <c r="J197" s="57"/>
      <c r="K197" s="57"/>
      <c r="L197" s="57"/>
      <c r="M197" s="57"/>
      <c r="N197" s="57"/>
      <c r="O197" s="57"/>
      <c r="P197" s="57"/>
      <c r="Q197" s="57"/>
      <c r="R197" s="57"/>
      <c r="S197" s="57"/>
      <c r="T197" s="57"/>
      <c r="U197" s="57"/>
      <c r="V197" s="57"/>
      <c r="W197" s="57"/>
    </row>
    <row r="198" spans="1:23" ht="40.15" customHeight="1" x14ac:dyDescent="0.35">
      <c r="A198" s="57"/>
      <c r="G198" s="57"/>
      <c r="H198" s="57"/>
      <c r="I198" s="57"/>
      <c r="J198" s="57"/>
      <c r="K198" s="57"/>
      <c r="L198" s="57"/>
      <c r="M198" s="57"/>
      <c r="N198" s="57"/>
      <c r="O198" s="57"/>
      <c r="P198" s="57"/>
      <c r="Q198" s="57"/>
      <c r="R198" s="57"/>
      <c r="S198" s="57"/>
      <c r="T198" s="57"/>
      <c r="U198" s="57"/>
      <c r="V198" s="57"/>
      <c r="W198" s="57"/>
    </row>
    <row r="199" spans="1:23" ht="40.15" customHeight="1" x14ac:dyDescent="0.35">
      <c r="A199" s="57"/>
      <c r="G199" s="57"/>
      <c r="H199" s="57"/>
      <c r="I199" s="57"/>
      <c r="J199" s="57"/>
      <c r="K199" s="57"/>
      <c r="L199" s="57"/>
      <c r="M199" s="57"/>
      <c r="N199" s="57"/>
      <c r="O199" s="57"/>
      <c r="P199" s="57"/>
      <c r="Q199" s="57"/>
      <c r="R199" s="57"/>
      <c r="S199" s="57"/>
      <c r="T199" s="57"/>
      <c r="U199" s="57"/>
      <c r="V199" s="57"/>
      <c r="W199" s="57"/>
    </row>
    <row r="200" spans="1:23" ht="40.15" customHeight="1" x14ac:dyDescent="0.35">
      <c r="A200" s="57"/>
      <c r="G200" s="57"/>
      <c r="H200" s="57"/>
      <c r="I200" s="57"/>
      <c r="J200" s="57"/>
      <c r="K200" s="57"/>
      <c r="L200" s="57"/>
      <c r="M200" s="57"/>
      <c r="N200" s="57"/>
      <c r="O200" s="57"/>
      <c r="P200" s="57"/>
      <c r="Q200" s="57"/>
      <c r="R200" s="57"/>
      <c r="S200" s="57"/>
      <c r="T200" s="57"/>
      <c r="U200" s="57"/>
      <c r="V200" s="57"/>
      <c r="W200" s="57"/>
    </row>
    <row r="201" spans="1:23" ht="40.15" customHeight="1" x14ac:dyDescent="0.35">
      <c r="A201" s="57"/>
      <c r="G201" s="57"/>
      <c r="H201" s="57"/>
      <c r="I201" s="57"/>
      <c r="J201" s="57"/>
      <c r="K201" s="57"/>
      <c r="L201" s="57"/>
      <c r="M201" s="57"/>
      <c r="N201" s="57"/>
      <c r="O201" s="57"/>
      <c r="P201" s="57"/>
      <c r="Q201" s="57"/>
      <c r="R201" s="57"/>
      <c r="S201" s="57"/>
      <c r="T201" s="57"/>
      <c r="U201" s="57"/>
      <c r="V201" s="57"/>
      <c r="W201" s="57"/>
    </row>
    <row r="202" spans="1:23" ht="40.15" customHeight="1" x14ac:dyDescent="0.35">
      <c r="A202" s="57"/>
      <c r="G202" s="57"/>
      <c r="H202" s="57"/>
      <c r="I202" s="57"/>
      <c r="J202" s="57"/>
      <c r="K202" s="57"/>
      <c r="L202" s="57"/>
      <c r="M202" s="57"/>
      <c r="N202" s="57"/>
      <c r="O202" s="57"/>
      <c r="P202" s="57"/>
      <c r="Q202" s="57"/>
      <c r="R202" s="57"/>
      <c r="S202" s="57"/>
      <c r="T202" s="57"/>
      <c r="U202" s="57"/>
      <c r="V202" s="57"/>
      <c r="W202" s="57"/>
    </row>
    <row r="203" spans="1:23" ht="40.15" customHeight="1" x14ac:dyDescent="0.35">
      <c r="A203" s="57"/>
      <c r="G203" s="57"/>
      <c r="H203" s="57"/>
      <c r="I203" s="57"/>
      <c r="J203" s="57"/>
      <c r="K203" s="57"/>
      <c r="L203" s="57"/>
      <c r="M203" s="57"/>
      <c r="N203" s="57"/>
      <c r="O203" s="57"/>
      <c r="P203" s="57"/>
      <c r="Q203" s="57"/>
      <c r="R203" s="57"/>
      <c r="S203" s="57"/>
      <c r="T203" s="57"/>
      <c r="U203" s="57"/>
      <c r="V203" s="57"/>
      <c r="W203" s="57"/>
    </row>
    <row r="204" spans="1:23" ht="40.15" customHeight="1" x14ac:dyDescent="0.35">
      <c r="A204" s="57"/>
      <c r="G204" s="57"/>
      <c r="H204" s="57"/>
      <c r="I204" s="57"/>
      <c r="J204" s="57"/>
      <c r="K204" s="57"/>
      <c r="L204" s="57"/>
      <c r="M204" s="57"/>
      <c r="N204" s="57"/>
      <c r="O204" s="57"/>
      <c r="P204" s="57"/>
      <c r="Q204" s="57"/>
      <c r="R204" s="57"/>
      <c r="S204" s="57"/>
      <c r="T204" s="57"/>
      <c r="U204" s="57"/>
      <c r="V204" s="57"/>
      <c r="W204" s="57"/>
    </row>
    <row r="205" spans="1:23" ht="40.15" customHeight="1" x14ac:dyDescent="0.35">
      <c r="A205" s="57"/>
      <c r="G205" s="57"/>
      <c r="H205" s="57"/>
      <c r="I205" s="57"/>
      <c r="J205" s="57"/>
      <c r="K205" s="57"/>
      <c r="L205" s="57"/>
      <c r="M205" s="57"/>
      <c r="N205" s="57"/>
      <c r="O205" s="57"/>
      <c r="P205" s="57"/>
      <c r="Q205" s="57"/>
      <c r="R205" s="57"/>
      <c r="S205" s="57"/>
      <c r="T205" s="57"/>
      <c r="U205" s="57"/>
      <c r="V205" s="57"/>
      <c r="W205" s="57"/>
    </row>
    <row r="206" spans="1:23" ht="40.15" customHeight="1" x14ac:dyDescent="0.35">
      <c r="A206" s="57"/>
      <c r="G206" s="57"/>
      <c r="H206" s="57"/>
      <c r="I206" s="57"/>
      <c r="J206" s="57"/>
      <c r="K206" s="57"/>
      <c r="L206" s="57"/>
      <c r="M206" s="57"/>
      <c r="N206" s="57"/>
      <c r="O206" s="57"/>
      <c r="P206" s="57"/>
      <c r="Q206" s="57"/>
      <c r="R206" s="57"/>
      <c r="S206" s="57"/>
      <c r="T206" s="57"/>
      <c r="U206" s="57"/>
      <c r="V206" s="57"/>
      <c r="W206" s="57"/>
    </row>
    <row r="207" spans="1:23" ht="40.15" customHeight="1" x14ac:dyDescent="0.35">
      <c r="A207" s="57"/>
      <c r="G207" s="57"/>
      <c r="H207" s="57"/>
      <c r="I207" s="57"/>
      <c r="J207" s="57"/>
      <c r="K207" s="57"/>
      <c r="L207" s="57"/>
      <c r="M207" s="57"/>
      <c r="N207" s="57"/>
      <c r="O207" s="57"/>
      <c r="P207" s="57"/>
      <c r="Q207" s="57"/>
      <c r="R207" s="57"/>
      <c r="S207" s="57"/>
      <c r="T207" s="57"/>
      <c r="U207" s="57"/>
      <c r="V207" s="57"/>
      <c r="W207" s="57"/>
    </row>
    <row r="208" spans="1:23" ht="40.15" customHeight="1" x14ac:dyDescent="0.35">
      <c r="A208" s="57"/>
      <c r="G208" s="57"/>
      <c r="H208" s="57"/>
      <c r="I208" s="57"/>
      <c r="J208" s="57"/>
      <c r="K208" s="57"/>
      <c r="L208" s="57"/>
      <c r="M208" s="57"/>
      <c r="N208" s="57"/>
      <c r="O208" s="57"/>
      <c r="P208" s="57"/>
      <c r="Q208" s="57"/>
      <c r="R208" s="57"/>
      <c r="S208" s="57"/>
      <c r="T208" s="57"/>
      <c r="U208" s="57"/>
      <c r="V208" s="57"/>
      <c r="W208" s="57"/>
    </row>
    <row r="209" spans="1:23" ht="40.15" customHeight="1" x14ac:dyDescent="0.35">
      <c r="A209" s="57"/>
      <c r="G209" s="57"/>
      <c r="H209" s="57"/>
      <c r="I209" s="57"/>
      <c r="J209" s="57"/>
      <c r="K209" s="57"/>
      <c r="L209" s="57"/>
      <c r="M209" s="57"/>
      <c r="N209" s="57"/>
      <c r="O209" s="57"/>
      <c r="P209" s="57"/>
      <c r="Q209" s="57"/>
      <c r="R209" s="57"/>
      <c r="S209" s="57"/>
      <c r="T209" s="57"/>
      <c r="U209" s="57"/>
      <c r="V209" s="57"/>
      <c r="W209" s="57"/>
    </row>
    <row r="210" spans="1:23" ht="40.15" customHeight="1" x14ac:dyDescent="0.35">
      <c r="A210" s="57"/>
      <c r="G210" s="57"/>
      <c r="H210" s="57"/>
      <c r="I210" s="57"/>
      <c r="J210" s="57"/>
      <c r="K210" s="57"/>
      <c r="L210" s="57"/>
      <c r="M210" s="57"/>
      <c r="N210" s="57"/>
      <c r="O210" s="57"/>
      <c r="P210" s="57"/>
      <c r="Q210" s="57"/>
      <c r="R210" s="57"/>
      <c r="S210" s="57"/>
      <c r="T210" s="57"/>
      <c r="U210" s="57"/>
      <c r="V210" s="57"/>
      <c r="W210" s="57"/>
    </row>
    <row r="211" spans="1:23" ht="40.15" customHeight="1" x14ac:dyDescent="0.35">
      <c r="A211" s="57"/>
      <c r="G211" s="57"/>
      <c r="H211" s="57"/>
      <c r="I211" s="57"/>
      <c r="J211" s="57"/>
      <c r="K211" s="57"/>
      <c r="L211" s="57"/>
      <c r="M211" s="57"/>
      <c r="N211" s="57"/>
      <c r="O211" s="57"/>
      <c r="P211" s="57"/>
      <c r="Q211" s="57"/>
      <c r="R211" s="57"/>
      <c r="S211" s="57"/>
      <c r="T211" s="57"/>
      <c r="U211" s="57"/>
      <c r="V211" s="57"/>
      <c r="W211" s="57"/>
    </row>
    <row r="212" spans="1:23" ht="40.15" customHeight="1" x14ac:dyDescent="0.35">
      <c r="A212" s="57"/>
      <c r="G212" s="57"/>
      <c r="H212" s="57"/>
      <c r="I212" s="57"/>
      <c r="J212" s="57"/>
      <c r="K212" s="57"/>
      <c r="L212" s="57"/>
      <c r="M212" s="57"/>
      <c r="N212" s="57"/>
      <c r="O212" s="57"/>
      <c r="P212" s="57"/>
      <c r="Q212" s="57"/>
      <c r="R212" s="57"/>
      <c r="S212" s="57"/>
      <c r="T212" s="57"/>
      <c r="U212" s="57"/>
      <c r="V212" s="57"/>
      <c r="W212" s="57"/>
    </row>
    <row r="213" spans="1:23" ht="40.15" customHeight="1" x14ac:dyDescent="0.35">
      <c r="A213" s="57"/>
      <c r="G213" s="57"/>
      <c r="H213" s="57"/>
      <c r="I213" s="57"/>
      <c r="J213" s="57"/>
      <c r="K213" s="57"/>
      <c r="L213" s="57"/>
      <c r="M213" s="57"/>
      <c r="N213" s="57"/>
      <c r="O213" s="57"/>
      <c r="P213" s="57"/>
      <c r="Q213" s="57"/>
      <c r="R213" s="57"/>
      <c r="S213" s="57"/>
      <c r="T213" s="57"/>
      <c r="U213" s="57"/>
      <c r="V213" s="57"/>
      <c r="W213" s="57"/>
    </row>
    <row r="214" spans="1:23" ht="40.15" customHeight="1" x14ac:dyDescent="0.35">
      <c r="A214" s="57"/>
      <c r="G214" s="57"/>
      <c r="H214" s="57"/>
      <c r="I214" s="57"/>
      <c r="J214" s="57"/>
      <c r="K214" s="57"/>
      <c r="L214" s="57"/>
      <c r="M214" s="57"/>
      <c r="N214" s="57"/>
      <c r="O214" s="57"/>
      <c r="P214" s="57"/>
      <c r="Q214" s="57"/>
      <c r="R214" s="57"/>
      <c r="S214" s="57"/>
      <c r="T214" s="57"/>
      <c r="U214" s="57"/>
      <c r="V214" s="57"/>
      <c r="W214" s="57"/>
    </row>
    <row r="215" spans="1:23" ht="40.15" customHeight="1" x14ac:dyDescent="0.35">
      <c r="A215" s="57"/>
      <c r="G215" s="57"/>
      <c r="H215" s="57"/>
      <c r="I215" s="57"/>
      <c r="J215" s="57"/>
      <c r="K215" s="57"/>
      <c r="L215" s="57"/>
      <c r="M215" s="57"/>
      <c r="N215" s="57"/>
      <c r="O215" s="57"/>
      <c r="P215" s="57"/>
      <c r="Q215" s="57"/>
      <c r="R215" s="57"/>
      <c r="S215" s="57"/>
      <c r="T215" s="57"/>
      <c r="U215" s="57"/>
      <c r="V215" s="57"/>
      <c r="W215" s="57"/>
    </row>
    <row r="216" spans="1:23" ht="40.15" customHeight="1" x14ac:dyDescent="0.35">
      <c r="A216" s="57"/>
      <c r="G216" s="57"/>
      <c r="H216" s="57"/>
      <c r="I216" s="57"/>
      <c r="J216" s="57"/>
      <c r="K216" s="57"/>
      <c r="L216" s="57"/>
      <c r="M216" s="57"/>
      <c r="N216" s="57"/>
      <c r="O216" s="57"/>
      <c r="P216" s="57"/>
      <c r="Q216" s="57"/>
      <c r="R216" s="57"/>
      <c r="S216" s="57"/>
      <c r="T216" s="57"/>
      <c r="U216" s="57"/>
      <c r="V216" s="57"/>
      <c r="W216" s="57"/>
    </row>
    <row r="217" spans="1:23" ht="40.15" customHeight="1" x14ac:dyDescent="0.35">
      <c r="A217" s="57"/>
      <c r="G217" s="57"/>
      <c r="H217" s="57"/>
      <c r="I217" s="57"/>
      <c r="J217" s="57"/>
      <c r="K217" s="57"/>
      <c r="L217" s="57"/>
      <c r="M217" s="57"/>
      <c r="N217" s="57"/>
      <c r="O217" s="57"/>
      <c r="P217" s="57"/>
      <c r="Q217" s="57"/>
      <c r="R217" s="57"/>
      <c r="S217" s="57"/>
      <c r="T217" s="57"/>
      <c r="U217" s="57"/>
      <c r="V217" s="57"/>
      <c r="W217" s="57"/>
    </row>
    <row r="218" spans="1:23" ht="40.15" customHeight="1" x14ac:dyDescent="0.35">
      <c r="A218" s="57"/>
      <c r="G218" s="57"/>
      <c r="H218" s="57"/>
      <c r="I218" s="57"/>
      <c r="J218" s="57"/>
      <c r="K218" s="57"/>
      <c r="L218" s="57"/>
      <c r="M218" s="57"/>
      <c r="N218" s="57"/>
      <c r="O218" s="57"/>
      <c r="P218" s="57"/>
      <c r="Q218" s="57"/>
      <c r="R218" s="57"/>
      <c r="S218" s="57"/>
      <c r="T218" s="57"/>
      <c r="U218" s="57"/>
      <c r="V218" s="57"/>
      <c r="W218" s="57"/>
    </row>
    <row r="219" spans="1:23" ht="40.15" customHeight="1" x14ac:dyDescent="0.35">
      <c r="A219" s="57"/>
      <c r="G219" s="57"/>
      <c r="H219" s="57"/>
      <c r="I219" s="57"/>
      <c r="J219" s="57"/>
      <c r="K219" s="57"/>
      <c r="L219" s="57"/>
      <c r="M219" s="57"/>
      <c r="N219" s="57"/>
      <c r="O219" s="57"/>
      <c r="P219" s="57"/>
      <c r="Q219" s="57"/>
      <c r="R219" s="57"/>
      <c r="S219" s="57"/>
      <c r="T219" s="57"/>
      <c r="U219" s="57"/>
      <c r="V219" s="57"/>
      <c r="W219" s="57"/>
    </row>
    <row r="220" spans="1:23" ht="40.15" customHeight="1" x14ac:dyDescent="0.35">
      <c r="A220" s="57"/>
      <c r="G220" s="57"/>
      <c r="H220" s="57"/>
      <c r="I220" s="57"/>
      <c r="J220" s="57"/>
      <c r="K220" s="57"/>
      <c r="L220" s="57"/>
      <c r="M220" s="57"/>
      <c r="N220" s="57"/>
      <c r="O220" s="57"/>
      <c r="P220" s="57"/>
      <c r="Q220" s="57"/>
      <c r="R220" s="57"/>
      <c r="S220" s="57"/>
      <c r="T220" s="57"/>
      <c r="U220" s="57"/>
      <c r="V220" s="57"/>
      <c r="W220" s="57"/>
    </row>
    <row r="221" spans="1:23" ht="40.15" customHeight="1" x14ac:dyDescent="0.35">
      <c r="A221" s="57"/>
      <c r="G221" s="57"/>
      <c r="H221" s="57"/>
      <c r="I221" s="57"/>
      <c r="J221" s="57"/>
      <c r="K221" s="57"/>
      <c r="L221" s="57"/>
      <c r="M221" s="57"/>
      <c r="N221" s="57"/>
      <c r="O221" s="57"/>
      <c r="P221" s="57"/>
      <c r="Q221" s="57"/>
      <c r="R221" s="57"/>
      <c r="S221" s="57"/>
      <c r="T221" s="57"/>
      <c r="U221" s="57"/>
      <c r="V221" s="57"/>
      <c r="W221" s="57"/>
    </row>
    <row r="222" spans="1:23" ht="40.15" customHeight="1" x14ac:dyDescent="0.35">
      <c r="A222" s="57"/>
      <c r="G222" s="57"/>
      <c r="H222" s="57"/>
      <c r="I222" s="57"/>
      <c r="J222" s="57"/>
      <c r="K222" s="57"/>
      <c r="L222" s="57"/>
      <c r="M222" s="57"/>
      <c r="N222" s="57"/>
      <c r="O222" s="57"/>
      <c r="P222" s="57"/>
      <c r="Q222" s="57"/>
      <c r="R222" s="57"/>
      <c r="S222" s="57"/>
      <c r="T222" s="57"/>
      <c r="U222" s="57"/>
      <c r="V222" s="57"/>
      <c r="W222" s="57"/>
    </row>
    <row r="223" spans="1:23" ht="40.15" customHeight="1" x14ac:dyDescent="0.35">
      <c r="A223" s="57"/>
      <c r="G223" s="57"/>
      <c r="H223" s="57"/>
      <c r="I223" s="57"/>
      <c r="J223" s="57"/>
      <c r="K223" s="57"/>
      <c r="L223" s="57"/>
      <c r="M223" s="57"/>
      <c r="N223" s="57"/>
      <c r="O223" s="57"/>
      <c r="P223" s="57"/>
      <c r="Q223" s="57"/>
      <c r="R223" s="57"/>
      <c r="S223" s="57"/>
      <c r="T223" s="57"/>
      <c r="U223" s="57"/>
      <c r="V223" s="57"/>
      <c r="W223" s="57"/>
    </row>
    <row r="224" spans="1:23" ht="40.15" customHeight="1" x14ac:dyDescent="0.35">
      <c r="A224" s="57"/>
      <c r="G224" s="57"/>
      <c r="H224" s="57"/>
      <c r="I224" s="57"/>
      <c r="J224" s="57"/>
      <c r="K224" s="57"/>
      <c r="L224" s="57"/>
      <c r="M224" s="57"/>
      <c r="N224" s="57"/>
      <c r="O224" s="57"/>
      <c r="P224" s="57"/>
      <c r="Q224" s="57"/>
      <c r="R224" s="57"/>
      <c r="S224" s="57"/>
      <c r="T224" s="57"/>
      <c r="U224" s="57"/>
      <c r="V224" s="57"/>
      <c r="W224" s="57"/>
    </row>
    <row r="225" spans="1:23" ht="40.15" customHeight="1" x14ac:dyDescent="0.35">
      <c r="A225" s="57"/>
      <c r="G225" s="57"/>
      <c r="H225" s="57"/>
      <c r="I225" s="57"/>
      <c r="J225" s="57"/>
      <c r="K225" s="57"/>
      <c r="L225" s="57"/>
      <c r="M225" s="57"/>
      <c r="N225" s="57"/>
      <c r="O225" s="57"/>
      <c r="P225" s="57"/>
      <c r="Q225" s="57"/>
      <c r="R225" s="57"/>
      <c r="S225" s="57"/>
      <c r="T225" s="57"/>
      <c r="U225" s="57"/>
      <c r="V225" s="57"/>
      <c r="W225" s="57"/>
    </row>
    <row r="226" spans="1:23" ht="40.15" customHeight="1" x14ac:dyDescent="0.35">
      <c r="A226" s="57"/>
      <c r="G226" s="57"/>
      <c r="H226" s="57"/>
      <c r="I226" s="57"/>
      <c r="J226" s="57"/>
      <c r="K226" s="57"/>
      <c r="L226" s="57"/>
      <c r="M226" s="57"/>
      <c r="N226" s="57"/>
      <c r="O226" s="57"/>
      <c r="P226" s="57"/>
      <c r="Q226" s="57"/>
      <c r="R226" s="57"/>
      <c r="S226" s="57"/>
      <c r="T226" s="57"/>
      <c r="U226" s="57"/>
      <c r="V226" s="57"/>
      <c r="W226" s="57"/>
    </row>
    <row r="227" spans="1:23" ht="40.15" customHeight="1" x14ac:dyDescent="0.35">
      <c r="A227" s="57"/>
      <c r="G227" s="57"/>
      <c r="H227" s="57"/>
      <c r="I227" s="57"/>
      <c r="J227" s="57"/>
      <c r="K227" s="57"/>
      <c r="L227" s="57"/>
      <c r="M227" s="57"/>
      <c r="N227" s="57"/>
      <c r="O227" s="57"/>
      <c r="P227" s="57"/>
      <c r="Q227" s="57"/>
      <c r="R227" s="57"/>
      <c r="S227" s="57"/>
      <c r="T227" s="57"/>
      <c r="U227" s="57"/>
      <c r="V227" s="57"/>
      <c r="W227" s="57"/>
    </row>
    <row r="228" spans="1:23" ht="40.15" customHeight="1" x14ac:dyDescent="0.35">
      <c r="A228" s="57"/>
      <c r="G228" s="57"/>
      <c r="H228" s="57"/>
      <c r="I228" s="57"/>
      <c r="J228" s="57"/>
      <c r="K228" s="57"/>
      <c r="L228" s="57"/>
      <c r="M228" s="57"/>
      <c r="N228" s="57"/>
      <c r="O228" s="57"/>
      <c r="P228" s="57"/>
      <c r="Q228" s="57"/>
      <c r="R228" s="57"/>
      <c r="S228" s="57"/>
      <c r="T228" s="57"/>
      <c r="U228" s="57"/>
      <c r="V228" s="57"/>
      <c r="W228" s="57"/>
    </row>
    <row r="229" spans="1:23" ht="40.15" customHeight="1" x14ac:dyDescent="0.35">
      <c r="A229" s="57"/>
      <c r="G229" s="57"/>
      <c r="H229" s="57"/>
      <c r="I229" s="57"/>
      <c r="J229" s="57"/>
      <c r="K229" s="57"/>
      <c r="L229" s="57"/>
      <c r="M229" s="57"/>
      <c r="N229" s="57"/>
      <c r="O229" s="57"/>
      <c r="P229" s="57"/>
      <c r="Q229" s="57"/>
      <c r="R229" s="57"/>
      <c r="S229" s="57"/>
      <c r="T229" s="57"/>
      <c r="U229" s="57"/>
      <c r="V229" s="57"/>
      <c r="W229" s="57"/>
    </row>
    <row r="230" spans="1:23" ht="40.15" customHeight="1" x14ac:dyDescent="0.35">
      <c r="A230" s="57"/>
      <c r="G230" s="57"/>
      <c r="H230" s="57"/>
      <c r="I230" s="57"/>
      <c r="J230" s="57"/>
      <c r="K230" s="57"/>
      <c r="L230" s="57"/>
      <c r="M230" s="57"/>
      <c r="N230" s="57"/>
      <c r="O230" s="57"/>
      <c r="P230" s="57"/>
      <c r="Q230" s="57"/>
      <c r="R230" s="57"/>
      <c r="S230" s="57"/>
      <c r="T230" s="57"/>
      <c r="U230" s="57"/>
      <c r="V230" s="57"/>
      <c r="W230" s="57"/>
    </row>
    <row r="231" spans="1:23" ht="40.15" customHeight="1" x14ac:dyDescent="0.35">
      <c r="A231" s="57"/>
      <c r="G231" s="57"/>
      <c r="H231" s="57"/>
      <c r="I231" s="57"/>
      <c r="J231" s="57"/>
      <c r="K231" s="57"/>
      <c r="L231" s="57"/>
      <c r="M231" s="57"/>
      <c r="N231" s="57"/>
      <c r="O231" s="57"/>
      <c r="P231" s="57"/>
      <c r="Q231" s="57"/>
      <c r="R231" s="57"/>
      <c r="S231" s="57"/>
      <c r="T231" s="57"/>
      <c r="U231" s="57"/>
      <c r="V231" s="57"/>
      <c r="W231" s="57"/>
    </row>
    <row r="232" spans="1:23" ht="40.15" customHeight="1" x14ac:dyDescent="0.35">
      <c r="A232" s="57"/>
      <c r="G232" s="57"/>
      <c r="H232" s="57"/>
      <c r="I232" s="57"/>
      <c r="J232" s="57"/>
      <c r="K232" s="57"/>
      <c r="L232" s="57"/>
      <c r="M232" s="57"/>
      <c r="N232" s="57"/>
      <c r="O232" s="57"/>
      <c r="P232" s="57"/>
      <c r="Q232" s="57"/>
      <c r="R232" s="57"/>
      <c r="S232" s="57"/>
      <c r="T232" s="57"/>
      <c r="U232" s="57"/>
      <c r="V232" s="57"/>
      <c r="W232" s="57"/>
    </row>
    <row r="233" spans="1:23" ht="40.15" customHeight="1" x14ac:dyDescent="0.35">
      <c r="A233" s="57"/>
      <c r="G233" s="57"/>
      <c r="H233" s="57"/>
      <c r="I233" s="57"/>
      <c r="J233" s="57"/>
      <c r="K233" s="57"/>
      <c r="L233" s="57"/>
      <c r="M233" s="57"/>
      <c r="N233" s="57"/>
      <c r="O233" s="57"/>
      <c r="P233" s="57"/>
      <c r="Q233" s="57"/>
      <c r="R233" s="57"/>
      <c r="S233" s="57"/>
      <c r="T233" s="57"/>
      <c r="U233" s="57"/>
      <c r="V233" s="57"/>
      <c r="W233" s="57"/>
    </row>
    <row r="234" spans="1:23" ht="40.15" customHeight="1" x14ac:dyDescent="0.35">
      <c r="A234" s="57"/>
      <c r="G234" s="57"/>
      <c r="H234" s="57"/>
      <c r="I234" s="57"/>
      <c r="J234" s="57"/>
      <c r="K234" s="57"/>
      <c r="L234" s="57"/>
      <c r="M234" s="57"/>
      <c r="N234" s="57"/>
      <c r="O234" s="57"/>
      <c r="P234" s="57"/>
      <c r="Q234" s="57"/>
      <c r="R234" s="57"/>
      <c r="S234" s="57"/>
      <c r="T234" s="57"/>
      <c r="U234" s="57"/>
      <c r="V234" s="57"/>
      <c r="W234" s="57"/>
    </row>
    <row r="235" spans="1:23" ht="40.15" customHeight="1" x14ac:dyDescent="0.35">
      <c r="A235" s="57"/>
      <c r="G235" s="57"/>
      <c r="H235" s="57"/>
      <c r="I235" s="57"/>
      <c r="J235" s="57"/>
      <c r="K235" s="57"/>
      <c r="L235" s="57"/>
      <c r="M235" s="57"/>
      <c r="N235" s="57"/>
      <c r="O235" s="57"/>
      <c r="P235" s="57"/>
      <c r="Q235" s="57"/>
      <c r="R235" s="57"/>
      <c r="S235" s="57"/>
      <c r="T235" s="57"/>
      <c r="U235" s="57"/>
      <c r="V235" s="57"/>
      <c r="W235" s="57"/>
    </row>
    <row r="236" spans="1:23" ht="40.15" customHeight="1" x14ac:dyDescent="0.35">
      <c r="A236" s="57"/>
      <c r="G236" s="57"/>
      <c r="H236" s="57"/>
      <c r="I236" s="57"/>
      <c r="J236" s="57"/>
      <c r="K236" s="57"/>
      <c r="L236" s="57"/>
      <c r="M236" s="57"/>
      <c r="N236" s="57"/>
      <c r="O236" s="57"/>
      <c r="P236" s="57"/>
      <c r="Q236" s="57"/>
      <c r="R236" s="57"/>
      <c r="S236" s="57"/>
      <c r="T236" s="57"/>
      <c r="U236" s="57"/>
      <c r="V236" s="57"/>
      <c r="W236" s="57"/>
    </row>
    <row r="237" spans="1:23" ht="40.15" customHeight="1" x14ac:dyDescent="0.35">
      <c r="A237" s="57"/>
      <c r="G237" s="57"/>
      <c r="H237" s="57"/>
      <c r="I237" s="57"/>
      <c r="J237" s="57"/>
      <c r="K237" s="57"/>
      <c r="L237" s="57"/>
      <c r="M237" s="57"/>
      <c r="N237" s="57"/>
      <c r="O237" s="57"/>
      <c r="P237" s="57"/>
      <c r="Q237" s="57"/>
      <c r="R237" s="57"/>
      <c r="S237" s="57"/>
      <c r="T237" s="57"/>
      <c r="U237" s="57"/>
      <c r="V237" s="57"/>
      <c r="W237" s="57"/>
    </row>
    <row r="238" spans="1:23" ht="40.15" customHeight="1" x14ac:dyDescent="0.35">
      <c r="A238" s="57"/>
      <c r="G238" s="57"/>
      <c r="H238" s="57"/>
      <c r="I238" s="57"/>
      <c r="J238" s="57"/>
      <c r="K238" s="57"/>
      <c r="L238" s="57"/>
      <c r="M238" s="57"/>
      <c r="N238" s="57"/>
      <c r="O238" s="57"/>
      <c r="P238" s="57"/>
      <c r="Q238" s="57"/>
      <c r="R238" s="57"/>
      <c r="S238" s="57"/>
      <c r="T238" s="57"/>
      <c r="U238" s="57"/>
      <c r="V238" s="57"/>
      <c r="W238" s="57"/>
    </row>
    <row r="239" spans="1:23" ht="40.15" customHeight="1" x14ac:dyDescent="0.35">
      <c r="A239" s="57"/>
      <c r="G239" s="57"/>
      <c r="H239" s="57"/>
      <c r="I239" s="57"/>
      <c r="J239" s="57"/>
      <c r="K239" s="57"/>
      <c r="L239" s="57"/>
      <c r="M239" s="57"/>
      <c r="N239" s="57"/>
      <c r="O239" s="57"/>
      <c r="P239" s="57"/>
      <c r="Q239" s="57"/>
      <c r="R239" s="57"/>
      <c r="S239" s="57"/>
      <c r="T239" s="57"/>
      <c r="U239" s="57"/>
      <c r="V239" s="57"/>
      <c r="W239" s="57"/>
    </row>
    <row r="240" spans="1:23" ht="40.15" customHeight="1" x14ac:dyDescent="0.35">
      <c r="A240" s="57"/>
      <c r="G240" s="57"/>
      <c r="H240" s="57"/>
      <c r="I240" s="57"/>
      <c r="J240" s="57"/>
      <c r="K240" s="57"/>
      <c r="L240" s="57"/>
      <c r="M240" s="57"/>
      <c r="N240" s="57"/>
      <c r="O240" s="57"/>
      <c r="P240" s="57"/>
      <c r="Q240" s="57"/>
      <c r="R240" s="57"/>
      <c r="S240" s="57"/>
      <c r="T240" s="57"/>
      <c r="U240" s="57"/>
      <c r="V240" s="57"/>
      <c r="W240" s="57"/>
    </row>
    <row r="241" spans="1:23" ht="40.15" customHeight="1" x14ac:dyDescent="0.35">
      <c r="A241" s="57"/>
      <c r="G241" s="57"/>
      <c r="H241" s="57"/>
      <c r="I241" s="57"/>
      <c r="J241" s="57"/>
      <c r="K241" s="57"/>
      <c r="L241" s="57"/>
      <c r="M241" s="57"/>
      <c r="N241" s="57"/>
      <c r="O241" s="57"/>
      <c r="P241" s="57"/>
      <c r="Q241" s="57"/>
      <c r="R241" s="57"/>
      <c r="S241" s="57"/>
      <c r="T241" s="57"/>
      <c r="U241" s="57"/>
      <c r="V241" s="57"/>
      <c r="W241" s="57"/>
    </row>
    <row r="242" spans="1:23" ht="40.15" customHeight="1" x14ac:dyDescent="0.35">
      <c r="A242" s="57"/>
      <c r="G242" s="57"/>
      <c r="H242" s="57"/>
      <c r="I242" s="57"/>
      <c r="J242" s="57"/>
      <c r="K242" s="57"/>
      <c r="L242" s="57"/>
      <c r="M242" s="57"/>
      <c r="N242" s="57"/>
      <c r="O242" s="57"/>
      <c r="P242" s="57"/>
      <c r="Q242" s="57"/>
      <c r="R242" s="57"/>
      <c r="S242" s="57"/>
      <c r="T242" s="57"/>
      <c r="U242" s="57"/>
      <c r="V242" s="57"/>
      <c r="W242" s="57"/>
    </row>
    <row r="243" spans="1:23" ht="40.15" customHeight="1" x14ac:dyDescent="0.35">
      <c r="A243" s="57"/>
      <c r="G243" s="57"/>
      <c r="H243" s="57"/>
      <c r="I243" s="57"/>
      <c r="J243" s="57"/>
      <c r="K243" s="57"/>
      <c r="L243" s="57"/>
      <c r="M243" s="57"/>
      <c r="N243" s="57"/>
      <c r="O243" s="57"/>
      <c r="P243" s="57"/>
      <c r="Q243" s="57"/>
      <c r="R243" s="57"/>
      <c r="S243" s="57"/>
      <c r="T243" s="57"/>
      <c r="U243" s="57"/>
      <c r="V243" s="57"/>
      <c r="W243" s="57"/>
    </row>
    <row r="244" spans="1:23" ht="40.15" customHeight="1" x14ac:dyDescent="0.35">
      <c r="A244" s="57"/>
      <c r="G244" s="57"/>
      <c r="H244" s="57"/>
      <c r="I244" s="57"/>
      <c r="J244" s="57"/>
      <c r="K244" s="57"/>
      <c r="L244" s="57"/>
      <c r="M244" s="57"/>
      <c r="N244" s="57"/>
      <c r="O244" s="57"/>
      <c r="P244" s="57"/>
      <c r="Q244" s="57"/>
      <c r="R244" s="57"/>
      <c r="S244" s="57"/>
      <c r="T244" s="57"/>
      <c r="U244" s="57"/>
      <c r="V244" s="57"/>
      <c r="W244" s="57"/>
    </row>
    <row r="245" spans="1:23" ht="40.15" customHeight="1" x14ac:dyDescent="0.35">
      <c r="A245" s="57"/>
      <c r="G245" s="57"/>
      <c r="H245" s="57"/>
      <c r="I245" s="57"/>
      <c r="J245" s="57"/>
      <c r="K245" s="57"/>
      <c r="L245" s="57"/>
      <c r="M245" s="57"/>
      <c r="N245" s="57"/>
      <c r="O245" s="57"/>
      <c r="P245" s="57"/>
      <c r="Q245" s="57"/>
      <c r="R245" s="57"/>
      <c r="S245" s="57"/>
      <c r="T245" s="57"/>
      <c r="U245" s="57"/>
      <c r="V245" s="57"/>
      <c r="W245" s="57"/>
    </row>
    <row r="246" spans="1:23" ht="40.15" customHeight="1" x14ac:dyDescent="0.35">
      <c r="A246" s="57"/>
      <c r="G246" s="57"/>
      <c r="H246" s="57"/>
      <c r="I246" s="57"/>
      <c r="J246" s="57"/>
      <c r="K246" s="57"/>
      <c r="L246" s="57"/>
      <c r="M246" s="57"/>
      <c r="N246" s="57"/>
      <c r="O246" s="57"/>
      <c r="P246" s="57"/>
      <c r="Q246" s="57"/>
      <c r="R246" s="57"/>
      <c r="S246" s="57"/>
      <c r="T246" s="57"/>
      <c r="U246" s="57"/>
      <c r="V246" s="57"/>
      <c r="W246" s="57"/>
    </row>
    <row r="247" spans="1:23" ht="40.15" customHeight="1" x14ac:dyDescent="0.35">
      <c r="A247" s="57"/>
      <c r="G247" s="57"/>
      <c r="H247" s="57"/>
      <c r="I247" s="57"/>
      <c r="J247" s="57"/>
      <c r="K247" s="57"/>
      <c r="L247" s="57"/>
      <c r="M247" s="57"/>
      <c r="N247" s="57"/>
      <c r="O247" s="57"/>
      <c r="P247" s="57"/>
      <c r="Q247" s="57"/>
      <c r="R247" s="57"/>
      <c r="S247" s="57"/>
      <c r="T247" s="57"/>
      <c r="U247" s="57"/>
      <c r="V247" s="57"/>
      <c r="W247" s="57"/>
    </row>
    <row r="248" spans="1:23" ht="40.15" customHeight="1" x14ac:dyDescent="0.35">
      <c r="A248" s="57"/>
      <c r="G248" s="57"/>
      <c r="H248" s="57"/>
      <c r="I248" s="57"/>
      <c r="J248" s="57"/>
      <c r="K248" s="57"/>
      <c r="L248" s="57"/>
      <c r="M248" s="57"/>
      <c r="N248" s="57"/>
      <c r="O248" s="57"/>
      <c r="P248" s="57"/>
      <c r="Q248" s="57"/>
      <c r="R248" s="57"/>
      <c r="S248" s="57"/>
      <c r="T248" s="57"/>
      <c r="U248" s="57"/>
      <c r="V248" s="57"/>
      <c r="W248" s="57"/>
    </row>
    <row r="249" spans="1:23" ht="40.15" customHeight="1" x14ac:dyDescent="0.35">
      <c r="A249" s="57"/>
      <c r="G249" s="57"/>
      <c r="H249" s="57"/>
      <c r="I249" s="57"/>
      <c r="J249" s="57"/>
      <c r="K249" s="57"/>
      <c r="L249" s="57"/>
      <c r="M249" s="57"/>
      <c r="N249" s="57"/>
      <c r="O249" s="57"/>
      <c r="P249" s="57"/>
      <c r="Q249" s="57"/>
      <c r="R249" s="57"/>
      <c r="S249" s="57"/>
      <c r="T249" s="57"/>
      <c r="U249" s="57"/>
      <c r="V249" s="57"/>
      <c r="W249" s="57"/>
    </row>
    <row r="250" spans="1:23" ht="40.15" customHeight="1" x14ac:dyDescent="0.35">
      <c r="A250" s="57"/>
      <c r="G250" s="57"/>
      <c r="H250" s="57"/>
      <c r="I250" s="57"/>
      <c r="J250" s="57"/>
      <c r="K250" s="57"/>
      <c r="L250" s="57"/>
      <c r="M250" s="57"/>
      <c r="N250" s="57"/>
      <c r="O250" s="57"/>
      <c r="P250" s="57"/>
      <c r="Q250" s="57"/>
      <c r="R250" s="57"/>
      <c r="S250" s="57"/>
      <c r="T250" s="57"/>
      <c r="U250" s="57"/>
      <c r="V250" s="57"/>
      <c r="W250" s="57"/>
    </row>
    <row r="251" spans="1:23" ht="40.15" customHeight="1" x14ac:dyDescent="0.35">
      <c r="A251" s="57"/>
      <c r="G251" s="57"/>
      <c r="H251" s="57"/>
      <c r="I251" s="57"/>
      <c r="J251" s="57"/>
      <c r="K251" s="57"/>
      <c r="L251" s="57"/>
      <c r="M251" s="57"/>
      <c r="N251" s="57"/>
      <c r="O251" s="57"/>
      <c r="P251" s="57"/>
      <c r="Q251" s="57"/>
      <c r="R251" s="57"/>
      <c r="S251" s="57"/>
      <c r="T251" s="57"/>
      <c r="U251" s="57"/>
      <c r="V251" s="57"/>
      <c r="W251" s="57"/>
    </row>
    <row r="252" spans="1:23" ht="40.15" customHeight="1" x14ac:dyDescent="0.35">
      <c r="A252" s="57"/>
      <c r="G252" s="57"/>
      <c r="H252" s="57"/>
      <c r="I252" s="57"/>
      <c r="J252" s="57"/>
      <c r="K252" s="57"/>
      <c r="L252" s="57"/>
      <c r="M252" s="57"/>
      <c r="N252" s="57"/>
      <c r="O252" s="57"/>
      <c r="P252" s="57"/>
      <c r="Q252" s="57"/>
      <c r="R252" s="57"/>
      <c r="S252" s="57"/>
      <c r="T252" s="57"/>
      <c r="U252" s="57"/>
      <c r="V252" s="57"/>
      <c r="W252" s="57"/>
    </row>
    <row r="253" spans="1:23" ht="40.15" customHeight="1" x14ac:dyDescent="0.35">
      <c r="A253" s="57"/>
      <c r="G253" s="57"/>
      <c r="H253" s="57"/>
      <c r="I253" s="57"/>
      <c r="J253" s="57"/>
      <c r="K253" s="57"/>
      <c r="L253" s="57"/>
      <c r="M253" s="57"/>
      <c r="N253" s="57"/>
      <c r="O253" s="57"/>
      <c r="P253" s="57"/>
      <c r="Q253" s="57"/>
      <c r="R253" s="57"/>
      <c r="S253" s="57"/>
      <c r="T253" s="57"/>
      <c r="U253" s="57"/>
      <c r="V253" s="57"/>
      <c r="W253" s="57"/>
    </row>
    <row r="254" spans="1:23" ht="40.15" customHeight="1" x14ac:dyDescent="0.35">
      <c r="A254" s="57"/>
      <c r="G254" s="57"/>
      <c r="H254" s="57"/>
      <c r="I254" s="57"/>
      <c r="J254" s="57"/>
      <c r="K254" s="57"/>
      <c r="L254" s="57"/>
      <c r="M254" s="57"/>
      <c r="N254" s="57"/>
      <c r="O254" s="57"/>
      <c r="P254" s="57"/>
      <c r="Q254" s="57"/>
      <c r="R254" s="57"/>
      <c r="S254" s="57"/>
      <c r="T254" s="57"/>
      <c r="U254" s="57"/>
      <c r="V254" s="57"/>
      <c r="W254" s="57"/>
    </row>
    <row r="255" spans="1:23" ht="40.15" customHeight="1" x14ac:dyDescent="0.35">
      <c r="A255" s="57"/>
      <c r="G255" s="57"/>
      <c r="H255" s="57"/>
      <c r="I255" s="57"/>
      <c r="J255" s="57"/>
      <c r="K255" s="57"/>
      <c r="L255" s="57"/>
      <c r="M255" s="57"/>
      <c r="N255" s="57"/>
      <c r="O255" s="57"/>
      <c r="P255" s="57"/>
      <c r="Q255" s="57"/>
      <c r="R255" s="57"/>
      <c r="S255" s="57"/>
      <c r="T255" s="57"/>
      <c r="U255" s="57"/>
      <c r="V255" s="57"/>
      <c r="W255" s="57"/>
    </row>
    <row r="256" spans="1:23" ht="40.15" customHeight="1" x14ac:dyDescent="0.35">
      <c r="A256" s="57"/>
      <c r="G256" s="57"/>
      <c r="H256" s="57"/>
      <c r="I256" s="57"/>
      <c r="J256" s="57"/>
      <c r="K256" s="57"/>
      <c r="L256" s="57"/>
      <c r="M256" s="57"/>
      <c r="N256" s="57"/>
      <c r="O256" s="57"/>
      <c r="P256" s="57"/>
      <c r="Q256" s="57"/>
      <c r="R256" s="57"/>
      <c r="S256" s="57"/>
      <c r="T256" s="57"/>
      <c r="U256" s="57"/>
      <c r="V256" s="57"/>
      <c r="W256" s="57"/>
    </row>
    <row r="257" spans="1:23" ht="40.15" customHeight="1" x14ac:dyDescent="0.35">
      <c r="A257" s="57"/>
      <c r="G257" s="57"/>
      <c r="H257" s="57"/>
      <c r="I257" s="57"/>
      <c r="J257" s="57"/>
      <c r="K257" s="57"/>
      <c r="L257" s="57"/>
      <c r="M257" s="57"/>
      <c r="N257" s="57"/>
      <c r="O257" s="57"/>
      <c r="P257" s="57"/>
      <c r="Q257" s="57"/>
      <c r="R257" s="57"/>
      <c r="S257" s="57"/>
      <c r="T257" s="57"/>
      <c r="U257" s="57"/>
      <c r="V257" s="57"/>
      <c r="W257" s="57"/>
    </row>
    <row r="258" spans="1:23" ht="40.15" customHeight="1" x14ac:dyDescent="0.35">
      <c r="A258" s="57"/>
      <c r="G258" s="57"/>
      <c r="H258" s="57"/>
      <c r="I258" s="57"/>
      <c r="J258" s="57"/>
      <c r="K258" s="57"/>
      <c r="L258" s="57"/>
      <c r="M258" s="57"/>
      <c r="N258" s="57"/>
      <c r="O258" s="57"/>
      <c r="P258" s="57"/>
      <c r="Q258" s="57"/>
      <c r="R258" s="57"/>
      <c r="S258" s="57"/>
      <c r="T258" s="57"/>
      <c r="U258" s="57"/>
      <c r="V258" s="57"/>
      <c r="W258" s="57"/>
    </row>
    <row r="259" spans="1:23" ht="40.15" customHeight="1" x14ac:dyDescent="0.35">
      <c r="A259" s="57"/>
      <c r="G259" s="57"/>
      <c r="H259" s="57"/>
      <c r="I259" s="57"/>
      <c r="J259" s="57"/>
      <c r="K259" s="57"/>
      <c r="L259" s="57"/>
      <c r="M259" s="57"/>
      <c r="N259" s="57"/>
      <c r="O259" s="57"/>
      <c r="P259" s="57"/>
      <c r="Q259" s="57"/>
      <c r="R259" s="57"/>
      <c r="S259" s="57"/>
      <c r="T259" s="57"/>
      <c r="U259" s="57"/>
      <c r="V259" s="57"/>
      <c r="W259" s="57"/>
    </row>
    <row r="260" spans="1:23" ht="40.15" customHeight="1" x14ac:dyDescent="0.35">
      <c r="A260" s="57"/>
      <c r="G260" s="57"/>
      <c r="H260" s="57"/>
      <c r="I260" s="57"/>
      <c r="J260" s="57"/>
      <c r="K260" s="57"/>
      <c r="L260" s="57"/>
      <c r="M260" s="57"/>
      <c r="N260" s="57"/>
      <c r="O260" s="57"/>
      <c r="P260" s="57"/>
      <c r="Q260" s="57"/>
      <c r="R260" s="57"/>
      <c r="S260" s="57"/>
      <c r="T260" s="57"/>
      <c r="U260" s="57"/>
      <c r="V260" s="57"/>
      <c r="W260" s="57"/>
    </row>
    <row r="261" spans="1:23" ht="40.15" customHeight="1" x14ac:dyDescent="0.35">
      <c r="A261" s="57"/>
      <c r="G261" s="57"/>
      <c r="H261" s="57"/>
      <c r="I261" s="57"/>
      <c r="J261" s="57"/>
      <c r="K261" s="57"/>
      <c r="L261" s="57"/>
      <c r="M261" s="57"/>
      <c r="N261" s="57"/>
      <c r="O261" s="57"/>
      <c r="P261" s="57"/>
      <c r="Q261" s="57"/>
      <c r="R261" s="57"/>
      <c r="S261" s="57"/>
      <c r="T261" s="57"/>
      <c r="U261" s="57"/>
      <c r="V261" s="57"/>
      <c r="W261" s="57"/>
    </row>
    <row r="262" spans="1:23" ht="40.15" customHeight="1" x14ac:dyDescent="0.35">
      <c r="A262" s="57"/>
      <c r="G262" s="57"/>
      <c r="H262" s="57"/>
      <c r="I262" s="57"/>
      <c r="J262" s="57"/>
      <c r="K262" s="57"/>
      <c r="L262" s="57"/>
      <c r="M262" s="57"/>
      <c r="N262" s="57"/>
      <c r="O262" s="57"/>
      <c r="P262" s="57"/>
      <c r="Q262" s="57"/>
      <c r="R262" s="57"/>
      <c r="S262" s="57"/>
      <c r="T262" s="57"/>
      <c r="U262" s="57"/>
      <c r="V262" s="57"/>
      <c r="W262" s="57"/>
    </row>
    <row r="263" spans="1:23" ht="40.15" customHeight="1" x14ac:dyDescent="0.35">
      <c r="A263" s="57"/>
      <c r="G263" s="57"/>
      <c r="H263" s="57"/>
      <c r="I263" s="57"/>
      <c r="J263" s="57"/>
      <c r="K263" s="57"/>
      <c r="L263" s="57"/>
      <c r="M263" s="57"/>
      <c r="N263" s="57"/>
      <c r="O263" s="57"/>
      <c r="P263" s="57"/>
      <c r="Q263" s="57"/>
      <c r="R263" s="57"/>
      <c r="S263" s="57"/>
      <c r="T263" s="57"/>
      <c r="U263" s="57"/>
      <c r="V263" s="57"/>
      <c r="W263" s="57"/>
    </row>
    <row r="264" spans="1:23" ht="40.15" customHeight="1" x14ac:dyDescent="0.35">
      <c r="A264" s="57"/>
      <c r="G264" s="57"/>
      <c r="H264" s="57"/>
      <c r="I264" s="57"/>
      <c r="J264" s="57"/>
      <c r="K264" s="57"/>
      <c r="L264" s="57"/>
      <c r="M264" s="57"/>
      <c r="N264" s="57"/>
      <c r="O264" s="57"/>
      <c r="P264" s="57"/>
      <c r="Q264" s="57"/>
      <c r="R264" s="57"/>
      <c r="S264" s="57"/>
      <c r="T264" s="57"/>
      <c r="U264" s="57"/>
      <c r="V264" s="57"/>
      <c r="W264" s="57"/>
    </row>
    <row r="265" spans="1:23" ht="40.15" customHeight="1" x14ac:dyDescent="0.35">
      <c r="A265" s="57"/>
      <c r="G265" s="57"/>
      <c r="H265" s="57"/>
      <c r="I265" s="57"/>
      <c r="J265" s="57"/>
      <c r="K265" s="57"/>
      <c r="L265" s="57"/>
      <c r="M265" s="57"/>
      <c r="N265" s="57"/>
      <c r="O265" s="57"/>
      <c r="P265" s="57"/>
      <c r="Q265" s="57"/>
      <c r="R265" s="57"/>
      <c r="S265" s="57"/>
      <c r="T265" s="57"/>
      <c r="U265" s="57"/>
      <c r="V265" s="57"/>
      <c r="W265" s="57"/>
    </row>
    <row r="266" spans="1:23" ht="40.15" customHeight="1" x14ac:dyDescent="0.35">
      <c r="A266" s="57"/>
      <c r="G266" s="57"/>
      <c r="H266" s="57"/>
      <c r="I266" s="57"/>
      <c r="J266" s="57"/>
      <c r="K266" s="57"/>
      <c r="L266" s="57"/>
      <c r="M266" s="57"/>
      <c r="N266" s="57"/>
      <c r="O266" s="57"/>
      <c r="P266" s="57"/>
      <c r="Q266" s="57"/>
      <c r="R266" s="57"/>
      <c r="S266" s="57"/>
      <c r="T266" s="57"/>
      <c r="U266" s="57"/>
      <c r="V266" s="57"/>
      <c r="W266" s="57"/>
    </row>
    <row r="267" spans="1:23" ht="40.15" customHeight="1" x14ac:dyDescent="0.35">
      <c r="A267" s="57"/>
      <c r="G267" s="57"/>
      <c r="H267" s="57"/>
      <c r="I267" s="57"/>
      <c r="J267" s="57"/>
      <c r="K267" s="57"/>
      <c r="L267" s="57"/>
      <c r="M267" s="57"/>
      <c r="N267" s="57"/>
      <c r="O267" s="57"/>
      <c r="P267" s="57"/>
      <c r="Q267" s="57"/>
      <c r="R267" s="57"/>
      <c r="S267" s="57"/>
      <c r="T267" s="57"/>
      <c r="U267" s="57"/>
      <c r="V267" s="57"/>
      <c r="W267" s="57"/>
    </row>
    <row r="268" spans="1:23" ht="40.15" customHeight="1" x14ac:dyDescent="0.35">
      <c r="A268" s="57"/>
      <c r="G268" s="57"/>
      <c r="H268" s="57"/>
      <c r="I268" s="57"/>
      <c r="J268" s="57"/>
      <c r="K268" s="57"/>
      <c r="L268" s="57"/>
      <c r="M268" s="57"/>
      <c r="N268" s="57"/>
      <c r="O268" s="57"/>
      <c r="P268" s="57"/>
      <c r="Q268" s="57"/>
      <c r="R268" s="57"/>
      <c r="S268" s="57"/>
      <c r="T268" s="57"/>
      <c r="U268" s="57"/>
      <c r="V268" s="57"/>
      <c r="W268" s="57"/>
    </row>
    <row r="269" spans="1:23" ht="40.15" customHeight="1" x14ac:dyDescent="0.35">
      <c r="A269" s="57"/>
      <c r="G269" s="57"/>
      <c r="H269" s="57"/>
      <c r="I269" s="57"/>
      <c r="J269" s="57"/>
      <c r="K269" s="57"/>
      <c r="L269" s="57"/>
      <c r="M269" s="57"/>
      <c r="N269" s="57"/>
      <c r="O269" s="57"/>
      <c r="P269" s="57"/>
      <c r="Q269" s="57"/>
      <c r="R269" s="57"/>
      <c r="S269" s="57"/>
      <c r="T269" s="57"/>
      <c r="U269" s="57"/>
      <c r="V269" s="57"/>
      <c r="W269" s="57"/>
    </row>
    <row r="270" spans="1:23" ht="40.15" customHeight="1" x14ac:dyDescent="0.35">
      <c r="A270" s="57"/>
      <c r="G270" s="57"/>
      <c r="H270" s="57"/>
      <c r="I270" s="57"/>
      <c r="J270" s="57"/>
      <c r="K270" s="57"/>
      <c r="L270" s="57"/>
      <c r="M270" s="57"/>
      <c r="N270" s="57"/>
      <c r="O270" s="57"/>
      <c r="P270" s="57"/>
      <c r="Q270" s="57"/>
      <c r="R270" s="57"/>
      <c r="S270" s="57"/>
      <c r="T270" s="57"/>
      <c r="U270" s="57"/>
      <c r="V270" s="57"/>
      <c r="W270" s="57"/>
    </row>
    <row r="271" spans="1:23" ht="40.15" customHeight="1" x14ac:dyDescent="0.35">
      <c r="A271" s="57"/>
      <c r="G271" s="57"/>
      <c r="H271" s="57"/>
      <c r="I271" s="57"/>
      <c r="J271" s="57"/>
      <c r="K271" s="57"/>
      <c r="L271" s="57"/>
      <c r="M271" s="57"/>
      <c r="N271" s="57"/>
      <c r="O271" s="57"/>
      <c r="P271" s="57"/>
      <c r="Q271" s="57"/>
      <c r="R271" s="57"/>
      <c r="S271" s="57"/>
      <c r="T271" s="57"/>
      <c r="U271" s="57"/>
      <c r="V271" s="57"/>
      <c r="W271" s="57"/>
    </row>
    <row r="272" spans="1:23" ht="40.15" customHeight="1" x14ac:dyDescent="0.35">
      <c r="A272" s="57"/>
      <c r="G272" s="57"/>
      <c r="H272" s="57"/>
      <c r="I272" s="57"/>
      <c r="J272" s="57"/>
      <c r="K272" s="57"/>
      <c r="L272" s="57"/>
      <c r="M272" s="57"/>
      <c r="N272" s="57"/>
      <c r="O272" s="57"/>
      <c r="P272" s="57"/>
      <c r="Q272" s="57"/>
      <c r="R272" s="57"/>
      <c r="S272" s="57"/>
      <c r="T272" s="57"/>
      <c r="U272" s="57"/>
      <c r="V272" s="57"/>
      <c r="W272" s="57"/>
    </row>
    <row r="273" spans="1:23" ht="40.15" customHeight="1" x14ac:dyDescent="0.35">
      <c r="A273" s="57"/>
      <c r="G273" s="57"/>
      <c r="H273" s="57"/>
      <c r="I273" s="57"/>
      <c r="J273" s="57"/>
      <c r="K273" s="57"/>
      <c r="L273" s="57"/>
      <c r="M273" s="57"/>
      <c r="N273" s="57"/>
      <c r="O273" s="57"/>
      <c r="P273" s="57"/>
      <c r="Q273" s="57"/>
      <c r="R273" s="57"/>
      <c r="S273" s="57"/>
      <c r="T273" s="57"/>
      <c r="U273" s="57"/>
      <c r="V273" s="57"/>
      <c r="W273" s="57"/>
    </row>
    <row r="274" spans="1:23" ht="40.15" customHeight="1" x14ac:dyDescent="0.35">
      <c r="A274" s="57"/>
      <c r="G274" s="57"/>
      <c r="H274" s="57"/>
      <c r="I274" s="57"/>
      <c r="J274" s="57"/>
      <c r="K274" s="57"/>
      <c r="L274" s="57"/>
      <c r="M274" s="57"/>
      <c r="N274" s="57"/>
      <c r="O274" s="57"/>
      <c r="P274" s="57"/>
      <c r="Q274" s="57"/>
      <c r="R274" s="57"/>
      <c r="S274" s="57"/>
      <c r="T274" s="57"/>
      <c r="U274" s="57"/>
      <c r="V274" s="57"/>
      <c r="W274" s="57"/>
    </row>
    <row r="275" spans="1:23" ht="40.15" customHeight="1" x14ac:dyDescent="0.35">
      <c r="A275" s="57"/>
      <c r="G275" s="57"/>
      <c r="H275" s="57"/>
      <c r="I275" s="57"/>
      <c r="J275" s="57"/>
      <c r="K275" s="57"/>
      <c r="L275" s="57"/>
      <c r="M275" s="57"/>
      <c r="N275" s="57"/>
      <c r="O275" s="57"/>
      <c r="P275" s="57"/>
      <c r="Q275" s="57"/>
      <c r="R275" s="57"/>
      <c r="S275" s="57"/>
      <c r="T275" s="57"/>
      <c r="U275" s="57"/>
      <c r="V275" s="57"/>
      <c r="W275" s="57"/>
    </row>
    <row r="276" spans="1:23" ht="40.15" customHeight="1" x14ac:dyDescent="0.35">
      <c r="A276" s="57"/>
      <c r="G276" s="57"/>
      <c r="H276" s="57"/>
      <c r="I276" s="57"/>
      <c r="J276" s="57"/>
      <c r="K276" s="57"/>
      <c r="L276" s="57"/>
      <c r="M276" s="57"/>
      <c r="N276" s="57"/>
      <c r="O276" s="57"/>
      <c r="P276" s="57"/>
      <c r="Q276" s="57"/>
      <c r="R276" s="57"/>
      <c r="S276" s="57"/>
      <c r="T276" s="57"/>
      <c r="U276" s="57"/>
      <c r="V276" s="57"/>
      <c r="W276" s="57"/>
    </row>
    <row r="277" spans="1:23" ht="40.15" customHeight="1" x14ac:dyDescent="0.35">
      <c r="A277" s="57"/>
      <c r="G277" s="57"/>
      <c r="H277" s="57"/>
      <c r="I277" s="57"/>
      <c r="J277" s="57"/>
      <c r="K277" s="57"/>
      <c r="L277" s="57"/>
      <c r="M277" s="57"/>
      <c r="N277" s="57"/>
      <c r="O277" s="57"/>
      <c r="P277" s="57"/>
      <c r="Q277" s="57"/>
      <c r="R277" s="57"/>
      <c r="S277" s="57"/>
      <c r="T277" s="57"/>
      <c r="U277" s="57"/>
      <c r="V277" s="57"/>
      <c r="W277" s="57"/>
    </row>
    <row r="278" spans="1:23" ht="40.15" customHeight="1" x14ac:dyDescent="0.35">
      <c r="A278" s="57"/>
      <c r="G278" s="57"/>
      <c r="H278" s="57"/>
      <c r="I278" s="57"/>
      <c r="J278" s="57"/>
      <c r="K278" s="57"/>
      <c r="L278" s="57"/>
      <c r="M278" s="57"/>
      <c r="N278" s="57"/>
      <c r="O278" s="57"/>
      <c r="P278" s="57"/>
      <c r="Q278" s="57"/>
      <c r="R278" s="57"/>
      <c r="S278" s="57"/>
      <c r="T278" s="57"/>
      <c r="U278" s="57"/>
      <c r="V278" s="57"/>
      <c r="W278" s="57"/>
    </row>
    <row r="279" spans="1:23" ht="40.15" customHeight="1" x14ac:dyDescent="0.35">
      <c r="A279" s="57"/>
      <c r="G279" s="57"/>
      <c r="H279" s="57"/>
      <c r="I279" s="57"/>
      <c r="J279" s="57"/>
      <c r="K279" s="57"/>
      <c r="L279" s="57"/>
      <c r="M279" s="57"/>
      <c r="N279" s="57"/>
      <c r="O279" s="57"/>
      <c r="P279" s="57"/>
      <c r="Q279" s="57"/>
      <c r="R279" s="57"/>
      <c r="S279" s="57"/>
      <c r="T279" s="57"/>
      <c r="U279" s="57"/>
      <c r="V279" s="57"/>
      <c r="W279" s="57"/>
    </row>
    <row r="280" spans="1:23" ht="40.15" customHeight="1" x14ac:dyDescent="0.35">
      <c r="A280" s="57"/>
      <c r="G280" s="57"/>
      <c r="H280" s="57"/>
      <c r="I280" s="57"/>
      <c r="J280" s="57"/>
      <c r="K280" s="57"/>
      <c r="L280" s="57"/>
      <c r="M280" s="57"/>
      <c r="N280" s="57"/>
      <c r="O280" s="57"/>
      <c r="P280" s="57"/>
      <c r="Q280" s="57"/>
      <c r="R280" s="57"/>
      <c r="S280" s="57"/>
      <c r="T280" s="57"/>
      <c r="U280" s="57"/>
      <c r="V280" s="57"/>
      <c r="W280" s="57"/>
    </row>
    <row r="281" spans="1:23" ht="40.15" customHeight="1" x14ac:dyDescent="0.35">
      <c r="A281" s="57"/>
      <c r="G281" s="57"/>
      <c r="H281" s="57"/>
      <c r="I281" s="57"/>
      <c r="J281" s="57"/>
      <c r="K281" s="57"/>
      <c r="L281" s="57"/>
      <c r="M281" s="57"/>
      <c r="N281" s="57"/>
      <c r="O281" s="57"/>
      <c r="P281" s="57"/>
      <c r="Q281" s="57"/>
      <c r="R281" s="57"/>
      <c r="S281" s="57"/>
      <c r="T281" s="57"/>
      <c r="U281" s="57"/>
      <c r="V281" s="57"/>
      <c r="W281" s="57"/>
    </row>
    <row r="282" spans="1:23" ht="40.15" customHeight="1" x14ac:dyDescent="0.35">
      <c r="A282" s="57"/>
      <c r="G282" s="57"/>
      <c r="H282" s="57"/>
      <c r="I282" s="57"/>
      <c r="J282" s="57"/>
      <c r="K282" s="57"/>
      <c r="L282" s="57"/>
      <c r="M282" s="57"/>
      <c r="N282" s="57"/>
      <c r="O282" s="57"/>
      <c r="P282" s="57"/>
      <c r="Q282" s="57"/>
      <c r="R282" s="57"/>
      <c r="S282" s="57"/>
      <c r="T282" s="57"/>
      <c r="U282" s="57"/>
      <c r="V282" s="57"/>
      <c r="W282" s="57"/>
    </row>
    <row r="283" spans="1:23" ht="40.15" customHeight="1" x14ac:dyDescent="0.35">
      <c r="A283" s="57"/>
      <c r="G283" s="57"/>
      <c r="H283" s="57"/>
      <c r="I283" s="57"/>
      <c r="J283" s="57"/>
      <c r="K283" s="57"/>
      <c r="L283" s="57"/>
      <c r="M283" s="57"/>
      <c r="N283" s="57"/>
      <c r="O283" s="57"/>
      <c r="P283" s="57"/>
      <c r="Q283" s="57"/>
      <c r="R283" s="57"/>
      <c r="S283" s="57"/>
      <c r="T283" s="57"/>
      <c r="U283" s="57"/>
      <c r="V283" s="57"/>
      <c r="W283" s="57"/>
    </row>
    <row r="284" spans="1:23" ht="40.15" customHeight="1" x14ac:dyDescent="0.35">
      <c r="A284" s="57"/>
      <c r="G284" s="57"/>
      <c r="H284" s="57"/>
      <c r="I284" s="57"/>
      <c r="J284" s="57"/>
      <c r="K284" s="57"/>
      <c r="L284" s="57"/>
      <c r="M284" s="57"/>
      <c r="N284" s="57"/>
      <c r="O284" s="57"/>
      <c r="P284" s="57"/>
      <c r="Q284" s="57"/>
      <c r="R284" s="57"/>
      <c r="S284" s="57"/>
      <c r="T284" s="57"/>
      <c r="U284" s="57"/>
      <c r="V284" s="57"/>
      <c r="W284" s="57"/>
    </row>
    <row r="285" spans="1:23" ht="40.15" customHeight="1" x14ac:dyDescent="0.35">
      <c r="A285" s="57"/>
      <c r="G285" s="57"/>
      <c r="H285" s="57"/>
      <c r="I285" s="57"/>
      <c r="J285" s="57"/>
      <c r="K285" s="57"/>
      <c r="L285" s="57"/>
      <c r="M285" s="57"/>
      <c r="N285" s="57"/>
      <c r="O285" s="57"/>
      <c r="P285" s="57"/>
      <c r="Q285" s="57"/>
      <c r="R285" s="57"/>
      <c r="S285" s="57"/>
      <c r="T285" s="57"/>
      <c r="U285" s="57"/>
      <c r="V285" s="57"/>
      <c r="W285" s="57"/>
    </row>
    <row r="286" spans="1:23" ht="40.15" customHeight="1" x14ac:dyDescent="0.35">
      <c r="A286" s="57"/>
      <c r="G286" s="57"/>
      <c r="H286" s="57"/>
      <c r="I286" s="57"/>
      <c r="J286" s="57"/>
      <c r="K286" s="57"/>
      <c r="L286" s="57"/>
      <c r="M286" s="57"/>
      <c r="N286" s="57"/>
      <c r="O286" s="57"/>
      <c r="P286" s="57"/>
      <c r="Q286" s="57"/>
      <c r="R286" s="57"/>
      <c r="S286" s="57"/>
      <c r="T286" s="57"/>
      <c r="U286" s="57"/>
      <c r="V286" s="57"/>
      <c r="W286" s="57"/>
    </row>
    <row r="287" spans="1:23" ht="40.15" customHeight="1" x14ac:dyDescent="0.35">
      <c r="A287" s="57"/>
      <c r="G287" s="57"/>
      <c r="H287" s="57"/>
      <c r="I287" s="57"/>
      <c r="J287" s="57"/>
      <c r="K287" s="57"/>
      <c r="L287" s="57"/>
      <c r="M287" s="57"/>
      <c r="N287" s="57"/>
      <c r="O287" s="57"/>
      <c r="P287" s="57"/>
      <c r="Q287" s="57"/>
      <c r="R287" s="57"/>
      <c r="S287" s="57"/>
      <c r="T287" s="57"/>
      <c r="U287" s="57"/>
      <c r="V287" s="57"/>
      <c r="W287" s="57"/>
    </row>
    <row r="288" spans="1:23" ht="40.15" customHeight="1" x14ac:dyDescent="0.35">
      <c r="A288" s="57"/>
      <c r="G288" s="57"/>
      <c r="H288" s="57"/>
      <c r="I288" s="57"/>
      <c r="J288" s="57"/>
      <c r="K288" s="57"/>
      <c r="L288" s="57"/>
      <c r="M288" s="57"/>
      <c r="N288" s="57"/>
      <c r="O288" s="57"/>
      <c r="P288" s="57"/>
      <c r="Q288" s="57"/>
      <c r="R288" s="57"/>
      <c r="S288" s="57"/>
      <c r="T288" s="57"/>
      <c r="U288" s="57"/>
      <c r="V288" s="57"/>
      <c r="W288" s="57"/>
    </row>
    <row r="289" spans="1:23" ht="40.15" customHeight="1" x14ac:dyDescent="0.35">
      <c r="A289" s="57"/>
      <c r="G289" s="57"/>
      <c r="H289" s="57"/>
      <c r="I289" s="57"/>
      <c r="J289" s="57"/>
      <c r="K289" s="57"/>
      <c r="L289" s="57"/>
      <c r="M289" s="57"/>
      <c r="N289" s="57"/>
      <c r="O289" s="57"/>
      <c r="P289" s="57"/>
      <c r="Q289" s="57"/>
      <c r="R289" s="57"/>
      <c r="S289" s="57"/>
      <c r="T289" s="57"/>
      <c r="U289" s="57"/>
      <c r="V289" s="57"/>
      <c r="W289" s="57"/>
    </row>
    <row r="290" spans="1:23" ht="40.15" customHeight="1" x14ac:dyDescent="0.35">
      <c r="A290" s="57"/>
      <c r="G290" s="57"/>
      <c r="H290" s="57"/>
      <c r="I290" s="57"/>
      <c r="J290" s="57"/>
      <c r="K290" s="57"/>
      <c r="L290" s="57"/>
      <c r="M290" s="57"/>
      <c r="N290" s="57"/>
      <c r="O290" s="57"/>
      <c r="P290" s="57"/>
      <c r="Q290" s="57"/>
      <c r="R290" s="57"/>
      <c r="S290" s="57"/>
      <c r="T290" s="57"/>
      <c r="U290" s="57"/>
      <c r="V290" s="57"/>
      <c r="W290" s="57"/>
    </row>
    <row r="291" spans="1:23" ht="40.15" customHeight="1" x14ac:dyDescent="0.35">
      <c r="A291" s="57"/>
      <c r="G291" s="57"/>
      <c r="H291" s="57"/>
      <c r="I291" s="57"/>
      <c r="J291" s="57"/>
      <c r="K291" s="57"/>
      <c r="L291" s="57"/>
      <c r="M291" s="57"/>
      <c r="N291" s="57"/>
      <c r="O291" s="57"/>
      <c r="P291" s="57"/>
      <c r="Q291" s="57"/>
      <c r="R291" s="57"/>
      <c r="S291" s="57"/>
      <c r="T291" s="57"/>
      <c r="U291" s="57"/>
      <c r="V291" s="57"/>
      <c r="W291" s="57"/>
    </row>
    <row r="292" spans="1:23" ht="40.15" customHeight="1" x14ac:dyDescent="0.35">
      <c r="A292" s="57"/>
      <c r="G292" s="57"/>
      <c r="H292" s="57"/>
      <c r="I292" s="57"/>
      <c r="J292" s="57"/>
      <c r="K292" s="57"/>
      <c r="L292" s="57"/>
      <c r="M292" s="57"/>
      <c r="N292" s="57"/>
      <c r="O292" s="57"/>
      <c r="P292" s="57"/>
      <c r="Q292" s="57"/>
      <c r="R292" s="57"/>
      <c r="S292" s="57"/>
      <c r="T292" s="57"/>
      <c r="U292" s="57"/>
      <c r="V292" s="57"/>
      <c r="W292" s="57"/>
    </row>
    <row r="293" spans="1:23" ht="40.15" customHeight="1" x14ac:dyDescent="0.35">
      <c r="A293" s="57"/>
      <c r="G293" s="57"/>
      <c r="H293" s="57"/>
      <c r="I293" s="57"/>
      <c r="J293" s="57"/>
      <c r="K293" s="57"/>
      <c r="L293" s="57"/>
      <c r="M293" s="57"/>
      <c r="N293" s="57"/>
      <c r="O293" s="57"/>
      <c r="P293" s="57"/>
      <c r="Q293" s="57"/>
      <c r="R293" s="57"/>
      <c r="S293" s="57"/>
      <c r="T293" s="57"/>
      <c r="U293" s="57"/>
      <c r="V293" s="57"/>
      <c r="W293" s="57"/>
    </row>
    <row r="294" spans="1:23" ht="40.15" customHeight="1" x14ac:dyDescent="0.35">
      <c r="A294" s="57"/>
      <c r="G294" s="57"/>
      <c r="H294" s="57"/>
      <c r="I294" s="57"/>
      <c r="J294" s="57"/>
      <c r="K294" s="57"/>
      <c r="L294" s="57"/>
      <c r="M294" s="57"/>
      <c r="N294" s="57"/>
      <c r="O294" s="57"/>
      <c r="P294" s="57"/>
      <c r="Q294" s="57"/>
      <c r="R294" s="57"/>
      <c r="S294" s="57"/>
      <c r="T294" s="57"/>
      <c r="U294" s="57"/>
      <c r="V294" s="57"/>
      <c r="W294" s="57"/>
    </row>
    <row r="295" spans="1:23" ht="40.15" customHeight="1" x14ac:dyDescent="0.35">
      <c r="A295" s="57"/>
      <c r="G295" s="57"/>
      <c r="H295" s="57"/>
      <c r="I295" s="57"/>
      <c r="J295" s="57"/>
      <c r="K295" s="57"/>
      <c r="L295" s="57"/>
      <c r="M295" s="57"/>
      <c r="N295" s="57"/>
      <c r="O295" s="57"/>
      <c r="P295" s="57"/>
      <c r="Q295" s="57"/>
      <c r="R295" s="57"/>
      <c r="S295" s="57"/>
      <c r="T295" s="57"/>
      <c r="U295" s="57"/>
      <c r="V295" s="57"/>
      <c r="W295" s="57"/>
    </row>
    <row r="296" spans="1:23" ht="40.15" customHeight="1" x14ac:dyDescent="0.35">
      <c r="A296" s="57"/>
      <c r="G296" s="57"/>
      <c r="H296" s="57"/>
      <c r="I296" s="57"/>
      <c r="J296" s="57"/>
      <c r="K296" s="57"/>
      <c r="L296" s="57"/>
      <c r="M296" s="57"/>
      <c r="N296" s="57"/>
      <c r="O296" s="57"/>
      <c r="P296" s="57"/>
      <c r="Q296" s="57"/>
      <c r="R296" s="57"/>
      <c r="S296" s="57"/>
      <c r="T296" s="57"/>
      <c r="U296" s="57"/>
      <c r="V296" s="57"/>
      <c r="W296" s="57"/>
    </row>
    <row r="297" spans="1:23" ht="40.15" customHeight="1" x14ac:dyDescent="0.35">
      <c r="A297" s="57"/>
      <c r="G297" s="57"/>
      <c r="H297" s="57"/>
      <c r="I297" s="57"/>
      <c r="J297" s="57"/>
      <c r="K297" s="57"/>
      <c r="L297" s="57"/>
      <c r="M297" s="57"/>
      <c r="N297" s="57"/>
      <c r="O297" s="57"/>
      <c r="P297" s="57"/>
      <c r="Q297" s="57"/>
      <c r="R297" s="57"/>
      <c r="S297" s="57"/>
      <c r="T297" s="57"/>
      <c r="U297" s="57"/>
      <c r="V297" s="57"/>
      <c r="W297" s="57"/>
    </row>
    <row r="298" spans="1:23" ht="40.15" customHeight="1" x14ac:dyDescent="0.35">
      <c r="A298" s="57"/>
      <c r="G298" s="57"/>
      <c r="H298" s="57"/>
      <c r="I298" s="57"/>
      <c r="J298" s="57"/>
      <c r="K298" s="57"/>
      <c r="L298" s="57"/>
      <c r="M298" s="57"/>
      <c r="N298" s="57"/>
      <c r="O298" s="57"/>
      <c r="P298" s="57"/>
      <c r="Q298" s="57"/>
      <c r="R298" s="57"/>
      <c r="S298" s="57"/>
      <c r="T298" s="57"/>
      <c r="U298" s="57"/>
      <c r="V298" s="57"/>
      <c r="W298" s="57"/>
    </row>
    <row r="299" spans="1:23" ht="40.15" customHeight="1" x14ac:dyDescent="0.35">
      <c r="A299" s="57"/>
      <c r="G299" s="57"/>
      <c r="H299" s="57"/>
      <c r="I299" s="57"/>
      <c r="J299" s="57"/>
      <c r="K299" s="57"/>
      <c r="L299" s="57"/>
      <c r="M299" s="57"/>
      <c r="N299" s="57"/>
      <c r="O299" s="57"/>
      <c r="P299" s="57"/>
      <c r="Q299" s="57"/>
      <c r="R299" s="57"/>
      <c r="S299" s="57"/>
      <c r="T299" s="57"/>
      <c r="U299" s="57"/>
      <c r="V299" s="57"/>
      <c r="W299" s="57"/>
    </row>
    <row r="300" spans="1:23" ht="40.15" customHeight="1" x14ac:dyDescent="0.35">
      <c r="A300" s="57"/>
      <c r="G300" s="57"/>
      <c r="H300" s="57"/>
      <c r="I300" s="57"/>
      <c r="J300" s="57"/>
      <c r="K300" s="57"/>
      <c r="L300" s="57"/>
      <c r="M300" s="57"/>
      <c r="N300" s="57"/>
      <c r="O300" s="57"/>
      <c r="P300" s="57"/>
      <c r="Q300" s="57"/>
      <c r="R300" s="57"/>
      <c r="S300" s="57"/>
      <c r="T300" s="57"/>
      <c r="U300" s="57"/>
      <c r="V300" s="57"/>
      <c r="W300" s="57"/>
    </row>
    <row r="301" spans="1:23" ht="40.15" customHeight="1" x14ac:dyDescent="0.35">
      <c r="A301" s="57"/>
      <c r="G301" s="57"/>
      <c r="H301" s="57"/>
      <c r="I301" s="57"/>
      <c r="J301" s="57"/>
      <c r="K301" s="57"/>
      <c r="L301" s="57"/>
      <c r="M301" s="57"/>
      <c r="N301" s="57"/>
      <c r="O301" s="57"/>
      <c r="P301" s="57"/>
      <c r="Q301" s="57"/>
      <c r="R301" s="57"/>
      <c r="S301" s="57"/>
      <c r="T301" s="57"/>
      <c r="U301" s="57"/>
      <c r="V301" s="57"/>
      <c r="W301" s="57"/>
    </row>
    <row r="302" spans="1:23" ht="40.15" customHeight="1" x14ac:dyDescent="0.35">
      <c r="A302" s="57"/>
      <c r="G302" s="57"/>
      <c r="H302" s="57"/>
      <c r="I302" s="57"/>
      <c r="J302" s="57"/>
      <c r="K302" s="57"/>
      <c r="L302" s="57"/>
      <c r="M302" s="57"/>
      <c r="N302" s="57"/>
      <c r="O302" s="57"/>
      <c r="P302" s="57"/>
      <c r="Q302" s="57"/>
      <c r="R302" s="57"/>
      <c r="S302" s="57"/>
      <c r="T302" s="57"/>
      <c r="U302" s="57"/>
      <c r="V302" s="57"/>
      <c r="W302" s="57"/>
    </row>
    <row r="303" spans="1:23" ht="40.15" customHeight="1" x14ac:dyDescent="0.35">
      <c r="A303" s="57"/>
      <c r="G303" s="57"/>
      <c r="H303" s="57"/>
      <c r="I303" s="57"/>
      <c r="J303" s="57"/>
      <c r="K303" s="57"/>
      <c r="L303" s="57"/>
      <c r="M303" s="57"/>
      <c r="N303" s="57"/>
      <c r="O303" s="57"/>
      <c r="P303" s="57"/>
      <c r="Q303" s="57"/>
      <c r="R303" s="57"/>
      <c r="S303" s="57"/>
      <c r="T303" s="57"/>
      <c r="U303" s="57"/>
      <c r="V303" s="57"/>
      <c r="W303" s="57"/>
    </row>
    <row r="304" spans="1:23" ht="40.15" customHeight="1" x14ac:dyDescent="0.35">
      <c r="A304" s="57"/>
      <c r="G304" s="57"/>
      <c r="H304" s="57"/>
      <c r="I304" s="57"/>
      <c r="J304" s="57"/>
      <c r="K304" s="57"/>
      <c r="L304" s="57"/>
      <c r="M304" s="57"/>
      <c r="N304" s="57"/>
      <c r="O304" s="57"/>
      <c r="P304" s="57"/>
      <c r="Q304" s="57"/>
      <c r="R304" s="57"/>
      <c r="S304" s="57"/>
      <c r="T304" s="57"/>
      <c r="U304" s="57"/>
      <c r="V304" s="57"/>
      <c r="W304" s="57"/>
    </row>
    <row r="305" spans="1:23" ht="40.15" customHeight="1" x14ac:dyDescent="0.35">
      <c r="A305" s="57"/>
      <c r="G305" s="57"/>
      <c r="H305" s="57"/>
      <c r="I305" s="57"/>
      <c r="J305" s="57"/>
      <c r="K305" s="57"/>
      <c r="L305" s="57"/>
      <c r="M305" s="57"/>
      <c r="N305" s="57"/>
      <c r="O305" s="57"/>
      <c r="P305" s="57"/>
      <c r="Q305" s="57"/>
      <c r="R305" s="57"/>
      <c r="S305" s="57"/>
      <c r="T305" s="57"/>
      <c r="U305" s="57"/>
      <c r="V305" s="57"/>
      <c r="W305" s="57"/>
    </row>
    <row r="306" spans="1:23" ht="40.15" customHeight="1" x14ac:dyDescent="0.35">
      <c r="A306" s="57"/>
      <c r="G306" s="57"/>
      <c r="H306" s="57"/>
      <c r="I306" s="57"/>
      <c r="J306" s="57"/>
      <c r="K306" s="57"/>
      <c r="L306" s="57"/>
      <c r="M306" s="57"/>
      <c r="N306" s="57"/>
      <c r="O306" s="57"/>
      <c r="P306" s="57"/>
      <c r="Q306" s="57"/>
      <c r="R306" s="57"/>
      <c r="S306" s="57"/>
      <c r="T306" s="57"/>
      <c r="U306" s="57"/>
      <c r="V306" s="57"/>
      <c r="W306" s="57"/>
    </row>
    <row r="307" spans="1:23" ht="40.15" customHeight="1" x14ac:dyDescent="0.35">
      <c r="A307" s="57"/>
      <c r="G307" s="57"/>
      <c r="H307" s="57"/>
      <c r="I307" s="57"/>
      <c r="J307" s="57"/>
      <c r="K307" s="57"/>
      <c r="L307" s="57"/>
      <c r="M307" s="57"/>
      <c r="N307" s="57"/>
      <c r="O307" s="57"/>
      <c r="P307" s="57"/>
      <c r="Q307" s="57"/>
      <c r="R307" s="57"/>
      <c r="S307" s="57"/>
      <c r="T307" s="57"/>
      <c r="U307" s="57"/>
      <c r="V307" s="57"/>
      <c r="W307" s="57"/>
    </row>
    <row r="308" spans="1:23" ht="40.15" customHeight="1" x14ac:dyDescent="0.35">
      <c r="A308" s="57"/>
      <c r="G308" s="57"/>
      <c r="H308" s="57"/>
      <c r="I308" s="57"/>
      <c r="J308" s="57"/>
      <c r="K308" s="57"/>
      <c r="L308" s="57"/>
      <c r="M308" s="57"/>
      <c r="N308" s="57"/>
      <c r="O308" s="57"/>
      <c r="P308" s="57"/>
      <c r="Q308" s="57"/>
      <c r="R308" s="57"/>
      <c r="S308" s="57"/>
      <c r="T308" s="57"/>
      <c r="U308" s="57"/>
      <c r="V308" s="57"/>
      <c r="W308" s="57"/>
    </row>
    <row r="309" spans="1:23" ht="40.15" customHeight="1" x14ac:dyDescent="0.35">
      <c r="A309" s="57"/>
      <c r="G309" s="57"/>
      <c r="H309" s="57"/>
      <c r="I309" s="57"/>
      <c r="J309" s="57"/>
      <c r="K309" s="57"/>
      <c r="L309" s="57"/>
      <c r="M309" s="57"/>
      <c r="N309" s="57"/>
      <c r="O309" s="57"/>
      <c r="P309" s="57"/>
      <c r="Q309" s="57"/>
      <c r="R309" s="57"/>
      <c r="S309" s="57"/>
      <c r="T309" s="57"/>
      <c r="U309" s="57"/>
      <c r="V309" s="57"/>
      <c r="W309" s="57"/>
    </row>
    <row r="310" spans="1:23" ht="40.15" customHeight="1" x14ac:dyDescent="0.35">
      <c r="A310" s="57"/>
      <c r="G310" s="57"/>
      <c r="H310" s="57"/>
      <c r="I310" s="57"/>
      <c r="J310" s="57"/>
      <c r="K310" s="57"/>
      <c r="L310" s="57"/>
      <c r="M310" s="57"/>
      <c r="N310" s="57"/>
      <c r="O310" s="57"/>
      <c r="P310" s="57"/>
      <c r="Q310" s="57"/>
      <c r="R310" s="57"/>
      <c r="S310" s="57"/>
      <c r="T310" s="57"/>
      <c r="U310" s="57"/>
      <c r="V310" s="57"/>
      <c r="W310" s="57"/>
    </row>
    <row r="311" spans="1:23" ht="40.15" customHeight="1" x14ac:dyDescent="0.35">
      <c r="A311" s="57"/>
      <c r="G311" s="57"/>
      <c r="H311" s="57"/>
      <c r="I311" s="57"/>
      <c r="J311" s="57"/>
      <c r="K311" s="57"/>
      <c r="L311" s="57"/>
      <c r="M311" s="57"/>
      <c r="N311" s="57"/>
      <c r="O311" s="57"/>
      <c r="P311" s="57"/>
      <c r="Q311" s="57"/>
      <c r="R311" s="57"/>
      <c r="S311" s="57"/>
      <c r="T311" s="57"/>
      <c r="U311" s="57"/>
      <c r="V311" s="57"/>
      <c r="W311" s="57"/>
    </row>
    <row r="312" spans="1:23" ht="40.15" customHeight="1" x14ac:dyDescent="0.35">
      <c r="A312" s="57"/>
      <c r="G312" s="57"/>
      <c r="H312" s="57"/>
      <c r="I312" s="57"/>
      <c r="J312" s="57"/>
      <c r="K312" s="57"/>
      <c r="L312" s="57"/>
      <c r="M312" s="57"/>
      <c r="N312" s="57"/>
      <c r="O312" s="57"/>
      <c r="P312" s="57"/>
      <c r="Q312" s="57"/>
      <c r="R312" s="57"/>
      <c r="S312" s="57"/>
      <c r="T312" s="57"/>
      <c r="U312" s="57"/>
      <c r="V312" s="57"/>
      <c r="W312" s="57"/>
    </row>
    <row r="313" spans="1:23" ht="40.15" customHeight="1" x14ac:dyDescent="0.35">
      <c r="A313" s="57"/>
      <c r="G313" s="57"/>
      <c r="H313" s="57"/>
      <c r="I313" s="57"/>
      <c r="J313" s="57"/>
      <c r="K313" s="57"/>
      <c r="L313" s="57"/>
      <c r="M313" s="57"/>
      <c r="N313" s="57"/>
      <c r="O313" s="57"/>
      <c r="P313" s="57"/>
      <c r="Q313" s="57"/>
      <c r="R313" s="57"/>
      <c r="S313" s="57"/>
      <c r="T313" s="57"/>
      <c r="U313" s="57"/>
      <c r="V313" s="57"/>
      <c r="W313" s="57"/>
    </row>
    <row r="314" spans="1:23" ht="40.15" customHeight="1" x14ac:dyDescent="0.35">
      <c r="A314" s="57"/>
      <c r="G314" s="57"/>
      <c r="H314" s="57"/>
      <c r="I314" s="57"/>
      <c r="J314" s="57"/>
      <c r="K314" s="57"/>
      <c r="L314" s="57"/>
      <c r="M314" s="57"/>
      <c r="N314" s="57"/>
      <c r="O314" s="57"/>
      <c r="P314" s="57"/>
      <c r="Q314" s="57"/>
      <c r="R314" s="57"/>
      <c r="S314" s="57"/>
      <c r="T314" s="57"/>
      <c r="U314" s="57"/>
      <c r="V314" s="57"/>
      <c r="W314" s="57"/>
    </row>
    <row r="315" spans="1:23" ht="40.15" customHeight="1" x14ac:dyDescent="0.35">
      <c r="A315" s="57"/>
      <c r="G315" s="57"/>
      <c r="H315" s="57"/>
      <c r="I315" s="57"/>
      <c r="J315" s="57"/>
      <c r="K315" s="57"/>
      <c r="L315" s="57"/>
      <c r="M315" s="57"/>
      <c r="N315" s="57"/>
      <c r="O315" s="57"/>
      <c r="P315" s="57"/>
      <c r="Q315" s="57"/>
      <c r="R315" s="57"/>
      <c r="S315" s="57"/>
      <c r="T315" s="57"/>
      <c r="U315" s="57"/>
      <c r="V315" s="57"/>
      <c r="W315" s="57"/>
    </row>
    <row r="316" spans="1:23" ht="40.15" customHeight="1" x14ac:dyDescent="0.35">
      <c r="A316" s="57"/>
      <c r="G316" s="57"/>
      <c r="H316" s="57"/>
      <c r="I316" s="57"/>
      <c r="J316" s="57"/>
      <c r="K316" s="57"/>
      <c r="L316" s="57"/>
      <c r="M316" s="57"/>
      <c r="N316" s="57"/>
      <c r="O316" s="57"/>
      <c r="P316" s="57"/>
      <c r="Q316" s="57"/>
      <c r="R316" s="57"/>
      <c r="S316" s="57"/>
      <c r="T316" s="57"/>
      <c r="U316" s="57"/>
      <c r="V316" s="57"/>
      <c r="W316" s="57"/>
    </row>
    <row r="317" spans="1:23" ht="40.15" customHeight="1" x14ac:dyDescent="0.35">
      <c r="A317" s="57"/>
      <c r="G317" s="57"/>
      <c r="H317" s="57"/>
      <c r="I317" s="57"/>
      <c r="J317" s="57"/>
      <c r="K317" s="57"/>
      <c r="L317" s="57"/>
      <c r="M317" s="57"/>
      <c r="N317" s="57"/>
      <c r="O317" s="57"/>
      <c r="P317" s="57"/>
      <c r="Q317" s="57"/>
      <c r="R317" s="57"/>
      <c r="S317" s="57"/>
      <c r="T317" s="57"/>
      <c r="U317" s="57"/>
      <c r="V317" s="57"/>
      <c r="W317" s="57"/>
    </row>
    <row r="318" spans="1:23" ht="40.15" customHeight="1" x14ac:dyDescent="0.35">
      <c r="A318" s="57"/>
      <c r="G318" s="57"/>
      <c r="H318" s="57"/>
      <c r="I318" s="57"/>
      <c r="J318" s="57"/>
      <c r="K318" s="57"/>
      <c r="L318" s="57"/>
      <c r="M318" s="57"/>
      <c r="N318" s="57"/>
      <c r="O318" s="57"/>
      <c r="P318" s="57"/>
      <c r="Q318" s="57"/>
      <c r="R318" s="57"/>
      <c r="S318" s="57"/>
      <c r="T318" s="57"/>
      <c r="U318" s="57"/>
      <c r="V318" s="57"/>
      <c r="W318" s="57"/>
    </row>
    <row r="319" spans="1:23" ht="40.15" customHeight="1" x14ac:dyDescent="0.35">
      <c r="A319" s="57"/>
      <c r="G319" s="57"/>
      <c r="H319" s="57"/>
      <c r="I319" s="57"/>
      <c r="J319" s="57"/>
      <c r="K319" s="57"/>
      <c r="L319" s="57"/>
      <c r="M319" s="57"/>
      <c r="N319" s="57"/>
      <c r="O319" s="57"/>
      <c r="P319" s="57"/>
      <c r="Q319" s="57"/>
      <c r="R319" s="57"/>
      <c r="S319" s="57"/>
      <c r="T319" s="57"/>
      <c r="U319" s="57"/>
      <c r="V319" s="57"/>
      <c r="W319" s="57"/>
    </row>
    <row r="320" spans="1:23" ht="40.15" customHeight="1" x14ac:dyDescent="0.35">
      <c r="A320" s="57"/>
      <c r="G320" s="57"/>
      <c r="H320" s="57"/>
      <c r="I320" s="57"/>
      <c r="J320" s="57"/>
      <c r="K320" s="57"/>
      <c r="L320" s="57"/>
      <c r="M320" s="57"/>
      <c r="N320" s="57"/>
      <c r="O320" s="57"/>
      <c r="P320" s="57"/>
      <c r="Q320" s="57"/>
      <c r="R320" s="57"/>
      <c r="S320" s="57"/>
      <c r="T320" s="57"/>
      <c r="U320" s="57"/>
      <c r="V320" s="57"/>
      <c r="W320" s="57"/>
    </row>
    <row r="321" spans="1:23" ht="40.15" customHeight="1" x14ac:dyDescent="0.35">
      <c r="A321" s="57"/>
      <c r="G321" s="57"/>
      <c r="H321" s="57"/>
      <c r="I321" s="57"/>
      <c r="J321" s="57"/>
      <c r="K321" s="57"/>
      <c r="L321" s="57"/>
      <c r="M321" s="57"/>
      <c r="N321" s="57"/>
      <c r="O321" s="57"/>
      <c r="P321" s="57"/>
      <c r="Q321" s="57"/>
      <c r="R321" s="57"/>
      <c r="S321" s="57"/>
      <c r="T321" s="57"/>
      <c r="U321" s="57"/>
      <c r="V321" s="57"/>
      <c r="W321" s="57"/>
    </row>
    <row r="322" spans="1:23" ht="40.15" customHeight="1" x14ac:dyDescent="0.35">
      <c r="A322" s="57"/>
      <c r="G322" s="57"/>
      <c r="H322" s="57"/>
      <c r="I322" s="57"/>
      <c r="J322" s="57"/>
      <c r="K322" s="57"/>
      <c r="L322" s="57"/>
      <c r="M322" s="57"/>
      <c r="N322" s="57"/>
      <c r="O322" s="57"/>
      <c r="P322" s="57"/>
      <c r="Q322" s="57"/>
      <c r="R322" s="57"/>
      <c r="S322" s="57"/>
      <c r="T322" s="57"/>
      <c r="U322" s="57"/>
      <c r="V322" s="57"/>
      <c r="W322" s="57"/>
    </row>
    <row r="323" spans="1:23" ht="40.15" customHeight="1" x14ac:dyDescent="0.35">
      <c r="A323" s="57"/>
      <c r="G323" s="57"/>
      <c r="H323" s="57"/>
      <c r="I323" s="57"/>
      <c r="J323" s="57"/>
      <c r="K323" s="57"/>
      <c r="L323" s="57"/>
      <c r="M323" s="57"/>
      <c r="N323" s="57"/>
      <c r="O323" s="57"/>
      <c r="P323" s="57"/>
      <c r="Q323" s="57"/>
      <c r="R323" s="57"/>
      <c r="S323" s="57"/>
      <c r="T323" s="57"/>
      <c r="U323" s="57"/>
      <c r="V323" s="57"/>
      <c r="W323" s="57"/>
    </row>
    <row r="324" spans="1:23" ht="40.15" customHeight="1" x14ac:dyDescent="0.35">
      <c r="A324" s="57"/>
      <c r="G324" s="57"/>
      <c r="H324" s="57"/>
      <c r="I324" s="57"/>
      <c r="J324" s="57"/>
      <c r="K324" s="57"/>
      <c r="L324" s="57"/>
      <c r="M324" s="57"/>
      <c r="N324" s="57"/>
      <c r="O324" s="57"/>
      <c r="P324" s="57"/>
      <c r="Q324" s="57"/>
      <c r="R324" s="57"/>
      <c r="S324" s="57"/>
      <c r="T324" s="57"/>
      <c r="U324" s="57"/>
      <c r="V324" s="57"/>
      <c r="W324" s="57"/>
    </row>
    <row r="325" spans="1:23" ht="40.15" customHeight="1" x14ac:dyDescent="0.35">
      <c r="A325" s="57"/>
      <c r="G325" s="57"/>
      <c r="H325" s="57"/>
      <c r="I325" s="57"/>
      <c r="J325" s="57"/>
      <c r="K325" s="57"/>
      <c r="L325" s="57"/>
      <c r="M325" s="57"/>
      <c r="N325" s="57"/>
      <c r="O325" s="57"/>
      <c r="P325" s="57"/>
      <c r="Q325" s="57"/>
      <c r="R325" s="57"/>
      <c r="S325" s="57"/>
      <c r="T325" s="57"/>
      <c r="U325" s="57"/>
      <c r="V325" s="57"/>
      <c r="W325" s="57"/>
    </row>
    <row r="326" spans="1:23" ht="40.15" customHeight="1" x14ac:dyDescent="0.35">
      <c r="A326" s="57"/>
      <c r="G326" s="57"/>
      <c r="H326" s="57"/>
      <c r="I326" s="57"/>
      <c r="J326" s="57"/>
      <c r="K326" s="57"/>
      <c r="L326" s="57"/>
      <c r="M326" s="57"/>
      <c r="N326" s="57"/>
      <c r="O326" s="57"/>
      <c r="P326" s="57"/>
      <c r="Q326" s="57"/>
      <c r="R326" s="57"/>
      <c r="S326" s="57"/>
      <c r="T326" s="57"/>
      <c r="U326" s="57"/>
      <c r="V326" s="57"/>
      <c r="W326" s="57"/>
    </row>
    <row r="327" spans="1:23" ht="40.15" customHeight="1" x14ac:dyDescent="0.35">
      <c r="A327" s="57"/>
      <c r="G327" s="57"/>
      <c r="H327" s="57"/>
      <c r="I327" s="57"/>
      <c r="J327" s="57"/>
      <c r="K327" s="57"/>
      <c r="L327" s="57"/>
      <c r="M327" s="57"/>
      <c r="N327" s="57"/>
      <c r="O327" s="57"/>
      <c r="P327" s="57"/>
      <c r="Q327" s="57"/>
      <c r="R327" s="57"/>
      <c r="S327" s="57"/>
      <c r="T327" s="57"/>
      <c r="U327" s="57"/>
      <c r="V327" s="57"/>
      <c r="W327" s="57"/>
    </row>
    <row r="328" spans="1:23" ht="40.15" customHeight="1" x14ac:dyDescent="0.35">
      <c r="A328" s="57"/>
      <c r="G328" s="57"/>
      <c r="H328" s="57"/>
      <c r="I328" s="57"/>
      <c r="J328" s="57"/>
      <c r="K328" s="57"/>
      <c r="L328" s="57"/>
      <c r="M328" s="57"/>
      <c r="N328" s="57"/>
      <c r="O328" s="57"/>
      <c r="P328" s="57"/>
      <c r="Q328" s="57"/>
      <c r="R328" s="57"/>
      <c r="S328" s="57"/>
      <c r="T328" s="57"/>
      <c r="U328" s="57"/>
      <c r="V328" s="57"/>
      <c r="W328" s="57"/>
    </row>
    <row r="329" spans="1:23" ht="40.15" customHeight="1" x14ac:dyDescent="0.35">
      <c r="A329" s="57"/>
      <c r="G329" s="57"/>
      <c r="H329" s="57"/>
      <c r="I329" s="57"/>
      <c r="J329" s="57"/>
      <c r="K329" s="57"/>
      <c r="L329" s="57"/>
      <c r="M329" s="57"/>
      <c r="N329" s="57"/>
      <c r="O329" s="57"/>
      <c r="P329" s="57"/>
      <c r="Q329" s="57"/>
      <c r="R329" s="57"/>
      <c r="S329" s="57"/>
      <c r="T329" s="57"/>
      <c r="U329" s="57"/>
      <c r="V329" s="57"/>
      <c r="W329" s="57"/>
    </row>
    <row r="330" spans="1:23" ht="40.15" customHeight="1" x14ac:dyDescent="0.35">
      <c r="A330" s="57"/>
      <c r="G330" s="57"/>
      <c r="H330" s="57"/>
      <c r="I330" s="57"/>
      <c r="J330" s="57"/>
      <c r="K330" s="57"/>
      <c r="L330" s="57"/>
      <c r="M330" s="57"/>
      <c r="N330" s="57"/>
      <c r="O330" s="57"/>
      <c r="P330" s="57"/>
      <c r="Q330" s="57"/>
      <c r="R330" s="57"/>
      <c r="S330" s="57"/>
      <c r="T330" s="57"/>
      <c r="U330" s="57"/>
      <c r="V330" s="57"/>
      <c r="W330" s="57"/>
    </row>
    <row r="331" spans="1:23" ht="40.15" customHeight="1" x14ac:dyDescent="0.35">
      <c r="A331" s="57"/>
      <c r="G331" s="57"/>
      <c r="H331" s="57"/>
      <c r="I331" s="57"/>
      <c r="J331" s="57"/>
      <c r="K331" s="57"/>
      <c r="L331" s="57"/>
      <c r="M331" s="57"/>
      <c r="N331" s="57"/>
      <c r="O331" s="57"/>
      <c r="P331" s="57"/>
      <c r="Q331" s="57"/>
      <c r="R331" s="57"/>
      <c r="S331" s="57"/>
      <c r="T331" s="57"/>
      <c r="U331" s="57"/>
      <c r="V331" s="57"/>
      <c r="W331" s="57"/>
    </row>
    <row r="332" spans="1:23" ht="40.15" customHeight="1" x14ac:dyDescent="0.35">
      <c r="A332" s="57"/>
      <c r="G332" s="57"/>
      <c r="H332" s="57"/>
      <c r="I332" s="57"/>
      <c r="J332" s="57"/>
      <c r="K332" s="57"/>
      <c r="L332" s="57"/>
      <c r="M332" s="57"/>
      <c r="N332" s="57"/>
      <c r="O332" s="57"/>
      <c r="P332" s="57"/>
      <c r="Q332" s="57"/>
      <c r="R332" s="57"/>
      <c r="S332" s="57"/>
      <c r="T332" s="57"/>
      <c r="U332" s="57"/>
      <c r="V332" s="57"/>
      <c r="W332" s="57"/>
    </row>
    <row r="333" spans="1:23" ht="40.15" customHeight="1" x14ac:dyDescent="0.35">
      <c r="A333" s="57"/>
      <c r="G333" s="57"/>
      <c r="H333" s="57"/>
      <c r="I333" s="57"/>
      <c r="J333" s="57"/>
      <c r="K333" s="57"/>
      <c r="L333" s="57"/>
      <c r="M333" s="57"/>
      <c r="N333" s="57"/>
      <c r="O333" s="57"/>
      <c r="P333" s="57"/>
      <c r="Q333" s="57"/>
      <c r="R333" s="57"/>
      <c r="S333" s="57"/>
      <c r="T333" s="57"/>
      <c r="U333" s="57"/>
      <c r="V333" s="57"/>
      <c r="W333" s="57"/>
    </row>
    <row r="334" spans="1:23" ht="40.15" customHeight="1" x14ac:dyDescent="0.35">
      <c r="A334" s="57"/>
      <c r="G334" s="57"/>
      <c r="H334" s="57"/>
      <c r="I334" s="57"/>
      <c r="J334" s="57"/>
      <c r="K334" s="57"/>
      <c r="L334" s="57"/>
      <c r="M334" s="57"/>
      <c r="N334" s="57"/>
      <c r="O334" s="57"/>
      <c r="P334" s="57"/>
      <c r="Q334" s="57"/>
      <c r="R334" s="57"/>
      <c r="S334" s="57"/>
      <c r="T334" s="57"/>
      <c r="U334" s="57"/>
      <c r="V334" s="57"/>
      <c r="W334" s="57"/>
    </row>
    <row r="335" spans="1:23" ht="40.15" customHeight="1" x14ac:dyDescent="0.35">
      <c r="A335" s="57"/>
      <c r="G335" s="57"/>
      <c r="H335" s="57"/>
      <c r="I335" s="57"/>
      <c r="J335" s="57"/>
      <c r="K335" s="57"/>
      <c r="L335" s="57"/>
      <c r="M335" s="57"/>
      <c r="N335" s="57"/>
      <c r="O335" s="57"/>
      <c r="P335" s="57"/>
      <c r="Q335" s="57"/>
      <c r="R335" s="57"/>
      <c r="S335" s="57"/>
      <c r="T335" s="57"/>
      <c r="U335" s="57"/>
      <c r="V335" s="57"/>
      <c r="W335" s="57"/>
    </row>
    <row r="336" spans="1:23" ht="40.15" customHeight="1" x14ac:dyDescent="0.35">
      <c r="A336" s="57"/>
      <c r="G336" s="57"/>
      <c r="H336" s="57"/>
      <c r="I336" s="57"/>
      <c r="J336" s="57"/>
      <c r="K336" s="57"/>
      <c r="L336" s="57"/>
      <c r="M336" s="57"/>
      <c r="N336" s="57"/>
      <c r="O336" s="57"/>
      <c r="P336" s="57"/>
      <c r="Q336" s="57"/>
      <c r="R336" s="57"/>
      <c r="S336" s="57"/>
      <c r="T336" s="57"/>
      <c r="U336" s="57"/>
      <c r="V336" s="57"/>
      <c r="W336" s="57"/>
    </row>
    <row r="337" spans="1:23" ht="40.15" customHeight="1" x14ac:dyDescent="0.35">
      <c r="A337" s="57"/>
      <c r="G337" s="57"/>
      <c r="H337" s="57"/>
      <c r="I337" s="57"/>
      <c r="J337" s="57"/>
      <c r="K337" s="57"/>
      <c r="L337" s="57"/>
      <c r="M337" s="57"/>
      <c r="N337" s="59"/>
      <c r="O337" s="57"/>
      <c r="P337" s="57"/>
      <c r="Q337" s="57"/>
      <c r="R337" s="57"/>
      <c r="S337" s="57"/>
      <c r="T337" s="57"/>
      <c r="U337" s="57"/>
      <c r="V337" s="57"/>
      <c r="W337" s="57"/>
    </row>
    <row r="338" spans="1:23" ht="40.15" customHeight="1" x14ac:dyDescent="0.35">
      <c r="A338" s="57"/>
      <c r="G338" s="57"/>
      <c r="H338" s="57"/>
      <c r="I338" s="57"/>
      <c r="J338" s="57"/>
      <c r="K338" s="57"/>
      <c r="L338" s="57"/>
      <c r="M338" s="57"/>
      <c r="O338" s="57"/>
      <c r="P338" s="57"/>
      <c r="Q338" s="57"/>
      <c r="R338" s="57"/>
      <c r="S338" s="57"/>
      <c r="T338" s="57"/>
      <c r="U338" s="57"/>
      <c r="V338" s="57"/>
      <c r="W338" s="57"/>
    </row>
    <row r="339" spans="1:23" ht="40.15" customHeight="1" x14ac:dyDescent="0.35">
      <c r="A339" s="57"/>
      <c r="G339" s="57"/>
      <c r="H339" s="57"/>
      <c r="I339" s="57"/>
      <c r="J339" s="57"/>
      <c r="K339" s="57"/>
      <c r="L339" s="57"/>
      <c r="M339" s="57"/>
      <c r="O339" s="57"/>
      <c r="P339" s="57"/>
      <c r="Q339" s="57"/>
      <c r="R339" s="57"/>
      <c r="S339" s="57"/>
      <c r="T339" s="57"/>
      <c r="U339" s="57"/>
      <c r="V339" s="57"/>
      <c r="W339" s="57"/>
    </row>
    <row r="340" spans="1:23" ht="40.15" customHeight="1" x14ac:dyDescent="0.35">
      <c r="A340" s="57"/>
      <c r="G340" s="57"/>
      <c r="H340" s="57"/>
      <c r="I340" s="57"/>
      <c r="J340" s="57"/>
      <c r="K340" s="57"/>
      <c r="L340" s="57"/>
      <c r="M340" s="57"/>
      <c r="O340" s="57"/>
      <c r="P340" s="57"/>
      <c r="Q340" s="57"/>
      <c r="R340" s="57"/>
      <c r="S340" s="57"/>
      <c r="T340" s="57"/>
      <c r="U340" s="57"/>
      <c r="V340" s="57"/>
      <c r="W340" s="57"/>
    </row>
    <row r="341" spans="1:23" ht="40.15" customHeight="1" x14ac:dyDescent="0.35">
      <c r="A341" s="57"/>
      <c r="G341" s="57"/>
      <c r="H341" s="57"/>
      <c r="I341" s="57"/>
      <c r="J341" s="57"/>
      <c r="K341" s="57"/>
      <c r="L341" s="57"/>
      <c r="M341" s="57"/>
      <c r="O341" s="57"/>
      <c r="P341" s="57"/>
      <c r="Q341" s="57"/>
      <c r="R341" s="57"/>
      <c r="S341" s="57"/>
      <c r="T341" s="57"/>
      <c r="U341" s="57"/>
      <c r="V341" s="57"/>
      <c r="W341" s="57"/>
    </row>
    <row r="342" spans="1:23" ht="40.15" customHeight="1" x14ac:dyDescent="0.35">
      <c r="A342" s="57"/>
      <c r="G342" s="57"/>
      <c r="H342" s="57"/>
      <c r="I342" s="57"/>
      <c r="J342" s="57"/>
      <c r="K342" s="57"/>
      <c r="L342" s="57"/>
      <c r="M342" s="57"/>
      <c r="O342" s="59"/>
      <c r="P342" s="59"/>
      <c r="Q342" s="59"/>
      <c r="R342" s="59"/>
      <c r="S342" s="59"/>
      <c r="T342" s="59"/>
      <c r="U342" s="59"/>
      <c r="V342" s="59"/>
      <c r="W342" s="59"/>
    </row>
    <row r="343" spans="1:23" ht="40.15" customHeight="1" x14ac:dyDescent="0.35">
      <c r="A343" s="57"/>
      <c r="G343" s="57"/>
      <c r="H343" s="57"/>
      <c r="I343" s="57"/>
      <c r="J343" s="57"/>
      <c r="K343" s="59"/>
      <c r="L343" s="59"/>
      <c r="M343" s="59"/>
    </row>
    <row r="344" spans="1:23" ht="40.15" customHeight="1" x14ac:dyDescent="0.35">
      <c r="A344" s="57"/>
      <c r="G344" s="57"/>
      <c r="H344" s="57"/>
      <c r="I344" s="57"/>
      <c r="J344" s="57"/>
    </row>
    <row r="345" spans="1:23" ht="40.15" customHeight="1" x14ac:dyDescent="0.35">
      <c r="A345" s="57"/>
      <c r="G345" s="57"/>
      <c r="H345" s="57"/>
      <c r="I345" s="57"/>
      <c r="J345" s="57"/>
    </row>
    <row r="346" spans="1:23" ht="40.15" customHeight="1" x14ac:dyDescent="0.35">
      <c r="A346" s="57"/>
      <c r="G346" s="57"/>
      <c r="H346" s="57"/>
      <c r="I346" s="57"/>
      <c r="J346" s="57"/>
    </row>
    <row r="347" spans="1:23" ht="40.15" customHeight="1" x14ac:dyDescent="0.35">
      <c r="A347" s="57"/>
      <c r="G347" s="57"/>
      <c r="H347" s="57"/>
      <c r="I347" s="57"/>
      <c r="J347" s="57"/>
    </row>
    <row r="348" spans="1:23" ht="40.15" customHeight="1" x14ac:dyDescent="0.35">
      <c r="A348" s="57"/>
      <c r="G348" s="57"/>
      <c r="H348" s="57"/>
      <c r="I348" s="57"/>
      <c r="J348" s="57"/>
    </row>
    <row r="349" spans="1:23" ht="40.15" customHeight="1" x14ac:dyDescent="0.35">
      <c r="A349" s="57"/>
      <c r="G349" s="57"/>
      <c r="H349" s="57"/>
      <c r="I349" s="57"/>
      <c r="J349" s="57"/>
    </row>
    <row r="350" spans="1:23" ht="40.15" customHeight="1" x14ac:dyDescent="0.35">
      <c r="A350" s="57"/>
      <c r="G350" s="57"/>
      <c r="H350" s="57"/>
      <c r="I350" s="57"/>
      <c r="J350" s="57"/>
    </row>
    <row r="351" spans="1:23" ht="40.15" customHeight="1" x14ac:dyDescent="0.35">
      <c r="A351" s="57"/>
      <c r="G351" s="57"/>
      <c r="H351" s="57"/>
      <c r="I351" s="57"/>
      <c r="J351" s="57"/>
    </row>
    <row r="352" spans="1:23" ht="40.15" customHeight="1" x14ac:dyDescent="0.35">
      <c r="A352" s="57"/>
      <c r="G352" s="57"/>
      <c r="H352" s="57"/>
      <c r="I352" s="57"/>
      <c r="J352" s="57"/>
    </row>
    <row r="353" spans="1:10" ht="40.15" customHeight="1" x14ac:dyDescent="0.35">
      <c r="A353" s="57"/>
      <c r="G353" s="57"/>
      <c r="H353" s="57"/>
      <c r="I353" s="57"/>
      <c r="J353" s="57"/>
    </row>
    <row r="354" spans="1:10" ht="40.15" customHeight="1" x14ac:dyDescent="0.35">
      <c r="A354" s="57"/>
      <c r="G354" s="57"/>
      <c r="H354" s="57"/>
      <c r="I354" s="57"/>
      <c r="J354" s="57"/>
    </row>
    <row r="355" spans="1:10" ht="40.15" customHeight="1" x14ac:dyDescent="0.35">
      <c r="A355" s="57"/>
      <c r="G355" s="57"/>
      <c r="H355" s="57"/>
      <c r="I355" s="57"/>
      <c r="J355" s="57"/>
    </row>
    <row r="356" spans="1:10" ht="40.15" customHeight="1" x14ac:dyDescent="0.35">
      <c r="A356" s="57"/>
      <c r="G356" s="57"/>
      <c r="H356" s="57"/>
      <c r="I356" s="57"/>
      <c r="J356" s="57"/>
    </row>
    <row r="357" spans="1:10" ht="40.15" customHeight="1" x14ac:dyDescent="0.35">
      <c r="A357" s="57"/>
      <c r="G357" s="57"/>
      <c r="H357" s="57"/>
      <c r="I357" s="57"/>
      <c r="J357" s="57"/>
    </row>
    <row r="358" spans="1:10" ht="40.15" customHeight="1" x14ac:dyDescent="0.35">
      <c r="A358" s="57"/>
      <c r="G358" s="57"/>
      <c r="H358" s="57"/>
      <c r="I358" s="57"/>
      <c r="J358" s="57"/>
    </row>
    <row r="359" spans="1:10" ht="40.15" customHeight="1" x14ac:dyDescent="0.35">
      <c r="A359" s="57"/>
      <c r="G359" s="57"/>
      <c r="H359" s="57"/>
      <c r="I359" s="57"/>
      <c r="J359" s="57"/>
    </row>
    <row r="360" spans="1:10" ht="40.15" customHeight="1" x14ac:dyDescent="0.35">
      <c r="A360" s="57"/>
      <c r="G360" s="57"/>
      <c r="H360" s="57"/>
      <c r="I360" s="57"/>
      <c r="J360" s="57"/>
    </row>
    <row r="361" spans="1:10" ht="40.15" customHeight="1" x14ac:dyDescent="0.35">
      <c r="A361" s="57"/>
      <c r="G361" s="57"/>
      <c r="H361" s="57"/>
      <c r="I361" s="57"/>
      <c r="J361" s="57"/>
    </row>
    <row r="362" spans="1:10" ht="40.15" customHeight="1" x14ac:dyDescent="0.35">
      <c r="A362" s="57"/>
      <c r="G362" s="57"/>
      <c r="H362" s="57"/>
      <c r="I362" s="57"/>
      <c r="J362" s="57"/>
    </row>
    <row r="363" spans="1:10" ht="40.15" customHeight="1" x14ac:dyDescent="0.35">
      <c r="A363" s="57"/>
      <c r="G363" s="57"/>
      <c r="H363" s="57"/>
      <c r="I363" s="57"/>
      <c r="J363" s="57"/>
    </row>
    <row r="364" spans="1:10" ht="40.15" customHeight="1" x14ac:dyDescent="0.35">
      <c r="A364" s="57"/>
      <c r="G364" s="57"/>
      <c r="H364" s="57"/>
      <c r="I364" s="57"/>
      <c r="J364" s="57"/>
    </row>
    <row r="365" spans="1:10" ht="40.15" customHeight="1" x14ac:dyDescent="0.35">
      <c r="A365" s="57"/>
      <c r="G365" s="57"/>
      <c r="H365" s="57"/>
      <c r="I365" s="57"/>
      <c r="J365" s="57"/>
    </row>
    <row r="366" spans="1:10" ht="40.15" customHeight="1" x14ac:dyDescent="0.35">
      <c r="A366" s="57"/>
      <c r="G366" s="57"/>
      <c r="H366" s="57"/>
      <c r="I366" s="57"/>
      <c r="J366" s="57"/>
    </row>
    <row r="367" spans="1:10" ht="40.15" customHeight="1" x14ac:dyDescent="0.35">
      <c r="A367" s="57"/>
      <c r="J367" s="57"/>
    </row>
    <row r="368" spans="1:10" ht="40.15" customHeight="1" x14ac:dyDescent="0.35">
      <c r="A368" s="57"/>
      <c r="J368" s="57"/>
    </row>
    <row r="369" spans="1:10" ht="40.15" customHeight="1" x14ac:dyDescent="0.35">
      <c r="A369" s="57"/>
      <c r="J369" s="57"/>
    </row>
    <row r="370" spans="1:10" ht="40.15" customHeight="1" x14ac:dyDescent="0.35">
      <c r="A370" s="57"/>
      <c r="J370" s="57"/>
    </row>
    <row r="371" spans="1:10" ht="40.15" customHeight="1" x14ac:dyDescent="0.35">
      <c r="A371" s="57"/>
      <c r="J371" s="57"/>
    </row>
    <row r="372" spans="1:10" ht="40.15" customHeight="1" x14ac:dyDescent="0.35">
      <c r="A372" s="57"/>
      <c r="J372" s="57"/>
    </row>
  </sheetData>
  <sheetProtection algorithmName="SHA-512" hashValue="nc07AkQIReCg9VMGFd3yqS/+dBuM6J5j/xWWoEpWoeLANueXo0mnPqS/jQZqJ9GG/3+eREV0agkbi9q0EAuVeg==" saltValue="sj29LgWqUfGqqWSYJtQkfQ==" spinCount="100000" sheet="1" selectLockedCells="1"/>
  <mergeCells count="19">
    <mergeCell ref="C9:H9"/>
    <mergeCell ref="C7:H7"/>
    <mergeCell ref="C14:F14"/>
    <mergeCell ref="C13:F13"/>
    <mergeCell ref="L12:M12"/>
    <mergeCell ref="L13:M13"/>
    <mergeCell ref="C10:H10"/>
    <mergeCell ref="C11:H11"/>
    <mergeCell ref="C12:H12"/>
    <mergeCell ref="C8:H8"/>
    <mergeCell ref="K7:L7"/>
    <mergeCell ref="B5:C5"/>
    <mergeCell ref="D5:F5"/>
    <mergeCell ref="B2:C2"/>
    <mergeCell ref="D2:F2"/>
    <mergeCell ref="B3:C3"/>
    <mergeCell ref="D3:F3"/>
    <mergeCell ref="B4:C4"/>
    <mergeCell ref="D4:F4"/>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ustomWidth="1"/>
    <col min="2" max="2" width="8.81640625" style="1" customWidth="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28" width="8.81640625" style="36" customWidth="1"/>
    <col min="29"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x14ac:dyDescent="0.35">
      <c r="B2" s="1"/>
      <c r="C2" s="6"/>
      <c r="H2" s="4"/>
      <c r="I2" s="4"/>
      <c r="J2" s="4"/>
      <c r="K2" s="1"/>
      <c r="L2" s="1"/>
      <c r="M2" s="1"/>
      <c r="N2" s="1"/>
      <c r="O2" s="1"/>
      <c r="P2" s="4"/>
      <c r="Q2" s="4"/>
      <c r="R2" s="4"/>
      <c r="S2" s="4"/>
      <c r="T2" s="4"/>
      <c r="U2" s="4"/>
      <c r="V2" s="4"/>
      <c r="W2" s="4"/>
      <c r="X2" s="4"/>
      <c r="Y2" s="5"/>
    </row>
    <row r="3" spans="2:27" s="3" customFormat="1" ht="57.65" customHeight="1" x14ac:dyDescent="0.35">
      <c r="B3" s="445" t="s">
        <v>3497</v>
      </c>
      <c r="C3" s="446"/>
      <c r="D3" s="446"/>
      <c r="E3" s="446"/>
      <c r="F3" s="446"/>
      <c r="G3" s="446"/>
      <c r="H3" s="446"/>
      <c r="I3" s="446"/>
      <c r="J3" s="446"/>
      <c r="K3" s="446"/>
      <c r="L3" s="446"/>
      <c r="M3" s="446"/>
      <c r="N3" s="446"/>
      <c r="O3" s="446"/>
      <c r="P3" s="446"/>
      <c r="Q3" s="446"/>
      <c r="R3" s="446"/>
      <c r="S3" s="446"/>
      <c r="T3" s="446"/>
      <c r="U3" s="446"/>
      <c r="V3" s="446"/>
      <c r="W3" s="446"/>
      <c r="X3" s="446"/>
      <c r="Y3" s="447"/>
      <c r="Z3" s="7"/>
      <c r="AA3" s="8"/>
    </row>
    <row r="4" spans="2:27" s="3" customFormat="1" ht="36.65" customHeight="1" x14ac:dyDescent="0.35">
      <c r="B4" s="448" t="s">
        <v>3498</v>
      </c>
      <c r="C4" s="449"/>
      <c r="D4" s="450"/>
      <c r="E4" s="451"/>
      <c r="F4" s="451"/>
      <c r="G4" s="451"/>
      <c r="H4" s="451"/>
      <c r="I4" s="451"/>
      <c r="J4" s="451"/>
      <c r="K4" s="452"/>
      <c r="L4" s="9"/>
      <c r="M4" s="415"/>
      <c r="N4" s="416"/>
      <c r="O4" s="416"/>
      <c r="P4" s="417"/>
      <c r="Q4" s="442"/>
      <c r="R4" s="443"/>
      <c r="S4" s="443"/>
      <c r="T4" s="443"/>
      <c r="U4" s="443"/>
      <c r="V4" s="443"/>
      <c r="W4" s="443"/>
      <c r="X4" s="443"/>
      <c r="Y4" s="444"/>
    </row>
    <row r="5" spans="2:27" s="3" customFormat="1" ht="36.65" customHeight="1" x14ac:dyDescent="0.35">
      <c r="B5" s="453" t="s">
        <v>37</v>
      </c>
      <c r="C5" s="454"/>
      <c r="D5" s="455"/>
      <c r="E5" s="456"/>
      <c r="F5" s="456"/>
      <c r="G5" s="456"/>
      <c r="H5" s="456"/>
      <c r="I5" s="456"/>
      <c r="J5" s="456"/>
      <c r="K5" s="457"/>
      <c r="L5" s="9"/>
      <c r="M5" s="453" t="s">
        <v>3499</v>
      </c>
      <c r="N5" s="458"/>
      <c r="O5" s="458"/>
      <c r="P5" s="454"/>
      <c r="Q5" s="442"/>
      <c r="R5" s="443"/>
      <c r="S5" s="443"/>
      <c r="T5" s="443"/>
      <c r="U5" s="443"/>
      <c r="V5" s="443"/>
      <c r="W5" s="443"/>
      <c r="X5" s="443"/>
      <c r="Y5" s="444"/>
    </row>
    <row r="6" spans="2:27" s="3" customFormat="1" ht="36.65" customHeight="1" x14ac:dyDescent="0.35">
      <c r="B6" s="415" t="s">
        <v>39</v>
      </c>
      <c r="C6" s="417"/>
      <c r="D6" s="412"/>
      <c r="E6" s="413"/>
      <c r="F6" s="413"/>
      <c r="G6" s="414"/>
      <c r="H6" s="439" t="s">
        <v>3500</v>
      </c>
      <c r="I6" s="440"/>
      <c r="J6" s="440"/>
      <c r="K6" s="441"/>
      <c r="L6" s="9"/>
      <c r="M6" s="415" t="s">
        <v>3501</v>
      </c>
      <c r="N6" s="416"/>
      <c r="O6" s="416"/>
      <c r="P6" s="417"/>
      <c r="Q6" s="418"/>
      <c r="R6" s="419"/>
      <c r="S6" s="419"/>
      <c r="T6" s="419"/>
      <c r="U6" s="419"/>
      <c r="V6" s="419"/>
      <c r="W6" s="419"/>
      <c r="X6" s="419"/>
      <c r="Y6" s="420"/>
    </row>
    <row r="7" spans="2:27" s="3" customFormat="1" ht="36.65" customHeight="1" x14ac:dyDescent="0.35">
      <c r="B7" s="410" t="s">
        <v>3502</v>
      </c>
      <c r="C7" s="411"/>
      <c r="D7" s="412"/>
      <c r="E7" s="413"/>
      <c r="F7" s="413"/>
      <c r="G7" s="413"/>
      <c r="H7" s="413"/>
      <c r="I7" s="413"/>
      <c r="J7" s="413"/>
      <c r="K7" s="414"/>
      <c r="L7" s="9"/>
      <c r="M7" s="415" t="s">
        <v>3503</v>
      </c>
      <c r="N7" s="416"/>
      <c r="O7" s="416"/>
      <c r="P7" s="417"/>
      <c r="Q7" s="442"/>
      <c r="R7" s="443"/>
      <c r="S7" s="443"/>
      <c r="T7" s="443"/>
      <c r="U7" s="443"/>
      <c r="V7" s="443"/>
      <c r="W7" s="443"/>
      <c r="X7" s="443"/>
      <c r="Y7" s="444"/>
    </row>
    <row r="8" spans="2:27" s="3" customFormat="1" ht="36.65" customHeight="1" x14ac:dyDescent="0.35">
      <c r="B8" s="410" t="s">
        <v>3504</v>
      </c>
      <c r="C8" s="411"/>
      <c r="D8" s="412"/>
      <c r="E8" s="413"/>
      <c r="F8" s="413"/>
      <c r="G8" s="413"/>
      <c r="H8" s="413"/>
      <c r="I8" s="413"/>
      <c r="J8" s="413"/>
      <c r="K8" s="414"/>
      <c r="L8" s="10"/>
      <c r="M8" s="415" t="s">
        <v>3505</v>
      </c>
      <c r="N8" s="416"/>
      <c r="O8" s="416"/>
      <c r="P8" s="417"/>
      <c r="Q8" s="418"/>
      <c r="R8" s="419"/>
      <c r="S8" s="419"/>
      <c r="T8" s="419"/>
      <c r="U8" s="419"/>
      <c r="V8" s="419"/>
      <c r="W8" s="419"/>
      <c r="X8" s="419"/>
      <c r="Y8" s="420"/>
    </row>
    <row r="9" spans="2:27" s="3" customFormat="1" ht="32.25" customHeight="1" x14ac:dyDescent="0.35">
      <c r="B9" s="11"/>
      <c r="C9" s="421" t="s">
        <v>3506</v>
      </c>
      <c r="D9" s="423" t="s">
        <v>3507</v>
      </c>
      <c r="E9" s="425" t="s">
        <v>3508</v>
      </c>
      <c r="F9" s="425"/>
      <c r="G9" s="425"/>
      <c r="H9" s="425"/>
      <c r="I9" s="425"/>
      <c r="J9" s="425"/>
      <c r="K9" s="425"/>
      <c r="L9" s="425"/>
      <c r="M9" s="425"/>
      <c r="N9" s="425"/>
      <c r="O9" s="425"/>
      <c r="P9" s="425"/>
      <c r="Q9" s="425"/>
      <c r="R9" s="426"/>
      <c r="S9" s="427" t="s">
        <v>3509</v>
      </c>
      <c r="T9" s="429" t="s">
        <v>3510</v>
      </c>
      <c r="U9" s="431" t="s">
        <v>3511</v>
      </c>
      <c r="V9" s="431"/>
      <c r="W9" s="431"/>
      <c r="X9" s="431"/>
      <c r="Y9" s="432"/>
    </row>
    <row r="10" spans="2:27" s="14" customFormat="1" ht="120" customHeight="1" x14ac:dyDescent="0.35">
      <c r="B10" s="12"/>
      <c r="C10" s="422"/>
      <c r="D10" s="424"/>
      <c r="E10" s="435" t="s">
        <v>3512</v>
      </c>
      <c r="F10" s="436"/>
      <c r="G10" s="435" t="s">
        <v>3513</v>
      </c>
      <c r="H10" s="436"/>
      <c r="I10" s="435" t="s">
        <v>3514</v>
      </c>
      <c r="J10" s="436"/>
      <c r="K10" s="435" t="s">
        <v>3515</v>
      </c>
      <c r="L10" s="436"/>
      <c r="M10" s="408" t="s">
        <v>3516</v>
      </c>
      <c r="N10" s="437"/>
      <c r="O10" s="438"/>
      <c r="P10" s="408" t="s">
        <v>3517</v>
      </c>
      <c r="Q10" s="409"/>
      <c r="R10" s="13" t="s">
        <v>3518</v>
      </c>
      <c r="S10" s="428"/>
      <c r="T10" s="430"/>
      <c r="U10" s="433"/>
      <c r="V10" s="433"/>
      <c r="W10" s="433"/>
      <c r="X10" s="433"/>
      <c r="Y10" s="434"/>
    </row>
    <row r="11" spans="2:27" s="3" customFormat="1" ht="87.65" customHeight="1" x14ac:dyDescent="0.35">
      <c r="B11" s="15">
        <v>1</v>
      </c>
      <c r="C11" s="16" t="s">
        <v>3519</v>
      </c>
      <c r="D11" s="402"/>
      <c r="E11" s="404">
        <v>213</v>
      </c>
      <c r="F11" s="405"/>
      <c r="G11" s="405">
        <v>186</v>
      </c>
      <c r="H11" s="405"/>
      <c r="I11" s="405">
        <v>168</v>
      </c>
      <c r="J11" s="405"/>
      <c r="K11" s="405">
        <v>264</v>
      </c>
      <c r="L11" s="405"/>
      <c r="M11" s="407">
        <v>292</v>
      </c>
      <c r="N11" s="407"/>
      <c r="O11" s="407"/>
      <c r="P11" s="405">
        <v>295</v>
      </c>
      <c r="Q11" s="406"/>
      <c r="R11" s="17">
        <v>1418</v>
      </c>
      <c r="S11" s="18"/>
      <c r="T11" s="19" t="s">
        <v>3520</v>
      </c>
      <c r="U11" s="367"/>
      <c r="V11" s="368"/>
      <c r="W11" s="368"/>
      <c r="X11" s="368"/>
      <c r="Y11" s="369"/>
    </row>
    <row r="12" spans="2:27" s="3" customFormat="1" ht="87.65" customHeight="1" x14ac:dyDescent="0.35">
      <c r="B12" s="15" t="s">
        <v>3521</v>
      </c>
      <c r="C12" s="16" t="s">
        <v>3522</v>
      </c>
      <c r="D12" s="403"/>
      <c r="E12" s="398">
        <v>35</v>
      </c>
      <c r="F12" s="399"/>
      <c r="G12" s="399">
        <v>18</v>
      </c>
      <c r="H12" s="399"/>
      <c r="I12" s="399">
        <v>18</v>
      </c>
      <c r="J12" s="399"/>
      <c r="K12" s="399">
        <v>28</v>
      </c>
      <c r="L12" s="399"/>
      <c r="M12" s="400">
        <v>40</v>
      </c>
      <c r="N12" s="400"/>
      <c r="O12" s="400"/>
      <c r="P12" s="399">
        <v>21</v>
      </c>
      <c r="Q12" s="401"/>
      <c r="R12" s="17">
        <v>160</v>
      </c>
      <c r="S12" s="20"/>
      <c r="T12" s="19" t="s">
        <v>3520</v>
      </c>
      <c r="U12" s="367"/>
      <c r="V12" s="368"/>
      <c r="W12" s="368"/>
      <c r="X12" s="368"/>
      <c r="Y12" s="369"/>
    </row>
    <row r="13" spans="2:27" s="3" customFormat="1" ht="87.65" customHeight="1" x14ac:dyDescent="0.35">
      <c r="B13" s="15">
        <v>2</v>
      </c>
      <c r="C13" s="16" t="s">
        <v>3523</v>
      </c>
      <c r="D13" s="21">
        <v>5365</v>
      </c>
      <c r="E13" s="398">
        <v>836</v>
      </c>
      <c r="F13" s="399"/>
      <c r="G13" s="399">
        <v>783</v>
      </c>
      <c r="H13" s="399"/>
      <c r="I13" s="399">
        <v>1394</v>
      </c>
      <c r="J13" s="399"/>
      <c r="K13" s="399">
        <v>667</v>
      </c>
      <c r="L13" s="399"/>
      <c r="M13" s="400">
        <v>827</v>
      </c>
      <c r="N13" s="400"/>
      <c r="O13" s="400"/>
      <c r="P13" s="399">
        <v>827</v>
      </c>
      <c r="Q13" s="401"/>
      <c r="R13" s="17">
        <v>5334</v>
      </c>
      <c r="S13" s="22">
        <v>1.0049999999999999</v>
      </c>
      <c r="T13" s="19" t="s">
        <v>3520</v>
      </c>
      <c r="U13" s="367"/>
      <c r="V13" s="368"/>
      <c r="W13" s="368"/>
      <c r="X13" s="368"/>
      <c r="Y13" s="369"/>
    </row>
    <row r="14" spans="2:27" s="3" customFormat="1" ht="87.65" customHeight="1" x14ac:dyDescent="0.35">
      <c r="B14" s="15" t="s">
        <v>3524</v>
      </c>
      <c r="C14" s="16" t="s">
        <v>3525</v>
      </c>
      <c r="D14" s="21">
        <v>4</v>
      </c>
      <c r="E14" s="398">
        <v>0</v>
      </c>
      <c r="F14" s="399"/>
      <c r="G14" s="399">
        <v>1</v>
      </c>
      <c r="H14" s="399"/>
      <c r="I14" s="399">
        <v>2</v>
      </c>
      <c r="J14" s="399"/>
      <c r="K14" s="399">
        <v>0</v>
      </c>
      <c r="L14" s="399"/>
      <c r="M14" s="400">
        <v>0</v>
      </c>
      <c r="N14" s="400"/>
      <c r="O14" s="400"/>
      <c r="P14" s="399">
        <v>1</v>
      </c>
      <c r="Q14" s="401"/>
      <c r="R14" s="17">
        <v>4</v>
      </c>
      <c r="S14" s="22">
        <v>1</v>
      </c>
      <c r="T14" s="19" t="s">
        <v>3520</v>
      </c>
      <c r="U14" s="367"/>
      <c r="V14" s="368"/>
      <c r="W14" s="368"/>
      <c r="X14" s="368"/>
      <c r="Y14" s="369"/>
    </row>
    <row r="15" spans="2:27" s="3" customFormat="1" ht="87.65" customHeight="1" x14ac:dyDescent="0.35">
      <c r="B15" s="15" t="s">
        <v>3526</v>
      </c>
      <c r="C15" s="16" t="s">
        <v>3527</v>
      </c>
      <c r="D15" s="21">
        <v>21</v>
      </c>
      <c r="E15" s="394">
        <v>2</v>
      </c>
      <c r="F15" s="395"/>
      <c r="G15" s="395">
        <v>0</v>
      </c>
      <c r="H15" s="395"/>
      <c r="I15" s="395">
        <v>5</v>
      </c>
      <c r="J15" s="395"/>
      <c r="K15" s="395">
        <v>2</v>
      </c>
      <c r="L15" s="395"/>
      <c r="M15" s="396">
        <v>4</v>
      </c>
      <c r="N15" s="396"/>
      <c r="O15" s="396"/>
      <c r="P15" s="395">
        <v>8</v>
      </c>
      <c r="Q15" s="397"/>
      <c r="R15" s="23">
        <v>21</v>
      </c>
      <c r="S15" s="22">
        <v>1</v>
      </c>
      <c r="T15" s="19" t="s">
        <v>3520</v>
      </c>
      <c r="U15" s="367"/>
      <c r="V15" s="368"/>
      <c r="W15" s="368"/>
      <c r="X15" s="368"/>
      <c r="Y15" s="369"/>
    </row>
    <row r="16" spans="2:27" s="3" customFormat="1" ht="87.65" customHeight="1" x14ac:dyDescent="0.35">
      <c r="B16" s="15"/>
      <c r="C16" s="24" t="s">
        <v>3528</v>
      </c>
      <c r="D16" s="21">
        <v>6836</v>
      </c>
      <c r="E16" s="391">
        <v>1049</v>
      </c>
      <c r="F16" s="392"/>
      <c r="G16" s="391">
        <v>969</v>
      </c>
      <c r="H16" s="392"/>
      <c r="I16" s="391">
        <v>1562</v>
      </c>
      <c r="J16" s="392"/>
      <c r="K16" s="391">
        <v>931</v>
      </c>
      <c r="L16" s="392"/>
      <c r="M16" s="391">
        <v>1119</v>
      </c>
      <c r="N16" s="393"/>
      <c r="O16" s="392"/>
      <c r="P16" s="391">
        <v>1122</v>
      </c>
      <c r="Q16" s="392"/>
      <c r="R16" s="25">
        <v>6752</v>
      </c>
      <c r="S16" s="22">
        <v>1.012</v>
      </c>
      <c r="T16" s="19" t="s">
        <v>3520</v>
      </c>
      <c r="U16" s="367"/>
      <c r="V16" s="368"/>
      <c r="W16" s="368"/>
      <c r="X16" s="368"/>
      <c r="Y16" s="369"/>
    </row>
    <row r="17" spans="2:28" s="3" customFormat="1" ht="87.65" customHeight="1" x14ac:dyDescent="0.35">
      <c r="B17" s="15"/>
      <c r="C17" s="16" t="s">
        <v>3529</v>
      </c>
      <c r="D17" s="21">
        <v>187</v>
      </c>
      <c r="E17" s="391">
        <v>35</v>
      </c>
      <c r="F17" s="392"/>
      <c r="G17" s="391">
        <v>19</v>
      </c>
      <c r="H17" s="392"/>
      <c r="I17" s="391">
        <v>20</v>
      </c>
      <c r="J17" s="392"/>
      <c r="K17" s="391">
        <v>28</v>
      </c>
      <c r="L17" s="392"/>
      <c r="M17" s="391">
        <v>40</v>
      </c>
      <c r="N17" s="393"/>
      <c r="O17" s="392"/>
      <c r="P17" s="391">
        <v>22</v>
      </c>
      <c r="Q17" s="392"/>
      <c r="R17" s="25">
        <v>164</v>
      </c>
      <c r="S17" s="22">
        <v>1.1399999999999999</v>
      </c>
      <c r="T17" s="19" t="s">
        <v>3520</v>
      </c>
      <c r="U17" s="367"/>
      <c r="V17" s="368"/>
      <c r="W17" s="368"/>
      <c r="X17" s="368"/>
      <c r="Y17" s="369"/>
    </row>
    <row r="18" spans="2:28" s="3" customFormat="1" ht="87.65" customHeight="1" x14ac:dyDescent="0.35">
      <c r="B18" s="15">
        <v>3</v>
      </c>
      <c r="C18" s="16" t="s">
        <v>3530</v>
      </c>
      <c r="D18" s="21">
        <v>25</v>
      </c>
      <c r="E18" s="387">
        <v>2</v>
      </c>
      <c r="F18" s="388"/>
      <c r="G18" s="388">
        <v>1</v>
      </c>
      <c r="H18" s="388"/>
      <c r="I18" s="388">
        <v>7</v>
      </c>
      <c r="J18" s="388"/>
      <c r="K18" s="388">
        <v>2</v>
      </c>
      <c r="L18" s="388"/>
      <c r="M18" s="389">
        <v>4</v>
      </c>
      <c r="N18" s="389"/>
      <c r="O18" s="389"/>
      <c r="P18" s="388">
        <v>9</v>
      </c>
      <c r="Q18" s="390"/>
      <c r="R18" s="26">
        <v>25</v>
      </c>
      <c r="S18" s="22">
        <v>1</v>
      </c>
      <c r="T18" s="19" t="s">
        <v>3520</v>
      </c>
      <c r="U18" s="367"/>
      <c r="V18" s="368"/>
      <c r="W18" s="368"/>
      <c r="X18" s="368"/>
      <c r="Y18" s="369"/>
    </row>
    <row r="19" spans="2:28" s="3" customFormat="1" ht="87.65" customHeight="1" x14ac:dyDescent="0.35">
      <c r="B19" s="15">
        <v>4</v>
      </c>
      <c r="C19" s="16" t="s">
        <v>3531</v>
      </c>
      <c r="D19" s="27">
        <v>104</v>
      </c>
      <c r="E19" s="381">
        <v>24</v>
      </c>
      <c r="F19" s="382"/>
      <c r="G19" s="382">
        <v>10</v>
      </c>
      <c r="H19" s="382"/>
      <c r="I19" s="382">
        <v>4</v>
      </c>
      <c r="J19" s="382"/>
      <c r="K19" s="382">
        <v>19</v>
      </c>
      <c r="L19" s="382"/>
      <c r="M19" s="383">
        <v>21</v>
      </c>
      <c r="N19" s="383"/>
      <c r="O19" s="383"/>
      <c r="P19" s="382">
        <v>26</v>
      </c>
      <c r="Q19" s="384"/>
      <c r="R19" s="17">
        <v>104</v>
      </c>
      <c r="S19" s="22">
        <v>1</v>
      </c>
      <c r="T19" s="19" t="s">
        <v>3520</v>
      </c>
      <c r="U19" s="367"/>
      <c r="V19" s="368"/>
      <c r="W19" s="368"/>
      <c r="X19" s="368"/>
      <c r="Y19" s="369"/>
    </row>
    <row r="20" spans="2:28" s="3" customFormat="1" ht="24.75" customHeight="1" x14ac:dyDescent="0.35">
      <c r="B20" s="15"/>
      <c r="C20" s="370" t="s">
        <v>3532</v>
      </c>
      <c r="D20" s="373" t="s">
        <v>3533</v>
      </c>
      <c r="E20" s="374"/>
      <c r="F20" s="374"/>
      <c r="G20" s="374"/>
      <c r="H20" s="374"/>
      <c r="I20" s="374"/>
      <c r="J20" s="374"/>
      <c r="K20" s="374"/>
      <c r="L20" s="374"/>
      <c r="M20" s="375"/>
      <c r="N20" s="376"/>
      <c r="O20" s="378" t="s">
        <v>3534</v>
      </c>
      <c r="P20" s="374"/>
      <c r="Q20" s="374"/>
      <c r="R20" s="379"/>
      <c r="S20" s="379"/>
      <c r="T20" s="379"/>
      <c r="U20" s="374"/>
      <c r="V20" s="374"/>
      <c r="W20" s="374"/>
      <c r="X20" s="375"/>
      <c r="Y20" s="28" t="s">
        <v>3511</v>
      </c>
      <c r="Z20" s="29"/>
      <c r="AA20" s="30"/>
      <c r="AB20" s="31"/>
    </row>
    <row r="21" spans="2:28" s="14" customFormat="1" ht="111.65" customHeight="1" x14ac:dyDescent="0.35">
      <c r="B21" s="32">
        <v>5</v>
      </c>
      <c r="C21" s="371"/>
      <c r="D21" s="357" t="s">
        <v>3535</v>
      </c>
      <c r="E21" s="358"/>
      <c r="F21" s="348" t="s">
        <v>3536</v>
      </c>
      <c r="G21" s="358"/>
      <c r="H21" s="348" t="s">
        <v>3537</v>
      </c>
      <c r="I21" s="349"/>
      <c r="J21" s="380" t="s">
        <v>3538</v>
      </c>
      <c r="K21" s="358"/>
      <c r="L21" s="348" t="s">
        <v>3539</v>
      </c>
      <c r="M21" s="349"/>
      <c r="N21" s="376"/>
      <c r="O21" s="357" t="s">
        <v>3540</v>
      </c>
      <c r="P21" s="358"/>
      <c r="Q21" s="348" t="s">
        <v>3541</v>
      </c>
      <c r="R21" s="358"/>
      <c r="S21" s="348" t="s">
        <v>3542</v>
      </c>
      <c r="T21" s="349"/>
      <c r="U21" s="380" t="s">
        <v>3543</v>
      </c>
      <c r="V21" s="358"/>
      <c r="W21" s="348" t="s">
        <v>3544</v>
      </c>
      <c r="X21" s="349"/>
      <c r="Y21" s="385"/>
      <c r="Z21" s="33"/>
      <c r="AA21" s="34"/>
      <c r="AB21" s="34"/>
    </row>
    <row r="22" spans="2:28" s="3" customFormat="1" ht="58.5" customHeight="1" x14ac:dyDescent="0.35">
      <c r="B22" s="35"/>
      <c r="C22" s="372"/>
      <c r="D22" s="351">
        <v>87</v>
      </c>
      <c r="E22" s="352"/>
      <c r="F22" s="353">
        <v>87</v>
      </c>
      <c r="G22" s="352"/>
      <c r="H22" s="353">
        <v>87</v>
      </c>
      <c r="I22" s="354"/>
      <c r="J22" s="355">
        <v>1</v>
      </c>
      <c r="K22" s="356"/>
      <c r="L22" s="355">
        <v>1</v>
      </c>
      <c r="M22" s="356"/>
      <c r="N22" s="377"/>
      <c r="O22" s="351">
        <v>109</v>
      </c>
      <c r="P22" s="352"/>
      <c r="Q22" s="353">
        <v>109</v>
      </c>
      <c r="R22" s="352"/>
      <c r="S22" s="353">
        <v>109</v>
      </c>
      <c r="T22" s="354"/>
      <c r="U22" s="355">
        <v>1</v>
      </c>
      <c r="V22" s="356"/>
      <c r="W22" s="355">
        <v>1</v>
      </c>
      <c r="X22" s="356"/>
      <c r="Y22" s="386"/>
      <c r="Z22" s="30"/>
      <c r="AA22" s="31"/>
      <c r="AB22" s="31"/>
    </row>
    <row r="23" spans="2:28" ht="10.15" customHeight="1" x14ac:dyDescent="0.35"/>
    <row r="24" spans="2:28" s="41" customFormat="1" ht="60" customHeight="1" x14ac:dyDescent="0.35">
      <c r="B24" s="359" t="s">
        <v>3545</v>
      </c>
      <c r="C24" s="359"/>
      <c r="D24" s="37" t="s">
        <v>3546</v>
      </c>
      <c r="E24" s="360" t="s">
        <v>3547</v>
      </c>
      <c r="F24" s="361"/>
      <c r="G24" s="362"/>
      <c r="H24" s="363"/>
      <c r="I24" s="363"/>
      <c r="J24" s="363"/>
      <c r="K24" s="364"/>
      <c r="L24" s="38"/>
      <c r="M24" s="39"/>
      <c r="N24" s="39"/>
      <c r="O24" s="39"/>
      <c r="P24" s="39"/>
      <c r="Q24" s="39"/>
      <c r="R24" s="39"/>
      <c r="S24" s="39"/>
      <c r="T24" s="39"/>
      <c r="U24" s="39"/>
      <c r="V24" s="39"/>
      <c r="W24" s="39"/>
      <c r="X24" s="39"/>
      <c r="Y24" s="40"/>
    </row>
    <row r="25" spans="2:28" ht="54" customHeight="1" x14ac:dyDescent="0.35">
      <c r="B25" s="359" t="s">
        <v>3548</v>
      </c>
      <c r="C25" s="359"/>
      <c r="D25" s="37" t="s">
        <v>3549</v>
      </c>
      <c r="E25" s="42"/>
      <c r="F25" s="42"/>
      <c r="G25" s="42"/>
      <c r="H25" s="43"/>
      <c r="I25" s="43"/>
      <c r="J25" s="43"/>
      <c r="K25" s="43"/>
      <c r="L25" s="43"/>
    </row>
    <row r="26" spans="2:28" ht="59.5" customHeight="1" x14ac:dyDescent="0.35">
      <c r="B26" s="365" t="s">
        <v>3550</v>
      </c>
      <c r="C26" s="366"/>
      <c r="D26" s="37" t="s">
        <v>3546</v>
      </c>
      <c r="E26" s="360" t="s">
        <v>3551</v>
      </c>
      <c r="F26" s="361"/>
      <c r="G26" s="362"/>
      <c r="H26" s="363"/>
      <c r="I26" s="363"/>
      <c r="J26" s="363"/>
      <c r="K26" s="364"/>
      <c r="L26" s="43"/>
    </row>
    <row r="27" spans="2:28" ht="10.5" customHeight="1" x14ac:dyDescent="0.35">
      <c r="B27" s="44"/>
      <c r="C27" s="44"/>
    </row>
    <row r="28" spans="2:28" s="41" customFormat="1" ht="54.65" customHeight="1" x14ac:dyDescent="0.35">
      <c r="B28" s="45"/>
      <c r="C28" s="45" t="s">
        <v>3552</v>
      </c>
      <c r="D28" s="350" t="s">
        <v>3553</v>
      </c>
      <c r="E28" s="350"/>
      <c r="F28" s="350"/>
      <c r="G28" s="350"/>
      <c r="H28" s="350"/>
      <c r="I28" s="350"/>
      <c r="J28" s="350"/>
      <c r="K28" s="350"/>
      <c r="L28" s="46" t="s">
        <v>3554</v>
      </c>
      <c r="M28" s="41" t="s">
        <v>3553</v>
      </c>
      <c r="S28" s="47" t="s">
        <v>3555</v>
      </c>
      <c r="T28" s="39" t="s">
        <v>3556</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86</v>
      </c>
      <c r="D30" s="350" t="s">
        <v>3553</v>
      </c>
      <c r="E30" s="350"/>
      <c r="F30" s="350"/>
      <c r="G30" s="350"/>
      <c r="H30" s="350"/>
      <c r="I30" s="350"/>
      <c r="J30" s="350"/>
      <c r="K30" s="350"/>
      <c r="L30" s="46" t="s">
        <v>3554</v>
      </c>
      <c r="M30" s="41" t="s">
        <v>3553</v>
      </c>
      <c r="S30" s="47" t="s">
        <v>3555</v>
      </c>
      <c r="T30" s="39" t="s">
        <v>3556</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21:V21"/>
    <mergeCell ref="W21:X21"/>
    <mergeCell ref="Y21:Y22"/>
    <mergeCell ref="Q22:R22"/>
    <mergeCell ref="S22:T22"/>
    <mergeCell ref="U22:V22"/>
    <mergeCell ref="W22:X22"/>
    <mergeCell ref="F22:G22"/>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D30:K30"/>
    <mergeCell ref="B24:C24"/>
    <mergeCell ref="E24:F24"/>
    <mergeCell ref="G24:K24"/>
    <mergeCell ref="B25:C25"/>
    <mergeCell ref="B26:C26"/>
    <mergeCell ref="E26:F26"/>
    <mergeCell ref="G26:K26"/>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S21:T21"/>
    <mergeCell ref="D28:K28"/>
    <mergeCell ref="D22:E22"/>
    <mergeCell ref="H22:I22"/>
    <mergeCell ref="J22:K22"/>
    <mergeCell ref="L22:M22"/>
    <mergeCell ref="O22:P22"/>
    <mergeCell ref="O21:P21"/>
    <mergeCell ref="Q21:R21"/>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5.5" x14ac:dyDescent="0.35">
      <c r="C1" s="49" t="s">
        <v>166</v>
      </c>
      <c r="D1" s="50" t="s">
        <v>167</v>
      </c>
      <c r="E1" s="50" t="s">
        <v>168</v>
      </c>
    </row>
    <row r="2" spans="3:5" x14ac:dyDescent="0.35">
      <c r="C2" s="462" t="s">
        <v>169</v>
      </c>
      <c r="D2" s="459" t="s">
        <v>170</v>
      </c>
      <c r="E2" s="51" t="s">
        <v>171</v>
      </c>
    </row>
    <row r="3" spans="3:5" x14ac:dyDescent="0.35">
      <c r="C3" s="463"/>
      <c r="D3" s="460"/>
      <c r="E3" s="51"/>
    </row>
    <row r="4" spans="3:5" ht="29" x14ac:dyDescent="0.35">
      <c r="C4" s="463"/>
      <c r="D4" s="461"/>
      <c r="E4" s="52" t="s">
        <v>172</v>
      </c>
    </row>
    <row r="5" spans="3:5" x14ac:dyDescent="0.35">
      <c r="C5" s="463"/>
      <c r="D5" s="459" t="s">
        <v>173</v>
      </c>
      <c r="E5" s="51" t="s">
        <v>174</v>
      </c>
    </row>
    <row r="6" spans="3:5" x14ac:dyDescent="0.35">
      <c r="C6" s="463"/>
      <c r="D6" s="461"/>
      <c r="E6" s="52" t="s">
        <v>175</v>
      </c>
    </row>
    <row r="7" spans="3:5" ht="58" x14ac:dyDescent="0.35">
      <c r="C7" s="463"/>
      <c r="D7" s="52" t="s">
        <v>176</v>
      </c>
      <c r="E7" s="52" t="s">
        <v>177</v>
      </c>
    </row>
    <row r="8" spans="3:5" ht="29" x14ac:dyDescent="0.35">
      <c r="C8" s="463"/>
      <c r="D8" s="53" t="s">
        <v>178</v>
      </c>
      <c r="E8" s="52" t="s">
        <v>179</v>
      </c>
    </row>
    <row r="9" spans="3:5" x14ac:dyDescent="0.35">
      <c r="C9" s="463"/>
      <c r="D9" s="459" t="s">
        <v>180</v>
      </c>
      <c r="E9" s="51" t="s">
        <v>181</v>
      </c>
    </row>
    <row r="10" spans="3:5" ht="43.5" x14ac:dyDescent="0.35">
      <c r="C10" s="464"/>
      <c r="D10" s="461"/>
      <c r="E10" s="52" t="s">
        <v>182</v>
      </c>
    </row>
    <row r="11" spans="3:5" ht="43.5" x14ac:dyDescent="0.35">
      <c r="C11" s="462" t="s">
        <v>183</v>
      </c>
      <c r="D11" s="52" t="s">
        <v>184</v>
      </c>
      <c r="E11" s="52" t="s">
        <v>185</v>
      </c>
    </row>
    <row r="12" spans="3:5" ht="58" x14ac:dyDescent="0.35">
      <c r="C12" s="463"/>
      <c r="D12" s="52" t="s">
        <v>186</v>
      </c>
      <c r="E12" s="52" t="s">
        <v>187</v>
      </c>
    </row>
    <row r="13" spans="3:5" x14ac:dyDescent="0.35">
      <c r="C13" s="463"/>
      <c r="D13" s="51"/>
      <c r="E13" s="51" t="s">
        <v>188</v>
      </c>
    </row>
    <row r="14" spans="3:5" ht="101.5" x14ac:dyDescent="0.35">
      <c r="C14" s="463"/>
      <c r="D14" s="53" t="s">
        <v>189</v>
      </c>
      <c r="E14" s="52" t="s">
        <v>190</v>
      </c>
    </row>
    <row r="15" spans="3:5" x14ac:dyDescent="0.35">
      <c r="C15" s="463"/>
      <c r="D15" s="51"/>
      <c r="E15" s="459" t="s">
        <v>191</v>
      </c>
    </row>
    <row r="16" spans="3:5" ht="29" x14ac:dyDescent="0.35">
      <c r="C16" s="463"/>
      <c r="D16" s="51" t="s">
        <v>192</v>
      </c>
      <c r="E16" s="460"/>
    </row>
    <row r="17" spans="3:5" ht="29" x14ac:dyDescent="0.35">
      <c r="C17" s="463"/>
      <c r="D17" s="51" t="s">
        <v>193</v>
      </c>
      <c r="E17" s="460"/>
    </row>
    <row r="18" spans="3:5" x14ac:dyDescent="0.35">
      <c r="C18" s="464"/>
      <c r="D18" s="52" t="s">
        <v>194</v>
      </c>
      <c r="E18" s="461"/>
    </row>
    <row r="19" spans="3:5" ht="43.5" x14ac:dyDescent="0.35">
      <c r="C19" s="462" t="s">
        <v>195</v>
      </c>
      <c r="D19" s="52" t="s">
        <v>196</v>
      </c>
      <c r="E19" s="52" t="s">
        <v>191</v>
      </c>
    </row>
    <row r="20" spans="3:5" x14ac:dyDescent="0.35">
      <c r="C20" s="463"/>
      <c r="D20" s="51" t="s">
        <v>197</v>
      </c>
      <c r="E20" s="51" t="s">
        <v>198</v>
      </c>
    </row>
    <row r="21" spans="3:5" ht="29" x14ac:dyDescent="0.35">
      <c r="C21" s="463"/>
      <c r="D21" s="51" t="s">
        <v>199</v>
      </c>
      <c r="E21" s="51" t="s">
        <v>200</v>
      </c>
    </row>
    <row r="22" spans="3:5" x14ac:dyDescent="0.35">
      <c r="C22" s="463"/>
      <c r="D22" s="52" t="s">
        <v>201</v>
      </c>
      <c r="E22" s="54"/>
    </row>
    <row r="23" spans="3:5" ht="29" x14ac:dyDescent="0.35">
      <c r="C23" s="464"/>
      <c r="D23" s="53" t="s">
        <v>202</v>
      </c>
      <c r="E23" s="52" t="s">
        <v>172</v>
      </c>
    </row>
    <row r="24" spans="3:5" ht="43.5" x14ac:dyDescent="0.35">
      <c r="C24" s="462" t="s">
        <v>203</v>
      </c>
      <c r="D24" s="53" t="s">
        <v>204</v>
      </c>
      <c r="E24" s="52" t="s">
        <v>205</v>
      </c>
    </row>
    <row r="25" spans="3:5" ht="29" x14ac:dyDescent="0.35">
      <c r="C25" s="463"/>
      <c r="D25" s="51" t="s">
        <v>206</v>
      </c>
      <c r="E25" s="459" t="s">
        <v>191</v>
      </c>
    </row>
    <row r="26" spans="3:5" ht="29" x14ac:dyDescent="0.35">
      <c r="C26" s="463"/>
      <c r="D26" s="51" t="s">
        <v>207</v>
      </c>
      <c r="E26" s="460"/>
    </row>
    <row r="27" spans="3:5" ht="18.75" customHeight="1" x14ac:dyDescent="0.35">
      <c r="C27" s="463"/>
      <c r="D27" s="52" t="s">
        <v>208</v>
      </c>
      <c r="E27" s="461"/>
    </row>
    <row r="28" spans="3:5" ht="43.5" x14ac:dyDescent="0.35">
      <c r="C28" s="464"/>
      <c r="D28" s="52" t="s">
        <v>209</v>
      </c>
      <c r="E28" s="52" t="s">
        <v>182</v>
      </c>
    </row>
    <row r="29" spans="3:5" ht="43.5" x14ac:dyDescent="0.35">
      <c r="C29" s="462" t="s">
        <v>210</v>
      </c>
      <c r="D29" s="53" t="s">
        <v>211</v>
      </c>
      <c r="E29" s="52" t="s">
        <v>205</v>
      </c>
    </row>
    <row r="30" spans="3:5" ht="29" x14ac:dyDescent="0.35">
      <c r="C30" s="463"/>
      <c r="D30" s="51" t="s">
        <v>212</v>
      </c>
      <c r="E30" s="459" t="s">
        <v>172</v>
      </c>
    </row>
    <row r="31" spans="3:5" x14ac:dyDescent="0.35">
      <c r="C31" s="463"/>
      <c r="D31" s="52" t="s">
        <v>213</v>
      </c>
      <c r="E31" s="461"/>
    </row>
    <row r="32" spans="3:5" ht="43.5" x14ac:dyDescent="0.35">
      <c r="C32" s="464"/>
      <c r="D32" s="52" t="s">
        <v>214</v>
      </c>
      <c r="E32" s="52" t="s">
        <v>179</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1504"/>
  <sheetViews>
    <sheetView workbookViewId="0">
      <selection activeCell="F8" sqref="F8"/>
    </sheetView>
  </sheetViews>
  <sheetFormatPr defaultRowHeight="14.5" x14ac:dyDescent="0.35"/>
  <cols>
    <col min="3" max="3" width="14.7265625" bestFit="1" customWidth="1"/>
    <col min="4" max="4" width="11.1796875" customWidth="1"/>
    <col min="5" max="5" width="20.81640625" customWidth="1"/>
    <col min="6" max="6" width="15.7265625" customWidth="1"/>
    <col min="10" max="10" width="22.453125" customWidth="1"/>
    <col min="11" max="11" width="60.81640625" style="80" customWidth="1"/>
    <col min="12" max="12" width="15.1796875" bestFit="1" customWidth="1"/>
    <col min="14" max="14" width="29.7265625" bestFit="1" customWidth="1"/>
  </cols>
  <sheetData>
    <row r="1" spans="1:19" x14ac:dyDescent="0.35">
      <c r="A1" t="s">
        <v>215</v>
      </c>
      <c r="C1" t="s">
        <v>216</v>
      </c>
      <c r="D1" t="s">
        <v>148</v>
      </c>
      <c r="E1" t="s">
        <v>150</v>
      </c>
      <c r="F1" t="s">
        <v>217</v>
      </c>
      <c r="H1" s="48" t="s">
        <v>218</v>
      </c>
      <c r="I1" s="48" t="s">
        <v>148</v>
      </c>
      <c r="J1" s="48" t="s">
        <v>150</v>
      </c>
      <c r="K1" s="79" t="s">
        <v>219</v>
      </c>
      <c r="L1" s="48" t="s">
        <v>220</v>
      </c>
      <c r="M1" s="48" t="s">
        <v>221</v>
      </c>
      <c r="Q1" t="s">
        <v>222</v>
      </c>
      <c r="R1" t="s">
        <v>223</v>
      </c>
      <c r="S1" t="s">
        <v>224</v>
      </c>
    </row>
    <row r="2" spans="1:19" x14ac:dyDescent="0.35">
      <c r="A2" s="60" t="s">
        <v>36</v>
      </c>
      <c r="C2" t="s">
        <v>44</v>
      </c>
      <c r="D2" t="s">
        <v>225</v>
      </c>
      <c r="E2" t="s">
        <v>226</v>
      </c>
      <c r="F2" s="77" t="s">
        <v>34</v>
      </c>
      <c r="H2" t="s">
        <v>227</v>
      </c>
      <c r="I2" t="s">
        <v>228</v>
      </c>
      <c r="J2" t="s">
        <v>229</v>
      </c>
      <c r="K2" s="80" t="s">
        <v>230</v>
      </c>
      <c r="L2" t="s">
        <v>231</v>
      </c>
      <c r="M2" t="s">
        <v>36</v>
      </c>
      <c r="N2" t="str">
        <f>SUBSTITUTE(SUBSTITUTE(M2&amp;J2," ",""),"-","")</f>
        <v>APINbeAdo</v>
      </c>
      <c r="Q2">
        <v>0</v>
      </c>
      <c r="R2">
        <v>20</v>
      </c>
      <c r="S2">
        <v>20</v>
      </c>
    </row>
    <row r="3" spans="1:19" x14ac:dyDescent="0.35">
      <c r="A3" s="60" t="s">
        <v>232</v>
      </c>
      <c r="C3" t="s">
        <v>233</v>
      </c>
      <c r="D3" t="s">
        <v>234</v>
      </c>
      <c r="E3" t="s">
        <v>235</v>
      </c>
      <c r="F3" s="78" t="s">
        <v>53</v>
      </c>
      <c r="H3" t="s">
        <v>227</v>
      </c>
      <c r="I3" t="s">
        <v>228</v>
      </c>
      <c r="J3" t="s">
        <v>229</v>
      </c>
      <c r="K3" s="80" t="s">
        <v>236</v>
      </c>
      <c r="L3" t="s">
        <v>237</v>
      </c>
      <c r="M3" t="s">
        <v>36</v>
      </c>
      <c r="N3" t="str">
        <f t="shared" ref="N3:N66" si="0">SUBSTITUTE(SUBSTITUTE(M3&amp;J3," ",""),"-","")</f>
        <v>APINbeAdo</v>
      </c>
      <c r="Q3">
        <v>21</v>
      </c>
      <c r="R3">
        <v>30</v>
      </c>
      <c r="S3">
        <v>24</v>
      </c>
    </row>
    <row r="4" spans="1:19" x14ac:dyDescent="0.35">
      <c r="A4" s="60" t="s">
        <v>238</v>
      </c>
      <c r="C4" t="s">
        <v>239</v>
      </c>
      <c r="D4" s="55" t="s">
        <v>240</v>
      </c>
      <c r="E4" t="s">
        <v>241</v>
      </c>
      <c r="F4" s="77" t="s">
        <v>56</v>
      </c>
      <c r="H4" t="s">
        <v>227</v>
      </c>
      <c r="I4" t="s">
        <v>228</v>
      </c>
      <c r="J4" t="s">
        <v>242</v>
      </c>
      <c r="K4" s="80" t="s">
        <v>243</v>
      </c>
      <c r="L4" t="s">
        <v>244</v>
      </c>
      <c r="M4" t="s">
        <v>36</v>
      </c>
      <c r="N4" t="str">
        <f t="shared" si="0"/>
        <v>APINbeAgatu</v>
      </c>
      <c r="Q4">
        <v>31</v>
      </c>
      <c r="R4">
        <v>40</v>
      </c>
      <c r="S4">
        <v>30</v>
      </c>
    </row>
    <row r="5" spans="1:19" x14ac:dyDescent="0.35">
      <c r="A5" s="60" t="s">
        <v>245</v>
      </c>
      <c r="C5" t="s">
        <v>246</v>
      </c>
      <c r="D5" s="55" t="s">
        <v>247</v>
      </c>
      <c r="E5" t="s">
        <v>248</v>
      </c>
      <c r="F5" s="77" t="s">
        <v>57</v>
      </c>
      <c r="H5" t="s">
        <v>227</v>
      </c>
      <c r="I5" t="s">
        <v>228</v>
      </c>
      <c r="J5" t="s">
        <v>242</v>
      </c>
      <c r="K5" s="80" t="s">
        <v>249</v>
      </c>
      <c r="L5" t="s">
        <v>250</v>
      </c>
      <c r="M5" t="s">
        <v>36</v>
      </c>
      <c r="N5" t="str">
        <f t="shared" si="0"/>
        <v>APINbeAgatu</v>
      </c>
      <c r="Q5">
        <v>41</v>
      </c>
      <c r="R5">
        <v>50</v>
      </c>
      <c r="S5">
        <v>35</v>
      </c>
    </row>
    <row r="6" spans="1:19" x14ac:dyDescent="0.35">
      <c r="A6" s="60"/>
      <c r="D6" t="s">
        <v>251</v>
      </c>
      <c r="E6" t="s">
        <v>252</v>
      </c>
      <c r="F6" s="228" t="s">
        <v>58</v>
      </c>
      <c r="H6" t="s">
        <v>227</v>
      </c>
      <c r="I6" t="s">
        <v>228</v>
      </c>
      <c r="J6" t="s">
        <v>253</v>
      </c>
      <c r="K6" s="80" t="s">
        <v>254</v>
      </c>
      <c r="L6" t="s">
        <v>255</v>
      </c>
      <c r="M6" t="s">
        <v>36</v>
      </c>
      <c r="N6" t="str">
        <f t="shared" si="0"/>
        <v>APINbeApa</v>
      </c>
      <c r="Q6">
        <v>51</v>
      </c>
      <c r="R6">
        <v>60</v>
      </c>
      <c r="S6">
        <v>39</v>
      </c>
    </row>
    <row r="7" spans="1:19" x14ac:dyDescent="0.35">
      <c r="A7" s="60"/>
      <c r="D7" t="s">
        <v>256</v>
      </c>
      <c r="E7" t="s">
        <v>257</v>
      </c>
      <c r="F7" s="77" t="s">
        <v>59</v>
      </c>
      <c r="H7" t="s">
        <v>227</v>
      </c>
      <c r="I7" t="s">
        <v>228</v>
      </c>
      <c r="J7" t="s">
        <v>253</v>
      </c>
      <c r="K7" s="80" t="s">
        <v>258</v>
      </c>
      <c r="L7" t="s">
        <v>259</v>
      </c>
      <c r="M7" t="s">
        <v>36</v>
      </c>
      <c r="N7" t="str">
        <f t="shared" si="0"/>
        <v>APINbeApa</v>
      </c>
      <c r="Q7">
        <v>61</v>
      </c>
      <c r="R7">
        <v>70</v>
      </c>
      <c r="S7">
        <v>43</v>
      </c>
    </row>
    <row r="8" spans="1:19" x14ac:dyDescent="0.35">
      <c r="A8" s="60"/>
      <c r="D8" t="s">
        <v>260</v>
      </c>
      <c r="E8" t="s">
        <v>261</v>
      </c>
      <c r="F8" s="61" t="s">
        <v>262</v>
      </c>
      <c r="H8" t="s">
        <v>227</v>
      </c>
      <c r="I8" t="s">
        <v>228</v>
      </c>
      <c r="J8" t="s">
        <v>263</v>
      </c>
      <c r="K8" s="80" t="s">
        <v>264</v>
      </c>
      <c r="L8" t="s">
        <v>265</v>
      </c>
      <c r="M8" t="s">
        <v>36</v>
      </c>
      <c r="N8" t="str">
        <f t="shared" si="0"/>
        <v>APINbeBuruku</v>
      </c>
      <c r="Q8">
        <v>71</v>
      </c>
      <c r="R8">
        <v>80</v>
      </c>
      <c r="S8">
        <v>46</v>
      </c>
    </row>
    <row r="9" spans="1:19" x14ac:dyDescent="0.35">
      <c r="A9" s="60"/>
      <c r="D9" t="s">
        <v>266</v>
      </c>
      <c r="E9" t="s">
        <v>267</v>
      </c>
      <c r="F9" s="61" t="s">
        <v>60</v>
      </c>
      <c r="H9" t="s">
        <v>227</v>
      </c>
      <c r="I9" t="s">
        <v>228</v>
      </c>
      <c r="J9" t="s">
        <v>263</v>
      </c>
      <c r="K9" s="80" t="s">
        <v>268</v>
      </c>
      <c r="L9" t="s">
        <v>269</v>
      </c>
      <c r="M9" t="s">
        <v>36</v>
      </c>
      <c r="N9" t="str">
        <f t="shared" si="0"/>
        <v>APINbeBuruku</v>
      </c>
      <c r="Q9">
        <v>81</v>
      </c>
      <c r="R9">
        <v>90</v>
      </c>
      <c r="S9">
        <v>49</v>
      </c>
    </row>
    <row r="10" spans="1:19" x14ac:dyDescent="0.35">
      <c r="A10" s="60"/>
      <c r="D10" s="55" t="s">
        <v>270</v>
      </c>
      <c r="E10" t="s">
        <v>271</v>
      </c>
      <c r="F10" s="61" t="s">
        <v>61</v>
      </c>
      <c r="H10" t="s">
        <v>227</v>
      </c>
      <c r="I10" t="s">
        <v>228</v>
      </c>
      <c r="J10" t="s">
        <v>263</v>
      </c>
      <c r="K10" s="80" t="s">
        <v>272</v>
      </c>
      <c r="L10" t="s">
        <v>273</v>
      </c>
      <c r="M10" t="s">
        <v>36</v>
      </c>
      <c r="N10" t="str">
        <f t="shared" si="0"/>
        <v>APINbeBuruku</v>
      </c>
      <c r="Q10">
        <v>91</v>
      </c>
      <c r="R10">
        <v>100</v>
      </c>
      <c r="S10">
        <v>52</v>
      </c>
    </row>
    <row r="11" spans="1:19" x14ac:dyDescent="0.35">
      <c r="D11" t="s">
        <v>274</v>
      </c>
      <c r="E11" t="s">
        <v>275</v>
      </c>
      <c r="F11" s="61" t="s">
        <v>62</v>
      </c>
      <c r="H11" t="s">
        <v>227</v>
      </c>
      <c r="I11" t="s">
        <v>228</v>
      </c>
      <c r="J11" t="s">
        <v>263</v>
      </c>
      <c r="K11" s="80" t="s">
        <v>276</v>
      </c>
      <c r="L11" t="s">
        <v>277</v>
      </c>
      <c r="M11" t="s">
        <v>36</v>
      </c>
      <c r="N11" t="str">
        <f t="shared" si="0"/>
        <v>APINbeBuruku</v>
      </c>
      <c r="Q11">
        <v>101</v>
      </c>
      <c r="R11">
        <v>119</v>
      </c>
      <c r="S11">
        <v>57</v>
      </c>
    </row>
    <row r="12" spans="1:19" x14ac:dyDescent="0.35">
      <c r="D12" t="s">
        <v>278</v>
      </c>
      <c r="E12" t="s">
        <v>279</v>
      </c>
      <c r="F12" s="61" t="s">
        <v>280</v>
      </c>
      <c r="H12" t="s">
        <v>227</v>
      </c>
      <c r="I12" t="s">
        <v>228</v>
      </c>
      <c r="J12" t="s">
        <v>263</v>
      </c>
      <c r="K12" s="80" t="s">
        <v>281</v>
      </c>
      <c r="L12" t="s">
        <v>282</v>
      </c>
      <c r="M12" t="s">
        <v>36</v>
      </c>
      <c r="N12" t="str">
        <f t="shared" si="0"/>
        <v>APINbeBuruku</v>
      </c>
      <c r="Q12">
        <v>120</v>
      </c>
      <c r="R12">
        <v>139</v>
      </c>
      <c r="S12">
        <v>61</v>
      </c>
    </row>
    <row r="13" spans="1:19" x14ac:dyDescent="0.35">
      <c r="D13" t="s">
        <v>228</v>
      </c>
      <c r="E13" t="s">
        <v>283</v>
      </c>
      <c r="F13" s="61" t="s">
        <v>63</v>
      </c>
      <c r="H13" t="s">
        <v>227</v>
      </c>
      <c r="I13" t="s">
        <v>228</v>
      </c>
      <c r="J13" t="s">
        <v>263</v>
      </c>
      <c r="K13" s="80" t="s">
        <v>284</v>
      </c>
      <c r="L13" t="s">
        <v>285</v>
      </c>
      <c r="M13" t="s">
        <v>36</v>
      </c>
      <c r="N13" t="str">
        <f t="shared" si="0"/>
        <v>APINbeBuruku</v>
      </c>
      <c r="Q13">
        <v>140</v>
      </c>
      <c r="R13">
        <v>159</v>
      </c>
      <c r="S13">
        <v>64</v>
      </c>
    </row>
    <row r="14" spans="1:19" x14ac:dyDescent="0.35">
      <c r="D14" s="55" t="s">
        <v>286</v>
      </c>
      <c r="E14" t="s">
        <v>287</v>
      </c>
      <c r="H14" t="s">
        <v>227</v>
      </c>
      <c r="I14" t="s">
        <v>228</v>
      </c>
      <c r="J14" t="s">
        <v>263</v>
      </c>
      <c r="K14" s="80" t="s">
        <v>288</v>
      </c>
      <c r="L14" t="s">
        <v>289</v>
      </c>
      <c r="M14" t="s">
        <v>36</v>
      </c>
      <c r="N14" t="str">
        <f t="shared" si="0"/>
        <v>APINbeBuruku</v>
      </c>
      <c r="Q14">
        <v>160</v>
      </c>
      <c r="R14">
        <v>179</v>
      </c>
      <c r="S14">
        <v>67</v>
      </c>
    </row>
    <row r="15" spans="1:19" x14ac:dyDescent="0.35">
      <c r="D15" t="s">
        <v>290</v>
      </c>
      <c r="E15" t="s">
        <v>291</v>
      </c>
      <c r="H15" t="s">
        <v>227</v>
      </c>
      <c r="I15" t="s">
        <v>228</v>
      </c>
      <c r="J15" t="s">
        <v>263</v>
      </c>
      <c r="K15" s="80" t="s">
        <v>292</v>
      </c>
      <c r="L15" t="s">
        <v>293</v>
      </c>
      <c r="M15" t="s">
        <v>36</v>
      </c>
      <c r="N15" t="str">
        <f t="shared" si="0"/>
        <v>APINbeBuruku</v>
      </c>
      <c r="Q15">
        <v>180</v>
      </c>
      <c r="R15">
        <v>199</v>
      </c>
      <c r="S15">
        <v>70</v>
      </c>
    </row>
    <row r="16" spans="1:19" x14ac:dyDescent="0.35">
      <c r="D16" t="s">
        <v>294</v>
      </c>
      <c r="E16" t="s">
        <v>295</v>
      </c>
      <c r="H16" t="s">
        <v>227</v>
      </c>
      <c r="I16" t="s">
        <v>228</v>
      </c>
      <c r="J16" t="s">
        <v>263</v>
      </c>
      <c r="K16" s="80" t="s">
        <v>296</v>
      </c>
      <c r="L16" t="s">
        <v>297</v>
      </c>
      <c r="M16" t="s">
        <v>36</v>
      </c>
      <c r="N16" t="str">
        <f t="shared" si="0"/>
        <v>APINbeBuruku</v>
      </c>
      <c r="Q16">
        <v>200</v>
      </c>
      <c r="R16">
        <v>249</v>
      </c>
      <c r="S16">
        <v>75</v>
      </c>
    </row>
    <row r="17" spans="4:19" x14ac:dyDescent="0.35">
      <c r="D17" t="s">
        <v>298</v>
      </c>
      <c r="E17" t="s">
        <v>299</v>
      </c>
      <c r="H17" t="s">
        <v>227</v>
      </c>
      <c r="I17" t="s">
        <v>228</v>
      </c>
      <c r="J17" t="s">
        <v>263</v>
      </c>
      <c r="K17" s="80" t="s">
        <v>300</v>
      </c>
      <c r="L17" t="s">
        <v>301</v>
      </c>
      <c r="M17" t="s">
        <v>36</v>
      </c>
      <c r="N17" t="str">
        <f t="shared" si="0"/>
        <v>APINbeBuruku</v>
      </c>
      <c r="Q17">
        <v>250</v>
      </c>
      <c r="R17">
        <v>299</v>
      </c>
      <c r="S17">
        <v>79</v>
      </c>
    </row>
    <row r="18" spans="4:19" x14ac:dyDescent="0.35">
      <c r="D18" t="s">
        <v>38</v>
      </c>
      <c r="E18" t="s">
        <v>302</v>
      </c>
      <c r="H18" t="s">
        <v>227</v>
      </c>
      <c r="I18" t="s">
        <v>228</v>
      </c>
      <c r="J18" t="s">
        <v>263</v>
      </c>
      <c r="K18" s="80" t="s">
        <v>303</v>
      </c>
      <c r="L18" t="s">
        <v>304</v>
      </c>
      <c r="M18" t="s">
        <v>36</v>
      </c>
      <c r="N18" t="str">
        <f t="shared" si="0"/>
        <v>APINbeBuruku</v>
      </c>
      <c r="Q18">
        <v>300</v>
      </c>
      <c r="R18">
        <v>349</v>
      </c>
      <c r="S18">
        <v>82</v>
      </c>
    </row>
    <row r="19" spans="4:19" x14ac:dyDescent="0.35">
      <c r="D19" t="s">
        <v>305</v>
      </c>
      <c r="E19" t="s">
        <v>306</v>
      </c>
      <c r="H19" t="s">
        <v>227</v>
      </c>
      <c r="I19" t="s">
        <v>228</v>
      </c>
      <c r="J19" t="s">
        <v>263</v>
      </c>
      <c r="K19" s="80" t="s">
        <v>307</v>
      </c>
      <c r="L19" t="s">
        <v>308</v>
      </c>
      <c r="M19" t="s">
        <v>36</v>
      </c>
      <c r="N19" t="str">
        <f t="shared" si="0"/>
        <v>APINbeBuruku</v>
      </c>
      <c r="Q19">
        <v>350</v>
      </c>
      <c r="R19">
        <v>399</v>
      </c>
      <c r="S19">
        <v>85</v>
      </c>
    </row>
    <row r="20" spans="4:19" x14ac:dyDescent="0.35">
      <c r="D20" t="s">
        <v>309</v>
      </c>
      <c r="E20" t="s">
        <v>310</v>
      </c>
      <c r="H20" t="s">
        <v>227</v>
      </c>
      <c r="I20" t="s">
        <v>228</v>
      </c>
      <c r="J20" t="s">
        <v>263</v>
      </c>
      <c r="K20" s="80" t="s">
        <v>311</v>
      </c>
      <c r="L20" t="s">
        <v>312</v>
      </c>
      <c r="M20" t="s">
        <v>36</v>
      </c>
      <c r="N20" t="str">
        <f t="shared" si="0"/>
        <v>APINbeBuruku</v>
      </c>
      <c r="Q20">
        <v>400</v>
      </c>
      <c r="R20">
        <v>449</v>
      </c>
      <c r="S20">
        <v>87</v>
      </c>
    </row>
    <row r="21" spans="4:19" x14ac:dyDescent="0.35">
      <c r="E21" t="s">
        <v>313</v>
      </c>
      <c r="H21" t="s">
        <v>227</v>
      </c>
      <c r="I21" t="s">
        <v>228</v>
      </c>
      <c r="J21" t="s">
        <v>263</v>
      </c>
      <c r="K21" s="80" t="s">
        <v>314</v>
      </c>
      <c r="L21" t="s">
        <v>315</v>
      </c>
      <c r="M21" t="s">
        <v>36</v>
      </c>
      <c r="N21" t="str">
        <f t="shared" si="0"/>
        <v>APINbeBuruku</v>
      </c>
      <c r="Q21">
        <v>450</v>
      </c>
      <c r="R21">
        <v>499</v>
      </c>
      <c r="S21">
        <v>88</v>
      </c>
    </row>
    <row r="22" spans="4:19" x14ac:dyDescent="0.35">
      <c r="E22" t="s">
        <v>316</v>
      </c>
      <c r="H22" t="s">
        <v>227</v>
      </c>
      <c r="I22" t="s">
        <v>228</v>
      </c>
      <c r="J22" t="s">
        <v>263</v>
      </c>
      <c r="K22" s="80" t="s">
        <v>317</v>
      </c>
      <c r="L22" t="s">
        <v>318</v>
      </c>
      <c r="M22" t="s">
        <v>36</v>
      </c>
      <c r="N22" t="str">
        <f t="shared" si="0"/>
        <v>APINbeBuruku</v>
      </c>
      <c r="Q22">
        <v>500</v>
      </c>
      <c r="R22">
        <v>749</v>
      </c>
      <c r="S22">
        <v>94</v>
      </c>
    </row>
    <row r="23" spans="4:19" x14ac:dyDescent="0.35">
      <c r="E23" t="s">
        <v>319</v>
      </c>
      <c r="H23" t="s">
        <v>227</v>
      </c>
      <c r="I23" t="s">
        <v>228</v>
      </c>
      <c r="J23" t="s">
        <v>263</v>
      </c>
      <c r="K23" s="80" t="s">
        <v>320</v>
      </c>
      <c r="L23" t="s">
        <v>321</v>
      </c>
      <c r="M23" t="s">
        <v>36</v>
      </c>
      <c r="N23" t="str">
        <f t="shared" si="0"/>
        <v>APINbeBuruku</v>
      </c>
      <c r="Q23">
        <v>750</v>
      </c>
      <c r="R23">
        <v>999</v>
      </c>
      <c r="S23">
        <v>97</v>
      </c>
    </row>
    <row r="24" spans="4:19" x14ac:dyDescent="0.35">
      <c r="E24" t="s">
        <v>322</v>
      </c>
      <c r="H24" t="s">
        <v>227</v>
      </c>
      <c r="I24" t="s">
        <v>228</v>
      </c>
      <c r="J24" t="s">
        <v>263</v>
      </c>
      <c r="K24" s="80" t="s">
        <v>323</v>
      </c>
      <c r="L24" t="s">
        <v>324</v>
      </c>
      <c r="M24" t="s">
        <v>36</v>
      </c>
      <c r="N24" t="str">
        <f t="shared" si="0"/>
        <v>APINbeBuruku</v>
      </c>
      <c r="Q24">
        <v>1000</v>
      </c>
      <c r="R24">
        <v>4999</v>
      </c>
      <c r="S24">
        <v>105</v>
      </c>
    </row>
    <row r="25" spans="4:19" x14ac:dyDescent="0.35">
      <c r="E25" t="s">
        <v>325</v>
      </c>
      <c r="H25" t="s">
        <v>227</v>
      </c>
      <c r="I25" t="s">
        <v>228</v>
      </c>
      <c r="J25" t="s">
        <v>263</v>
      </c>
      <c r="K25" s="80" t="s">
        <v>326</v>
      </c>
      <c r="L25" t="s">
        <v>327</v>
      </c>
      <c r="M25" t="s">
        <v>36</v>
      </c>
      <c r="N25" t="str">
        <f t="shared" si="0"/>
        <v>APINbeBuruku</v>
      </c>
      <c r="Q25">
        <v>5000</v>
      </c>
      <c r="R25">
        <v>1000000</v>
      </c>
      <c r="S25">
        <v>107</v>
      </c>
    </row>
    <row r="26" spans="4:19" x14ac:dyDescent="0.35">
      <c r="E26" t="s">
        <v>328</v>
      </c>
      <c r="H26" t="s">
        <v>227</v>
      </c>
      <c r="I26" t="s">
        <v>228</v>
      </c>
      <c r="J26" t="s">
        <v>263</v>
      </c>
      <c r="K26" s="80" t="s">
        <v>329</v>
      </c>
      <c r="L26" t="s">
        <v>330</v>
      </c>
      <c r="M26" t="s">
        <v>36</v>
      </c>
      <c r="N26" t="str">
        <f t="shared" si="0"/>
        <v>APINbeBuruku</v>
      </c>
    </row>
    <row r="27" spans="4:19" x14ac:dyDescent="0.35">
      <c r="E27" t="s">
        <v>331</v>
      </c>
      <c r="H27" t="s">
        <v>227</v>
      </c>
      <c r="I27" t="s">
        <v>228</v>
      </c>
      <c r="J27" t="s">
        <v>263</v>
      </c>
      <c r="K27" s="80" t="s">
        <v>332</v>
      </c>
      <c r="L27" t="s">
        <v>333</v>
      </c>
      <c r="M27" t="s">
        <v>36</v>
      </c>
      <c r="N27" t="str">
        <f t="shared" si="0"/>
        <v>APINbeBuruku</v>
      </c>
    </row>
    <row r="28" spans="4:19" x14ac:dyDescent="0.35">
      <c r="E28" t="s">
        <v>334</v>
      </c>
      <c r="H28" t="s">
        <v>227</v>
      </c>
      <c r="I28" t="s">
        <v>228</v>
      </c>
      <c r="J28" t="s">
        <v>263</v>
      </c>
      <c r="K28" s="80" t="s">
        <v>335</v>
      </c>
      <c r="L28" t="s">
        <v>336</v>
      </c>
      <c r="M28" t="s">
        <v>36</v>
      </c>
      <c r="N28" t="str">
        <f t="shared" si="0"/>
        <v>APINbeBuruku</v>
      </c>
    </row>
    <row r="29" spans="4:19" x14ac:dyDescent="0.35">
      <c r="E29" t="s">
        <v>337</v>
      </c>
      <c r="H29" t="s">
        <v>227</v>
      </c>
      <c r="I29" t="s">
        <v>228</v>
      </c>
      <c r="J29" t="s">
        <v>263</v>
      </c>
      <c r="K29" s="80" t="s">
        <v>338</v>
      </c>
      <c r="L29" t="s">
        <v>339</v>
      </c>
      <c r="M29" t="s">
        <v>36</v>
      </c>
      <c r="N29" t="str">
        <f t="shared" si="0"/>
        <v>APINbeBuruku</v>
      </c>
    </row>
    <row r="30" spans="4:19" x14ac:dyDescent="0.35">
      <c r="E30" t="s">
        <v>340</v>
      </c>
      <c r="H30" t="s">
        <v>227</v>
      </c>
      <c r="I30" t="s">
        <v>228</v>
      </c>
      <c r="J30" t="s">
        <v>263</v>
      </c>
      <c r="K30" s="80" t="s">
        <v>341</v>
      </c>
      <c r="L30" t="s">
        <v>342</v>
      </c>
      <c r="M30" t="s">
        <v>36</v>
      </c>
      <c r="N30" t="str">
        <f t="shared" si="0"/>
        <v>APINbeBuruku</v>
      </c>
    </row>
    <row r="31" spans="4:19" x14ac:dyDescent="0.35">
      <c r="E31" t="s">
        <v>343</v>
      </c>
      <c r="H31" t="s">
        <v>227</v>
      </c>
      <c r="I31" t="s">
        <v>228</v>
      </c>
      <c r="J31" t="s">
        <v>263</v>
      </c>
      <c r="K31" s="80" t="s">
        <v>344</v>
      </c>
      <c r="L31" t="s">
        <v>345</v>
      </c>
      <c r="M31" t="s">
        <v>36</v>
      </c>
      <c r="N31" t="str">
        <f t="shared" si="0"/>
        <v>APINbeBuruku</v>
      </c>
    </row>
    <row r="32" spans="4:19" x14ac:dyDescent="0.35">
      <c r="E32" t="s">
        <v>346</v>
      </c>
      <c r="H32" t="s">
        <v>227</v>
      </c>
      <c r="I32" t="s">
        <v>228</v>
      </c>
      <c r="J32" t="s">
        <v>263</v>
      </c>
      <c r="K32" s="80" t="s">
        <v>347</v>
      </c>
      <c r="L32" t="s">
        <v>348</v>
      </c>
      <c r="M32" t="s">
        <v>36</v>
      </c>
      <c r="N32" t="str">
        <f t="shared" si="0"/>
        <v>APINbeBuruku</v>
      </c>
    </row>
    <row r="33" spans="5:14" x14ac:dyDescent="0.35">
      <c r="E33" t="s">
        <v>349</v>
      </c>
      <c r="H33" t="s">
        <v>227</v>
      </c>
      <c r="I33" t="s">
        <v>228</v>
      </c>
      <c r="J33" t="s">
        <v>263</v>
      </c>
      <c r="K33" s="80" t="s">
        <v>350</v>
      </c>
      <c r="L33" t="s">
        <v>351</v>
      </c>
      <c r="M33" t="s">
        <v>36</v>
      </c>
      <c r="N33" t="str">
        <f t="shared" si="0"/>
        <v>APINbeBuruku</v>
      </c>
    </row>
    <row r="34" spans="5:14" x14ac:dyDescent="0.35">
      <c r="E34" t="s">
        <v>352</v>
      </c>
      <c r="H34" t="s">
        <v>227</v>
      </c>
      <c r="I34" t="s">
        <v>228</v>
      </c>
      <c r="J34" t="s">
        <v>263</v>
      </c>
      <c r="K34" s="80" t="s">
        <v>353</v>
      </c>
      <c r="L34" t="s">
        <v>354</v>
      </c>
      <c r="M34" t="s">
        <v>36</v>
      </c>
      <c r="N34" t="str">
        <f t="shared" si="0"/>
        <v>APINbeBuruku</v>
      </c>
    </row>
    <row r="35" spans="5:14" x14ac:dyDescent="0.35">
      <c r="E35" t="s">
        <v>355</v>
      </c>
      <c r="H35" t="s">
        <v>227</v>
      </c>
      <c r="I35" t="s">
        <v>228</v>
      </c>
      <c r="J35" t="s">
        <v>263</v>
      </c>
      <c r="K35" s="80" t="s">
        <v>272</v>
      </c>
      <c r="L35" t="s">
        <v>273</v>
      </c>
      <c r="M35" t="s">
        <v>36</v>
      </c>
      <c r="N35" t="str">
        <f t="shared" si="0"/>
        <v>APINbeBuruku</v>
      </c>
    </row>
    <row r="36" spans="5:14" x14ac:dyDescent="0.35">
      <c r="E36" t="s">
        <v>356</v>
      </c>
      <c r="H36" t="s">
        <v>227</v>
      </c>
      <c r="I36" t="s">
        <v>228</v>
      </c>
      <c r="J36" t="s">
        <v>263</v>
      </c>
      <c r="K36" s="80" t="s">
        <v>357</v>
      </c>
      <c r="L36" t="s">
        <v>358</v>
      </c>
      <c r="M36" t="s">
        <v>36</v>
      </c>
      <c r="N36" t="str">
        <f t="shared" si="0"/>
        <v>APINbeBuruku</v>
      </c>
    </row>
    <row r="37" spans="5:14" x14ac:dyDescent="0.35">
      <c r="E37" t="s">
        <v>359</v>
      </c>
      <c r="H37" t="s">
        <v>227</v>
      </c>
      <c r="I37" t="s">
        <v>228</v>
      </c>
      <c r="J37" t="s">
        <v>263</v>
      </c>
      <c r="K37" s="80" t="s">
        <v>360</v>
      </c>
      <c r="L37" t="s">
        <v>361</v>
      </c>
      <c r="M37" t="s">
        <v>36</v>
      </c>
      <c r="N37" t="str">
        <f t="shared" si="0"/>
        <v>APINbeBuruku</v>
      </c>
    </row>
    <row r="38" spans="5:14" x14ac:dyDescent="0.35">
      <c r="E38" t="s">
        <v>362</v>
      </c>
      <c r="H38" t="s">
        <v>227</v>
      </c>
      <c r="I38" t="s">
        <v>228</v>
      </c>
      <c r="J38" t="s">
        <v>263</v>
      </c>
      <c r="K38" s="80" t="s">
        <v>363</v>
      </c>
      <c r="L38" t="s">
        <v>364</v>
      </c>
      <c r="M38" t="s">
        <v>36</v>
      </c>
      <c r="N38" t="str">
        <f t="shared" si="0"/>
        <v>APINbeBuruku</v>
      </c>
    </row>
    <row r="39" spans="5:14" x14ac:dyDescent="0.35">
      <c r="E39" t="s">
        <v>365</v>
      </c>
      <c r="H39" t="s">
        <v>227</v>
      </c>
      <c r="I39" t="s">
        <v>228</v>
      </c>
      <c r="J39" t="s">
        <v>263</v>
      </c>
      <c r="K39" s="80" t="s">
        <v>366</v>
      </c>
      <c r="L39" t="s">
        <v>367</v>
      </c>
      <c r="M39" t="s">
        <v>36</v>
      </c>
      <c r="N39" t="str">
        <f t="shared" si="0"/>
        <v>APINbeBuruku</v>
      </c>
    </row>
    <row r="40" spans="5:14" x14ac:dyDescent="0.35">
      <c r="E40" t="s">
        <v>368</v>
      </c>
      <c r="H40" t="s">
        <v>227</v>
      </c>
      <c r="I40" t="s">
        <v>228</v>
      </c>
      <c r="J40" t="s">
        <v>263</v>
      </c>
      <c r="K40" s="80" t="s">
        <v>369</v>
      </c>
      <c r="L40" t="s">
        <v>370</v>
      </c>
      <c r="M40" t="s">
        <v>36</v>
      </c>
      <c r="N40" t="str">
        <f t="shared" si="0"/>
        <v>APINbeBuruku</v>
      </c>
    </row>
    <row r="41" spans="5:14" x14ac:dyDescent="0.35">
      <c r="E41" t="s">
        <v>371</v>
      </c>
      <c r="H41" t="s">
        <v>227</v>
      </c>
      <c r="I41" t="s">
        <v>228</v>
      </c>
      <c r="J41" t="s">
        <v>263</v>
      </c>
      <c r="K41" s="80" t="s">
        <v>372</v>
      </c>
      <c r="L41" t="s">
        <v>373</v>
      </c>
      <c r="M41" t="s">
        <v>36</v>
      </c>
      <c r="N41" t="str">
        <f t="shared" si="0"/>
        <v>APINbeBuruku</v>
      </c>
    </row>
    <row r="42" spans="5:14" x14ac:dyDescent="0.35">
      <c r="E42" t="s">
        <v>374</v>
      </c>
      <c r="H42" t="s">
        <v>227</v>
      </c>
      <c r="I42" t="s">
        <v>228</v>
      </c>
      <c r="J42" t="s">
        <v>263</v>
      </c>
      <c r="K42" s="80" t="s">
        <v>375</v>
      </c>
      <c r="L42" t="s">
        <v>376</v>
      </c>
      <c r="M42" t="s">
        <v>36</v>
      </c>
      <c r="N42" t="str">
        <f t="shared" si="0"/>
        <v>APINbeBuruku</v>
      </c>
    </row>
    <row r="43" spans="5:14" x14ac:dyDescent="0.35">
      <c r="E43" t="s">
        <v>377</v>
      </c>
      <c r="H43" t="s">
        <v>227</v>
      </c>
      <c r="I43" t="s">
        <v>228</v>
      </c>
      <c r="J43" t="s">
        <v>263</v>
      </c>
      <c r="K43" s="80" t="s">
        <v>378</v>
      </c>
      <c r="L43" t="s">
        <v>379</v>
      </c>
      <c r="M43" t="s">
        <v>36</v>
      </c>
      <c r="N43" t="str">
        <f t="shared" si="0"/>
        <v>APINbeBuruku</v>
      </c>
    </row>
    <row r="44" spans="5:14" x14ac:dyDescent="0.35">
      <c r="E44" t="s">
        <v>380</v>
      </c>
      <c r="H44" t="s">
        <v>227</v>
      </c>
      <c r="I44" t="s">
        <v>228</v>
      </c>
      <c r="J44" t="s">
        <v>381</v>
      </c>
      <c r="K44" s="80" t="s">
        <v>382</v>
      </c>
      <c r="L44" t="s">
        <v>383</v>
      </c>
      <c r="M44" t="s">
        <v>36</v>
      </c>
      <c r="N44" t="str">
        <f t="shared" si="0"/>
        <v>APINbeGboko</v>
      </c>
    </row>
    <row r="45" spans="5:14" x14ac:dyDescent="0.35">
      <c r="E45" t="s">
        <v>384</v>
      </c>
      <c r="H45" t="s">
        <v>227</v>
      </c>
      <c r="I45" t="s">
        <v>228</v>
      </c>
      <c r="J45" t="s">
        <v>381</v>
      </c>
      <c r="K45" s="80" t="s">
        <v>385</v>
      </c>
      <c r="L45" t="s">
        <v>386</v>
      </c>
      <c r="M45" t="s">
        <v>36</v>
      </c>
      <c r="N45" t="str">
        <f t="shared" si="0"/>
        <v>APINbeGboko</v>
      </c>
    </row>
    <row r="46" spans="5:14" x14ac:dyDescent="0.35">
      <c r="E46" t="s">
        <v>387</v>
      </c>
      <c r="H46" t="s">
        <v>227</v>
      </c>
      <c r="I46" t="s">
        <v>228</v>
      </c>
      <c r="J46" t="s">
        <v>381</v>
      </c>
      <c r="K46" s="80" t="s">
        <v>388</v>
      </c>
      <c r="L46" t="s">
        <v>389</v>
      </c>
      <c r="M46" t="s">
        <v>36</v>
      </c>
      <c r="N46" t="str">
        <f t="shared" si="0"/>
        <v>APINbeGboko</v>
      </c>
    </row>
    <row r="47" spans="5:14" x14ac:dyDescent="0.35">
      <c r="E47" t="s">
        <v>390</v>
      </c>
      <c r="H47" t="s">
        <v>227</v>
      </c>
      <c r="I47" t="s">
        <v>228</v>
      </c>
      <c r="J47" t="s">
        <v>381</v>
      </c>
      <c r="K47" s="80" t="s">
        <v>391</v>
      </c>
      <c r="L47" t="s">
        <v>392</v>
      </c>
      <c r="M47" t="s">
        <v>36</v>
      </c>
      <c r="N47" t="str">
        <f t="shared" si="0"/>
        <v>APINbeGboko</v>
      </c>
    </row>
    <row r="48" spans="5:14" x14ac:dyDescent="0.35">
      <c r="E48" t="s">
        <v>393</v>
      </c>
      <c r="H48" t="s">
        <v>227</v>
      </c>
      <c r="I48" t="s">
        <v>228</v>
      </c>
      <c r="J48" t="s">
        <v>381</v>
      </c>
      <c r="K48" s="80" t="s">
        <v>394</v>
      </c>
      <c r="L48" t="s">
        <v>395</v>
      </c>
      <c r="M48" t="s">
        <v>36</v>
      </c>
      <c r="N48" t="str">
        <f t="shared" si="0"/>
        <v>APINbeGboko</v>
      </c>
    </row>
    <row r="49" spans="5:14" x14ac:dyDescent="0.35">
      <c r="E49" t="s">
        <v>396</v>
      </c>
      <c r="H49" t="s">
        <v>227</v>
      </c>
      <c r="I49" t="s">
        <v>228</v>
      </c>
      <c r="J49" t="s">
        <v>381</v>
      </c>
      <c r="K49" s="80" t="s">
        <v>397</v>
      </c>
      <c r="L49" t="s">
        <v>398</v>
      </c>
      <c r="M49" t="s">
        <v>36</v>
      </c>
      <c r="N49" t="str">
        <f t="shared" si="0"/>
        <v>APINbeGboko</v>
      </c>
    </row>
    <row r="50" spans="5:14" x14ac:dyDescent="0.35">
      <c r="E50" t="s">
        <v>399</v>
      </c>
      <c r="H50" t="s">
        <v>227</v>
      </c>
      <c r="I50" t="s">
        <v>228</v>
      </c>
      <c r="J50" t="s">
        <v>381</v>
      </c>
      <c r="K50" s="80" t="s">
        <v>400</v>
      </c>
      <c r="L50" t="s">
        <v>401</v>
      </c>
      <c r="M50" t="s">
        <v>36</v>
      </c>
      <c r="N50" t="str">
        <f t="shared" si="0"/>
        <v>APINbeGboko</v>
      </c>
    </row>
    <row r="51" spans="5:14" x14ac:dyDescent="0.35">
      <c r="E51" t="s">
        <v>402</v>
      </c>
      <c r="H51" t="s">
        <v>227</v>
      </c>
      <c r="I51" t="s">
        <v>228</v>
      </c>
      <c r="J51" t="s">
        <v>381</v>
      </c>
      <c r="K51" s="80" t="s">
        <v>403</v>
      </c>
      <c r="L51" t="s">
        <v>404</v>
      </c>
      <c r="M51" t="s">
        <v>36</v>
      </c>
      <c r="N51" t="str">
        <f t="shared" si="0"/>
        <v>APINbeGboko</v>
      </c>
    </row>
    <row r="52" spans="5:14" x14ac:dyDescent="0.35">
      <c r="E52" t="s">
        <v>405</v>
      </c>
      <c r="H52" t="s">
        <v>227</v>
      </c>
      <c r="I52" t="s">
        <v>228</v>
      </c>
      <c r="J52" t="s">
        <v>381</v>
      </c>
      <c r="K52" s="80" t="s">
        <v>406</v>
      </c>
      <c r="L52" t="s">
        <v>407</v>
      </c>
      <c r="M52" t="s">
        <v>36</v>
      </c>
      <c r="N52" t="str">
        <f t="shared" si="0"/>
        <v>APINbeGboko</v>
      </c>
    </row>
    <row r="53" spans="5:14" x14ac:dyDescent="0.35">
      <c r="E53" t="s">
        <v>408</v>
      </c>
      <c r="H53" t="s">
        <v>227</v>
      </c>
      <c r="I53" t="s">
        <v>228</v>
      </c>
      <c r="J53" t="s">
        <v>381</v>
      </c>
      <c r="K53" s="80" t="s">
        <v>409</v>
      </c>
      <c r="L53" t="s">
        <v>410</v>
      </c>
      <c r="M53" t="s">
        <v>36</v>
      </c>
      <c r="N53" t="str">
        <f t="shared" si="0"/>
        <v>APINbeGboko</v>
      </c>
    </row>
    <row r="54" spans="5:14" x14ac:dyDescent="0.35">
      <c r="E54" t="s">
        <v>411</v>
      </c>
      <c r="H54" t="s">
        <v>227</v>
      </c>
      <c r="I54" t="s">
        <v>228</v>
      </c>
      <c r="J54" t="s">
        <v>381</v>
      </c>
      <c r="K54" s="80" t="s">
        <v>412</v>
      </c>
      <c r="L54" t="s">
        <v>413</v>
      </c>
      <c r="M54" t="s">
        <v>36</v>
      </c>
      <c r="N54" t="str">
        <f t="shared" si="0"/>
        <v>APINbeGboko</v>
      </c>
    </row>
    <row r="55" spans="5:14" x14ac:dyDescent="0.35">
      <c r="E55" t="s">
        <v>414</v>
      </c>
      <c r="H55" t="s">
        <v>227</v>
      </c>
      <c r="I55" t="s">
        <v>228</v>
      </c>
      <c r="J55" t="s">
        <v>381</v>
      </c>
      <c r="K55" s="80" t="s">
        <v>415</v>
      </c>
      <c r="L55" t="s">
        <v>416</v>
      </c>
      <c r="M55" t="s">
        <v>36</v>
      </c>
      <c r="N55" t="str">
        <f t="shared" si="0"/>
        <v>APINbeGboko</v>
      </c>
    </row>
    <row r="56" spans="5:14" x14ac:dyDescent="0.35">
      <c r="E56" t="s">
        <v>417</v>
      </c>
      <c r="H56" t="s">
        <v>227</v>
      </c>
      <c r="I56" t="s">
        <v>228</v>
      </c>
      <c r="J56" t="s">
        <v>381</v>
      </c>
      <c r="K56" s="80" t="s">
        <v>418</v>
      </c>
      <c r="L56" t="s">
        <v>419</v>
      </c>
      <c r="M56" t="s">
        <v>36</v>
      </c>
      <c r="N56" t="str">
        <f t="shared" si="0"/>
        <v>APINbeGboko</v>
      </c>
    </row>
    <row r="57" spans="5:14" x14ac:dyDescent="0.35">
      <c r="E57" t="s">
        <v>420</v>
      </c>
      <c r="H57" t="s">
        <v>227</v>
      </c>
      <c r="I57" t="s">
        <v>228</v>
      </c>
      <c r="J57" t="s">
        <v>381</v>
      </c>
      <c r="K57" s="80" t="s">
        <v>421</v>
      </c>
      <c r="L57" t="s">
        <v>422</v>
      </c>
      <c r="M57" t="s">
        <v>36</v>
      </c>
      <c r="N57" t="str">
        <f t="shared" si="0"/>
        <v>APINbeGboko</v>
      </c>
    </row>
    <row r="58" spans="5:14" x14ac:dyDescent="0.35">
      <c r="E58" t="s">
        <v>423</v>
      </c>
      <c r="H58" t="s">
        <v>227</v>
      </c>
      <c r="I58" t="s">
        <v>228</v>
      </c>
      <c r="J58" t="s">
        <v>381</v>
      </c>
      <c r="K58" s="80" t="s">
        <v>424</v>
      </c>
      <c r="L58" t="s">
        <v>425</v>
      </c>
      <c r="M58" t="s">
        <v>36</v>
      </c>
      <c r="N58" t="str">
        <f t="shared" si="0"/>
        <v>APINbeGboko</v>
      </c>
    </row>
    <row r="59" spans="5:14" x14ac:dyDescent="0.35">
      <c r="E59" t="s">
        <v>426</v>
      </c>
      <c r="H59" t="s">
        <v>227</v>
      </c>
      <c r="I59" t="s">
        <v>228</v>
      </c>
      <c r="J59" t="s">
        <v>381</v>
      </c>
      <c r="K59" s="80" t="s">
        <v>427</v>
      </c>
      <c r="L59" t="s">
        <v>428</v>
      </c>
      <c r="M59" t="s">
        <v>36</v>
      </c>
      <c r="N59" t="str">
        <f t="shared" si="0"/>
        <v>APINbeGboko</v>
      </c>
    </row>
    <row r="60" spans="5:14" x14ac:dyDescent="0.35">
      <c r="E60" t="s">
        <v>429</v>
      </c>
      <c r="H60" t="s">
        <v>227</v>
      </c>
      <c r="I60" t="s">
        <v>228</v>
      </c>
      <c r="J60" t="s">
        <v>381</v>
      </c>
      <c r="K60" s="80" t="s">
        <v>430</v>
      </c>
      <c r="L60" t="s">
        <v>431</v>
      </c>
      <c r="M60" t="s">
        <v>36</v>
      </c>
      <c r="N60" t="str">
        <f t="shared" si="0"/>
        <v>APINbeGboko</v>
      </c>
    </row>
    <row r="61" spans="5:14" x14ac:dyDescent="0.35">
      <c r="E61" t="s">
        <v>432</v>
      </c>
      <c r="H61" t="s">
        <v>227</v>
      </c>
      <c r="I61" t="s">
        <v>228</v>
      </c>
      <c r="J61" t="s">
        <v>381</v>
      </c>
      <c r="K61" s="80" t="s">
        <v>433</v>
      </c>
      <c r="L61" t="s">
        <v>434</v>
      </c>
      <c r="M61" t="s">
        <v>36</v>
      </c>
      <c r="N61" t="str">
        <f t="shared" si="0"/>
        <v>APINbeGboko</v>
      </c>
    </row>
    <row r="62" spans="5:14" x14ac:dyDescent="0.35">
      <c r="E62" t="s">
        <v>435</v>
      </c>
      <c r="H62" t="s">
        <v>227</v>
      </c>
      <c r="I62" t="s">
        <v>228</v>
      </c>
      <c r="J62" t="s">
        <v>381</v>
      </c>
      <c r="K62" s="80" t="s">
        <v>436</v>
      </c>
      <c r="L62" t="s">
        <v>437</v>
      </c>
      <c r="M62" t="s">
        <v>36</v>
      </c>
      <c r="N62" t="str">
        <f t="shared" si="0"/>
        <v>APINbeGboko</v>
      </c>
    </row>
    <row r="63" spans="5:14" x14ac:dyDescent="0.35">
      <c r="E63" t="s">
        <v>438</v>
      </c>
      <c r="H63" t="s">
        <v>227</v>
      </c>
      <c r="I63" t="s">
        <v>228</v>
      </c>
      <c r="J63" t="s">
        <v>381</v>
      </c>
      <c r="K63" s="80" t="s">
        <v>439</v>
      </c>
      <c r="L63" t="s">
        <v>440</v>
      </c>
      <c r="M63" t="s">
        <v>36</v>
      </c>
      <c r="N63" t="str">
        <f t="shared" si="0"/>
        <v>APINbeGboko</v>
      </c>
    </row>
    <row r="64" spans="5:14" x14ac:dyDescent="0.35">
      <c r="E64" t="s">
        <v>441</v>
      </c>
      <c r="H64" t="s">
        <v>227</v>
      </c>
      <c r="I64" t="s">
        <v>228</v>
      </c>
      <c r="J64" t="s">
        <v>381</v>
      </c>
      <c r="K64" s="80" t="s">
        <v>442</v>
      </c>
      <c r="L64" t="s">
        <v>443</v>
      </c>
      <c r="M64" t="s">
        <v>36</v>
      </c>
      <c r="N64" t="str">
        <f t="shared" si="0"/>
        <v>APINbeGboko</v>
      </c>
    </row>
    <row r="65" spans="5:14" x14ac:dyDescent="0.35">
      <c r="E65" t="s">
        <v>444</v>
      </c>
      <c r="H65" t="s">
        <v>227</v>
      </c>
      <c r="I65" t="s">
        <v>228</v>
      </c>
      <c r="J65" t="s">
        <v>381</v>
      </c>
      <c r="K65" s="80" t="s">
        <v>445</v>
      </c>
      <c r="L65" t="s">
        <v>446</v>
      </c>
      <c r="M65" t="s">
        <v>36</v>
      </c>
      <c r="N65" t="str">
        <f t="shared" si="0"/>
        <v>APINbeGboko</v>
      </c>
    </row>
    <row r="66" spans="5:14" x14ac:dyDescent="0.35">
      <c r="E66" t="s">
        <v>447</v>
      </c>
      <c r="H66" t="s">
        <v>227</v>
      </c>
      <c r="I66" t="s">
        <v>228</v>
      </c>
      <c r="J66" t="s">
        <v>381</v>
      </c>
      <c r="K66" s="80" t="s">
        <v>448</v>
      </c>
      <c r="L66" t="s">
        <v>449</v>
      </c>
      <c r="M66" t="s">
        <v>36</v>
      </c>
      <c r="N66" t="str">
        <f t="shared" si="0"/>
        <v>APINbeGboko</v>
      </c>
    </row>
    <row r="67" spans="5:14" x14ac:dyDescent="0.35">
      <c r="E67" t="s">
        <v>450</v>
      </c>
      <c r="H67" t="s">
        <v>227</v>
      </c>
      <c r="I67" t="s">
        <v>228</v>
      </c>
      <c r="J67" t="s">
        <v>381</v>
      </c>
      <c r="K67" s="80" t="s">
        <v>451</v>
      </c>
      <c r="L67" t="s">
        <v>452</v>
      </c>
      <c r="M67" t="s">
        <v>36</v>
      </c>
      <c r="N67" t="str">
        <f t="shared" ref="N67:N130" si="1">SUBSTITUTE(SUBSTITUTE(M67&amp;J67," ",""),"-","")</f>
        <v>APINbeGboko</v>
      </c>
    </row>
    <row r="68" spans="5:14" x14ac:dyDescent="0.35">
      <c r="E68" t="s">
        <v>453</v>
      </c>
      <c r="H68" t="s">
        <v>227</v>
      </c>
      <c r="I68" t="s">
        <v>228</v>
      </c>
      <c r="J68" t="s">
        <v>381</v>
      </c>
      <c r="K68" s="80" t="s">
        <v>454</v>
      </c>
      <c r="L68" t="s">
        <v>455</v>
      </c>
      <c r="M68" t="s">
        <v>36</v>
      </c>
      <c r="N68" t="str">
        <f t="shared" si="1"/>
        <v>APINbeGboko</v>
      </c>
    </row>
    <row r="69" spans="5:14" x14ac:dyDescent="0.35">
      <c r="E69" t="s">
        <v>456</v>
      </c>
      <c r="H69" t="s">
        <v>227</v>
      </c>
      <c r="I69" t="s">
        <v>228</v>
      </c>
      <c r="J69" t="s">
        <v>381</v>
      </c>
      <c r="K69" s="80" t="s">
        <v>457</v>
      </c>
      <c r="L69" t="s">
        <v>458</v>
      </c>
      <c r="M69" t="s">
        <v>36</v>
      </c>
      <c r="N69" t="str">
        <f t="shared" si="1"/>
        <v>APINbeGboko</v>
      </c>
    </row>
    <row r="70" spans="5:14" x14ac:dyDescent="0.35">
      <c r="E70" t="s">
        <v>459</v>
      </c>
      <c r="H70" t="s">
        <v>227</v>
      </c>
      <c r="I70" t="s">
        <v>228</v>
      </c>
      <c r="J70" t="s">
        <v>460</v>
      </c>
      <c r="K70" s="80" t="s">
        <v>461</v>
      </c>
      <c r="L70" t="s">
        <v>462</v>
      </c>
      <c r="M70" t="s">
        <v>36</v>
      </c>
      <c r="N70" t="str">
        <f t="shared" si="1"/>
        <v>APINbeGuma</v>
      </c>
    </row>
    <row r="71" spans="5:14" x14ac:dyDescent="0.35">
      <c r="E71" t="s">
        <v>463</v>
      </c>
      <c r="H71" t="s">
        <v>227</v>
      </c>
      <c r="I71" t="s">
        <v>228</v>
      </c>
      <c r="J71" t="s">
        <v>460</v>
      </c>
      <c r="K71" s="80" t="s">
        <v>464</v>
      </c>
      <c r="L71" t="s">
        <v>465</v>
      </c>
      <c r="M71" t="s">
        <v>36</v>
      </c>
      <c r="N71" t="str">
        <f t="shared" si="1"/>
        <v>APINbeGuma</v>
      </c>
    </row>
    <row r="72" spans="5:14" x14ac:dyDescent="0.35">
      <c r="E72" t="s">
        <v>466</v>
      </c>
      <c r="H72" t="s">
        <v>227</v>
      </c>
      <c r="I72" t="s">
        <v>228</v>
      </c>
      <c r="J72" t="s">
        <v>460</v>
      </c>
      <c r="K72" s="80" t="s">
        <v>467</v>
      </c>
      <c r="L72" t="s">
        <v>468</v>
      </c>
      <c r="M72" t="s">
        <v>36</v>
      </c>
      <c r="N72" t="str">
        <f t="shared" si="1"/>
        <v>APINbeGuma</v>
      </c>
    </row>
    <row r="73" spans="5:14" x14ac:dyDescent="0.35">
      <c r="E73" t="s">
        <v>469</v>
      </c>
      <c r="H73" t="s">
        <v>227</v>
      </c>
      <c r="I73" t="s">
        <v>228</v>
      </c>
      <c r="J73" t="s">
        <v>460</v>
      </c>
      <c r="K73" s="80" t="s">
        <v>470</v>
      </c>
      <c r="L73" t="s">
        <v>471</v>
      </c>
      <c r="M73" t="s">
        <v>36</v>
      </c>
      <c r="N73" t="str">
        <f t="shared" si="1"/>
        <v>APINbeGuma</v>
      </c>
    </row>
    <row r="74" spans="5:14" x14ac:dyDescent="0.35">
      <c r="E74" t="s">
        <v>472</v>
      </c>
      <c r="H74" t="s">
        <v>227</v>
      </c>
      <c r="I74" t="s">
        <v>228</v>
      </c>
      <c r="J74" t="s">
        <v>460</v>
      </c>
      <c r="K74" s="80" t="s">
        <v>473</v>
      </c>
      <c r="L74" t="s">
        <v>474</v>
      </c>
      <c r="M74" t="s">
        <v>36</v>
      </c>
      <c r="N74" t="str">
        <f t="shared" si="1"/>
        <v>APINbeGuma</v>
      </c>
    </row>
    <row r="75" spans="5:14" x14ac:dyDescent="0.35">
      <c r="E75" t="s">
        <v>475</v>
      </c>
      <c r="H75" t="s">
        <v>227</v>
      </c>
      <c r="I75" t="s">
        <v>228</v>
      </c>
      <c r="J75" t="s">
        <v>460</v>
      </c>
      <c r="K75" s="80" t="s">
        <v>476</v>
      </c>
      <c r="L75" t="s">
        <v>477</v>
      </c>
      <c r="M75" t="s">
        <v>36</v>
      </c>
      <c r="N75" t="str">
        <f t="shared" si="1"/>
        <v>APINbeGuma</v>
      </c>
    </row>
    <row r="76" spans="5:14" x14ac:dyDescent="0.35">
      <c r="E76" t="s">
        <v>478</v>
      </c>
      <c r="H76" t="s">
        <v>227</v>
      </c>
      <c r="I76" t="s">
        <v>228</v>
      </c>
      <c r="J76" t="s">
        <v>460</v>
      </c>
      <c r="K76" s="80" t="s">
        <v>479</v>
      </c>
      <c r="L76" t="s">
        <v>480</v>
      </c>
      <c r="M76" t="s">
        <v>36</v>
      </c>
      <c r="N76" t="str">
        <f t="shared" si="1"/>
        <v>APINbeGuma</v>
      </c>
    </row>
    <row r="77" spans="5:14" x14ac:dyDescent="0.35">
      <c r="E77" t="s">
        <v>481</v>
      </c>
      <c r="H77" t="s">
        <v>227</v>
      </c>
      <c r="I77" t="s">
        <v>228</v>
      </c>
      <c r="J77" t="s">
        <v>460</v>
      </c>
      <c r="K77" s="80" t="s">
        <v>482</v>
      </c>
      <c r="L77" t="s">
        <v>483</v>
      </c>
      <c r="M77" t="s">
        <v>36</v>
      </c>
      <c r="N77" t="str">
        <f t="shared" si="1"/>
        <v>APINbeGuma</v>
      </c>
    </row>
    <row r="78" spans="5:14" x14ac:dyDescent="0.35">
      <c r="E78" t="s">
        <v>484</v>
      </c>
      <c r="H78" t="s">
        <v>227</v>
      </c>
      <c r="I78" t="s">
        <v>228</v>
      </c>
      <c r="J78" t="s">
        <v>485</v>
      </c>
      <c r="K78" s="80" t="s">
        <v>486</v>
      </c>
      <c r="L78" t="s">
        <v>487</v>
      </c>
      <c r="M78" t="s">
        <v>36</v>
      </c>
      <c r="N78" t="str">
        <f t="shared" si="1"/>
        <v>APINbeGwerEast</v>
      </c>
    </row>
    <row r="79" spans="5:14" x14ac:dyDescent="0.35">
      <c r="E79" t="s">
        <v>488</v>
      </c>
      <c r="H79" t="s">
        <v>227</v>
      </c>
      <c r="I79" t="s">
        <v>228</v>
      </c>
      <c r="J79" t="s">
        <v>485</v>
      </c>
      <c r="K79" s="80" t="s">
        <v>489</v>
      </c>
      <c r="L79" t="s">
        <v>490</v>
      </c>
      <c r="M79" t="s">
        <v>36</v>
      </c>
      <c r="N79" t="str">
        <f t="shared" si="1"/>
        <v>APINbeGwerEast</v>
      </c>
    </row>
    <row r="80" spans="5:14" x14ac:dyDescent="0.35">
      <c r="E80" t="s">
        <v>491</v>
      </c>
      <c r="H80" t="s">
        <v>227</v>
      </c>
      <c r="I80" t="s">
        <v>228</v>
      </c>
      <c r="J80" t="s">
        <v>485</v>
      </c>
      <c r="K80" s="80" t="s">
        <v>492</v>
      </c>
      <c r="L80" t="s">
        <v>493</v>
      </c>
      <c r="M80" t="s">
        <v>36</v>
      </c>
      <c r="N80" t="str">
        <f t="shared" si="1"/>
        <v>APINbeGwerEast</v>
      </c>
    </row>
    <row r="81" spans="5:14" x14ac:dyDescent="0.35">
      <c r="E81" t="s">
        <v>494</v>
      </c>
      <c r="H81" t="s">
        <v>227</v>
      </c>
      <c r="I81" t="s">
        <v>228</v>
      </c>
      <c r="J81" t="s">
        <v>485</v>
      </c>
      <c r="K81" s="80" t="s">
        <v>495</v>
      </c>
      <c r="L81" t="s">
        <v>496</v>
      </c>
      <c r="M81" t="s">
        <v>36</v>
      </c>
      <c r="N81" t="str">
        <f t="shared" si="1"/>
        <v>APINbeGwerEast</v>
      </c>
    </row>
    <row r="82" spans="5:14" x14ac:dyDescent="0.35">
      <c r="E82" t="s">
        <v>497</v>
      </c>
      <c r="H82" t="s">
        <v>227</v>
      </c>
      <c r="I82" t="s">
        <v>228</v>
      </c>
      <c r="J82" t="s">
        <v>485</v>
      </c>
      <c r="K82" s="80" t="s">
        <v>498</v>
      </c>
      <c r="L82" t="s">
        <v>499</v>
      </c>
      <c r="M82" t="s">
        <v>36</v>
      </c>
      <c r="N82" t="str">
        <f t="shared" si="1"/>
        <v>APINbeGwerEast</v>
      </c>
    </row>
    <row r="83" spans="5:14" x14ac:dyDescent="0.35">
      <c r="E83" t="s">
        <v>500</v>
      </c>
      <c r="H83" t="s">
        <v>227</v>
      </c>
      <c r="I83" t="s">
        <v>228</v>
      </c>
      <c r="J83" t="s">
        <v>485</v>
      </c>
      <c r="K83" s="80" t="s">
        <v>501</v>
      </c>
      <c r="L83" t="s">
        <v>502</v>
      </c>
      <c r="M83" t="s">
        <v>36</v>
      </c>
      <c r="N83" t="str">
        <f t="shared" si="1"/>
        <v>APINbeGwerEast</v>
      </c>
    </row>
    <row r="84" spans="5:14" x14ac:dyDescent="0.35">
      <c r="E84" t="s">
        <v>503</v>
      </c>
      <c r="H84" t="s">
        <v>227</v>
      </c>
      <c r="I84" t="s">
        <v>228</v>
      </c>
      <c r="J84" t="s">
        <v>504</v>
      </c>
      <c r="K84" s="80" t="s">
        <v>505</v>
      </c>
      <c r="L84" t="s">
        <v>506</v>
      </c>
      <c r="M84" t="s">
        <v>36</v>
      </c>
      <c r="N84" t="str">
        <f t="shared" si="1"/>
        <v>APINbeGwerWest</v>
      </c>
    </row>
    <row r="85" spans="5:14" x14ac:dyDescent="0.35">
      <c r="E85" t="s">
        <v>507</v>
      </c>
      <c r="H85" t="s">
        <v>227</v>
      </c>
      <c r="I85" t="s">
        <v>228</v>
      </c>
      <c r="J85" t="s">
        <v>504</v>
      </c>
      <c r="K85" s="80" t="s">
        <v>508</v>
      </c>
      <c r="L85" t="s">
        <v>509</v>
      </c>
      <c r="M85" t="s">
        <v>36</v>
      </c>
      <c r="N85" t="str">
        <f t="shared" si="1"/>
        <v>APINbeGwerWest</v>
      </c>
    </row>
    <row r="86" spans="5:14" x14ac:dyDescent="0.35">
      <c r="E86" t="s">
        <v>510</v>
      </c>
      <c r="H86" t="s">
        <v>227</v>
      </c>
      <c r="I86" t="s">
        <v>228</v>
      </c>
      <c r="J86" t="s">
        <v>504</v>
      </c>
      <c r="K86" s="80" t="s">
        <v>511</v>
      </c>
      <c r="L86" t="s">
        <v>512</v>
      </c>
      <c r="M86" t="s">
        <v>36</v>
      </c>
      <c r="N86" t="str">
        <f t="shared" si="1"/>
        <v>APINbeGwerWest</v>
      </c>
    </row>
    <row r="87" spans="5:14" x14ac:dyDescent="0.35">
      <c r="E87" t="s">
        <v>513</v>
      </c>
      <c r="H87" t="s">
        <v>227</v>
      </c>
      <c r="I87" t="s">
        <v>228</v>
      </c>
      <c r="J87" t="s">
        <v>504</v>
      </c>
      <c r="K87" s="80" t="s">
        <v>514</v>
      </c>
      <c r="L87" t="s">
        <v>515</v>
      </c>
      <c r="M87" t="s">
        <v>36</v>
      </c>
      <c r="N87" t="str">
        <f t="shared" si="1"/>
        <v>APINbeGwerWest</v>
      </c>
    </row>
    <row r="88" spans="5:14" x14ac:dyDescent="0.35">
      <c r="E88" t="s">
        <v>516</v>
      </c>
      <c r="H88" t="s">
        <v>227</v>
      </c>
      <c r="I88" t="s">
        <v>228</v>
      </c>
      <c r="J88" t="s">
        <v>504</v>
      </c>
      <c r="K88" s="80" t="s">
        <v>517</v>
      </c>
      <c r="L88" t="s">
        <v>518</v>
      </c>
      <c r="M88" t="s">
        <v>36</v>
      </c>
      <c r="N88" t="str">
        <f t="shared" si="1"/>
        <v>APINbeGwerWest</v>
      </c>
    </row>
    <row r="89" spans="5:14" x14ac:dyDescent="0.35">
      <c r="E89" t="s">
        <v>519</v>
      </c>
      <c r="H89" t="s">
        <v>227</v>
      </c>
      <c r="I89" t="s">
        <v>228</v>
      </c>
      <c r="J89" t="s">
        <v>504</v>
      </c>
      <c r="K89" s="80" t="s">
        <v>520</v>
      </c>
      <c r="L89" t="s">
        <v>521</v>
      </c>
      <c r="M89" t="s">
        <v>36</v>
      </c>
      <c r="N89" t="str">
        <f t="shared" si="1"/>
        <v>APINbeGwerWest</v>
      </c>
    </row>
    <row r="90" spans="5:14" x14ac:dyDescent="0.35">
      <c r="E90" t="s">
        <v>522</v>
      </c>
      <c r="H90" t="s">
        <v>227</v>
      </c>
      <c r="I90" t="s">
        <v>228</v>
      </c>
      <c r="J90" t="s">
        <v>504</v>
      </c>
      <c r="K90" s="80" t="s">
        <v>523</v>
      </c>
      <c r="L90" t="s">
        <v>524</v>
      </c>
      <c r="M90" t="s">
        <v>36</v>
      </c>
      <c r="N90" t="str">
        <f t="shared" si="1"/>
        <v>APINbeGwerWest</v>
      </c>
    </row>
    <row r="91" spans="5:14" x14ac:dyDescent="0.35">
      <c r="E91" t="s">
        <v>525</v>
      </c>
      <c r="H91" t="s">
        <v>227</v>
      </c>
      <c r="I91" t="s">
        <v>228</v>
      </c>
      <c r="J91" t="s">
        <v>504</v>
      </c>
      <c r="K91" s="80" t="s">
        <v>526</v>
      </c>
      <c r="L91" t="s">
        <v>527</v>
      </c>
      <c r="M91" t="s">
        <v>36</v>
      </c>
      <c r="N91" t="str">
        <f t="shared" si="1"/>
        <v>APINbeGwerWest</v>
      </c>
    </row>
    <row r="92" spans="5:14" x14ac:dyDescent="0.35">
      <c r="E92" t="s">
        <v>528</v>
      </c>
      <c r="H92" t="s">
        <v>227</v>
      </c>
      <c r="I92" t="s">
        <v>228</v>
      </c>
      <c r="J92" t="s">
        <v>504</v>
      </c>
      <c r="K92" s="80" t="s">
        <v>529</v>
      </c>
      <c r="L92" t="s">
        <v>530</v>
      </c>
      <c r="M92" t="s">
        <v>36</v>
      </c>
      <c r="N92" t="str">
        <f t="shared" si="1"/>
        <v>APINbeGwerWest</v>
      </c>
    </row>
    <row r="93" spans="5:14" x14ac:dyDescent="0.35">
      <c r="E93" t="s">
        <v>531</v>
      </c>
      <c r="H93" t="s">
        <v>227</v>
      </c>
      <c r="I93" t="s">
        <v>228</v>
      </c>
      <c r="J93" t="s">
        <v>504</v>
      </c>
      <c r="K93" s="80" t="s">
        <v>532</v>
      </c>
      <c r="L93" t="s">
        <v>533</v>
      </c>
      <c r="M93" t="s">
        <v>36</v>
      </c>
      <c r="N93" t="str">
        <f t="shared" si="1"/>
        <v>APINbeGwerWest</v>
      </c>
    </row>
    <row r="94" spans="5:14" x14ac:dyDescent="0.35">
      <c r="E94" t="s">
        <v>534</v>
      </c>
      <c r="H94" t="s">
        <v>227</v>
      </c>
      <c r="I94" t="s">
        <v>228</v>
      </c>
      <c r="J94" t="s">
        <v>504</v>
      </c>
      <c r="K94" s="80" t="s">
        <v>535</v>
      </c>
      <c r="L94" t="s">
        <v>536</v>
      </c>
      <c r="M94" t="s">
        <v>36</v>
      </c>
      <c r="N94" t="str">
        <f t="shared" si="1"/>
        <v>APINbeGwerWest</v>
      </c>
    </row>
    <row r="95" spans="5:14" x14ac:dyDescent="0.35">
      <c r="E95" t="s">
        <v>537</v>
      </c>
      <c r="H95" t="s">
        <v>227</v>
      </c>
      <c r="I95" t="s">
        <v>228</v>
      </c>
      <c r="J95" t="s">
        <v>504</v>
      </c>
      <c r="K95" s="80" t="s">
        <v>538</v>
      </c>
      <c r="L95" t="s">
        <v>539</v>
      </c>
      <c r="M95" t="s">
        <v>36</v>
      </c>
      <c r="N95" t="str">
        <f t="shared" si="1"/>
        <v>APINbeGwerWest</v>
      </c>
    </row>
    <row r="96" spans="5:14" x14ac:dyDescent="0.35">
      <c r="E96" t="s">
        <v>540</v>
      </c>
      <c r="H96" t="s">
        <v>227</v>
      </c>
      <c r="I96" t="s">
        <v>228</v>
      </c>
      <c r="J96" t="s">
        <v>504</v>
      </c>
      <c r="K96" s="80" t="s">
        <v>541</v>
      </c>
      <c r="L96" t="s">
        <v>542</v>
      </c>
      <c r="M96" t="s">
        <v>36</v>
      </c>
      <c r="N96" t="str">
        <f t="shared" si="1"/>
        <v>APINbeGwerWest</v>
      </c>
    </row>
    <row r="97" spans="5:14" x14ac:dyDescent="0.35">
      <c r="E97" t="s">
        <v>543</v>
      </c>
      <c r="H97" t="s">
        <v>227</v>
      </c>
      <c r="I97" t="s">
        <v>228</v>
      </c>
      <c r="J97" t="s">
        <v>504</v>
      </c>
      <c r="K97" s="80" t="s">
        <v>544</v>
      </c>
      <c r="L97" t="s">
        <v>545</v>
      </c>
      <c r="M97" t="s">
        <v>36</v>
      </c>
      <c r="N97" t="str">
        <f t="shared" si="1"/>
        <v>APINbeGwerWest</v>
      </c>
    </row>
    <row r="98" spans="5:14" x14ac:dyDescent="0.35">
      <c r="E98" t="s">
        <v>546</v>
      </c>
      <c r="H98" t="s">
        <v>227</v>
      </c>
      <c r="I98" t="s">
        <v>228</v>
      </c>
      <c r="J98" t="s">
        <v>504</v>
      </c>
      <c r="K98" s="80" t="s">
        <v>547</v>
      </c>
      <c r="L98" t="s">
        <v>548</v>
      </c>
      <c r="M98" t="s">
        <v>36</v>
      </c>
      <c r="N98" t="str">
        <f t="shared" si="1"/>
        <v>APINbeGwerWest</v>
      </c>
    </row>
    <row r="99" spans="5:14" x14ac:dyDescent="0.35">
      <c r="E99" s="80" t="s">
        <v>549</v>
      </c>
      <c r="H99" t="s">
        <v>227</v>
      </c>
      <c r="I99" t="s">
        <v>228</v>
      </c>
      <c r="J99" t="s">
        <v>504</v>
      </c>
      <c r="K99" s="80" t="s">
        <v>550</v>
      </c>
      <c r="L99" t="s">
        <v>551</v>
      </c>
      <c r="M99" t="s">
        <v>36</v>
      </c>
      <c r="N99" t="str">
        <f t="shared" si="1"/>
        <v>APINbeGwerWest</v>
      </c>
    </row>
    <row r="100" spans="5:14" x14ac:dyDescent="0.35">
      <c r="E100" t="s">
        <v>552</v>
      </c>
      <c r="H100" t="s">
        <v>227</v>
      </c>
      <c r="I100" t="s">
        <v>228</v>
      </c>
      <c r="J100" t="s">
        <v>504</v>
      </c>
      <c r="K100" s="80" t="s">
        <v>553</v>
      </c>
      <c r="L100" t="s">
        <v>554</v>
      </c>
      <c r="M100" t="s">
        <v>36</v>
      </c>
      <c r="N100" t="str">
        <f t="shared" si="1"/>
        <v>APINbeGwerWest</v>
      </c>
    </row>
    <row r="101" spans="5:14" x14ac:dyDescent="0.35">
      <c r="E101" t="s">
        <v>555</v>
      </c>
      <c r="H101" t="s">
        <v>227</v>
      </c>
      <c r="I101" t="s">
        <v>228</v>
      </c>
      <c r="J101" t="s">
        <v>504</v>
      </c>
      <c r="K101" s="80" t="s">
        <v>556</v>
      </c>
      <c r="L101" t="s">
        <v>557</v>
      </c>
      <c r="M101" t="s">
        <v>36</v>
      </c>
      <c r="N101" t="str">
        <f t="shared" si="1"/>
        <v>APINbeGwerWest</v>
      </c>
    </row>
    <row r="102" spans="5:14" x14ac:dyDescent="0.35">
      <c r="E102" t="s">
        <v>558</v>
      </c>
      <c r="H102" t="s">
        <v>227</v>
      </c>
      <c r="I102" t="s">
        <v>228</v>
      </c>
      <c r="J102" t="s">
        <v>504</v>
      </c>
      <c r="K102" s="80" t="s">
        <v>559</v>
      </c>
      <c r="L102" t="s">
        <v>560</v>
      </c>
      <c r="M102" t="s">
        <v>36</v>
      </c>
      <c r="N102" t="str">
        <f t="shared" si="1"/>
        <v>APINbeGwerWest</v>
      </c>
    </row>
    <row r="103" spans="5:14" x14ac:dyDescent="0.35">
      <c r="E103" t="s">
        <v>561</v>
      </c>
      <c r="H103" t="s">
        <v>227</v>
      </c>
      <c r="I103" t="s">
        <v>228</v>
      </c>
      <c r="J103" t="s">
        <v>504</v>
      </c>
      <c r="K103" s="80" t="s">
        <v>562</v>
      </c>
      <c r="L103" t="s">
        <v>563</v>
      </c>
      <c r="M103" t="s">
        <v>36</v>
      </c>
      <c r="N103" t="str">
        <f t="shared" si="1"/>
        <v>APINbeGwerWest</v>
      </c>
    </row>
    <row r="104" spans="5:14" x14ac:dyDescent="0.35">
      <c r="E104" t="s">
        <v>564</v>
      </c>
      <c r="H104" t="s">
        <v>227</v>
      </c>
      <c r="I104" t="s">
        <v>228</v>
      </c>
      <c r="J104" t="s">
        <v>504</v>
      </c>
      <c r="K104" s="80" t="s">
        <v>565</v>
      </c>
      <c r="L104" t="s">
        <v>566</v>
      </c>
      <c r="M104" t="s">
        <v>36</v>
      </c>
      <c r="N104" t="str">
        <f t="shared" si="1"/>
        <v>APINbeGwerWest</v>
      </c>
    </row>
    <row r="105" spans="5:14" x14ac:dyDescent="0.35">
      <c r="E105" t="s">
        <v>567</v>
      </c>
      <c r="H105" t="s">
        <v>227</v>
      </c>
      <c r="I105" t="s">
        <v>228</v>
      </c>
      <c r="J105" t="s">
        <v>504</v>
      </c>
      <c r="K105" s="80" t="s">
        <v>568</v>
      </c>
      <c r="L105" t="s">
        <v>569</v>
      </c>
      <c r="M105" t="s">
        <v>36</v>
      </c>
      <c r="N105" t="str">
        <f t="shared" si="1"/>
        <v>APINbeGwerWest</v>
      </c>
    </row>
    <row r="106" spans="5:14" x14ac:dyDescent="0.35">
      <c r="E106" t="s">
        <v>570</v>
      </c>
      <c r="H106" t="s">
        <v>227</v>
      </c>
      <c r="I106" t="s">
        <v>228</v>
      </c>
      <c r="J106" t="s">
        <v>504</v>
      </c>
      <c r="K106" s="80" t="s">
        <v>571</v>
      </c>
      <c r="L106" t="s">
        <v>572</v>
      </c>
      <c r="M106" t="s">
        <v>36</v>
      </c>
      <c r="N106" t="str">
        <f t="shared" si="1"/>
        <v>APINbeGwerWest</v>
      </c>
    </row>
    <row r="107" spans="5:14" x14ac:dyDescent="0.35">
      <c r="E107" t="s">
        <v>573</v>
      </c>
      <c r="H107" t="s">
        <v>227</v>
      </c>
      <c r="I107" t="s">
        <v>228</v>
      </c>
      <c r="J107" t="s">
        <v>574</v>
      </c>
      <c r="K107" s="80" t="s">
        <v>575</v>
      </c>
      <c r="L107" t="s">
        <v>576</v>
      </c>
      <c r="M107" t="s">
        <v>36</v>
      </c>
      <c r="N107" t="str">
        <f t="shared" si="1"/>
        <v>APINbeKatsinaAla</v>
      </c>
    </row>
    <row r="108" spans="5:14" x14ac:dyDescent="0.35">
      <c r="E108" t="s">
        <v>577</v>
      </c>
      <c r="H108" t="s">
        <v>227</v>
      </c>
      <c r="I108" t="s">
        <v>228</v>
      </c>
      <c r="J108" t="s">
        <v>574</v>
      </c>
      <c r="K108" s="80" t="s">
        <v>578</v>
      </c>
      <c r="L108" t="s">
        <v>579</v>
      </c>
      <c r="M108" t="s">
        <v>36</v>
      </c>
      <c r="N108" t="str">
        <f t="shared" si="1"/>
        <v>APINbeKatsinaAla</v>
      </c>
    </row>
    <row r="109" spans="5:14" x14ac:dyDescent="0.35">
      <c r="E109" t="s">
        <v>580</v>
      </c>
      <c r="H109" t="s">
        <v>227</v>
      </c>
      <c r="I109" t="s">
        <v>228</v>
      </c>
      <c r="J109" t="s">
        <v>574</v>
      </c>
      <c r="K109" s="80" t="s">
        <v>581</v>
      </c>
      <c r="L109" t="s">
        <v>582</v>
      </c>
      <c r="M109" t="s">
        <v>36</v>
      </c>
      <c r="N109" t="str">
        <f t="shared" si="1"/>
        <v>APINbeKatsinaAla</v>
      </c>
    </row>
    <row r="110" spans="5:14" x14ac:dyDescent="0.35">
      <c r="E110" t="s">
        <v>583</v>
      </c>
      <c r="H110" t="s">
        <v>227</v>
      </c>
      <c r="I110" t="s">
        <v>228</v>
      </c>
      <c r="J110" t="s">
        <v>574</v>
      </c>
      <c r="K110" s="80" t="s">
        <v>584</v>
      </c>
      <c r="L110" t="s">
        <v>585</v>
      </c>
      <c r="M110" t="s">
        <v>36</v>
      </c>
      <c r="N110" t="str">
        <f t="shared" si="1"/>
        <v>APINbeKatsinaAla</v>
      </c>
    </row>
    <row r="111" spans="5:14" x14ac:dyDescent="0.35">
      <c r="E111" t="s">
        <v>586</v>
      </c>
      <c r="H111" t="s">
        <v>227</v>
      </c>
      <c r="I111" t="s">
        <v>228</v>
      </c>
      <c r="J111" t="s">
        <v>574</v>
      </c>
      <c r="K111" s="80" t="s">
        <v>587</v>
      </c>
      <c r="L111" t="s">
        <v>588</v>
      </c>
      <c r="M111" t="s">
        <v>36</v>
      </c>
      <c r="N111" t="str">
        <f t="shared" si="1"/>
        <v>APINbeKatsinaAla</v>
      </c>
    </row>
    <row r="112" spans="5:14" x14ac:dyDescent="0.35">
      <c r="E112" t="s">
        <v>589</v>
      </c>
      <c r="H112" t="s">
        <v>227</v>
      </c>
      <c r="I112" t="s">
        <v>228</v>
      </c>
      <c r="J112" t="s">
        <v>574</v>
      </c>
      <c r="K112" s="80" t="s">
        <v>590</v>
      </c>
      <c r="L112" t="s">
        <v>591</v>
      </c>
      <c r="M112" t="s">
        <v>36</v>
      </c>
      <c r="N112" t="str">
        <f t="shared" si="1"/>
        <v>APINbeKatsinaAla</v>
      </c>
    </row>
    <row r="113" spans="5:14" x14ac:dyDescent="0.35">
      <c r="E113" t="s">
        <v>592</v>
      </c>
      <c r="H113" t="s">
        <v>227</v>
      </c>
      <c r="I113" t="s">
        <v>228</v>
      </c>
      <c r="J113" t="s">
        <v>574</v>
      </c>
      <c r="K113" s="80" t="s">
        <v>593</v>
      </c>
      <c r="L113" t="s">
        <v>594</v>
      </c>
      <c r="M113" t="s">
        <v>36</v>
      </c>
      <c r="N113" t="str">
        <f t="shared" si="1"/>
        <v>APINbeKatsinaAla</v>
      </c>
    </row>
    <row r="114" spans="5:14" x14ac:dyDescent="0.35">
      <c r="E114" t="s">
        <v>595</v>
      </c>
      <c r="H114" t="s">
        <v>227</v>
      </c>
      <c r="I114" t="s">
        <v>228</v>
      </c>
      <c r="J114" t="s">
        <v>574</v>
      </c>
      <c r="K114" s="80" t="s">
        <v>596</v>
      </c>
      <c r="L114" t="s">
        <v>597</v>
      </c>
      <c r="M114" t="s">
        <v>36</v>
      </c>
      <c r="N114" t="str">
        <f t="shared" si="1"/>
        <v>APINbeKatsinaAla</v>
      </c>
    </row>
    <row r="115" spans="5:14" x14ac:dyDescent="0.35">
      <c r="E115" t="s">
        <v>598</v>
      </c>
      <c r="H115" t="s">
        <v>227</v>
      </c>
      <c r="I115" t="s">
        <v>228</v>
      </c>
      <c r="J115" t="s">
        <v>574</v>
      </c>
      <c r="K115" s="80" t="s">
        <v>599</v>
      </c>
      <c r="L115" t="s">
        <v>600</v>
      </c>
      <c r="M115" t="s">
        <v>36</v>
      </c>
      <c r="N115" t="str">
        <f t="shared" si="1"/>
        <v>APINbeKatsinaAla</v>
      </c>
    </row>
    <row r="116" spans="5:14" x14ac:dyDescent="0.35">
      <c r="E116" t="s">
        <v>601</v>
      </c>
      <c r="H116" t="s">
        <v>227</v>
      </c>
      <c r="I116" t="s">
        <v>228</v>
      </c>
      <c r="J116" t="s">
        <v>574</v>
      </c>
      <c r="K116" s="80" t="s">
        <v>602</v>
      </c>
      <c r="L116" t="s">
        <v>603</v>
      </c>
      <c r="M116" t="s">
        <v>36</v>
      </c>
      <c r="N116" t="str">
        <f t="shared" si="1"/>
        <v>APINbeKatsinaAla</v>
      </c>
    </row>
    <row r="117" spans="5:14" x14ac:dyDescent="0.35">
      <c r="E117" t="s">
        <v>604</v>
      </c>
      <c r="H117" t="s">
        <v>227</v>
      </c>
      <c r="I117" t="s">
        <v>228</v>
      </c>
      <c r="J117" t="s">
        <v>574</v>
      </c>
      <c r="K117" s="80" t="s">
        <v>605</v>
      </c>
      <c r="L117" t="s">
        <v>606</v>
      </c>
      <c r="M117" t="s">
        <v>36</v>
      </c>
      <c r="N117" t="str">
        <f t="shared" si="1"/>
        <v>APINbeKatsinaAla</v>
      </c>
    </row>
    <row r="118" spans="5:14" x14ac:dyDescent="0.35">
      <c r="E118" t="s">
        <v>607</v>
      </c>
      <c r="H118" t="s">
        <v>227</v>
      </c>
      <c r="I118" t="s">
        <v>228</v>
      </c>
      <c r="J118" t="s">
        <v>574</v>
      </c>
      <c r="K118" s="80" t="s">
        <v>608</v>
      </c>
      <c r="L118" t="s">
        <v>609</v>
      </c>
      <c r="M118" t="s">
        <v>36</v>
      </c>
      <c r="N118" t="str">
        <f t="shared" si="1"/>
        <v>APINbeKatsinaAla</v>
      </c>
    </row>
    <row r="119" spans="5:14" x14ac:dyDescent="0.35">
      <c r="E119" t="s">
        <v>610</v>
      </c>
      <c r="H119" t="s">
        <v>227</v>
      </c>
      <c r="I119" t="s">
        <v>228</v>
      </c>
      <c r="J119" t="s">
        <v>574</v>
      </c>
      <c r="K119" s="80" t="s">
        <v>611</v>
      </c>
      <c r="L119" t="s">
        <v>612</v>
      </c>
      <c r="M119" t="s">
        <v>36</v>
      </c>
      <c r="N119" t="str">
        <f t="shared" si="1"/>
        <v>APINbeKatsinaAla</v>
      </c>
    </row>
    <row r="120" spans="5:14" x14ac:dyDescent="0.35">
      <c r="E120" t="s">
        <v>613</v>
      </c>
      <c r="H120" t="s">
        <v>227</v>
      </c>
      <c r="I120" t="s">
        <v>228</v>
      </c>
      <c r="J120" t="s">
        <v>574</v>
      </c>
      <c r="K120" s="80" t="s">
        <v>614</v>
      </c>
      <c r="L120" t="s">
        <v>615</v>
      </c>
      <c r="M120" t="s">
        <v>36</v>
      </c>
      <c r="N120" t="str">
        <f t="shared" si="1"/>
        <v>APINbeKatsinaAla</v>
      </c>
    </row>
    <row r="121" spans="5:14" x14ac:dyDescent="0.35">
      <c r="E121" t="s">
        <v>616</v>
      </c>
      <c r="H121" t="s">
        <v>227</v>
      </c>
      <c r="I121" t="s">
        <v>228</v>
      </c>
      <c r="J121" t="s">
        <v>574</v>
      </c>
      <c r="K121" s="80" t="s">
        <v>617</v>
      </c>
      <c r="L121" t="s">
        <v>618</v>
      </c>
      <c r="M121" t="s">
        <v>36</v>
      </c>
      <c r="N121" t="str">
        <f t="shared" si="1"/>
        <v>APINbeKatsinaAla</v>
      </c>
    </row>
    <row r="122" spans="5:14" x14ac:dyDescent="0.35">
      <c r="E122" t="s">
        <v>619</v>
      </c>
      <c r="H122" t="s">
        <v>227</v>
      </c>
      <c r="I122" t="s">
        <v>228</v>
      </c>
      <c r="J122" t="s">
        <v>574</v>
      </c>
      <c r="K122" s="80" t="s">
        <v>620</v>
      </c>
      <c r="L122" t="s">
        <v>621</v>
      </c>
      <c r="M122" t="s">
        <v>36</v>
      </c>
      <c r="N122" t="str">
        <f t="shared" si="1"/>
        <v>APINbeKatsinaAla</v>
      </c>
    </row>
    <row r="123" spans="5:14" x14ac:dyDescent="0.35">
      <c r="E123" t="s">
        <v>622</v>
      </c>
      <c r="H123" t="s">
        <v>227</v>
      </c>
      <c r="I123" t="s">
        <v>228</v>
      </c>
      <c r="J123" t="s">
        <v>574</v>
      </c>
      <c r="K123" s="80" t="s">
        <v>623</v>
      </c>
      <c r="L123" t="s">
        <v>624</v>
      </c>
      <c r="M123" t="s">
        <v>36</v>
      </c>
      <c r="N123" t="str">
        <f t="shared" si="1"/>
        <v>APINbeKatsinaAla</v>
      </c>
    </row>
    <row r="124" spans="5:14" x14ac:dyDescent="0.35">
      <c r="E124" t="s">
        <v>625</v>
      </c>
      <c r="H124" t="s">
        <v>227</v>
      </c>
      <c r="I124" t="s">
        <v>228</v>
      </c>
      <c r="J124" t="s">
        <v>626</v>
      </c>
      <c r="K124" s="80" t="s">
        <v>627</v>
      </c>
      <c r="L124" t="s">
        <v>628</v>
      </c>
      <c r="M124" t="s">
        <v>36</v>
      </c>
      <c r="N124" t="str">
        <f t="shared" si="1"/>
        <v>APINbeKonshisha</v>
      </c>
    </row>
    <row r="125" spans="5:14" x14ac:dyDescent="0.35">
      <c r="E125" t="s">
        <v>629</v>
      </c>
      <c r="H125" t="s">
        <v>227</v>
      </c>
      <c r="I125" t="s">
        <v>228</v>
      </c>
      <c r="J125" t="s">
        <v>626</v>
      </c>
      <c r="K125" s="80" t="s">
        <v>630</v>
      </c>
      <c r="L125" t="s">
        <v>631</v>
      </c>
      <c r="M125" t="s">
        <v>36</v>
      </c>
      <c r="N125" t="str">
        <f t="shared" si="1"/>
        <v>APINbeKonshisha</v>
      </c>
    </row>
    <row r="126" spans="5:14" x14ac:dyDescent="0.35">
      <c r="E126" t="s">
        <v>632</v>
      </c>
      <c r="H126" t="s">
        <v>227</v>
      </c>
      <c r="I126" t="s">
        <v>228</v>
      </c>
      <c r="J126" t="s">
        <v>626</v>
      </c>
      <c r="K126" s="80" t="s">
        <v>633</v>
      </c>
      <c r="L126" t="s">
        <v>634</v>
      </c>
      <c r="M126" t="s">
        <v>36</v>
      </c>
      <c r="N126" t="str">
        <f t="shared" si="1"/>
        <v>APINbeKonshisha</v>
      </c>
    </row>
    <row r="127" spans="5:14" x14ac:dyDescent="0.35">
      <c r="E127" t="s">
        <v>635</v>
      </c>
      <c r="H127" t="s">
        <v>227</v>
      </c>
      <c r="I127" t="s">
        <v>228</v>
      </c>
      <c r="J127" t="s">
        <v>626</v>
      </c>
      <c r="K127" s="80" t="s">
        <v>636</v>
      </c>
      <c r="L127" t="s">
        <v>637</v>
      </c>
      <c r="M127" t="s">
        <v>36</v>
      </c>
      <c r="N127" t="str">
        <f t="shared" si="1"/>
        <v>APINbeKonshisha</v>
      </c>
    </row>
    <row r="128" spans="5:14" x14ac:dyDescent="0.35">
      <c r="E128" t="s">
        <v>638</v>
      </c>
      <c r="H128" t="s">
        <v>227</v>
      </c>
      <c r="I128" t="s">
        <v>228</v>
      </c>
      <c r="J128" t="s">
        <v>626</v>
      </c>
      <c r="K128" s="80" t="s">
        <v>639</v>
      </c>
      <c r="L128" t="s">
        <v>640</v>
      </c>
      <c r="M128" t="s">
        <v>36</v>
      </c>
      <c r="N128" t="str">
        <f t="shared" si="1"/>
        <v>APINbeKonshisha</v>
      </c>
    </row>
    <row r="129" spans="5:14" x14ac:dyDescent="0.35">
      <c r="E129" t="s">
        <v>641</v>
      </c>
      <c r="H129" t="s">
        <v>227</v>
      </c>
      <c r="I129" t="s">
        <v>228</v>
      </c>
      <c r="J129" t="s">
        <v>626</v>
      </c>
      <c r="K129" s="80" t="s">
        <v>642</v>
      </c>
      <c r="L129" t="s">
        <v>643</v>
      </c>
      <c r="M129" t="s">
        <v>36</v>
      </c>
      <c r="N129" t="str">
        <f t="shared" si="1"/>
        <v>APINbeKonshisha</v>
      </c>
    </row>
    <row r="130" spans="5:14" x14ac:dyDescent="0.35">
      <c r="E130" t="s">
        <v>644</v>
      </c>
      <c r="H130" t="s">
        <v>227</v>
      </c>
      <c r="I130" t="s">
        <v>228</v>
      </c>
      <c r="J130" t="s">
        <v>626</v>
      </c>
      <c r="K130" s="80" t="s">
        <v>645</v>
      </c>
      <c r="L130" t="s">
        <v>646</v>
      </c>
      <c r="M130" t="s">
        <v>36</v>
      </c>
      <c r="N130" t="str">
        <f t="shared" si="1"/>
        <v>APINbeKonshisha</v>
      </c>
    </row>
    <row r="131" spans="5:14" x14ac:dyDescent="0.35">
      <c r="E131" t="s">
        <v>647</v>
      </c>
      <c r="H131" t="s">
        <v>227</v>
      </c>
      <c r="I131" t="s">
        <v>228</v>
      </c>
      <c r="J131" t="s">
        <v>626</v>
      </c>
      <c r="K131" s="80" t="s">
        <v>648</v>
      </c>
      <c r="L131" t="s">
        <v>649</v>
      </c>
      <c r="M131" t="s">
        <v>36</v>
      </c>
      <c r="N131" t="str">
        <f t="shared" ref="N131:N194" si="2">SUBSTITUTE(SUBSTITUTE(M131&amp;J131," ",""),"-","")</f>
        <v>APINbeKonshisha</v>
      </c>
    </row>
    <row r="132" spans="5:14" x14ac:dyDescent="0.35">
      <c r="E132" t="s">
        <v>650</v>
      </c>
      <c r="H132" t="s">
        <v>227</v>
      </c>
      <c r="I132" t="s">
        <v>228</v>
      </c>
      <c r="J132" t="s">
        <v>626</v>
      </c>
      <c r="K132" s="80" t="s">
        <v>651</v>
      </c>
      <c r="L132" t="s">
        <v>652</v>
      </c>
      <c r="M132" t="s">
        <v>36</v>
      </c>
      <c r="N132" t="str">
        <f t="shared" si="2"/>
        <v>APINbeKonshisha</v>
      </c>
    </row>
    <row r="133" spans="5:14" x14ac:dyDescent="0.35">
      <c r="E133" t="s">
        <v>653</v>
      </c>
      <c r="H133" t="s">
        <v>227</v>
      </c>
      <c r="I133" t="s">
        <v>228</v>
      </c>
      <c r="J133" t="s">
        <v>626</v>
      </c>
      <c r="K133" s="80" t="s">
        <v>654</v>
      </c>
      <c r="L133" t="s">
        <v>655</v>
      </c>
      <c r="M133" t="s">
        <v>36</v>
      </c>
      <c r="N133" t="str">
        <f t="shared" si="2"/>
        <v>APINbeKonshisha</v>
      </c>
    </row>
    <row r="134" spans="5:14" x14ac:dyDescent="0.35">
      <c r="E134" t="s">
        <v>656</v>
      </c>
      <c r="H134" t="s">
        <v>227</v>
      </c>
      <c r="I134" t="s">
        <v>228</v>
      </c>
      <c r="J134" t="s">
        <v>626</v>
      </c>
      <c r="K134" s="80" t="s">
        <v>657</v>
      </c>
      <c r="L134" t="s">
        <v>658</v>
      </c>
      <c r="M134" t="s">
        <v>36</v>
      </c>
      <c r="N134" t="str">
        <f t="shared" si="2"/>
        <v>APINbeKonshisha</v>
      </c>
    </row>
    <row r="135" spans="5:14" x14ac:dyDescent="0.35">
      <c r="E135" t="s">
        <v>659</v>
      </c>
      <c r="H135" t="s">
        <v>227</v>
      </c>
      <c r="I135" t="s">
        <v>228</v>
      </c>
      <c r="J135" t="s">
        <v>626</v>
      </c>
      <c r="K135" s="80" t="s">
        <v>660</v>
      </c>
      <c r="L135" t="s">
        <v>661</v>
      </c>
      <c r="M135" t="s">
        <v>36</v>
      </c>
      <c r="N135" t="str">
        <f t="shared" si="2"/>
        <v>APINbeKonshisha</v>
      </c>
    </row>
    <row r="136" spans="5:14" x14ac:dyDescent="0.35">
      <c r="E136" t="s">
        <v>662</v>
      </c>
      <c r="H136" t="s">
        <v>227</v>
      </c>
      <c r="I136" t="s">
        <v>228</v>
      </c>
      <c r="J136" t="s">
        <v>626</v>
      </c>
      <c r="K136" s="80" t="s">
        <v>663</v>
      </c>
      <c r="L136" t="s">
        <v>664</v>
      </c>
      <c r="M136" t="s">
        <v>36</v>
      </c>
      <c r="N136" t="str">
        <f t="shared" si="2"/>
        <v>APINbeKonshisha</v>
      </c>
    </row>
    <row r="137" spans="5:14" x14ac:dyDescent="0.35">
      <c r="E137" t="s">
        <v>665</v>
      </c>
      <c r="H137" t="s">
        <v>227</v>
      </c>
      <c r="I137" t="s">
        <v>228</v>
      </c>
      <c r="J137" t="s">
        <v>626</v>
      </c>
      <c r="K137" s="80" t="s">
        <v>666</v>
      </c>
      <c r="L137" t="s">
        <v>667</v>
      </c>
      <c r="M137" t="s">
        <v>36</v>
      </c>
      <c r="N137" t="str">
        <f t="shared" si="2"/>
        <v>APINbeKonshisha</v>
      </c>
    </row>
    <row r="138" spans="5:14" x14ac:dyDescent="0.35">
      <c r="E138" t="s">
        <v>668</v>
      </c>
      <c r="H138" t="s">
        <v>227</v>
      </c>
      <c r="I138" t="s">
        <v>228</v>
      </c>
      <c r="J138" t="s">
        <v>626</v>
      </c>
      <c r="K138" s="80" t="s">
        <v>669</v>
      </c>
      <c r="L138" t="s">
        <v>670</v>
      </c>
      <c r="M138" t="s">
        <v>36</v>
      </c>
      <c r="N138" t="str">
        <f t="shared" si="2"/>
        <v>APINbeKonshisha</v>
      </c>
    </row>
    <row r="139" spans="5:14" x14ac:dyDescent="0.35">
      <c r="E139" t="s">
        <v>229</v>
      </c>
      <c r="H139" t="s">
        <v>227</v>
      </c>
      <c r="I139" t="s">
        <v>228</v>
      </c>
      <c r="J139" t="s">
        <v>626</v>
      </c>
      <c r="K139" s="80" t="s">
        <v>671</v>
      </c>
      <c r="L139" t="s">
        <v>672</v>
      </c>
      <c r="M139" t="s">
        <v>36</v>
      </c>
      <c r="N139" t="str">
        <f t="shared" si="2"/>
        <v>APINbeKonshisha</v>
      </c>
    </row>
    <row r="140" spans="5:14" x14ac:dyDescent="0.35">
      <c r="E140" t="s">
        <v>242</v>
      </c>
      <c r="H140" t="s">
        <v>227</v>
      </c>
      <c r="I140" t="s">
        <v>228</v>
      </c>
      <c r="J140" t="s">
        <v>626</v>
      </c>
      <c r="K140" s="80" t="s">
        <v>673</v>
      </c>
      <c r="L140" t="s">
        <v>674</v>
      </c>
      <c r="M140" t="s">
        <v>36</v>
      </c>
      <c r="N140" t="str">
        <f t="shared" si="2"/>
        <v>APINbeKonshisha</v>
      </c>
    </row>
    <row r="141" spans="5:14" x14ac:dyDescent="0.35">
      <c r="E141" t="s">
        <v>253</v>
      </c>
      <c r="H141" t="s">
        <v>227</v>
      </c>
      <c r="I141" t="s">
        <v>228</v>
      </c>
      <c r="J141" t="s">
        <v>626</v>
      </c>
      <c r="K141" s="80" t="s">
        <v>675</v>
      </c>
      <c r="L141" t="s">
        <v>676</v>
      </c>
      <c r="M141" t="s">
        <v>36</v>
      </c>
      <c r="N141" t="str">
        <f t="shared" si="2"/>
        <v>APINbeKonshisha</v>
      </c>
    </row>
    <row r="142" spans="5:14" x14ac:dyDescent="0.35">
      <c r="E142" t="s">
        <v>263</v>
      </c>
      <c r="H142" t="s">
        <v>227</v>
      </c>
      <c r="I142" t="s">
        <v>228</v>
      </c>
      <c r="J142" t="s">
        <v>626</v>
      </c>
      <c r="K142" s="80" t="s">
        <v>677</v>
      </c>
      <c r="L142" t="s">
        <v>678</v>
      </c>
      <c r="M142" t="s">
        <v>36</v>
      </c>
      <c r="N142" t="str">
        <f t="shared" si="2"/>
        <v>APINbeKonshisha</v>
      </c>
    </row>
    <row r="143" spans="5:14" x14ac:dyDescent="0.35">
      <c r="E143" t="s">
        <v>381</v>
      </c>
      <c r="H143" t="s">
        <v>227</v>
      </c>
      <c r="I143" t="s">
        <v>228</v>
      </c>
      <c r="J143" t="s">
        <v>626</v>
      </c>
      <c r="K143" s="80" t="s">
        <v>679</v>
      </c>
      <c r="L143" t="s">
        <v>680</v>
      </c>
      <c r="M143" t="s">
        <v>36</v>
      </c>
      <c r="N143" t="str">
        <f t="shared" si="2"/>
        <v>APINbeKonshisha</v>
      </c>
    </row>
    <row r="144" spans="5:14" x14ac:dyDescent="0.35">
      <c r="E144" t="s">
        <v>460</v>
      </c>
      <c r="H144" t="s">
        <v>227</v>
      </c>
      <c r="I144" t="s">
        <v>228</v>
      </c>
      <c r="J144" t="s">
        <v>626</v>
      </c>
      <c r="K144" s="80" t="s">
        <v>681</v>
      </c>
      <c r="L144" t="s">
        <v>682</v>
      </c>
      <c r="M144" t="s">
        <v>36</v>
      </c>
      <c r="N144" t="str">
        <f t="shared" si="2"/>
        <v>APINbeKonshisha</v>
      </c>
    </row>
    <row r="145" spans="5:14" x14ac:dyDescent="0.35">
      <c r="E145" t="s">
        <v>485</v>
      </c>
      <c r="H145" t="s">
        <v>227</v>
      </c>
      <c r="I145" t="s">
        <v>228</v>
      </c>
      <c r="J145" t="s">
        <v>626</v>
      </c>
      <c r="K145" s="80" t="s">
        <v>683</v>
      </c>
      <c r="L145" t="s">
        <v>684</v>
      </c>
      <c r="M145" t="s">
        <v>36</v>
      </c>
      <c r="N145" t="str">
        <f t="shared" si="2"/>
        <v>APINbeKonshisha</v>
      </c>
    </row>
    <row r="146" spans="5:14" x14ac:dyDescent="0.35">
      <c r="E146" t="s">
        <v>504</v>
      </c>
      <c r="H146" t="s">
        <v>227</v>
      </c>
      <c r="I146" t="s">
        <v>228</v>
      </c>
      <c r="J146" t="s">
        <v>626</v>
      </c>
      <c r="K146" s="80" t="s">
        <v>685</v>
      </c>
      <c r="L146" t="s">
        <v>686</v>
      </c>
      <c r="M146" t="s">
        <v>36</v>
      </c>
      <c r="N146" t="str">
        <f t="shared" si="2"/>
        <v>APINbeKonshisha</v>
      </c>
    </row>
    <row r="147" spans="5:14" x14ac:dyDescent="0.35">
      <c r="E147" t="s">
        <v>574</v>
      </c>
      <c r="H147" t="s">
        <v>227</v>
      </c>
      <c r="I147" t="s">
        <v>228</v>
      </c>
      <c r="J147" t="s">
        <v>626</v>
      </c>
      <c r="K147" s="80" t="s">
        <v>687</v>
      </c>
      <c r="L147" t="s">
        <v>688</v>
      </c>
      <c r="M147" t="s">
        <v>36</v>
      </c>
      <c r="N147" t="str">
        <f t="shared" si="2"/>
        <v>APINbeKonshisha</v>
      </c>
    </row>
    <row r="148" spans="5:14" x14ac:dyDescent="0.35">
      <c r="E148" t="s">
        <v>626</v>
      </c>
      <c r="H148" t="s">
        <v>227</v>
      </c>
      <c r="I148" t="s">
        <v>228</v>
      </c>
      <c r="J148" t="s">
        <v>626</v>
      </c>
      <c r="K148" s="80" t="s">
        <v>689</v>
      </c>
      <c r="L148" t="s">
        <v>690</v>
      </c>
      <c r="M148" t="s">
        <v>36</v>
      </c>
      <c r="N148" t="str">
        <f t="shared" si="2"/>
        <v>APINbeKonshisha</v>
      </c>
    </row>
    <row r="149" spans="5:14" x14ac:dyDescent="0.35">
      <c r="E149" t="s">
        <v>691</v>
      </c>
      <c r="H149" t="s">
        <v>227</v>
      </c>
      <c r="I149" t="s">
        <v>228</v>
      </c>
      <c r="J149" t="s">
        <v>626</v>
      </c>
      <c r="K149" s="80" t="s">
        <v>692</v>
      </c>
      <c r="L149" t="s">
        <v>693</v>
      </c>
      <c r="M149" t="s">
        <v>36</v>
      </c>
      <c r="N149" t="str">
        <f t="shared" si="2"/>
        <v>APINbeKonshisha</v>
      </c>
    </row>
    <row r="150" spans="5:14" x14ac:dyDescent="0.35">
      <c r="E150" t="s">
        <v>694</v>
      </c>
      <c r="H150" t="s">
        <v>227</v>
      </c>
      <c r="I150" t="s">
        <v>228</v>
      </c>
      <c r="J150" t="s">
        <v>626</v>
      </c>
      <c r="K150" s="80" t="s">
        <v>695</v>
      </c>
      <c r="L150" t="s">
        <v>696</v>
      </c>
      <c r="M150" t="s">
        <v>36</v>
      </c>
      <c r="N150" t="str">
        <f t="shared" si="2"/>
        <v>APINbeKonshisha</v>
      </c>
    </row>
    <row r="151" spans="5:14" x14ac:dyDescent="0.35">
      <c r="E151" t="s">
        <v>697</v>
      </c>
      <c r="H151" t="s">
        <v>227</v>
      </c>
      <c r="I151" t="s">
        <v>228</v>
      </c>
      <c r="J151" t="s">
        <v>626</v>
      </c>
      <c r="K151" s="80" t="s">
        <v>698</v>
      </c>
      <c r="L151" t="s">
        <v>699</v>
      </c>
      <c r="M151" t="s">
        <v>36</v>
      </c>
      <c r="N151" t="str">
        <f t="shared" si="2"/>
        <v>APINbeKonshisha</v>
      </c>
    </row>
    <row r="152" spans="5:14" x14ac:dyDescent="0.35">
      <c r="E152" t="s">
        <v>700</v>
      </c>
      <c r="H152" t="s">
        <v>227</v>
      </c>
      <c r="I152" t="s">
        <v>228</v>
      </c>
      <c r="J152" t="s">
        <v>626</v>
      </c>
      <c r="K152" s="80" t="s">
        <v>701</v>
      </c>
      <c r="L152" t="s">
        <v>702</v>
      </c>
      <c r="M152" t="s">
        <v>36</v>
      </c>
      <c r="N152" t="str">
        <f t="shared" si="2"/>
        <v>APINbeKonshisha</v>
      </c>
    </row>
    <row r="153" spans="5:14" x14ac:dyDescent="0.35">
      <c r="E153" t="s">
        <v>703</v>
      </c>
      <c r="H153" t="s">
        <v>227</v>
      </c>
      <c r="I153" t="s">
        <v>228</v>
      </c>
      <c r="J153" t="s">
        <v>626</v>
      </c>
      <c r="K153" s="80" t="s">
        <v>704</v>
      </c>
      <c r="L153" t="s">
        <v>705</v>
      </c>
      <c r="M153" t="s">
        <v>36</v>
      </c>
      <c r="N153" t="str">
        <f t="shared" si="2"/>
        <v>APINbeKonshisha</v>
      </c>
    </row>
    <row r="154" spans="5:14" x14ac:dyDescent="0.35">
      <c r="E154" t="s">
        <v>706</v>
      </c>
      <c r="H154" t="s">
        <v>227</v>
      </c>
      <c r="I154" t="s">
        <v>228</v>
      </c>
      <c r="J154" t="s">
        <v>626</v>
      </c>
      <c r="K154" s="80" t="s">
        <v>707</v>
      </c>
      <c r="L154" t="s">
        <v>708</v>
      </c>
      <c r="M154" t="s">
        <v>36</v>
      </c>
      <c r="N154" t="str">
        <f t="shared" si="2"/>
        <v>APINbeKonshisha</v>
      </c>
    </row>
    <row r="155" spans="5:14" x14ac:dyDescent="0.35">
      <c r="E155" t="s">
        <v>709</v>
      </c>
      <c r="H155" t="s">
        <v>227</v>
      </c>
      <c r="I155" t="s">
        <v>228</v>
      </c>
      <c r="J155" t="s">
        <v>626</v>
      </c>
      <c r="K155" s="80" t="s">
        <v>710</v>
      </c>
      <c r="L155" t="s">
        <v>711</v>
      </c>
      <c r="M155" t="s">
        <v>36</v>
      </c>
      <c r="N155" t="str">
        <f t="shared" si="2"/>
        <v>APINbeKonshisha</v>
      </c>
    </row>
    <row r="156" spans="5:14" x14ac:dyDescent="0.35">
      <c r="E156" t="s">
        <v>712</v>
      </c>
      <c r="H156" t="s">
        <v>227</v>
      </c>
      <c r="I156" t="s">
        <v>228</v>
      </c>
      <c r="J156" t="s">
        <v>626</v>
      </c>
      <c r="K156" s="80" t="s">
        <v>713</v>
      </c>
      <c r="L156" t="s">
        <v>714</v>
      </c>
      <c r="M156" t="s">
        <v>36</v>
      </c>
      <c r="N156" t="str">
        <f t="shared" si="2"/>
        <v>APINbeKonshisha</v>
      </c>
    </row>
    <row r="157" spans="5:14" x14ac:dyDescent="0.35">
      <c r="E157" t="s">
        <v>715</v>
      </c>
      <c r="H157" t="s">
        <v>227</v>
      </c>
      <c r="I157" t="s">
        <v>228</v>
      </c>
      <c r="J157" t="s">
        <v>626</v>
      </c>
      <c r="K157" s="80" t="s">
        <v>716</v>
      </c>
      <c r="L157" t="s">
        <v>717</v>
      </c>
      <c r="M157" t="s">
        <v>36</v>
      </c>
      <c r="N157" t="str">
        <f t="shared" si="2"/>
        <v>APINbeKonshisha</v>
      </c>
    </row>
    <row r="158" spans="5:14" x14ac:dyDescent="0.35">
      <c r="E158" t="s">
        <v>718</v>
      </c>
      <c r="H158" t="s">
        <v>227</v>
      </c>
      <c r="I158" t="s">
        <v>228</v>
      </c>
      <c r="J158" t="s">
        <v>626</v>
      </c>
      <c r="K158" s="80" t="s">
        <v>719</v>
      </c>
      <c r="L158" t="s">
        <v>720</v>
      </c>
      <c r="M158" t="s">
        <v>36</v>
      </c>
      <c r="N158" t="str">
        <f t="shared" si="2"/>
        <v>APINbeKonshisha</v>
      </c>
    </row>
    <row r="159" spans="5:14" x14ac:dyDescent="0.35">
      <c r="E159" t="s">
        <v>721</v>
      </c>
      <c r="H159" t="s">
        <v>227</v>
      </c>
      <c r="I159" t="s">
        <v>228</v>
      </c>
      <c r="J159" t="s">
        <v>626</v>
      </c>
      <c r="K159" s="80" t="s">
        <v>722</v>
      </c>
      <c r="L159" t="s">
        <v>723</v>
      </c>
      <c r="M159" t="s">
        <v>36</v>
      </c>
      <c r="N159" t="str">
        <f t="shared" si="2"/>
        <v>APINbeKonshisha</v>
      </c>
    </row>
    <row r="160" spans="5:14" x14ac:dyDescent="0.35">
      <c r="E160" t="s">
        <v>724</v>
      </c>
      <c r="H160" t="s">
        <v>227</v>
      </c>
      <c r="I160" t="s">
        <v>228</v>
      </c>
      <c r="J160" t="s">
        <v>626</v>
      </c>
      <c r="K160" s="80" t="s">
        <v>725</v>
      </c>
      <c r="L160" t="s">
        <v>726</v>
      </c>
      <c r="M160" t="s">
        <v>36</v>
      </c>
      <c r="N160" t="str">
        <f t="shared" si="2"/>
        <v>APINbeKonshisha</v>
      </c>
    </row>
    <row r="161" spans="5:14" x14ac:dyDescent="0.35">
      <c r="E161" t="s">
        <v>727</v>
      </c>
      <c r="H161" t="s">
        <v>227</v>
      </c>
      <c r="I161" t="s">
        <v>228</v>
      </c>
      <c r="J161" t="s">
        <v>626</v>
      </c>
      <c r="K161" s="80" t="s">
        <v>728</v>
      </c>
      <c r="L161" t="s">
        <v>729</v>
      </c>
      <c r="M161" t="s">
        <v>36</v>
      </c>
      <c r="N161" t="str">
        <f t="shared" si="2"/>
        <v>APINbeKonshisha</v>
      </c>
    </row>
    <row r="162" spans="5:14" x14ac:dyDescent="0.35">
      <c r="E162" t="s">
        <v>730</v>
      </c>
      <c r="H162" t="s">
        <v>227</v>
      </c>
      <c r="I162" t="s">
        <v>228</v>
      </c>
      <c r="J162" t="s">
        <v>626</v>
      </c>
      <c r="K162" s="80" t="s">
        <v>731</v>
      </c>
      <c r="L162" t="s">
        <v>732</v>
      </c>
      <c r="M162" t="s">
        <v>36</v>
      </c>
      <c r="N162" t="str">
        <f t="shared" si="2"/>
        <v>APINbeKonshisha</v>
      </c>
    </row>
    <row r="163" spans="5:14" x14ac:dyDescent="0.35">
      <c r="E163" t="s">
        <v>733</v>
      </c>
      <c r="H163" t="s">
        <v>227</v>
      </c>
      <c r="I163" t="s">
        <v>228</v>
      </c>
      <c r="J163" t="s">
        <v>626</v>
      </c>
      <c r="K163" s="80" t="s">
        <v>734</v>
      </c>
      <c r="L163" t="s">
        <v>735</v>
      </c>
      <c r="M163" t="s">
        <v>36</v>
      </c>
      <c r="N163" t="str">
        <f t="shared" si="2"/>
        <v>APINbeKonshisha</v>
      </c>
    </row>
    <row r="164" spans="5:14" x14ac:dyDescent="0.35">
      <c r="E164" t="s">
        <v>736</v>
      </c>
      <c r="H164" t="s">
        <v>227</v>
      </c>
      <c r="I164" t="s">
        <v>228</v>
      </c>
      <c r="J164" t="s">
        <v>626</v>
      </c>
      <c r="K164" s="80" t="s">
        <v>737</v>
      </c>
      <c r="L164" t="s">
        <v>738</v>
      </c>
      <c r="M164" t="s">
        <v>36</v>
      </c>
      <c r="N164" t="str">
        <f t="shared" si="2"/>
        <v>APINbeKonshisha</v>
      </c>
    </row>
    <row r="165" spans="5:14" x14ac:dyDescent="0.35">
      <c r="E165" t="s">
        <v>739</v>
      </c>
      <c r="H165" t="s">
        <v>227</v>
      </c>
      <c r="I165" t="s">
        <v>228</v>
      </c>
      <c r="J165" t="s">
        <v>626</v>
      </c>
      <c r="K165" s="80" t="s">
        <v>740</v>
      </c>
      <c r="L165" t="s">
        <v>741</v>
      </c>
      <c r="M165" t="s">
        <v>36</v>
      </c>
      <c r="N165" t="str">
        <f t="shared" si="2"/>
        <v>APINbeKonshisha</v>
      </c>
    </row>
    <row r="166" spans="5:14" x14ac:dyDescent="0.35">
      <c r="E166" t="s">
        <v>742</v>
      </c>
      <c r="H166" t="s">
        <v>227</v>
      </c>
      <c r="I166" t="s">
        <v>228</v>
      </c>
      <c r="J166" t="s">
        <v>626</v>
      </c>
      <c r="K166" s="80" t="s">
        <v>743</v>
      </c>
      <c r="L166" t="s">
        <v>744</v>
      </c>
      <c r="M166" t="s">
        <v>36</v>
      </c>
      <c r="N166" t="str">
        <f t="shared" si="2"/>
        <v>APINbeKonshisha</v>
      </c>
    </row>
    <row r="167" spans="5:14" x14ac:dyDescent="0.35">
      <c r="E167" t="s">
        <v>745</v>
      </c>
      <c r="H167" t="s">
        <v>227</v>
      </c>
      <c r="I167" t="s">
        <v>228</v>
      </c>
      <c r="J167" t="s">
        <v>626</v>
      </c>
      <c r="K167" s="80" t="s">
        <v>746</v>
      </c>
      <c r="L167" t="s">
        <v>747</v>
      </c>
      <c r="M167" t="s">
        <v>36</v>
      </c>
      <c r="N167" t="str">
        <f t="shared" si="2"/>
        <v>APINbeKonshisha</v>
      </c>
    </row>
    <row r="168" spans="5:14" x14ac:dyDescent="0.35">
      <c r="E168" t="s">
        <v>748</v>
      </c>
      <c r="H168" t="s">
        <v>227</v>
      </c>
      <c r="I168" t="s">
        <v>228</v>
      </c>
      <c r="J168" t="s">
        <v>626</v>
      </c>
      <c r="K168" s="80" t="s">
        <v>749</v>
      </c>
      <c r="L168" t="s">
        <v>750</v>
      </c>
      <c r="M168" t="s">
        <v>36</v>
      </c>
      <c r="N168" t="str">
        <f t="shared" si="2"/>
        <v>APINbeKonshisha</v>
      </c>
    </row>
    <row r="169" spans="5:14" x14ac:dyDescent="0.35">
      <c r="E169" t="s">
        <v>751</v>
      </c>
      <c r="H169" t="s">
        <v>227</v>
      </c>
      <c r="I169" t="s">
        <v>228</v>
      </c>
      <c r="J169" t="s">
        <v>626</v>
      </c>
      <c r="K169" s="80" t="s">
        <v>752</v>
      </c>
      <c r="L169" t="s">
        <v>753</v>
      </c>
      <c r="M169" t="s">
        <v>36</v>
      </c>
      <c r="N169" t="str">
        <f t="shared" si="2"/>
        <v>APINbeKonshisha</v>
      </c>
    </row>
    <row r="170" spans="5:14" x14ac:dyDescent="0.35">
      <c r="E170" t="s">
        <v>754</v>
      </c>
      <c r="H170" t="s">
        <v>227</v>
      </c>
      <c r="I170" t="s">
        <v>228</v>
      </c>
      <c r="J170" t="s">
        <v>626</v>
      </c>
      <c r="K170" s="80" t="s">
        <v>755</v>
      </c>
      <c r="L170" t="s">
        <v>756</v>
      </c>
      <c r="M170" t="s">
        <v>36</v>
      </c>
      <c r="N170" t="str">
        <f t="shared" si="2"/>
        <v>APINbeKonshisha</v>
      </c>
    </row>
    <row r="171" spans="5:14" x14ac:dyDescent="0.35">
      <c r="E171" t="s">
        <v>757</v>
      </c>
      <c r="H171" t="s">
        <v>227</v>
      </c>
      <c r="I171" t="s">
        <v>228</v>
      </c>
      <c r="J171" t="s">
        <v>626</v>
      </c>
      <c r="K171" s="80" t="s">
        <v>758</v>
      </c>
      <c r="L171" t="s">
        <v>759</v>
      </c>
      <c r="M171" t="s">
        <v>36</v>
      </c>
      <c r="N171" t="str">
        <f t="shared" si="2"/>
        <v>APINbeKonshisha</v>
      </c>
    </row>
    <row r="172" spans="5:14" x14ac:dyDescent="0.35">
      <c r="E172" t="s">
        <v>760</v>
      </c>
      <c r="H172" t="s">
        <v>227</v>
      </c>
      <c r="I172" t="s">
        <v>228</v>
      </c>
      <c r="J172" t="s">
        <v>626</v>
      </c>
      <c r="K172" s="80" t="s">
        <v>761</v>
      </c>
      <c r="L172" t="s">
        <v>762</v>
      </c>
      <c r="M172" t="s">
        <v>36</v>
      </c>
      <c r="N172" t="str">
        <f t="shared" si="2"/>
        <v>APINbeKonshisha</v>
      </c>
    </row>
    <row r="173" spans="5:14" x14ac:dyDescent="0.35">
      <c r="E173" t="s">
        <v>763</v>
      </c>
      <c r="H173" t="s">
        <v>227</v>
      </c>
      <c r="I173" t="s">
        <v>228</v>
      </c>
      <c r="J173" t="s">
        <v>626</v>
      </c>
      <c r="K173" s="80" t="s">
        <v>764</v>
      </c>
      <c r="L173" t="s">
        <v>765</v>
      </c>
      <c r="M173" t="s">
        <v>36</v>
      </c>
      <c r="N173" t="str">
        <f t="shared" si="2"/>
        <v>APINbeKonshisha</v>
      </c>
    </row>
    <row r="174" spans="5:14" x14ac:dyDescent="0.35">
      <c r="E174" t="s">
        <v>766</v>
      </c>
      <c r="H174" t="s">
        <v>227</v>
      </c>
      <c r="I174" t="s">
        <v>228</v>
      </c>
      <c r="J174" t="s">
        <v>626</v>
      </c>
      <c r="K174" s="80" t="s">
        <v>767</v>
      </c>
      <c r="L174" t="s">
        <v>768</v>
      </c>
      <c r="M174" t="s">
        <v>36</v>
      </c>
      <c r="N174" t="str">
        <f t="shared" si="2"/>
        <v>APINbeKonshisha</v>
      </c>
    </row>
    <row r="175" spans="5:14" x14ac:dyDescent="0.35">
      <c r="E175" t="s">
        <v>769</v>
      </c>
      <c r="H175" t="s">
        <v>227</v>
      </c>
      <c r="I175" t="s">
        <v>228</v>
      </c>
      <c r="J175" t="s">
        <v>626</v>
      </c>
      <c r="K175" s="80" t="s">
        <v>770</v>
      </c>
      <c r="L175" t="s">
        <v>771</v>
      </c>
      <c r="M175" t="s">
        <v>36</v>
      </c>
      <c r="N175" t="str">
        <f t="shared" si="2"/>
        <v>APINbeKonshisha</v>
      </c>
    </row>
    <row r="176" spans="5:14" x14ac:dyDescent="0.35">
      <c r="E176" t="s">
        <v>772</v>
      </c>
      <c r="H176" t="s">
        <v>227</v>
      </c>
      <c r="I176" t="s">
        <v>228</v>
      </c>
      <c r="J176" t="s">
        <v>691</v>
      </c>
      <c r="K176" s="80" t="s">
        <v>773</v>
      </c>
      <c r="L176" t="s">
        <v>774</v>
      </c>
      <c r="M176" t="s">
        <v>36</v>
      </c>
      <c r="N176" t="str">
        <f t="shared" si="2"/>
        <v>APINbeKwande</v>
      </c>
    </row>
    <row r="177" spans="5:14" x14ac:dyDescent="0.35">
      <c r="E177" t="s">
        <v>775</v>
      </c>
      <c r="H177" t="s">
        <v>227</v>
      </c>
      <c r="I177" t="s">
        <v>228</v>
      </c>
      <c r="J177" t="s">
        <v>691</v>
      </c>
      <c r="K177" s="80" t="s">
        <v>776</v>
      </c>
      <c r="L177" t="s">
        <v>777</v>
      </c>
      <c r="M177" t="s">
        <v>36</v>
      </c>
      <c r="N177" t="str">
        <f t="shared" si="2"/>
        <v>APINbeKwande</v>
      </c>
    </row>
    <row r="178" spans="5:14" x14ac:dyDescent="0.35">
      <c r="E178" t="s">
        <v>778</v>
      </c>
      <c r="H178" t="s">
        <v>227</v>
      </c>
      <c r="I178" t="s">
        <v>228</v>
      </c>
      <c r="J178" t="s">
        <v>691</v>
      </c>
      <c r="K178" s="80" t="s">
        <v>779</v>
      </c>
      <c r="L178" t="s">
        <v>780</v>
      </c>
      <c r="M178" t="s">
        <v>36</v>
      </c>
      <c r="N178" t="str">
        <f t="shared" si="2"/>
        <v>APINbeKwande</v>
      </c>
    </row>
    <row r="179" spans="5:14" x14ac:dyDescent="0.35">
      <c r="E179" t="s">
        <v>781</v>
      </c>
      <c r="H179" t="s">
        <v>227</v>
      </c>
      <c r="I179" t="s">
        <v>228</v>
      </c>
      <c r="J179" t="s">
        <v>691</v>
      </c>
      <c r="K179" s="80" t="s">
        <v>782</v>
      </c>
      <c r="L179" t="s">
        <v>783</v>
      </c>
      <c r="M179" t="s">
        <v>36</v>
      </c>
      <c r="N179" t="str">
        <f t="shared" si="2"/>
        <v>APINbeKwande</v>
      </c>
    </row>
    <row r="180" spans="5:14" x14ac:dyDescent="0.35">
      <c r="E180" t="s">
        <v>784</v>
      </c>
      <c r="H180" t="s">
        <v>227</v>
      </c>
      <c r="I180" t="s">
        <v>228</v>
      </c>
      <c r="J180" t="s">
        <v>691</v>
      </c>
      <c r="K180" s="80" t="s">
        <v>785</v>
      </c>
      <c r="L180" t="s">
        <v>786</v>
      </c>
      <c r="M180" t="s">
        <v>36</v>
      </c>
      <c r="N180" t="str">
        <f t="shared" si="2"/>
        <v>APINbeKwande</v>
      </c>
    </row>
    <row r="181" spans="5:14" x14ac:dyDescent="0.35">
      <c r="E181" t="s">
        <v>787</v>
      </c>
      <c r="H181" t="s">
        <v>227</v>
      </c>
      <c r="I181" t="s">
        <v>228</v>
      </c>
      <c r="J181" t="s">
        <v>691</v>
      </c>
      <c r="K181" s="80" t="s">
        <v>788</v>
      </c>
      <c r="L181" t="s">
        <v>789</v>
      </c>
      <c r="M181" t="s">
        <v>36</v>
      </c>
      <c r="N181" t="str">
        <f t="shared" si="2"/>
        <v>APINbeKwande</v>
      </c>
    </row>
    <row r="182" spans="5:14" x14ac:dyDescent="0.35">
      <c r="E182" t="s">
        <v>790</v>
      </c>
      <c r="H182" t="s">
        <v>227</v>
      </c>
      <c r="I182" t="s">
        <v>228</v>
      </c>
      <c r="J182" t="s">
        <v>691</v>
      </c>
      <c r="K182" s="80" t="s">
        <v>791</v>
      </c>
      <c r="L182" t="s">
        <v>792</v>
      </c>
      <c r="M182" t="s">
        <v>36</v>
      </c>
      <c r="N182" t="str">
        <f t="shared" si="2"/>
        <v>APINbeKwande</v>
      </c>
    </row>
    <row r="183" spans="5:14" x14ac:dyDescent="0.35">
      <c r="E183" t="s">
        <v>793</v>
      </c>
      <c r="H183" t="s">
        <v>227</v>
      </c>
      <c r="I183" t="s">
        <v>228</v>
      </c>
      <c r="J183" t="s">
        <v>691</v>
      </c>
      <c r="K183" s="80" t="s">
        <v>794</v>
      </c>
      <c r="L183" t="s">
        <v>795</v>
      </c>
      <c r="M183" t="s">
        <v>36</v>
      </c>
      <c r="N183" t="str">
        <f t="shared" si="2"/>
        <v>APINbeKwande</v>
      </c>
    </row>
    <row r="184" spans="5:14" x14ac:dyDescent="0.35">
      <c r="E184" t="s">
        <v>796</v>
      </c>
      <c r="H184" t="s">
        <v>227</v>
      </c>
      <c r="I184" t="s">
        <v>228</v>
      </c>
      <c r="J184" t="s">
        <v>691</v>
      </c>
      <c r="K184" s="80" t="s">
        <v>797</v>
      </c>
      <c r="L184" t="s">
        <v>798</v>
      </c>
      <c r="M184" t="s">
        <v>36</v>
      </c>
      <c r="N184" t="str">
        <f t="shared" si="2"/>
        <v>APINbeKwande</v>
      </c>
    </row>
    <row r="185" spans="5:14" x14ac:dyDescent="0.35">
      <c r="E185" t="s">
        <v>799</v>
      </c>
      <c r="H185" t="s">
        <v>227</v>
      </c>
      <c r="I185" t="s">
        <v>228</v>
      </c>
      <c r="J185" t="s">
        <v>691</v>
      </c>
      <c r="K185" s="80" t="s">
        <v>800</v>
      </c>
      <c r="L185" t="s">
        <v>801</v>
      </c>
      <c r="M185" t="s">
        <v>36</v>
      </c>
      <c r="N185" t="str">
        <f t="shared" si="2"/>
        <v>APINbeKwande</v>
      </c>
    </row>
    <row r="186" spans="5:14" x14ac:dyDescent="0.35">
      <c r="E186" t="s">
        <v>802</v>
      </c>
      <c r="H186" t="s">
        <v>227</v>
      </c>
      <c r="I186" t="s">
        <v>228</v>
      </c>
      <c r="J186" t="s">
        <v>691</v>
      </c>
      <c r="K186" s="80" t="s">
        <v>803</v>
      </c>
      <c r="L186" t="s">
        <v>804</v>
      </c>
      <c r="M186" t="s">
        <v>36</v>
      </c>
      <c r="N186" t="str">
        <f t="shared" si="2"/>
        <v>APINbeKwande</v>
      </c>
    </row>
    <row r="187" spans="5:14" x14ac:dyDescent="0.35">
      <c r="E187" t="s">
        <v>805</v>
      </c>
      <c r="H187" t="s">
        <v>227</v>
      </c>
      <c r="I187" t="s">
        <v>228</v>
      </c>
      <c r="J187" t="s">
        <v>691</v>
      </c>
      <c r="K187" s="80" t="s">
        <v>806</v>
      </c>
      <c r="L187" t="s">
        <v>807</v>
      </c>
      <c r="M187" t="s">
        <v>36</v>
      </c>
      <c r="N187" t="str">
        <f t="shared" si="2"/>
        <v>APINbeKwande</v>
      </c>
    </row>
    <row r="188" spans="5:14" x14ac:dyDescent="0.35">
      <c r="E188" t="s">
        <v>808</v>
      </c>
      <c r="H188" t="s">
        <v>227</v>
      </c>
      <c r="I188" t="s">
        <v>228</v>
      </c>
      <c r="J188" t="s">
        <v>691</v>
      </c>
      <c r="K188" s="80" t="s">
        <v>809</v>
      </c>
      <c r="L188" t="s">
        <v>810</v>
      </c>
      <c r="M188" t="s">
        <v>36</v>
      </c>
      <c r="N188" t="str">
        <f t="shared" si="2"/>
        <v>APINbeKwande</v>
      </c>
    </row>
    <row r="189" spans="5:14" x14ac:dyDescent="0.35">
      <c r="E189" t="s">
        <v>811</v>
      </c>
      <c r="H189" t="s">
        <v>227</v>
      </c>
      <c r="I189" t="s">
        <v>228</v>
      </c>
      <c r="J189" t="s">
        <v>691</v>
      </c>
      <c r="K189" s="80" t="s">
        <v>812</v>
      </c>
      <c r="L189" t="s">
        <v>813</v>
      </c>
      <c r="M189" t="s">
        <v>36</v>
      </c>
      <c r="N189" t="str">
        <f t="shared" si="2"/>
        <v>APINbeKwande</v>
      </c>
    </row>
    <row r="190" spans="5:14" x14ac:dyDescent="0.35">
      <c r="E190" t="s">
        <v>814</v>
      </c>
      <c r="H190" t="s">
        <v>227</v>
      </c>
      <c r="I190" t="s">
        <v>228</v>
      </c>
      <c r="J190" t="s">
        <v>691</v>
      </c>
      <c r="K190" s="80" t="s">
        <v>815</v>
      </c>
      <c r="L190" t="s">
        <v>816</v>
      </c>
      <c r="M190" t="s">
        <v>36</v>
      </c>
      <c r="N190" t="str">
        <f t="shared" si="2"/>
        <v>APINbeKwande</v>
      </c>
    </row>
    <row r="191" spans="5:14" x14ac:dyDescent="0.35">
      <c r="E191" t="s">
        <v>817</v>
      </c>
      <c r="H191" t="s">
        <v>227</v>
      </c>
      <c r="I191" t="s">
        <v>228</v>
      </c>
      <c r="J191" t="s">
        <v>691</v>
      </c>
      <c r="K191" s="80" t="s">
        <v>818</v>
      </c>
      <c r="L191" t="s">
        <v>819</v>
      </c>
      <c r="M191" t="s">
        <v>36</v>
      </c>
      <c r="N191" t="str">
        <f t="shared" si="2"/>
        <v>APINbeKwande</v>
      </c>
    </row>
    <row r="192" spans="5:14" x14ac:dyDescent="0.35">
      <c r="E192" t="s">
        <v>820</v>
      </c>
      <c r="H192" t="s">
        <v>227</v>
      </c>
      <c r="I192" t="s">
        <v>228</v>
      </c>
      <c r="J192" t="s">
        <v>694</v>
      </c>
      <c r="K192" s="80" t="s">
        <v>821</v>
      </c>
      <c r="L192" t="s">
        <v>822</v>
      </c>
      <c r="M192" t="s">
        <v>36</v>
      </c>
      <c r="N192" t="str">
        <f t="shared" si="2"/>
        <v>APINbeLogo</v>
      </c>
    </row>
    <row r="193" spans="5:14" x14ac:dyDescent="0.35">
      <c r="E193" t="s">
        <v>823</v>
      </c>
      <c r="H193" t="s">
        <v>227</v>
      </c>
      <c r="I193" t="s">
        <v>228</v>
      </c>
      <c r="J193" t="s">
        <v>694</v>
      </c>
      <c r="K193" s="80" t="s">
        <v>824</v>
      </c>
      <c r="L193" t="s">
        <v>825</v>
      </c>
      <c r="M193" t="s">
        <v>36</v>
      </c>
      <c r="N193" t="str">
        <f t="shared" si="2"/>
        <v>APINbeLogo</v>
      </c>
    </row>
    <row r="194" spans="5:14" x14ac:dyDescent="0.35">
      <c r="E194" t="s">
        <v>826</v>
      </c>
      <c r="H194" t="s">
        <v>227</v>
      </c>
      <c r="I194" t="s">
        <v>228</v>
      </c>
      <c r="J194" t="s">
        <v>694</v>
      </c>
      <c r="K194" s="80" t="s">
        <v>827</v>
      </c>
      <c r="L194" t="s">
        <v>828</v>
      </c>
      <c r="M194" t="s">
        <v>36</v>
      </c>
      <c r="N194" t="str">
        <f t="shared" si="2"/>
        <v>APINbeLogo</v>
      </c>
    </row>
    <row r="195" spans="5:14" x14ac:dyDescent="0.35">
      <c r="E195" t="s">
        <v>829</v>
      </c>
      <c r="H195" t="s">
        <v>227</v>
      </c>
      <c r="I195" t="s">
        <v>228</v>
      </c>
      <c r="J195" t="s">
        <v>694</v>
      </c>
      <c r="K195" s="80" t="s">
        <v>830</v>
      </c>
      <c r="L195" t="s">
        <v>831</v>
      </c>
      <c r="M195" t="s">
        <v>36</v>
      </c>
      <c r="N195" t="str">
        <f t="shared" ref="N195:N258" si="3">SUBSTITUTE(SUBSTITUTE(M195&amp;J195," ",""),"-","")</f>
        <v>APINbeLogo</v>
      </c>
    </row>
    <row r="196" spans="5:14" x14ac:dyDescent="0.35">
      <c r="E196" t="s">
        <v>832</v>
      </c>
      <c r="H196" t="s">
        <v>227</v>
      </c>
      <c r="I196" t="s">
        <v>228</v>
      </c>
      <c r="J196" t="s">
        <v>694</v>
      </c>
      <c r="K196" s="80" t="s">
        <v>833</v>
      </c>
      <c r="L196" t="s">
        <v>834</v>
      </c>
      <c r="M196" t="s">
        <v>36</v>
      </c>
      <c r="N196" t="str">
        <f t="shared" si="3"/>
        <v>APINbeLogo</v>
      </c>
    </row>
    <row r="197" spans="5:14" x14ac:dyDescent="0.35">
      <c r="E197" t="s">
        <v>835</v>
      </c>
      <c r="H197" t="s">
        <v>227</v>
      </c>
      <c r="I197" t="s">
        <v>228</v>
      </c>
      <c r="J197" t="s">
        <v>694</v>
      </c>
      <c r="K197" s="80" t="s">
        <v>836</v>
      </c>
      <c r="L197" t="s">
        <v>837</v>
      </c>
      <c r="M197" t="s">
        <v>36</v>
      </c>
      <c r="N197" t="str">
        <f t="shared" si="3"/>
        <v>APINbeLogo</v>
      </c>
    </row>
    <row r="198" spans="5:14" x14ac:dyDescent="0.35">
      <c r="E198" t="s">
        <v>838</v>
      </c>
      <c r="H198" t="s">
        <v>227</v>
      </c>
      <c r="I198" t="s">
        <v>228</v>
      </c>
      <c r="J198" t="s">
        <v>694</v>
      </c>
      <c r="K198" s="80" t="s">
        <v>839</v>
      </c>
      <c r="L198" t="s">
        <v>840</v>
      </c>
      <c r="M198" t="s">
        <v>36</v>
      </c>
      <c r="N198" t="str">
        <f t="shared" si="3"/>
        <v>APINbeLogo</v>
      </c>
    </row>
    <row r="199" spans="5:14" x14ac:dyDescent="0.35">
      <c r="E199" t="s">
        <v>841</v>
      </c>
      <c r="H199" t="s">
        <v>227</v>
      </c>
      <c r="I199" t="s">
        <v>228</v>
      </c>
      <c r="J199" t="s">
        <v>694</v>
      </c>
      <c r="K199" s="80" t="s">
        <v>842</v>
      </c>
      <c r="L199" t="s">
        <v>843</v>
      </c>
      <c r="M199" t="s">
        <v>36</v>
      </c>
      <c r="N199" t="str">
        <f t="shared" si="3"/>
        <v>APINbeLogo</v>
      </c>
    </row>
    <row r="200" spans="5:14" x14ac:dyDescent="0.35">
      <c r="E200" t="s">
        <v>844</v>
      </c>
      <c r="H200" t="s">
        <v>227</v>
      </c>
      <c r="I200" t="s">
        <v>228</v>
      </c>
      <c r="J200" t="s">
        <v>694</v>
      </c>
      <c r="K200" s="80" t="s">
        <v>845</v>
      </c>
      <c r="L200" t="s">
        <v>846</v>
      </c>
      <c r="M200" t="s">
        <v>36</v>
      </c>
      <c r="N200" t="str">
        <f t="shared" si="3"/>
        <v>APINbeLogo</v>
      </c>
    </row>
    <row r="201" spans="5:14" x14ac:dyDescent="0.35">
      <c r="E201" t="s">
        <v>847</v>
      </c>
      <c r="H201" t="s">
        <v>227</v>
      </c>
      <c r="I201" t="s">
        <v>228</v>
      </c>
      <c r="J201" t="s">
        <v>694</v>
      </c>
      <c r="K201" s="80" t="s">
        <v>848</v>
      </c>
      <c r="L201" t="s">
        <v>849</v>
      </c>
      <c r="M201" t="s">
        <v>36</v>
      </c>
      <c r="N201" t="str">
        <f t="shared" si="3"/>
        <v>APINbeLogo</v>
      </c>
    </row>
    <row r="202" spans="5:14" x14ac:dyDescent="0.35">
      <c r="E202" t="s">
        <v>850</v>
      </c>
      <c r="H202" t="s">
        <v>227</v>
      </c>
      <c r="I202" t="s">
        <v>228</v>
      </c>
      <c r="J202" t="s">
        <v>694</v>
      </c>
      <c r="K202" s="80" t="s">
        <v>851</v>
      </c>
      <c r="L202" t="s">
        <v>852</v>
      </c>
      <c r="M202" t="s">
        <v>36</v>
      </c>
      <c r="N202" t="str">
        <f t="shared" si="3"/>
        <v>APINbeLogo</v>
      </c>
    </row>
    <row r="203" spans="5:14" x14ac:dyDescent="0.35">
      <c r="E203" t="s">
        <v>853</v>
      </c>
      <c r="H203" t="s">
        <v>227</v>
      </c>
      <c r="I203" t="s">
        <v>228</v>
      </c>
      <c r="J203" t="s">
        <v>694</v>
      </c>
      <c r="K203" s="80" t="s">
        <v>854</v>
      </c>
      <c r="L203" t="s">
        <v>855</v>
      </c>
      <c r="M203" t="s">
        <v>36</v>
      </c>
      <c r="N203" t="str">
        <f t="shared" si="3"/>
        <v>APINbeLogo</v>
      </c>
    </row>
    <row r="204" spans="5:14" x14ac:dyDescent="0.35">
      <c r="E204" t="s">
        <v>856</v>
      </c>
      <c r="H204" t="s">
        <v>227</v>
      </c>
      <c r="I204" t="s">
        <v>228</v>
      </c>
      <c r="J204" t="s">
        <v>694</v>
      </c>
      <c r="K204" s="80" t="s">
        <v>857</v>
      </c>
      <c r="L204" t="s">
        <v>858</v>
      </c>
      <c r="M204" t="s">
        <v>36</v>
      </c>
      <c r="N204" t="str">
        <f t="shared" si="3"/>
        <v>APINbeLogo</v>
      </c>
    </row>
    <row r="205" spans="5:14" x14ac:dyDescent="0.35">
      <c r="E205" t="s">
        <v>859</v>
      </c>
      <c r="H205" t="s">
        <v>227</v>
      </c>
      <c r="I205" t="s">
        <v>228</v>
      </c>
      <c r="J205" t="s">
        <v>694</v>
      </c>
      <c r="K205" s="80" t="s">
        <v>860</v>
      </c>
      <c r="L205" t="s">
        <v>861</v>
      </c>
      <c r="M205" t="s">
        <v>36</v>
      </c>
      <c r="N205" t="str">
        <f t="shared" si="3"/>
        <v>APINbeLogo</v>
      </c>
    </row>
    <row r="206" spans="5:14" x14ac:dyDescent="0.35">
      <c r="E206" t="s">
        <v>862</v>
      </c>
      <c r="H206" t="s">
        <v>227</v>
      </c>
      <c r="I206" t="s">
        <v>228</v>
      </c>
      <c r="J206" t="s">
        <v>694</v>
      </c>
      <c r="K206" s="80" t="s">
        <v>863</v>
      </c>
      <c r="L206" t="s">
        <v>864</v>
      </c>
      <c r="M206" t="s">
        <v>36</v>
      </c>
      <c r="N206" t="str">
        <f t="shared" si="3"/>
        <v>APINbeLogo</v>
      </c>
    </row>
    <row r="207" spans="5:14" x14ac:dyDescent="0.35">
      <c r="E207" t="s">
        <v>865</v>
      </c>
      <c r="H207" t="s">
        <v>227</v>
      </c>
      <c r="I207" t="s">
        <v>228</v>
      </c>
      <c r="J207" t="s">
        <v>694</v>
      </c>
      <c r="K207" s="80" t="s">
        <v>866</v>
      </c>
      <c r="L207" t="s">
        <v>867</v>
      </c>
      <c r="M207" t="s">
        <v>36</v>
      </c>
      <c r="N207" t="str">
        <f t="shared" si="3"/>
        <v>APINbeLogo</v>
      </c>
    </row>
    <row r="208" spans="5:14" x14ac:dyDescent="0.35">
      <c r="E208" t="s">
        <v>868</v>
      </c>
      <c r="H208" t="s">
        <v>227</v>
      </c>
      <c r="I208" t="s">
        <v>228</v>
      </c>
      <c r="J208" t="s">
        <v>694</v>
      </c>
      <c r="K208" s="80" t="s">
        <v>869</v>
      </c>
      <c r="L208" t="s">
        <v>870</v>
      </c>
      <c r="M208" t="s">
        <v>36</v>
      </c>
      <c r="N208" t="str">
        <f t="shared" si="3"/>
        <v>APINbeLogo</v>
      </c>
    </row>
    <row r="209" spans="5:14" x14ac:dyDescent="0.35">
      <c r="E209" t="s">
        <v>871</v>
      </c>
      <c r="H209" t="s">
        <v>227</v>
      </c>
      <c r="I209" t="s">
        <v>228</v>
      </c>
      <c r="J209" t="s">
        <v>694</v>
      </c>
      <c r="K209" s="80" t="s">
        <v>872</v>
      </c>
      <c r="L209" t="s">
        <v>873</v>
      </c>
      <c r="M209" t="s">
        <v>36</v>
      </c>
      <c r="N209" t="str">
        <f t="shared" si="3"/>
        <v>APINbeLogo</v>
      </c>
    </row>
    <row r="210" spans="5:14" x14ac:dyDescent="0.35">
      <c r="E210" t="s">
        <v>874</v>
      </c>
      <c r="H210" t="s">
        <v>227</v>
      </c>
      <c r="I210" t="s">
        <v>228</v>
      </c>
      <c r="J210" t="s">
        <v>694</v>
      </c>
      <c r="K210" s="80" t="s">
        <v>875</v>
      </c>
      <c r="L210" t="s">
        <v>876</v>
      </c>
      <c r="M210" t="s">
        <v>36</v>
      </c>
      <c r="N210" t="str">
        <f t="shared" si="3"/>
        <v>APINbeLogo</v>
      </c>
    </row>
    <row r="211" spans="5:14" x14ac:dyDescent="0.35">
      <c r="E211" t="s">
        <v>877</v>
      </c>
      <c r="H211" t="s">
        <v>227</v>
      </c>
      <c r="I211" t="s">
        <v>228</v>
      </c>
      <c r="J211" t="s">
        <v>694</v>
      </c>
      <c r="K211" s="80" t="s">
        <v>878</v>
      </c>
      <c r="L211" t="s">
        <v>879</v>
      </c>
      <c r="M211" t="s">
        <v>36</v>
      </c>
      <c r="N211" t="str">
        <f t="shared" si="3"/>
        <v>APINbeLogo</v>
      </c>
    </row>
    <row r="212" spans="5:14" x14ac:dyDescent="0.35">
      <c r="E212" t="s">
        <v>880</v>
      </c>
      <c r="H212" t="s">
        <v>227</v>
      </c>
      <c r="I212" t="s">
        <v>228</v>
      </c>
      <c r="J212" t="s">
        <v>694</v>
      </c>
      <c r="K212" s="80" t="s">
        <v>881</v>
      </c>
      <c r="L212" t="s">
        <v>882</v>
      </c>
      <c r="M212" t="s">
        <v>36</v>
      </c>
      <c r="N212" t="str">
        <f t="shared" si="3"/>
        <v>APINbeLogo</v>
      </c>
    </row>
    <row r="213" spans="5:14" x14ac:dyDescent="0.35">
      <c r="E213" t="s">
        <v>883</v>
      </c>
      <c r="H213" t="s">
        <v>227</v>
      </c>
      <c r="I213" t="s">
        <v>228</v>
      </c>
      <c r="J213" t="s">
        <v>694</v>
      </c>
      <c r="K213" s="80" t="s">
        <v>884</v>
      </c>
      <c r="L213" t="s">
        <v>885</v>
      </c>
      <c r="M213" t="s">
        <v>36</v>
      </c>
      <c r="N213" t="str">
        <f t="shared" si="3"/>
        <v>APINbeLogo</v>
      </c>
    </row>
    <row r="214" spans="5:14" x14ac:dyDescent="0.35">
      <c r="E214" t="s">
        <v>886</v>
      </c>
      <c r="H214" t="s">
        <v>227</v>
      </c>
      <c r="I214" t="s">
        <v>228</v>
      </c>
      <c r="J214" t="s">
        <v>694</v>
      </c>
      <c r="K214" s="80" t="s">
        <v>887</v>
      </c>
      <c r="L214" t="s">
        <v>888</v>
      </c>
      <c r="M214" t="s">
        <v>36</v>
      </c>
      <c r="N214" t="str">
        <f t="shared" si="3"/>
        <v>APINbeLogo</v>
      </c>
    </row>
    <row r="215" spans="5:14" x14ac:dyDescent="0.35">
      <c r="E215" t="s">
        <v>889</v>
      </c>
      <c r="H215" t="s">
        <v>227</v>
      </c>
      <c r="I215" t="s">
        <v>228</v>
      </c>
      <c r="J215" t="s">
        <v>694</v>
      </c>
      <c r="K215" s="80" t="s">
        <v>890</v>
      </c>
      <c r="L215" t="s">
        <v>891</v>
      </c>
      <c r="M215" t="s">
        <v>36</v>
      </c>
      <c r="N215" t="str">
        <f t="shared" si="3"/>
        <v>APINbeLogo</v>
      </c>
    </row>
    <row r="216" spans="5:14" x14ac:dyDescent="0.35">
      <c r="E216" t="s">
        <v>892</v>
      </c>
      <c r="H216" t="s">
        <v>227</v>
      </c>
      <c r="I216" t="s">
        <v>228</v>
      </c>
      <c r="J216" t="s">
        <v>694</v>
      </c>
      <c r="K216" s="80" t="s">
        <v>893</v>
      </c>
      <c r="L216" t="s">
        <v>894</v>
      </c>
      <c r="M216" t="s">
        <v>36</v>
      </c>
      <c r="N216" t="str">
        <f t="shared" si="3"/>
        <v>APINbeLogo</v>
      </c>
    </row>
    <row r="217" spans="5:14" x14ac:dyDescent="0.35">
      <c r="E217" t="s">
        <v>895</v>
      </c>
      <c r="H217" t="s">
        <v>227</v>
      </c>
      <c r="I217" t="s">
        <v>228</v>
      </c>
      <c r="J217" t="s">
        <v>694</v>
      </c>
      <c r="K217" s="80" t="s">
        <v>896</v>
      </c>
      <c r="L217" t="s">
        <v>897</v>
      </c>
      <c r="M217" t="s">
        <v>36</v>
      </c>
      <c r="N217" t="str">
        <f t="shared" si="3"/>
        <v>APINbeLogo</v>
      </c>
    </row>
    <row r="218" spans="5:14" x14ac:dyDescent="0.35">
      <c r="E218" t="s">
        <v>898</v>
      </c>
      <c r="H218" t="s">
        <v>227</v>
      </c>
      <c r="I218" t="s">
        <v>228</v>
      </c>
      <c r="J218" t="s">
        <v>694</v>
      </c>
      <c r="K218" s="80" t="s">
        <v>899</v>
      </c>
      <c r="L218" t="s">
        <v>900</v>
      </c>
      <c r="M218" t="s">
        <v>36</v>
      </c>
      <c r="N218" t="str">
        <f t="shared" si="3"/>
        <v>APINbeLogo</v>
      </c>
    </row>
    <row r="219" spans="5:14" x14ac:dyDescent="0.35">
      <c r="E219" t="s">
        <v>901</v>
      </c>
      <c r="H219" t="s">
        <v>227</v>
      </c>
      <c r="I219" t="s">
        <v>228</v>
      </c>
      <c r="J219" t="s">
        <v>694</v>
      </c>
      <c r="K219" s="80" t="s">
        <v>902</v>
      </c>
      <c r="L219" t="s">
        <v>903</v>
      </c>
      <c r="M219" t="s">
        <v>36</v>
      </c>
      <c r="N219" t="str">
        <f t="shared" si="3"/>
        <v>APINbeLogo</v>
      </c>
    </row>
    <row r="220" spans="5:14" x14ac:dyDescent="0.35">
      <c r="E220" t="s">
        <v>904</v>
      </c>
      <c r="H220" t="s">
        <v>227</v>
      </c>
      <c r="I220" t="s">
        <v>228</v>
      </c>
      <c r="J220" t="s">
        <v>694</v>
      </c>
      <c r="K220" s="80" t="s">
        <v>905</v>
      </c>
      <c r="L220" t="s">
        <v>906</v>
      </c>
      <c r="M220" t="s">
        <v>36</v>
      </c>
      <c r="N220" t="str">
        <f t="shared" si="3"/>
        <v>APINbeLogo</v>
      </c>
    </row>
    <row r="221" spans="5:14" x14ac:dyDescent="0.35">
      <c r="E221" t="s">
        <v>907</v>
      </c>
      <c r="H221" t="s">
        <v>227</v>
      </c>
      <c r="I221" t="s">
        <v>228</v>
      </c>
      <c r="J221" t="s">
        <v>694</v>
      </c>
      <c r="K221" s="80" t="s">
        <v>908</v>
      </c>
      <c r="L221" t="s">
        <v>909</v>
      </c>
      <c r="M221" t="s">
        <v>36</v>
      </c>
      <c r="N221" t="str">
        <f t="shared" si="3"/>
        <v>APINbeLogo</v>
      </c>
    </row>
    <row r="222" spans="5:14" x14ac:dyDescent="0.35">
      <c r="E222" t="s">
        <v>910</v>
      </c>
      <c r="H222" t="s">
        <v>227</v>
      </c>
      <c r="I222" t="s">
        <v>228</v>
      </c>
      <c r="J222" t="s">
        <v>694</v>
      </c>
      <c r="K222" s="80" t="s">
        <v>911</v>
      </c>
      <c r="L222" t="s">
        <v>912</v>
      </c>
      <c r="M222" t="s">
        <v>36</v>
      </c>
      <c r="N222" t="str">
        <f t="shared" si="3"/>
        <v>APINbeLogo</v>
      </c>
    </row>
    <row r="223" spans="5:14" x14ac:dyDescent="0.35">
      <c r="E223" t="s">
        <v>913</v>
      </c>
      <c r="H223" t="s">
        <v>227</v>
      </c>
      <c r="I223" t="s">
        <v>228</v>
      </c>
      <c r="J223" t="s">
        <v>694</v>
      </c>
      <c r="K223" s="80" t="s">
        <v>914</v>
      </c>
      <c r="L223" t="s">
        <v>915</v>
      </c>
      <c r="M223" t="s">
        <v>36</v>
      </c>
      <c r="N223" t="str">
        <f t="shared" si="3"/>
        <v>APINbeLogo</v>
      </c>
    </row>
    <row r="224" spans="5:14" x14ac:dyDescent="0.35">
      <c r="E224" t="s">
        <v>916</v>
      </c>
      <c r="H224" t="s">
        <v>227</v>
      </c>
      <c r="I224" t="s">
        <v>228</v>
      </c>
      <c r="J224" t="s">
        <v>694</v>
      </c>
      <c r="K224" s="80" t="s">
        <v>917</v>
      </c>
      <c r="L224" t="s">
        <v>918</v>
      </c>
      <c r="M224" t="s">
        <v>36</v>
      </c>
      <c r="N224" t="str">
        <f t="shared" si="3"/>
        <v>APINbeLogo</v>
      </c>
    </row>
    <row r="225" spans="5:14" x14ac:dyDescent="0.35">
      <c r="E225" t="s">
        <v>919</v>
      </c>
      <c r="H225" t="s">
        <v>227</v>
      </c>
      <c r="I225" t="s">
        <v>228</v>
      </c>
      <c r="J225" t="s">
        <v>694</v>
      </c>
      <c r="K225" s="80" t="s">
        <v>920</v>
      </c>
      <c r="L225" t="s">
        <v>921</v>
      </c>
      <c r="M225" t="s">
        <v>36</v>
      </c>
      <c r="N225" t="str">
        <f t="shared" si="3"/>
        <v>APINbeLogo</v>
      </c>
    </row>
    <row r="226" spans="5:14" x14ac:dyDescent="0.35">
      <c r="E226" t="s">
        <v>922</v>
      </c>
      <c r="H226" t="s">
        <v>227</v>
      </c>
      <c r="I226" t="s">
        <v>228</v>
      </c>
      <c r="J226" t="s">
        <v>694</v>
      </c>
      <c r="K226" s="80" t="s">
        <v>923</v>
      </c>
      <c r="L226" t="s">
        <v>924</v>
      </c>
      <c r="M226" t="s">
        <v>36</v>
      </c>
      <c r="N226" t="str">
        <f t="shared" si="3"/>
        <v>APINbeLogo</v>
      </c>
    </row>
    <row r="227" spans="5:14" x14ac:dyDescent="0.35">
      <c r="E227" t="s">
        <v>925</v>
      </c>
      <c r="H227" t="s">
        <v>227</v>
      </c>
      <c r="I227" t="s">
        <v>228</v>
      </c>
      <c r="J227" t="s">
        <v>697</v>
      </c>
      <c r="K227" s="80" t="s">
        <v>926</v>
      </c>
      <c r="L227" t="s">
        <v>927</v>
      </c>
      <c r="M227" t="s">
        <v>36</v>
      </c>
      <c r="N227" t="str">
        <f t="shared" si="3"/>
        <v>APINbeMakurdi</v>
      </c>
    </row>
    <row r="228" spans="5:14" x14ac:dyDescent="0.35">
      <c r="E228" t="s">
        <v>928</v>
      </c>
      <c r="H228" t="s">
        <v>227</v>
      </c>
      <c r="I228" t="s">
        <v>228</v>
      </c>
      <c r="J228" t="s">
        <v>697</v>
      </c>
      <c r="K228" s="80" t="s">
        <v>929</v>
      </c>
      <c r="L228" t="s">
        <v>930</v>
      </c>
      <c r="M228" t="s">
        <v>36</v>
      </c>
      <c r="N228" t="str">
        <f t="shared" si="3"/>
        <v>APINbeMakurdi</v>
      </c>
    </row>
    <row r="229" spans="5:14" x14ac:dyDescent="0.35">
      <c r="E229" t="s">
        <v>931</v>
      </c>
      <c r="H229" t="s">
        <v>227</v>
      </c>
      <c r="I229" t="s">
        <v>228</v>
      </c>
      <c r="J229" t="s">
        <v>697</v>
      </c>
      <c r="K229" s="80" t="s">
        <v>932</v>
      </c>
      <c r="L229" t="s">
        <v>933</v>
      </c>
      <c r="M229" t="s">
        <v>36</v>
      </c>
      <c r="N229" t="str">
        <f t="shared" si="3"/>
        <v>APINbeMakurdi</v>
      </c>
    </row>
    <row r="230" spans="5:14" x14ac:dyDescent="0.35">
      <c r="E230" t="s">
        <v>934</v>
      </c>
      <c r="H230" t="s">
        <v>227</v>
      </c>
      <c r="I230" t="s">
        <v>228</v>
      </c>
      <c r="J230" t="s">
        <v>697</v>
      </c>
      <c r="K230" s="80" t="s">
        <v>935</v>
      </c>
      <c r="L230" t="s">
        <v>936</v>
      </c>
      <c r="M230" t="s">
        <v>36</v>
      </c>
      <c r="N230" t="str">
        <f t="shared" si="3"/>
        <v>APINbeMakurdi</v>
      </c>
    </row>
    <row r="231" spans="5:14" x14ac:dyDescent="0.35">
      <c r="E231" t="s">
        <v>937</v>
      </c>
      <c r="H231" t="s">
        <v>227</v>
      </c>
      <c r="I231" t="s">
        <v>228</v>
      </c>
      <c r="J231" t="s">
        <v>697</v>
      </c>
      <c r="K231" s="80" t="s">
        <v>938</v>
      </c>
      <c r="L231" t="s">
        <v>939</v>
      </c>
      <c r="M231" t="s">
        <v>36</v>
      </c>
      <c r="N231" t="str">
        <f t="shared" si="3"/>
        <v>APINbeMakurdi</v>
      </c>
    </row>
    <row r="232" spans="5:14" x14ac:dyDescent="0.35">
      <c r="E232" t="s">
        <v>940</v>
      </c>
      <c r="H232" t="s">
        <v>227</v>
      </c>
      <c r="I232" t="s">
        <v>228</v>
      </c>
      <c r="J232" t="s">
        <v>697</v>
      </c>
      <c r="K232" s="80" t="s">
        <v>941</v>
      </c>
      <c r="L232" t="s">
        <v>942</v>
      </c>
      <c r="M232" t="s">
        <v>36</v>
      </c>
      <c r="N232" t="str">
        <f t="shared" si="3"/>
        <v>APINbeMakurdi</v>
      </c>
    </row>
    <row r="233" spans="5:14" x14ac:dyDescent="0.35">
      <c r="E233" t="s">
        <v>943</v>
      </c>
      <c r="H233" t="s">
        <v>227</v>
      </c>
      <c r="I233" t="s">
        <v>228</v>
      </c>
      <c r="J233" t="s">
        <v>697</v>
      </c>
      <c r="K233" s="80" t="s">
        <v>944</v>
      </c>
      <c r="L233" t="s">
        <v>945</v>
      </c>
      <c r="M233" t="s">
        <v>36</v>
      </c>
      <c r="N233" t="str">
        <f t="shared" si="3"/>
        <v>APINbeMakurdi</v>
      </c>
    </row>
    <row r="234" spans="5:14" x14ac:dyDescent="0.35">
      <c r="E234" t="s">
        <v>946</v>
      </c>
      <c r="H234" t="s">
        <v>227</v>
      </c>
      <c r="I234" t="s">
        <v>228</v>
      </c>
      <c r="J234" t="s">
        <v>697</v>
      </c>
      <c r="K234" s="80" t="s">
        <v>947</v>
      </c>
      <c r="L234" t="s">
        <v>948</v>
      </c>
      <c r="M234" t="s">
        <v>36</v>
      </c>
      <c r="N234" t="str">
        <f t="shared" si="3"/>
        <v>APINbeMakurdi</v>
      </c>
    </row>
    <row r="235" spans="5:14" x14ac:dyDescent="0.35">
      <c r="E235" t="s">
        <v>949</v>
      </c>
      <c r="H235" t="s">
        <v>227</v>
      </c>
      <c r="I235" t="s">
        <v>228</v>
      </c>
      <c r="J235" t="s">
        <v>697</v>
      </c>
      <c r="K235" s="80" t="s">
        <v>950</v>
      </c>
      <c r="L235" t="s">
        <v>951</v>
      </c>
      <c r="M235" t="s">
        <v>36</v>
      </c>
      <c r="N235" t="str">
        <f t="shared" si="3"/>
        <v>APINbeMakurdi</v>
      </c>
    </row>
    <row r="236" spans="5:14" x14ac:dyDescent="0.35">
      <c r="E236" t="s">
        <v>952</v>
      </c>
      <c r="H236" t="s">
        <v>227</v>
      </c>
      <c r="I236" t="s">
        <v>228</v>
      </c>
      <c r="J236" t="s">
        <v>697</v>
      </c>
      <c r="K236" s="80" t="s">
        <v>953</v>
      </c>
      <c r="L236" t="s">
        <v>954</v>
      </c>
      <c r="M236" t="s">
        <v>36</v>
      </c>
      <c r="N236" t="str">
        <f t="shared" si="3"/>
        <v>APINbeMakurdi</v>
      </c>
    </row>
    <row r="237" spans="5:14" x14ac:dyDescent="0.35">
      <c r="E237" t="s">
        <v>955</v>
      </c>
      <c r="H237" t="s">
        <v>227</v>
      </c>
      <c r="I237" t="s">
        <v>228</v>
      </c>
      <c r="J237" t="s">
        <v>697</v>
      </c>
      <c r="K237" s="80" t="s">
        <v>956</v>
      </c>
      <c r="L237" t="s">
        <v>957</v>
      </c>
      <c r="M237" t="s">
        <v>36</v>
      </c>
      <c r="N237" t="str">
        <f t="shared" si="3"/>
        <v>APINbeMakurdi</v>
      </c>
    </row>
    <row r="238" spans="5:14" x14ac:dyDescent="0.35">
      <c r="E238" t="s">
        <v>958</v>
      </c>
      <c r="H238" t="s">
        <v>227</v>
      </c>
      <c r="I238" t="s">
        <v>228</v>
      </c>
      <c r="J238" t="s">
        <v>697</v>
      </c>
      <c r="K238" s="80" t="s">
        <v>959</v>
      </c>
      <c r="L238" t="s">
        <v>960</v>
      </c>
      <c r="M238" t="s">
        <v>36</v>
      </c>
      <c r="N238" t="str">
        <f t="shared" si="3"/>
        <v>APINbeMakurdi</v>
      </c>
    </row>
    <row r="239" spans="5:14" x14ac:dyDescent="0.35">
      <c r="E239" t="s">
        <v>961</v>
      </c>
      <c r="H239" t="s">
        <v>227</v>
      </c>
      <c r="I239" t="s">
        <v>228</v>
      </c>
      <c r="J239" t="s">
        <v>697</v>
      </c>
      <c r="K239" s="80" t="s">
        <v>962</v>
      </c>
      <c r="L239" t="s">
        <v>963</v>
      </c>
      <c r="M239" t="s">
        <v>36</v>
      </c>
      <c r="N239" t="str">
        <f t="shared" si="3"/>
        <v>APINbeMakurdi</v>
      </c>
    </row>
    <row r="240" spans="5:14" x14ac:dyDescent="0.35">
      <c r="E240" t="s">
        <v>964</v>
      </c>
      <c r="H240" t="s">
        <v>227</v>
      </c>
      <c r="I240" t="s">
        <v>228</v>
      </c>
      <c r="J240" t="s">
        <v>697</v>
      </c>
      <c r="K240" s="80" t="s">
        <v>965</v>
      </c>
      <c r="L240" t="s">
        <v>966</v>
      </c>
      <c r="M240" t="s">
        <v>36</v>
      </c>
      <c r="N240" t="str">
        <f t="shared" si="3"/>
        <v>APINbeMakurdi</v>
      </c>
    </row>
    <row r="241" spans="5:14" x14ac:dyDescent="0.35">
      <c r="E241" t="s">
        <v>967</v>
      </c>
      <c r="H241" t="s">
        <v>227</v>
      </c>
      <c r="I241" t="s">
        <v>228</v>
      </c>
      <c r="J241" t="s">
        <v>697</v>
      </c>
      <c r="K241" s="80" t="s">
        <v>968</v>
      </c>
      <c r="L241" t="s">
        <v>969</v>
      </c>
      <c r="M241" t="s">
        <v>36</v>
      </c>
      <c r="N241" t="str">
        <f t="shared" si="3"/>
        <v>APINbeMakurdi</v>
      </c>
    </row>
    <row r="242" spans="5:14" x14ac:dyDescent="0.35">
      <c r="E242" t="s">
        <v>970</v>
      </c>
      <c r="H242" t="s">
        <v>227</v>
      </c>
      <c r="I242" t="s">
        <v>228</v>
      </c>
      <c r="J242" t="s">
        <v>697</v>
      </c>
      <c r="K242" s="80" t="s">
        <v>971</v>
      </c>
      <c r="L242" t="s">
        <v>972</v>
      </c>
      <c r="M242" t="s">
        <v>36</v>
      </c>
      <c r="N242" t="str">
        <f t="shared" si="3"/>
        <v>APINbeMakurdi</v>
      </c>
    </row>
    <row r="243" spans="5:14" x14ac:dyDescent="0.35">
      <c r="E243" t="s">
        <v>973</v>
      </c>
      <c r="H243" t="s">
        <v>227</v>
      </c>
      <c r="I243" t="s">
        <v>228</v>
      </c>
      <c r="J243" t="s">
        <v>697</v>
      </c>
      <c r="K243" s="80" t="s">
        <v>974</v>
      </c>
      <c r="L243" t="s">
        <v>975</v>
      </c>
      <c r="M243" t="s">
        <v>36</v>
      </c>
      <c r="N243" t="str">
        <f t="shared" si="3"/>
        <v>APINbeMakurdi</v>
      </c>
    </row>
    <row r="244" spans="5:14" x14ac:dyDescent="0.35">
      <c r="E244" t="s">
        <v>976</v>
      </c>
      <c r="H244" t="s">
        <v>227</v>
      </c>
      <c r="I244" t="s">
        <v>228</v>
      </c>
      <c r="J244" t="s">
        <v>697</v>
      </c>
      <c r="K244" s="80" t="s">
        <v>977</v>
      </c>
      <c r="L244" t="s">
        <v>978</v>
      </c>
      <c r="M244" t="s">
        <v>36</v>
      </c>
      <c r="N244" t="str">
        <f t="shared" si="3"/>
        <v>APINbeMakurdi</v>
      </c>
    </row>
    <row r="245" spans="5:14" x14ac:dyDescent="0.35">
      <c r="E245" t="s">
        <v>979</v>
      </c>
      <c r="H245" t="s">
        <v>227</v>
      </c>
      <c r="I245" t="s">
        <v>228</v>
      </c>
      <c r="J245" t="s">
        <v>697</v>
      </c>
      <c r="K245" s="80" t="s">
        <v>980</v>
      </c>
      <c r="L245" t="s">
        <v>981</v>
      </c>
      <c r="M245" t="s">
        <v>36</v>
      </c>
      <c r="N245" t="str">
        <f t="shared" si="3"/>
        <v>APINbeMakurdi</v>
      </c>
    </row>
    <row r="246" spans="5:14" x14ac:dyDescent="0.35">
      <c r="E246" t="s">
        <v>982</v>
      </c>
      <c r="H246" t="s">
        <v>227</v>
      </c>
      <c r="I246" t="s">
        <v>228</v>
      </c>
      <c r="J246" t="s">
        <v>697</v>
      </c>
      <c r="K246" s="80" t="s">
        <v>983</v>
      </c>
      <c r="L246" t="s">
        <v>984</v>
      </c>
      <c r="M246" t="s">
        <v>36</v>
      </c>
      <c r="N246" t="str">
        <f t="shared" si="3"/>
        <v>APINbeMakurdi</v>
      </c>
    </row>
    <row r="247" spans="5:14" x14ac:dyDescent="0.35">
      <c r="E247" t="s">
        <v>985</v>
      </c>
      <c r="H247" t="s">
        <v>227</v>
      </c>
      <c r="I247" t="s">
        <v>228</v>
      </c>
      <c r="J247" t="s">
        <v>697</v>
      </c>
      <c r="K247" s="80" t="s">
        <v>986</v>
      </c>
      <c r="L247" t="s">
        <v>987</v>
      </c>
      <c r="M247" t="s">
        <v>36</v>
      </c>
      <c r="N247" t="str">
        <f t="shared" si="3"/>
        <v>APINbeMakurdi</v>
      </c>
    </row>
    <row r="248" spans="5:14" x14ac:dyDescent="0.35">
      <c r="E248" t="s">
        <v>988</v>
      </c>
      <c r="H248" t="s">
        <v>227</v>
      </c>
      <c r="I248" t="s">
        <v>228</v>
      </c>
      <c r="J248" t="s">
        <v>697</v>
      </c>
      <c r="K248" s="80" t="s">
        <v>989</v>
      </c>
      <c r="L248" t="s">
        <v>990</v>
      </c>
      <c r="M248" t="s">
        <v>36</v>
      </c>
      <c r="N248" t="str">
        <f t="shared" si="3"/>
        <v>APINbeMakurdi</v>
      </c>
    </row>
    <row r="249" spans="5:14" x14ac:dyDescent="0.35">
      <c r="H249" t="s">
        <v>227</v>
      </c>
      <c r="I249" t="s">
        <v>228</v>
      </c>
      <c r="J249" t="s">
        <v>700</v>
      </c>
      <c r="K249" s="80" t="s">
        <v>991</v>
      </c>
      <c r="L249" t="s">
        <v>992</v>
      </c>
      <c r="M249" t="s">
        <v>36</v>
      </c>
      <c r="N249" t="str">
        <f t="shared" si="3"/>
        <v>APINbeObi</v>
      </c>
    </row>
    <row r="250" spans="5:14" x14ac:dyDescent="0.35">
      <c r="H250" t="s">
        <v>227</v>
      </c>
      <c r="I250" t="s">
        <v>228</v>
      </c>
      <c r="J250" t="s">
        <v>700</v>
      </c>
      <c r="K250" s="80" t="s">
        <v>993</v>
      </c>
      <c r="L250" t="s">
        <v>994</v>
      </c>
      <c r="M250" t="s">
        <v>36</v>
      </c>
      <c r="N250" t="str">
        <f t="shared" si="3"/>
        <v>APINbeObi</v>
      </c>
    </row>
    <row r="251" spans="5:14" x14ac:dyDescent="0.35">
      <c r="H251" t="s">
        <v>227</v>
      </c>
      <c r="I251" t="s">
        <v>228</v>
      </c>
      <c r="J251" t="s">
        <v>700</v>
      </c>
      <c r="K251" s="80" t="s">
        <v>995</v>
      </c>
      <c r="L251" t="s">
        <v>996</v>
      </c>
      <c r="M251" t="s">
        <v>36</v>
      </c>
      <c r="N251" t="str">
        <f t="shared" si="3"/>
        <v>APINbeObi</v>
      </c>
    </row>
    <row r="252" spans="5:14" x14ac:dyDescent="0.35">
      <c r="H252" t="s">
        <v>227</v>
      </c>
      <c r="I252" t="s">
        <v>228</v>
      </c>
      <c r="J252" t="s">
        <v>700</v>
      </c>
      <c r="K252" s="80" t="s">
        <v>997</v>
      </c>
      <c r="L252" t="s">
        <v>998</v>
      </c>
      <c r="M252" t="s">
        <v>36</v>
      </c>
      <c r="N252" t="str">
        <f t="shared" si="3"/>
        <v>APINbeObi</v>
      </c>
    </row>
    <row r="253" spans="5:14" x14ac:dyDescent="0.35">
      <c r="H253" t="s">
        <v>227</v>
      </c>
      <c r="I253" t="s">
        <v>228</v>
      </c>
      <c r="J253" t="s">
        <v>700</v>
      </c>
      <c r="K253" s="80" t="s">
        <v>999</v>
      </c>
      <c r="L253" t="s">
        <v>1000</v>
      </c>
      <c r="M253" t="s">
        <v>36</v>
      </c>
      <c r="N253" t="str">
        <f t="shared" si="3"/>
        <v>APINbeObi</v>
      </c>
    </row>
    <row r="254" spans="5:14" x14ac:dyDescent="0.35">
      <c r="H254" t="s">
        <v>227</v>
      </c>
      <c r="I254" t="s">
        <v>228</v>
      </c>
      <c r="J254" t="s">
        <v>703</v>
      </c>
      <c r="K254" s="80" t="s">
        <v>1001</v>
      </c>
      <c r="L254" t="s">
        <v>1002</v>
      </c>
      <c r="M254" t="s">
        <v>36</v>
      </c>
      <c r="N254" t="str">
        <f t="shared" si="3"/>
        <v>APINbeOgbadibo</v>
      </c>
    </row>
    <row r="255" spans="5:14" x14ac:dyDescent="0.35">
      <c r="H255" t="s">
        <v>227</v>
      </c>
      <c r="I255" t="s">
        <v>228</v>
      </c>
      <c r="J255" t="s">
        <v>706</v>
      </c>
      <c r="K255" s="80" t="s">
        <v>1003</v>
      </c>
      <c r="L255" t="s">
        <v>1004</v>
      </c>
      <c r="M255" t="s">
        <v>36</v>
      </c>
      <c r="N255" t="str">
        <f t="shared" si="3"/>
        <v>APINbeOhimini</v>
      </c>
    </row>
    <row r="256" spans="5:14" x14ac:dyDescent="0.35">
      <c r="H256" t="s">
        <v>227</v>
      </c>
      <c r="I256" t="s">
        <v>228</v>
      </c>
      <c r="J256" t="s">
        <v>706</v>
      </c>
      <c r="K256" s="80" t="s">
        <v>1005</v>
      </c>
      <c r="L256" t="s">
        <v>1006</v>
      </c>
      <c r="M256" t="s">
        <v>36</v>
      </c>
      <c r="N256" t="str">
        <f t="shared" si="3"/>
        <v>APINbeOhimini</v>
      </c>
    </row>
    <row r="257" spans="8:14" x14ac:dyDescent="0.35">
      <c r="H257" t="s">
        <v>227</v>
      </c>
      <c r="I257" t="s">
        <v>228</v>
      </c>
      <c r="J257" t="s">
        <v>709</v>
      </c>
      <c r="K257" s="80" t="s">
        <v>1007</v>
      </c>
      <c r="L257" t="s">
        <v>1008</v>
      </c>
      <c r="M257" t="s">
        <v>36</v>
      </c>
      <c r="N257" t="str">
        <f t="shared" si="3"/>
        <v>APINbeOju</v>
      </c>
    </row>
    <row r="258" spans="8:14" x14ac:dyDescent="0.35">
      <c r="H258" t="s">
        <v>227</v>
      </c>
      <c r="I258" t="s">
        <v>228</v>
      </c>
      <c r="J258" t="s">
        <v>709</v>
      </c>
      <c r="K258" s="80" t="s">
        <v>1009</v>
      </c>
      <c r="L258" t="s">
        <v>1010</v>
      </c>
      <c r="M258" t="s">
        <v>36</v>
      </c>
      <c r="N258" t="str">
        <f t="shared" si="3"/>
        <v>APINbeOju</v>
      </c>
    </row>
    <row r="259" spans="8:14" x14ac:dyDescent="0.35">
      <c r="H259" t="s">
        <v>227</v>
      </c>
      <c r="I259" t="s">
        <v>228</v>
      </c>
      <c r="J259" t="s">
        <v>712</v>
      </c>
      <c r="K259" s="80" t="s">
        <v>1011</v>
      </c>
      <c r="L259" t="s">
        <v>1012</v>
      </c>
      <c r="M259" t="s">
        <v>36</v>
      </c>
      <c r="N259" t="str">
        <f t="shared" ref="N259:N322" si="4">SUBSTITUTE(SUBSTITUTE(M259&amp;J259," ",""),"-","")</f>
        <v>APINbeOkpokwu</v>
      </c>
    </row>
    <row r="260" spans="8:14" x14ac:dyDescent="0.35">
      <c r="H260" t="s">
        <v>227</v>
      </c>
      <c r="I260" t="s">
        <v>228</v>
      </c>
      <c r="J260" t="s">
        <v>712</v>
      </c>
      <c r="K260" s="80" t="s">
        <v>1013</v>
      </c>
      <c r="L260" t="s">
        <v>1014</v>
      </c>
      <c r="M260" t="s">
        <v>36</v>
      </c>
      <c r="N260" t="str">
        <f t="shared" si="4"/>
        <v>APINbeOkpokwu</v>
      </c>
    </row>
    <row r="261" spans="8:14" x14ac:dyDescent="0.35">
      <c r="H261" t="s">
        <v>227</v>
      </c>
      <c r="I261" t="s">
        <v>228</v>
      </c>
      <c r="J261" t="s">
        <v>712</v>
      </c>
      <c r="K261" s="80" t="s">
        <v>1015</v>
      </c>
      <c r="L261" t="s">
        <v>1016</v>
      </c>
      <c r="M261" t="s">
        <v>36</v>
      </c>
      <c r="N261" t="str">
        <f t="shared" si="4"/>
        <v>APINbeOkpokwu</v>
      </c>
    </row>
    <row r="262" spans="8:14" x14ac:dyDescent="0.35">
      <c r="H262" t="s">
        <v>227</v>
      </c>
      <c r="I262" t="s">
        <v>228</v>
      </c>
      <c r="J262" t="s">
        <v>712</v>
      </c>
      <c r="K262" s="80" t="s">
        <v>1017</v>
      </c>
      <c r="L262" t="s">
        <v>1018</v>
      </c>
      <c r="M262" t="s">
        <v>36</v>
      </c>
      <c r="N262" t="str">
        <f t="shared" si="4"/>
        <v>APINbeOkpokwu</v>
      </c>
    </row>
    <row r="263" spans="8:14" x14ac:dyDescent="0.35">
      <c r="H263" t="s">
        <v>227</v>
      </c>
      <c r="I263" t="s">
        <v>228</v>
      </c>
      <c r="J263" t="s">
        <v>712</v>
      </c>
      <c r="K263" s="80" t="s">
        <v>1019</v>
      </c>
      <c r="L263" t="s">
        <v>1020</v>
      </c>
      <c r="M263" t="s">
        <v>36</v>
      </c>
      <c r="N263" t="str">
        <f t="shared" si="4"/>
        <v>APINbeOkpokwu</v>
      </c>
    </row>
    <row r="264" spans="8:14" x14ac:dyDescent="0.35">
      <c r="H264" t="s">
        <v>227</v>
      </c>
      <c r="I264" t="s">
        <v>228</v>
      </c>
      <c r="J264" t="s">
        <v>715</v>
      </c>
      <c r="K264" s="80" t="s">
        <v>1021</v>
      </c>
      <c r="L264" t="s">
        <v>1022</v>
      </c>
      <c r="M264" t="s">
        <v>36</v>
      </c>
      <c r="N264" t="str">
        <f t="shared" si="4"/>
        <v>APINbeOtukpo</v>
      </c>
    </row>
    <row r="265" spans="8:14" x14ac:dyDescent="0.35">
      <c r="H265" t="s">
        <v>227</v>
      </c>
      <c r="I265" t="s">
        <v>228</v>
      </c>
      <c r="J265" t="s">
        <v>715</v>
      </c>
      <c r="K265" s="80" t="s">
        <v>1023</v>
      </c>
      <c r="L265" t="s">
        <v>1024</v>
      </c>
      <c r="M265" t="s">
        <v>36</v>
      </c>
      <c r="N265" t="str">
        <f t="shared" si="4"/>
        <v>APINbeOtukpo</v>
      </c>
    </row>
    <row r="266" spans="8:14" x14ac:dyDescent="0.35">
      <c r="H266" t="s">
        <v>227</v>
      </c>
      <c r="I266" t="s">
        <v>228</v>
      </c>
      <c r="J266" t="s">
        <v>715</v>
      </c>
      <c r="K266" s="80" t="s">
        <v>1025</v>
      </c>
      <c r="L266" t="s">
        <v>1026</v>
      </c>
      <c r="M266" t="s">
        <v>36</v>
      </c>
      <c r="N266" t="str">
        <f t="shared" si="4"/>
        <v>APINbeOtukpo</v>
      </c>
    </row>
    <row r="267" spans="8:14" x14ac:dyDescent="0.35">
      <c r="H267" t="s">
        <v>227</v>
      </c>
      <c r="I267" t="s">
        <v>228</v>
      </c>
      <c r="J267" t="s">
        <v>715</v>
      </c>
      <c r="K267" s="80" t="s">
        <v>1027</v>
      </c>
      <c r="L267" t="s">
        <v>1028</v>
      </c>
      <c r="M267" t="s">
        <v>36</v>
      </c>
      <c r="N267" t="str">
        <f t="shared" si="4"/>
        <v>APINbeOtukpo</v>
      </c>
    </row>
    <row r="268" spans="8:14" x14ac:dyDescent="0.35">
      <c r="H268" t="s">
        <v>227</v>
      </c>
      <c r="I268" t="s">
        <v>228</v>
      </c>
      <c r="J268" t="s">
        <v>715</v>
      </c>
      <c r="K268" s="80" t="s">
        <v>1029</v>
      </c>
      <c r="L268" t="s">
        <v>1030</v>
      </c>
      <c r="M268" t="s">
        <v>36</v>
      </c>
      <c r="N268" t="str">
        <f t="shared" si="4"/>
        <v>APINbeOtukpo</v>
      </c>
    </row>
    <row r="269" spans="8:14" x14ac:dyDescent="0.35">
      <c r="H269" t="s">
        <v>227</v>
      </c>
      <c r="I269" t="s">
        <v>228</v>
      </c>
      <c r="J269" t="s">
        <v>715</v>
      </c>
      <c r="K269" s="80" t="s">
        <v>1031</v>
      </c>
      <c r="L269" t="s">
        <v>1032</v>
      </c>
      <c r="M269" t="s">
        <v>36</v>
      </c>
      <c r="N269" t="str">
        <f t="shared" si="4"/>
        <v>APINbeOtukpo</v>
      </c>
    </row>
    <row r="270" spans="8:14" x14ac:dyDescent="0.35">
      <c r="H270" t="s">
        <v>227</v>
      </c>
      <c r="I270" t="s">
        <v>228</v>
      </c>
      <c r="J270" t="s">
        <v>715</v>
      </c>
      <c r="K270" s="80" t="s">
        <v>1033</v>
      </c>
      <c r="L270" t="s">
        <v>1034</v>
      </c>
      <c r="M270" t="s">
        <v>36</v>
      </c>
      <c r="N270" t="str">
        <f t="shared" si="4"/>
        <v>APINbeOtukpo</v>
      </c>
    </row>
    <row r="271" spans="8:14" x14ac:dyDescent="0.35">
      <c r="H271" t="s">
        <v>227</v>
      </c>
      <c r="I271" t="s">
        <v>228</v>
      </c>
      <c r="J271" t="s">
        <v>715</v>
      </c>
      <c r="K271" s="80" t="s">
        <v>1035</v>
      </c>
      <c r="L271" t="s">
        <v>1036</v>
      </c>
      <c r="M271" t="s">
        <v>36</v>
      </c>
      <c r="N271" t="str">
        <f t="shared" si="4"/>
        <v>APINbeOtukpo</v>
      </c>
    </row>
    <row r="272" spans="8:14" x14ac:dyDescent="0.35">
      <c r="H272" t="s">
        <v>227</v>
      </c>
      <c r="I272" t="s">
        <v>228</v>
      </c>
      <c r="J272" t="s">
        <v>715</v>
      </c>
      <c r="K272" s="80" t="s">
        <v>1037</v>
      </c>
      <c r="L272" t="s">
        <v>1038</v>
      </c>
      <c r="M272" t="s">
        <v>36</v>
      </c>
      <c r="N272" t="str">
        <f t="shared" si="4"/>
        <v>APINbeOtukpo</v>
      </c>
    </row>
    <row r="273" spans="8:14" x14ac:dyDescent="0.35">
      <c r="H273" t="s">
        <v>227</v>
      </c>
      <c r="I273" t="s">
        <v>228</v>
      </c>
      <c r="J273" t="s">
        <v>715</v>
      </c>
      <c r="K273" s="80" t="s">
        <v>1039</v>
      </c>
      <c r="L273" t="s">
        <v>1040</v>
      </c>
      <c r="M273" t="s">
        <v>36</v>
      </c>
      <c r="N273" t="str">
        <f t="shared" si="4"/>
        <v>APINbeOtukpo</v>
      </c>
    </row>
    <row r="274" spans="8:14" x14ac:dyDescent="0.35">
      <c r="H274" t="s">
        <v>227</v>
      </c>
      <c r="I274" t="s">
        <v>228</v>
      </c>
      <c r="J274" t="s">
        <v>715</v>
      </c>
      <c r="K274" s="80" t="s">
        <v>1041</v>
      </c>
      <c r="L274" t="s">
        <v>1042</v>
      </c>
      <c r="M274" t="s">
        <v>36</v>
      </c>
      <c r="N274" t="str">
        <f t="shared" si="4"/>
        <v>APINbeOtukpo</v>
      </c>
    </row>
    <row r="275" spans="8:14" x14ac:dyDescent="0.35">
      <c r="H275" t="s">
        <v>227</v>
      </c>
      <c r="I275" t="s">
        <v>228</v>
      </c>
      <c r="J275" t="s">
        <v>718</v>
      </c>
      <c r="K275" s="80" t="s">
        <v>1043</v>
      </c>
      <c r="L275" t="s">
        <v>1044</v>
      </c>
      <c r="M275" t="s">
        <v>36</v>
      </c>
      <c r="N275" t="str">
        <f t="shared" si="4"/>
        <v>APINbeTarka</v>
      </c>
    </row>
    <row r="276" spans="8:14" x14ac:dyDescent="0.35">
      <c r="H276" t="s">
        <v>227</v>
      </c>
      <c r="I276" t="s">
        <v>228</v>
      </c>
      <c r="J276" t="s">
        <v>718</v>
      </c>
      <c r="K276" s="80" t="s">
        <v>1045</v>
      </c>
      <c r="L276" t="s">
        <v>1046</v>
      </c>
      <c r="M276" t="s">
        <v>36</v>
      </c>
      <c r="N276" t="str">
        <f t="shared" si="4"/>
        <v>APINbeTarka</v>
      </c>
    </row>
    <row r="277" spans="8:14" x14ac:dyDescent="0.35">
      <c r="H277" t="s">
        <v>227</v>
      </c>
      <c r="I277" t="s">
        <v>228</v>
      </c>
      <c r="J277" t="s">
        <v>718</v>
      </c>
      <c r="K277" s="80" t="s">
        <v>1047</v>
      </c>
      <c r="L277" t="s">
        <v>1048</v>
      </c>
      <c r="M277" t="s">
        <v>36</v>
      </c>
      <c r="N277" t="str">
        <f t="shared" si="4"/>
        <v>APINbeTarka</v>
      </c>
    </row>
    <row r="278" spans="8:14" x14ac:dyDescent="0.35">
      <c r="H278" t="s">
        <v>227</v>
      </c>
      <c r="I278" t="s">
        <v>228</v>
      </c>
      <c r="J278" t="s">
        <v>718</v>
      </c>
      <c r="K278" s="80" t="s">
        <v>1049</v>
      </c>
      <c r="L278" t="s">
        <v>1050</v>
      </c>
      <c r="M278" t="s">
        <v>36</v>
      </c>
      <c r="N278" t="str">
        <f t="shared" si="4"/>
        <v>APINbeTarka</v>
      </c>
    </row>
    <row r="279" spans="8:14" x14ac:dyDescent="0.35">
      <c r="H279" t="s">
        <v>227</v>
      </c>
      <c r="I279" t="s">
        <v>228</v>
      </c>
      <c r="J279" t="s">
        <v>718</v>
      </c>
      <c r="K279" s="80" t="s">
        <v>1051</v>
      </c>
      <c r="L279" t="s">
        <v>1052</v>
      </c>
      <c r="M279" t="s">
        <v>36</v>
      </c>
      <c r="N279" t="str">
        <f t="shared" si="4"/>
        <v>APINbeTarka</v>
      </c>
    </row>
    <row r="280" spans="8:14" x14ac:dyDescent="0.35">
      <c r="H280" t="s">
        <v>227</v>
      </c>
      <c r="I280" t="s">
        <v>228</v>
      </c>
      <c r="J280" t="s">
        <v>718</v>
      </c>
      <c r="K280" s="80" t="s">
        <v>1053</v>
      </c>
      <c r="L280" t="s">
        <v>1054</v>
      </c>
      <c r="M280" t="s">
        <v>36</v>
      </c>
      <c r="N280" t="str">
        <f t="shared" si="4"/>
        <v>APINbeTarka</v>
      </c>
    </row>
    <row r="281" spans="8:14" x14ac:dyDescent="0.35">
      <c r="H281" t="s">
        <v>227</v>
      </c>
      <c r="I281" t="s">
        <v>228</v>
      </c>
      <c r="J281" t="s">
        <v>718</v>
      </c>
      <c r="K281" s="80" t="s">
        <v>1055</v>
      </c>
      <c r="L281" t="s">
        <v>1056</v>
      </c>
      <c r="M281" t="s">
        <v>36</v>
      </c>
      <c r="N281" t="str">
        <f t="shared" si="4"/>
        <v>APINbeTarka</v>
      </c>
    </row>
    <row r="282" spans="8:14" x14ac:dyDescent="0.35">
      <c r="H282" t="s">
        <v>227</v>
      </c>
      <c r="I282" t="s">
        <v>228</v>
      </c>
      <c r="J282" t="s">
        <v>718</v>
      </c>
      <c r="K282" s="80" t="s">
        <v>1057</v>
      </c>
      <c r="L282" t="s">
        <v>1058</v>
      </c>
      <c r="M282" t="s">
        <v>36</v>
      </c>
      <c r="N282" t="str">
        <f t="shared" si="4"/>
        <v>APINbeTarka</v>
      </c>
    </row>
    <row r="283" spans="8:14" x14ac:dyDescent="0.35">
      <c r="H283" t="s">
        <v>227</v>
      </c>
      <c r="I283" t="s">
        <v>228</v>
      </c>
      <c r="J283" t="s">
        <v>718</v>
      </c>
      <c r="K283" s="80" t="s">
        <v>1059</v>
      </c>
      <c r="L283" t="s">
        <v>1060</v>
      </c>
      <c r="M283" t="s">
        <v>36</v>
      </c>
      <c r="N283" t="str">
        <f t="shared" si="4"/>
        <v>APINbeTarka</v>
      </c>
    </row>
    <row r="284" spans="8:14" x14ac:dyDescent="0.35">
      <c r="H284" t="s">
        <v>227</v>
      </c>
      <c r="I284" t="s">
        <v>228</v>
      </c>
      <c r="J284" t="s">
        <v>718</v>
      </c>
      <c r="K284" s="80" t="s">
        <v>1061</v>
      </c>
      <c r="L284" t="s">
        <v>1062</v>
      </c>
      <c r="M284" t="s">
        <v>36</v>
      </c>
      <c r="N284" t="str">
        <f t="shared" si="4"/>
        <v>APINbeTarka</v>
      </c>
    </row>
    <row r="285" spans="8:14" x14ac:dyDescent="0.35">
      <c r="H285" t="s">
        <v>227</v>
      </c>
      <c r="I285" t="s">
        <v>228</v>
      </c>
      <c r="J285" t="s">
        <v>718</v>
      </c>
      <c r="K285" s="80" t="s">
        <v>1063</v>
      </c>
      <c r="L285" t="s">
        <v>1064</v>
      </c>
      <c r="M285" t="s">
        <v>36</v>
      </c>
      <c r="N285" t="str">
        <f t="shared" si="4"/>
        <v>APINbeTarka</v>
      </c>
    </row>
    <row r="286" spans="8:14" x14ac:dyDescent="0.35">
      <c r="H286" t="s">
        <v>227</v>
      </c>
      <c r="I286" t="s">
        <v>228</v>
      </c>
      <c r="J286" t="s">
        <v>718</v>
      </c>
      <c r="K286" s="80" t="s">
        <v>1065</v>
      </c>
      <c r="L286" t="s">
        <v>1066</v>
      </c>
      <c r="M286" t="s">
        <v>36</v>
      </c>
      <c r="N286" t="str">
        <f t="shared" si="4"/>
        <v>APINbeTarka</v>
      </c>
    </row>
    <row r="287" spans="8:14" x14ac:dyDescent="0.35">
      <c r="H287" t="s">
        <v>227</v>
      </c>
      <c r="I287" t="s">
        <v>228</v>
      </c>
      <c r="J287" t="s">
        <v>718</v>
      </c>
      <c r="K287" s="80" t="s">
        <v>1067</v>
      </c>
      <c r="L287" t="s">
        <v>1068</v>
      </c>
      <c r="M287" t="s">
        <v>36</v>
      </c>
      <c r="N287" t="str">
        <f t="shared" si="4"/>
        <v>APINbeTarka</v>
      </c>
    </row>
    <row r="288" spans="8:14" x14ac:dyDescent="0.35">
      <c r="H288" t="s">
        <v>227</v>
      </c>
      <c r="I288" t="s">
        <v>228</v>
      </c>
      <c r="J288" t="s">
        <v>718</v>
      </c>
      <c r="K288" s="80" t="s">
        <v>1069</v>
      </c>
      <c r="L288" t="s">
        <v>1070</v>
      </c>
      <c r="M288" t="s">
        <v>36</v>
      </c>
      <c r="N288" t="str">
        <f t="shared" si="4"/>
        <v>APINbeTarka</v>
      </c>
    </row>
    <row r="289" spans="8:14" x14ac:dyDescent="0.35">
      <c r="H289" t="s">
        <v>227</v>
      </c>
      <c r="I289" t="s">
        <v>228</v>
      </c>
      <c r="J289" t="s">
        <v>718</v>
      </c>
      <c r="K289" s="80" t="s">
        <v>1071</v>
      </c>
      <c r="L289" t="s">
        <v>1072</v>
      </c>
      <c r="M289" t="s">
        <v>36</v>
      </c>
      <c r="N289" t="str">
        <f t="shared" si="4"/>
        <v>APINbeTarka</v>
      </c>
    </row>
    <row r="290" spans="8:14" x14ac:dyDescent="0.35">
      <c r="H290" t="s">
        <v>227</v>
      </c>
      <c r="I290" t="s">
        <v>228</v>
      </c>
      <c r="J290" t="s">
        <v>718</v>
      </c>
      <c r="K290" s="80" t="s">
        <v>1073</v>
      </c>
      <c r="L290" t="s">
        <v>1074</v>
      </c>
      <c r="M290" t="s">
        <v>36</v>
      </c>
      <c r="N290" t="str">
        <f t="shared" si="4"/>
        <v>APINbeTarka</v>
      </c>
    </row>
    <row r="291" spans="8:14" x14ac:dyDescent="0.35">
      <c r="H291" t="s">
        <v>227</v>
      </c>
      <c r="I291" t="s">
        <v>228</v>
      </c>
      <c r="J291" t="s">
        <v>718</v>
      </c>
      <c r="K291" s="80" t="s">
        <v>1075</v>
      </c>
      <c r="L291" t="s">
        <v>1076</v>
      </c>
      <c r="M291" t="s">
        <v>36</v>
      </c>
      <c r="N291" t="str">
        <f t="shared" si="4"/>
        <v>APINbeTarka</v>
      </c>
    </row>
    <row r="292" spans="8:14" x14ac:dyDescent="0.35">
      <c r="H292" t="s">
        <v>227</v>
      </c>
      <c r="I292" t="s">
        <v>228</v>
      </c>
      <c r="J292" t="s">
        <v>718</v>
      </c>
      <c r="K292" s="80" t="s">
        <v>1077</v>
      </c>
      <c r="L292" t="s">
        <v>1078</v>
      </c>
      <c r="M292" t="s">
        <v>36</v>
      </c>
      <c r="N292" t="str">
        <f t="shared" si="4"/>
        <v>APINbeTarka</v>
      </c>
    </row>
    <row r="293" spans="8:14" x14ac:dyDescent="0.35">
      <c r="H293" t="s">
        <v>227</v>
      </c>
      <c r="I293" t="s">
        <v>228</v>
      </c>
      <c r="J293" t="s">
        <v>718</v>
      </c>
      <c r="K293" s="80" t="s">
        <v>1079</v>
      </c>
      <c r="L293" t="s">
        <v>1080</v>
      </c>
      <c r="M293" t="s">
        <v>36</v>
      </c>
      <c r="N293" t="str">
        <f t="shared" si="4"/>
        <v>APINbeTarka</v>
      </c>
    </row>
    <row r="294" spans="8:14" x14ac:dyDescent="0.35">
      <c r="H294" t="s">
        <v>227</v>
      </c>
      <c r="I294" t="s">
        <v>228</v>
      </c>
      <c r="J294" t="s">
        <v>718</v>
      </c>
      <c r="K294" s="80" t="s">
        <v>1081</v>
      </c>
      <c r="L294" t="s">
        <v>1082</v>
      </c>
      <c r="M294" t="s">
        <v>36</v>
      </c>
      <c r="N294" t="str">
        <f t="shared" si="4"/>
        <v>APINbeTarka</v>
      </c>
    </row>
    <row r="295" spans="8:14" x14ac:dyDescent="0.35">
      <c r="H295" t="s">
        <v>227</v>
      </c>
      <c r="I295" t="s">
        <v>228</v>
      </c>
      <c r="J295" t="s">
        <v>718</v>
      </c>
      <c r="K295" s="80" t="s">
        <v>1083</v>
      </c>
      <c r="L295" t="s">
        <v>1084</v>
      </c>
      <c r="M295" t="s">
        <v>36</v>
      </c>
      <c r="N295" t="str">
        <f t="shared" si="4"/>
        <v>APINbeTarka</v>
      </c>
    </row>
    <row r="296" spans="8:14" x14ac:dyDescent="0.35">
      <c r="H296" t="s">
        <v>227</v>
      </c>
      <c r="I296" t="s">
        <v>228</v>
      </c>
      <c r="J296" t="s">
        <v>718</v>
      </c>
      <c r="K296" s="80" t="s">
        <v>1085</v>
      </c>
      <c r="L296" t="s">
        <v>1086</v>
      </c>
      <c r="M296" t="s">
        <v>36</v>
      </c>
      <c r="N296" t="str">
        <f t="shared" si="4"/>
        <v>APINbeTarka</v>
      </c>
    </row>
    <row r="297" spans="8:14" x14ac:dyDescent="0.35">
      <c r="H297" t="s">
        <v>227</v>
      </c>
      <c r="I297" t="s">
        <v>228</v>
      </c>
      <c r="J297" t="s">
        <v>721</v>
      </c>
      <c r="K297" s="80" t="s">
        <v>1087</v>
      </c>
      <c r="L297" t="s">
        <v>1088</v>
      </c>
      <c r="M297" t="s">
        <v>36</v>
      </c>
      <c r="N297" t="str">
        <f t="shared" si="4"/>
        <v>APINbeUkum</v>
      </c>
    </row>
    <row r="298" spans="8:14" x14ac:dyDescent="0.35">
      <c r="H298" t="s">
        <v>227</v>
      </c>
      <c r="I298" t="s">
        <v>228</v>
      </c>
      <c r="J298" t="s">
        <v>721</v>
      </c>
      <c r="K298" s="80" t="s">
        <v>1089</v>
      </c>
      <c r="L298" t="s">
        <v>1090</v>
      </c>
      <c r="M298" t="s">
        <v>36</v>
      </c>
      <c r="N298" t="str">
        <f t="shared" si="4"/>
        <v>APINbeUkum</v>
      </c>
    </row>
    <row r="299" spans="8:14" x14ac:dyDescent="0.35">
      <c r="H299" t="s">
        <v>227</v>
      </c>
      <c r="I299" t="s">
        <v>228</v>
      </c>
      <c r="J299" t="s">
        <v>721</v>
      </c>
      <c r="K299" s="80" t="s">
        <v>1091</v>
      </c>
      <c r="L299" t="s">
        <v>1092</v>
      </c>
      <c r="M299" t="s">
        <v>36</v>
      </c>
      <c r="N299" t="str">
        <f t="shared" si="4"/>
        <v>APINbeUkum</v>
      </c>
    </row>
    <row r="300" spans="8:14" x14ac:dyDescent="0.35">
      <c r="H300" t="s">
        <v>227</v>
      </c>
      <c r="I300" t="s">
        <v>228</v>
      </c>
      <c r="J300" t="s">
        <v>721</v>
      </c>
      <c r="K300" s="80" t="s">
        <v>1093</v>
      </c>
      <c r="L300" t="s">
        <v>1094</v>
      </c>
      <c r="M300" t="s">
        <v>36</v>
      </c>
      <c r="N300" t="str">
        <f t="shared" si="4"/>
        <v>APINbeUkum</v>
      </c>
    </row>
    <row r="301" spans="8:14" x14ac:dyDescent="0.35">
      <c r="H301" t="s">
        <v>227</v>
      </c>
      <c r="I301" t="s">
        <v>228</v>
      </c>
      <c r="J301" t="s">
        <v>721</v>
      </c>
      <c r="K301" s="80" t="s">
        <v>1095</v>
      </c>
      <c r="L301" t="s">
        <v>1096</v>
      </c>
      <c r="M301" t="s">
        <v>36</v>
      </c>
      <c r="N301" t="str">
        <f t="shared" si="4"/>
        <v>APINbeUkum</v>
      </c>
    </row>
    <row r="302" spans="8:14" x14ac:dyDescent="0.35">
      <c r="H302" t="s">
        <v>227</v>
      </c>
      <c r="I302" t="s">
        <v>228</v>
      </c>
      <c r="J302" t="s">
        <v>721</v>
      </c>
      <c r="K302" s="80" t="s">
        <v>1097</v>
      </c>
      <c r="L302" t="s">
        <v>1098</v>
      </c>
      <c r="M302" t="s">
        <v>36</v>
      </c>
      <c r="N302" t="str">
        <f t="shared" si="4"/>
        <v>APINbeUkum</v>
      </c>
    </row>
    <row r="303" spans="8:14" x14ac:dyDescent="0.35">
      <c r="H303" t="s">
        <v>227</v>
      </c>
      <c r="I303" t="s">
        <v>228</v>
      </c>
      <c r="J303" t="s">
        <v>721</v>
      </c>
      <c r="K303" s="80" t="s">
        <v>1099</v>
      </c>
      <c r="L303" t="s">
        <v>1100</v>
      </c>
      <c r="M303" t="s">
        <v>36</v>
      </c>
      <c r="N303" t="str">
        <f t="shared" si="4"/>
        <v>APINbeUkum</v>
      </c>
    </row>
    <row r="304" spans="8:14" x14ac:dyDescent="0.35">
      <c r="H304" t="s">
        <v>227</v>
      </c>
      <c r="I304" t="s">
        <v>228</v>
      </c>
      <c r="J304" t="s">
        <v>721</v>
      </c>
      <c r="K304" s="80" t="s">
        <v>1101</v>
      </c>
      <c r="L304" t="s">
        <v>1102</v>
      </c>
      <c r="M304" t="s">
        <v>36</v>
      </c>
      <c r="N304" t="str">
        <f t="shared" si="4"/>
        <v>APINbeUkum</v>
      </c>
    </row>
    <row r="305" spans="8:14" x14ac:dyDescent="0.35">
      <c r="H305" t="s">
        <v>227</v>
      </c>
      <c r="I305" t="s">
        <v>228</v>
      </c>
      <c r="J305" t="s">
        <v>721</v>
      </c>
      <c r="K305" s="80" t="s">
        <v>1103</v>
      </c>
      <c r="L305" t="s">
        <v>1104</v>
      </c>
      <c r="M305" t="s">
        <v>36</v>
      </c>
      <c r="N305" t="str">
        <f t="shared" si="4"/>
        <v>APINbeUkum</v>
      </c>
    </row>
    <row r="306" spans="8:14" x14ac:dyDescent="0.35">
      <c r="H306" t="s">
        <v>227</v>
      </c>
      <c r="I306" t="s">
        <v>228</v>
      </c>
      <c r="J306" t="s">
        <v>721</v>
      </c>
      <c r="K306" s="80" t="s">
        <v>1105</v>
      </c>
      <c r="L306" t="s">
        <v>1106</v>
      </c>
      <c r="M306" t="s">
        <v>36</v>
      </c>
      <c r="N306" t="str">
        <f t="shared" si="4"/>
        <v>APINbeUkum</v>
      </c>
    </row>
    <row r="307" spans="8:14" x14ac:dyDescent="0.35">
      <c r="H307" t="s">
        <v>227</v>
      </c>
      <c r="I307" t="s">
        <v>228</v>
      </c>
      <c r="J307" t="s">
        <v>721</v>
      </c>
      <c r="K307" s="80" t="s">
        <v>1107</v>
      </c>
      <c r="L307" t="s">
        <v>1108</v>
      </c>
      <c r="M307" t="s">
        <v>36</v>
      </c>
      <c r="N307" t="str">
        <f t="shared" si="4"/>
        <v>APINbeUkum</v>
      </c>
    </row>
    <row r="308" spans="8:14" x14ac:dyDescent="0.35">
      <c r="H308" t="s">
        <v>227</v>
      </c>
      <c r="I308" t="s">
        <v>228</v>
      </c>
      <c r="J308" t="s">
        <v>721</v>
      </c>
      <c r="K308" s="80" t="s">
        <v>1109</v>
      </c>
      <c r="L308" t="s">
        <v>1110</v>
      </c>
      <c r="M308" t="s">
        <v>36</v>
      </c>
      <c r="N308" t="str">
        <f t="shared" si="4"/>
        <v>APINbeUkum</v>
      </c>
    </row>
    <row r="309" spans="8:14" x14ac:dyDescent="0.35">
      <c r="H309" t="s">
        <v>227</v>
      </c>
      <c r="I309" t="s">
        <v>228</v>
      </c>
      <c r="J309" t="s">
        <v>721</v>
      </c>
      <c r="K309" s="80" t="s">
        <v>1111</v>
      </c>
      <c r="L309" t="s">
        <v>1112</v>
      </c>
      <c r="M309" t="s">
        <v>36</v>
      </c>
      <c r="N309" t="str">
        <f t="shared" si="4"/>
        <v>APINbeUkum</v>
      </c>
    </row>
    <row r="310" spans="8:14" x14ac:dyDescent="0.35">
      <c r="H310" t="s">
        <v>227</v>
      </c>
      <c r="I310" t="s">
        <v>228</v>
      </c>
      <c r="J310" t="s">
        <v>721</v>
      </c>
      <c r="K310" s="80" t="s">
        <v>1113</v>
      </c>
      <c r="L310" t="s">
        <v>1114</v>
      </c>
      <c r="M310" t="s">
        <v>36</v>
      </c>
      <c r="N310" t="str">
        <f t="shared" si="4"/>
        <v>APINbeUkum</v>
      </c>
    </row>
    <row r="311" spans="8:14" x14ac:dyDescent="0.35">
      <c r="H311" t="s">
        <v>227</v>
      </c>
      <c r="I311" t="s">
        <v>228</v>
      </c>
      <c r="J311" t="s">
        <v>721</v>
      </c>
      <c r="K311" s="80" t="s">
        <v>1115</v>
      </c>
      <c r="L311" t="s">
        <v>1116</v>
      </c>
      <c r="M311" t="s">
        <v>36</v>
      </c>
      <c r="N311" t="str">
        <f t="shared" si="4"/>
        <v>APINbeUkum</v>
      </c>
    </row>
    <row r="312" spans="8:14" x14ac:dyDescent="0.35">
      <c r="H312" t="s">
        <v>227</v>
      </c>
      <c r="I312" t="s">
        <v>228</v>
      </c>
      <c r="J312" t="s">
        <v>721</v>
      </c>
      <c r="K312" s="80" t="s">
        <v>1117</v>
      </c>
      <c r="L312" t="s">
        <v>1118</v>
      </c>
      <c r="M312" t="s">
        <v>36</v>
      </c>
      <c r="N312" t="str">
        <f t="shared" si="4"/>
        <v>APINbeUkum</v>
      </c>
    </row>
    <row r="313" spans="8:14" x14ac:dyDescent="0.35">
      <c r="H313" t="s">
        <v>227</v>
      </c>
      <c r="I313" t="s">
        <v>228</v>
      </c>
      <c r="J313" t="s">
        <v>721</v>
      </c>
      <c r="K313" s="80" t="s">
        <v>1119</v>
      </c>
      <c r="L313" t="s">
        <v>1120</v>
      </c>
      <c r="M313" t="s">
        <v>36</v>
      </c>
      <c r="N313" t="str">
        <f t="shared" si="4"/>
        <v>APINbeUkum</v>
      </c>
    </row>
    <row r="314" spans="8:14" x14ac:dyDescent="0.35">
      <c r="H314" t="s">
        <v>227</v>
      </c>
      <c r="I314" t="s">
        <v>228</v>
      </c>
      <c r="J314" t="s">
        <v>721</v>
      </c>
      <c r="K314" s="80" t="s">
        <v>1121</v>
      </c>
      <c r="L314" t="s">
        <v>1122</v>
      </c>
      <c r="M314" t="s">
        <v>36</v>
      </c>
      <c r="N314" t="str">
        <f t="shared" si="4"/>
        <v>APINbeUkum</v>
      </c>
    </row>
    <row r="315" spans="8:14" x14ac:dyDescent="0.35">
      <c r="H315" t="s">
        <v>227</v>
      </c>
      <c r="I315" t="s">
        <v>228</v>
      </c>
      <c r="J315" t="s">
        <v>721</v>
      </c>
      <c r="K315" s="80" t="s">
        <v>1123</v>
      </c>
      <c r="L315" t="s">
        <v>1124</v>
      </c>
      <c r="M315" t="s">
        <v>36</v>
      </c>
      <c r="N315" t="str">
        <f t="shared" si="4"/>
        <v>APINbeUkum</v>
      </c>
    </row>
    <row r="316" spans="8:14" x14ac:dyDescent="0.35">
      <c r="H316" t="s">
        <v>227</v>
      </c>
      <c r="I316" t="s">
        <v>228</v>
      </c>
      <c r="J316" t="s">
        <v>724</v>
      </c>
      <c r="K316" s="80" t="s">
        <v>1125</v>
      </c>
      <c r="L316" t="s">
        <v>1126</v>
      </c>
      <c r="M316" t="s">
        <v>36</v>
      </c>
      <c r="N316" t="str">
        <f t="shared" si="4"/>
        <v>APINbeUshongo</v>
      </c>
    </row>
    <row r="317" spans="8:14" x14ac:dyDescent="0.35">
      <c r="H317" t="s">
        <v>227</v>
      </c>
      <c r="I317" t="s">
        <v>228</v>
      </c>
      <c r="J317" t="s">
        <v>724</v>
      </c>
      <c r="K317" s="80" t="s">
        <v>1127</v>
      </c>
      <c r="L317" t="s">
        <v>1128</v>
      </c>
      <c r="M317" t="s">
        <v>36</v>
      </c>
      <c r="N317" t="str">
        <f t="shared" si="4"/>
        <v>APINbeUshongo</v>
      </c>
    </row>
    <row r="318" spans="8:14" x14ac:dyDescent="0.35">
      <c r="H318" t="s">
        <v>227</v>
      </c>
      <c r="I318" t="s">
        <v>228</v>
      </c>
      <c r="J318" t="s">
        <v>724</v>
      </c>
      <c r="K318" s="80" t="s">
        <v>1129</v>
      </c>
      <c r="L318" t="s">
        <v>1130</v>
      </c>
      <c r="M318" t="s">
        <v>36</v>
      </c>
      <c r="N318" t="str">
        <f t="shared" si="4"/>
        <v>APINbeUshongo</v>
      </c>
    </row>
    <row r="319" spans="8:14" x14ac:dyDescent="0.35">
      <c r="H319" t="s">
        <v>227</v>
      </c>
      <c r="I319" t="s">
        <v>228</v>
      </c>
      <c r="J319" t="s">
        <v>724</v>
      </c>
      <c r="K319" s="80" t="s">
        <v>1131</v>
      </c>
      <c r="L319" t="s">
        <v>1132</v>
      </c>
      <c r="M319" t="s">
        <v>36</v>
      </c>
      <c r="N319" t="str">
        <f t="shared" si="4"/>
        <v>APINbeUshongo</v>
      </c>
    </row>
    <row r="320" spans="8:14" x14ac:dyDescent="0.35">
      <c r="H320" t="s">
        <v>227</v>
      </c>
      <c r="I320" t="s">
        <v>228</v>
      </c>
      <c r="J320" t="s">
        <v>724</v>
      </c>
      <c r="K320" s="80" t="s">
        <v>1133</v>
      </c>
      <c r="L320" t="s">
        <v>1134</v>
      </c>
      <c r="M320" t="s">
        <v>36</v>
      </c>
      <c r="N320" t="str">
        <f t="shared" si="4"/>
        <v>APINbeUshongo</v>
      </c>
    </row>
    <row r="321" spans="8:14" x14ac:dyDescent="0.35">
      <c r="H321" t="s">
        <v>227</v>
      </c>
      <c r="I321" t="s">
        <v>228</v>
      </c>
      <c r="J321" t="s">
        <v>724</v>
      </c>
      <c r="K321" s="80" t="s">
        <v>1135</v>
      </c>
      <c r="L321" t="s">
        <v>1136</v>
      </c>
      <c r="M321" t="s">
        <v>36</v>
      </c>
      <c r="N321" t="str">
        <f t="shared" si="4"/>
        <v>APINbeUshongo</v>
      </c>
    </row>
    <row r="322" spans="8:14" x14ac:dyDescent="0.35">
      <c r="H322" t="s">
        <v>227</v>
      </c>
      <c r="I322" t="s">
        <v>228</v>
      </c>
      <c r="J322" t="s">
        <v>724</v>
      </c>
      <c r="K322" s="80" t="s">
        <v>1137</v>
      </c>
      <c r="L322" t="s">
        <v>1138</v>
      </c>
      <c r="M322" t="s">
        <v>36</v>
      </c>
      <c r="N322" t="str">
        <f t="shared" si="4"/>
        <v>APINbeUshongo</v>
      </c>
    </row>
    <row r="323" spans="8:14" x14ac:dyDescent="0.35">
      <c r="H323" t="s">
        <v>227</v>
      </c>
      <c r="I323" t="s">
        <v>228</v>
      </c>
      <c r="J323" t="s">
        <v>724</v>
      </c>
      <c r="K323" s="80" t="s">
        <v>1139</v>
      </c>
      <c r="L323" t="s">
        <v>1140</v>
      </c>
      <c r="M323" t="s">
        <v>36</v>
      </c>
      <c r="N323" t="str">
        <f t="shared" ref="N323:N386" si="5">SUBSTITUTE(SUBSTITUTE(M323&amp;J323," ",""),"-","")</f>
        <v>APINbeUshongo</v>
      </c>
    </row>
    <row r="324" spans="8:14" x14ac:dyDescent="0.35">
      <c r="H324" t="s">
        <v>227</v>
      </c>
      <c r="I324" t="s">
        <v>228</v>
      </c>
      <c r="J324" t="s">
        <v>724</v>
      </c>
      <c r="K324" s="80" t="s">
        <v>1141</v>
      </c>
      <c r="L324" t="s">
        <v>1142</v>
      </c>
      <c r="M324" t="s">
        <v>36</v>
      </c>
      <c r="N324" t="str">
        <f t="shared" si="5"/>
        <v>APINbeUshongo</v>
      </c>
    </row>
    <row r="325" spans="8:14" x14ac:dyDescent="0.35">
      <c r="H325" t="s">
        <v>227</v>
      </c>
      <c r="I325" t="s">
        <v>228</v>
      </c>
      <c r="J325" t="s">
        <v>724</v>
      </c>
      <c r="K325" s="80" t="s">
        <v>1143</v>
      </c>
      <c r="L325" t="s">
        <v>1144</v>
      </c>
      <c r="M325" t="s">
        <v>36</v>
      </c>
      <c r="N325" t="str">
        <f t="shared" si="5"/>
        <v>APINbeUshongo</v>
      </c>
    </row>
    <row r="326" spans="8:14" x14ac:dyDescent="0.35">
      <c r="H326" t="s">
        <v>227</v>
      </c>
      <c r="I326" t="s">
        <v>228</v>
      </c>
      <c r="J326" t="s">
        <v>724</v>
      </c>
      <c r="K326" s="80" t="s">
        <v>403</v>
      </c>
      <c r="L326" t="s">
        <v>1145</v>
      </c>
      <c r="M326" t="s">
        <v>36</v>
      </c>
      <c r="N326" t="str">
        <f t="shared" si="5"/>
        <v>APINbeUshongo</v>
      </c>
    </row>
    <row r="327" spans="8:14" x14ac:dyDescent="0.35">
      <c r="H327" t="s">
        <v>227</v>
      </c>
      <c r="I327" t="s">
        <v>228</v>
      </c>
      <c r="J327" t="s">
        <v>724</v>
      </c>
      <c r="K327" s="80" t="s">
        <v>1146</v>
      </c>
      <c r="L327" t="s">
        <v>1147</v>
      </c>
      <c r="M327" t="s">
        <v>36</v>
      </c>
      <c r="N327" t="str">
        <f t="shared" si="5"/>
        <v>APINbeUshongo</v>
      </c>
    </row>
    <row r="328" spans="8:14" x14ac:dyDescent="0.35">
      <c r="H328" t="s">
        <v>227</v>
      </c>
      <c r="I328" t="s">
        <v>228</v>
      </c>
      <c r="J328" t="s">
        <v>724</v>
      </c>
      <c r="K328" s="80" t="s">
        <v>1148</v>
      </c>
      <c r="L328" t="s">
        <v>1149</v>
      </c>
      <c r="M328" t="s">
        <v>36</v>
      </c>
      <c r="N328" t="str">
        <f t="shared" si="5"/>
        <v>APINbeUshongo</v>
      </c>
    </row>
    <row r="329" spans="8:14" x14ac:dyDescent="0.35">
      <c r="H329" t="s">
        <v>227</v>
      </c>
      <c r="I329" t="s">
        <v>228</v>
      </c>
      <c r="J329" t="s">
        <v>724</v>
      </c>
      <c r="K329" s="80" t="s">
        <v>1150</v>
      </c>
      <c r="L329" t="s">
        <v>1151</v>
      </c>
      <c r="M329" t="s">
        <v>36</v>
      </c>
      <c r="N329" t="str">
        <f t="shared" si="5"/>
        <v>APINbeUshongo</v>
      </c>
    </row>
    <row r="330" spans="8:14" x14ac:dyDescent="0.35">
      <c r="H330" t="s">
        <v>227</v>
      </c>
      <c r="I330" t="s">
        <v>228</v>
      </c>
      <c r="J330" t="s">
        <v>724</v>
      </c>
      <c r="K330" s="80" t="s">
        <v>1152</v>
      </c>
      <c r="L330" t="s">
        <v>1153</v>
      </c>
      <c r="M330" t="s">
        <v>36</v>
      </c>
      <c r="N330" t="str">
        <f t="shared" si="5"/>
        <v>APINbeUshongo</v>
      </c>
    </row>
    <row r="331" spans="8:14" x14ac:dyDescent="0.35">
      <c r="H331" t="s">
        <v>227</v>
      </c>
      <c r="I331" t="s">
        <v>228</v>
      </c>
      <c r="J331" t="s">
        <v>724</v>
      </c>
      <c r="K331" s="80" t="s">
        <v>1154</v>
      </c>
      <c r="L331" t="s">
        <v>1155</v>
      </c>
      <c r="M331" t="s">
        <v>36</v>
      </c>
      <c r="N331" t="str">
        <f t="shared" si="5"/>
        <v>APINbeUshongo</v>
      </c>
    </row>
    <row r="332" spans="8:14" x14ac:dyDescent="0.35">
      <c r="H332" t="s">
        <v>227</v>
      </c>
      <c r="I332" t="s">
        <v>228</v>
      </c>
      <c r="J332" t="s">
        <v>724</v>
      </c>
      <c r="K332" s="80" t="s">
        <v>1156</v>
      </c>
      <c r="L332" t="s">
        <v>1157</v>
      </c>
      <c r="M332" t="s">
        <v>36</v>
      </c>
      <c r="N332" t="str">
        <f t="shared" si="5"/>
        <v>APINbeUshongo</v>
      </c>
    </row>
    <row r="333" spans="8:14" x14ac:dyDescent="0.35">
      <c r="H333" t="s">
        <v>227</v>
      </c>
      <c r="I333" t="s">
        <v>228</v>
      </c>
      <c r="J333" t="s">
        <v>724</v>
      </c>
      <c r="K333" s="80" t="s">
        <v>1158</v>
      </c>
      <c r="L333" t="s">
        <v>1159</v>
      </c>
      <c r="M333" t="s">
        <v>36</v>
      </c>
      <c r="N333" t="str">
        <f t="shared" si="5"/>
        <v>APINbeUshongo</v>
      </c>
    </row>
    <row r="334" spans="8:14" x14ac:dyDescent="0.35">
      <c r="H334" t="s">
        <v>227</v>
      </c>
      <c r="I334" t="s">
        <v>228</v>
      </c>
      <c r="J334" t="s">
        <v>724</v>
      </c>
      <c r="K334" s="80" t="s">
        <v>1160</v>
      </c>
      <c r="L334" t="s">
        <v>1161</v>
      </c>
      <c r="M334" t="s">
        <v>36</v>
      </c>
      <c r="N334" t="str">
        <f t="shared" si="5"/>
        <v>APINbeUshongo</v>
      </c>
    </row>
    <row r="335" spans="8:14" x14ac:dyDescent="0.35">
      <c r="H335" t="s">
        <v>227</v>
      </c>
      <c r="I335" t="s">
        <v>228</v>
      </c>
      <c r="J335" t="s">
        <v>724</v>
      </c>
      <c r="K335" s="80" t="s">
        <v>1162</v>
      </c>
      <c r="L335" t="s">
        <v>1163</v>
      </c>
      <c r="M335" t="s">
        <v>36</v>
      </c>
      <c r="N335" t="str">
        <f t="shared" si="5"/>
        <v>APINbeUshongo</v>
      </c>
    </row>
    <row r="336" spans="8:14" x14ac:dyDescent="0.35">
      <c r="H336" t="s">
        <v>227</v>
      </c>
      <c r="I336" t="s">
        <v>228</v>
      </c>
      <c r="J336" t="s">
        <v>724</v>
      </c>
      <c r="K336" s="80" t="s">
        <v>1164</v>
      </c>
      <c r="L336" t="s">
        <v>1165</v>
      </c>
      <c r="M336" t="s">
        <v>36</v>
      </c>
      <c r="N336" t="str">
        <f t="shared" si="5"/>
        <v>APINbeUshongo</v>
      </c>
    </row>
    <row r="337" spans="8:14" x14ac:dyDescent="0.35">
      <c r="H337" t="s">
        <v>227</v>
      </c>
      <c r="I337" t="s">
        <v>228</v>
      </c>
      <c r="J337" t="s">
        <v>724</v>
      </c>
      <c r="K337" s="80" t="s">
        <v>1166</v>
      </c>
      <c r="L337" t="s">
        <v>1167</v>
      </c>
      <c r="M337" t="s">
        <v>36</v>
      </c>
      <c r="N337" t="str">
        <f t="shared" si="5"/>
        <v>APINbeUshongo</v>
      </c>
    </row>
    <row r="338" spans="8:14" x14ac:dyDescent="0.35">
      <c r="H338" t="s">
        <v>227</v>
      </c>
      <c r="I338" t="s">
        <v>228</v>
      </c>
      <c r="J338" t="s">
        <v>724</v>
      </c>
      <c r="K338" s="80" t="s">
        <v>1168</v>
      </c>
      <c r="L338" t="s">
        <v>1169</v>
      </c>
      <c r="M338" t="s">
        <v>36</v>
      </c>
      <c r="N338" t="str">
        <f t="shared" si="5"/>
        <v>APINbeUshongo</v>
      </c>
    </row>
    <row r="339" spans="8:14" x14ac:dyDescent="0.35">
      <c r="H339" t="s">
        <v>227</v>
      </c>
      <c r="I339" t="s">
        <v>228</v>
      </c>
      <c r="J339" t="s">
        <v>724</v>
      </c>
      <c r="K339" s="80" t="s">
        <v>1170</v>
      </c>
      <c r="L339" t="s">
        <v>1171</v>
      </c>
      <c r="M339" t="s">
        <v>36</v>
      </c>
      <c r="N339" t="str">
        <f t="shared" si="5"/>
        <v>APINbeUshongo</v>
      </c>
    </row>
    <row r="340" spans="8:14" x14ac:dyDescent="0.35">
      <c r="H340" t="s">
        <v>227</v>
      </c>
      <c r="I340" t="s">
        <v>228</v>
      </c>
      <c r="J340" t="s">
        <v>724</v>
      </c>
      <c r="K340" s="80" t="s">
        <v>1172</v>
      </c>
      <c r="L340" t="s">
        <v>1173</v>
      </c>
      <c r="M340" t="s">
        <v>36</v>
      </c>
      <c r="N340" t="str">
        <f t="shared" si="5"/>
        <v>APINbeUshongo</v>
      </c>
    </row>
    <row r="341" spans="8:14" x14ac:dyDescent="0.35">
      <c r="H341" t="s">
        <v>227</v>
      </c>
      <c r="I341" t="s">
        <v>228</v>
      </c>
      <c r="J341" t="s">
        <v>724</v>
      </c>
      <c r="K341" s="80" t="s">
        <v>1174</v>
      </c>
      <c r="L341" t="s">
        <v>1175</v>
      </c>
      <c r="M341" t="s">
        <v>36</v>
      </c>
      <c r="N341" t="str">
        <f t="shared" si="5"/>
        <v>APINbeUshongo</v>
      </c>
    </row>
    <row r="342" spans="8:14" x14ac:dyDescent="0.35">
      <c r="H342" t="s">
        <v>227</v>
      </c>
      <c r="I342" t="s">
        <v>228</v>
      </c>
      <c r="J342" t="s">
        <v>724</v>
      </c>
      <c r="K342" s="80" t="s">
        <v>1176</v>
      </c>
      <c r="L342" t="s">
        <v>1177</v>
      </c>
      <c r="M342" t="s">
        <v>36</v>
      </c>
      <c r="N342" t="str">
        <f t="shared" si="5"/>
        <v>APINbeUshongo</v>
      </c>
    </row>
    <row r="343" spans="8:14" x14ac:dyDescent="0.35">
      <c r="H343" t="s">
        <v>227</v>
      </c>
      <c r="I343" t="s">
        <v>228</v>
      </c>
      <c r="J343" t="s">
        <v>724</v>
      </c>
      <c r="K343" s="80" t="s">
        <v>1178</v>
      </c>
      <c r="L343" t="s">
        <v>1179</v>
      </c>
      <c r="M343" t="s">
        <v>36</v>
      </c>
      <c r="N343" t="str">
        <f t="shared" si="5"/>
        <v>APINbeUshongo</v>
      </c>
    </row>
    <row r="344" spans="8:14" x14ac:dyDescent="0.35">
      <c r="H344" t="s">
        <v>227</v>
      </c>
      <c r="I344" t="s">
        <v>228</v>
      </c>
      <c r="J344" t="s">
        <v>724</v>
      </c>
      <c r="K344" s="80" t="s">
        <v>1180</v>
      </c>
      <c r="L344" t="s">
        <v>1181</v>
      </c>
      <c r="M344" t="s">
        <v>36</v>
      </c>
      <c r="N344" t="str">
        <f t="shared" si="5"/>
        <v>APINbeUshongo</v>
      </c>
    </row>
    <row r="345" spans="8:14" x14ac:dyDescent="0.35">
      <c r="H345" t="s">
        <v>227</v>
      </c>
      <c r="I345" t="s">
        <v>228</v>
      </c>
      <c r="J345" t="s">
        <v>724</v>
      </c>
      <c r="K345" s="80" t="s">
        <v>1182</v>
      </c>
      <c r="L345" t="s">
        <v>1183</v>
      </c>
      <c r="M345" t="s">
        <v>36</v>
      </c>
      <c r="N345" t="str">
        <f t="shared" si="5"/>
        <v>APINbeUshongo</v>
      </c>
    </row>
    <row r="346" spans="8:14" x14ac:dyDescent="0.35">
      <c r="H346" t="s">
        <v>227</v>
      </c>
      <c r="I346" t="s">
        <v>228</v>
      </c>
      <c r="J346" t="s">
        <v>724</v>
      </c>
      <c r="K346" s="80" t="s">
        <v>1184</v>
      </c>
      <c r="L346" t="s">
        <v>1185</v>
      </c>
      <c r="M346" t="s">
        <v>36</v>
      </c>
      <c r="N346" t="str">
        <f t="shared" si="5"/>
        <v>APINbeUshongo</v>
      </c>
    </row>
    <row r="347" spans="8:14" x14ac:dyDescent="0.35">
      <c r="H347" t="s">
        <v>227</v>
      </c>
      <c r="I347" t="s">
        <v>228</v>
      </c>
      <c r="J347" t="s">
        <v>724</v>
      </c>
      <c r="K347" s="80" t="s">
        <v>1186</v>
      </c>
      <c r="L347" t="s">
        <v>1187</v>
      </c>
      <c r="M347" t="s">
        <v>36</v>
      </c>
      <c r="N347" t="str">
        <f t="shared" si="5"/>
        <v>APINbeUshongo</v>
      </c>
    </row>
    <row r="348" spans="8:14" x14ac:dyDescent="0.35">
      <c r="H348" t="s">
        <v>227</v>
      </c>
      <c r="I348" t="s">
        <v>228</v>
      </c>
      <c r="J348" t="s">
        <v>724</v>
      </c>
      <c r="K348" s="80" t="s">
        <v>1188</v>
      </c>
      <c r="L348" t="s">
        <v>1189</v>
      </c>
      <c r="M348" t="s">
        <v>36</v>
      </c>
      <c r="N348" t="str">
        <f t="shared" si="5"/>
        <v>APINbeUshongo</v>
      </c>
    </row>
    <row r="349" spans="8:14" x14ac:dyDescent="0.35">
      <c r="H349" t="s">
        <v>227</v>
      </c>
      <c r="I349" t="s">
        <v>228</v>
      </c>
      <c r="J349" t="s">
        <v>724</v>
      </c>
      <c r="K349" s="80" t="s">
        <v>1190</v>
      </c>
      <c r="L349" t="s">
        <v>1191</v>
      </c>
      <c r="M349" t="s">
        <v>36</v>
      </c>
      <c r="N349" t="str">
        <f t="shared" si="5"/>
        <v>APINbeUshongo</v>
      </c>
    </row>
    <row r="350" spans="8:14" x14ac:dyDescent="0.35">
      <c r="H350" t="s">
        <v>227</v>
      </c>
      <c r="I350" t="s">
        <v>228</v>
      </c>
      <c r="J350" t="s">
        <v>724</v>
      </c>
      <c r="K350" s="80" t="s">
        <v>1192</v>
      </c>
      <c r="L350" t="s">
        <v>1193</v>
      </c>
      <c r="M350" t="s">
        <v>36</v>
      </c>
      <c r="N350" t="str">
        <f t="shared" si="5"/>
        <v>APINbeUshongo</v>
      </c>
    </row>
    <row r="351" spans="8:14" x14ac:dyDescent="0.35">
      <c r="H351" t="s">
        <v>227</v>
      </c>
      <c r="I351" t="s">
        <v>228</v>
      </c>
      <c r="J351" t="s">
        <v>724</v>
      </c>
      <c r="K351" s="80" t="s">
        <v>1194</v>
      </c>
      <c r="L351" t="s">
        <v>1195</v>
      </c>
      <c r="M351" t="s">
        <v>36</v>
      </c>
      <c r="N351" t="str">
        <f t="shared" si="5"/>
        <v>APINbeUshongo</v>
      </c>
    </row>
    <row r="352" spans="8:14" x14ac:dyDescent="0.35">
      <c r="H352" t="s">
        <v>227</v>
      </c>
      <c r="I352" t="s">
        <v>228</v>
      </c>
      <c r="J352" t="s">
        <v>724</v>
      </c>
      <c r="K352" s="80" t="s">
        <v>1196</v>
      </c>
      <c r="L352" t="s">
        <v>1197</v>
      </c>
      <c r="M352" t="s">
        <v>36</v>
      </c>
      <c r="N352" t="str">
        <f t="shared" si="5"/>
        <v>APINbeUshongo</v>
      </c>
    </row>
    <row r="353" spans="8:14" x14ac:dyDescent="0.35">
      <c r="H353" t="s">
        <v>227</v>
      </c>
      <c r="I353" t="s">
        <v>228</v>
      </c>
      <c r="J353" t="s">
        <v>724</v>
      </c>
      <c r="K353" s="80" t="s">
        <v>1198</v>
      </c>
      <c r="L353" t="s">
        <v>1199</v>
      </c>
      <c r="M353" t="s">
        <v>36</v>
      </c>
      <c r="N353" t="str">
        <f t="shared" si="5"/>
        <v>APINbeUshongo</v>
      </c>
    </row>
    <row r="354" spans="8:14" x14ac:dyDescent="0.35">
      <c r="H354" t="s">
        <v>227</v>
      </c>
      <c r="I354" t="s">
        <v>228</v>
      </c>
      <c r="J354" t="s">
        <v>724</v>
      </c>
      <c r="K354" s="80" t="s">
        <v>1200</v>
      </c>
      <c r="L354" t="s">
        <v>1201</v>
      </c>
      <c r="M354" t="s">
        <v>36</v>
      </c>
      <c r="N354" t="str">
        <f t="shared" si="5"/>
        <v>APINbeUshongo</v>
      </c>
    </row>
    <row r="355" spans="8:14" x14ac:dyDescent="0.35">
      <c r="H355" t="s">
        <v>227</v>
      </c>
      <c r="I355" t="s">
        <v>228</v>
      </c>
      <c r="J355" t="s">
        <v>727</v>
      </c>
      <c r="K355" s="80" t="s">
        <v>1202</v>
      </c>
      <c r="L355" t="s">
        <v>1203</v>
      </c>
      <c r="M355" t="s">
        <v>36</v>
      </c>
      <c r="N355" t="str">
        <f t="shared" si="5"/>
        <v>APINbeVandeikya</v>
      </c>
    </row>
    <row r="356" spans="8:14" x14ac:dyDescent="0.35">
      <c r="H356" t="s">
        <v>227</v>
      </c>
      <c r="I356" t="s">
        <v>228</v>
      </c>
      <c r="J356" t="s">
        <v>727</v>
      </c>
      <c r="K356" s="80" t="s">
        <v>1204</v>
      </c>
      <c r="L356" t="s">
        <v>1205</v>
      </c>
      <c r="M356" t="s">
        <v>36</v>
      </c>
      <c r="N356" t="str">
        <f t="shared" si="5"/>
        <v>APINbeVandeikya</v>
      </c>
    </row>
    <row r="357" spans="8:14" x14ac:dyDescent="0.35">
      <c r="H357" t="s">
        <v>227</v>
      </c>
      <c r="I357" t="s">
        <v>228</v>
      </c>
      <c r="J357" t="s">
        <v>727</v>
      </c>
      <c r="K357" s="80" t="s">
        <v>1206</v>
      </c>
      <c r="L357" t="s">
        <v>1207</v>
      </c>
      <c r="M357" t="s">
        <v>36</v>
      </c>
      <c r="N357" t="str">
        <f t="shared" si="5"/>
        <v>APINbeVandeikya</v>
      </c>
    </row>
    <row r="358" spans="8:14" x14ac:dyDescent="0.35">
      <c r="H358" t="s">
        <v>227</v>
      </c>
      <c r="I358" t="s">
        <v>228</v>
      </c>
      <c r="J358" t="s">
        <v>727</v>
      </c>
      <c r="K358" s="80" t="s">
        <v>1208</v>
      </c>
      <c r="L358" t="s">
        <v>1209</v>
      </c>
      <c r="M358" t="s">
        <v>36</v>
      </c>
      <c r="N358" t="str">
        <f t="shared" si="5"/>
        <v>APINbeVandeikya</v>
      </c>
    </row>
    <row r="359" spans="8:14" x14ac:dyDescent="0.35">
      <c r="H359" t="s">
        <v>227</v>
      </c>
      <c r="I359" t="s">
        <v>228</v>
      </c>
      <c r="J359" t="s">
        <v>727</v>
      </c>
      <c r="K359" s="80" t="s">
        <v>1210</v>
      </c>
      <c r="L359" t="s">
        <v>1211</v>
      </c>
      <c r="M359" t="s">
        <v>36</v>
      </c>
      <c r="N359" t="str">
        <f t="shared" si="5"/>
        <v>APINbeVandeikya</v>
      </c>
    </row>
    <row r="360" spans="8:14" x14ac:dyDescent="0.35">
      <c r="H360" t="s">
        <v>227</v>
      </c>
      <c r="I360" t="s">
        <v>228</v>
      </c>
      <c r="J360" t="s">
        <v>727</v>
      </c>
      <c r="K360" s="80" t="s">
        <v>1212</v>
      </c>
      <c r="L360" t="s">
        <v>1213</v>
      </c>
      <c r="M360" t="s">
        <v>36</v>
      </c>
      <c r="N360" t="str">
        <f t="shared" si="5"/>
        <v>APINbeVandeikya</v>
      </c>
    </row>
    <row r="361" spans="8:14" x14ac:dyDescent="0.35">
      <c r="H361" t="s">
        <v>227</v>
      </c>
      <c r="I361" t="s">
        <v>228</v>
      </c>
      <c r="J361" t="s">
        <v>727</v>
      </c>
      <c r="K361" s="80" t="s">
        <v>1214</v>
      </c>
      <c r="L361" t="s">
        <v>1215</v>
      </c>
      <c r="M361" t="s">
        <v>36</v>
      </c>
      <c r="N361" t="str">
        <f t="shared" si="5"/>
        <v>APINbeVandeikya</v>
      </c>
    </row>
    <row r="362" spans="8:14" x14ac:dyDescent="0.35">
      <c r="H362" t="s">
        <v>227</v>
      </c>
      <c r="I362" t="s">
        <v>228</v>
      </c>
      <c r="J362" t="s">
        <v>727</v>
      </c>
      <c r="K362" s="80" t="s">
        <v>1216</v>
      </c>
      <c r="L362" t="s">
        <v>1217</v>
      </c>
      <c r="M362" t="s">
        <v>36</v>
      </c>
      <c r="N362" t="str">
        <f t="shared" si="5"/>
        <v>APINbeVandeikya</v>
      </c>
    </row>
    <row r="363" spans="8:14" x14ac:dyDescent="0.35">
      <c r="H363" t="s">
        <v>227</v>
      </c>
      <c r="I363" t="s">
        <v>228</v>
      </c>
      <c r="J363" t="s">
        <v>727</v>
      </c>
      <c r="K363" s="80" t="s">
        <v>1218</v>
      </c>
      <c r="L363" t="s">
        <v>1219</v>
      </c>
      <c r="M363" t="s">
        <v>36</v>
      </c>
      <c r="N363" t="str">
        <f t="shared" si="5"/>
        <v>APINbeVandeikya</v>
      </c>
    </row>
    <row r="364" spans="8:14" x14ac:dyDescent="0.35">
      <c r="H364" t="s">
        <v>227</v>
      </c>
      <c r="I364" t="s">
        <v>228</v>
      </c>
      <c r="J364" t="s">
        <v>727</v>
      </c>
      <c r="K364" s="80" t="s">
        <v>1220</v>
      </c>
      <c r="L364" t="s">
        <v>1221</v>
      </c>
      <c r="M364" t="s">
        <v>36</v>
      </c>
      <c r="N364" t="str">
        <f t="shared" si="5"/>
        <v>APINbeVandeikya</v>
      </c>
    </row>
    <row r="365" spans="8:14" x14ac:dyDescent="0.35">
      <c r="H365" t="s">
        <v>227</v>
      </c>
      <c r="I365" t="s">
        <v>228</v>
      </c>
      <c r="J365" t="s">
        <v>727</v>
      </c>
      <c r="K365" s="80" t="s">
        <v>1222</v>
      </c>
      <c r="L365" t="s">
        <v>1223</v>
      </c>
      <c r="M365" t="s">
        <v>36</v>
      </c>
      <c r="N365" t="str">
        <f t="shared" si="5"/>
        <v>APINbeVandeikya</v>
      </c>
    </row>
    <row r="366" spans="8:14" x14ac:dyDescent="0.35">
      <c r="H366" t="s">
        <v>227</v>
      </c>
      <c r="I366" t="s">
        <v>228</v>
      </c>
      <c r="J366" t="s">
        <v>727</v>
      </c>
      <c r="K366" s="80" t="s">
        <v>1224</v>
      </c>
      <c r="L366" t="s">
        <v>1225</v>
      </c>
      <c r="M366" t="s">
        <v>36</v>
      </c>
      <c r="N366" t="str">
        <f t="shared" si="5"/>
        <v>APINbeVandeikya</v>
      </c>
    </row>
    <row r="367" spans="8:14" x14ac:dyDescent="0.35">
      <c r="H367" t="s">
        <v>227</v>
      </c>
      <c r="I367" t="s">
        <v>228</v>
      </c>
      <c r="J367" t="s">
        <v>727</v>
      </c>
      <c r="K367" s="80" t="s">
        <v>1226</v>
      </c>
      <c r="L367" t="s">
        <v>1227</v>
      </c>
      <c r="M367" t="s">
        <v>36</v>
      </c>
      <c r="N367" t="str">
        <f t="shared" si="5"/>
        <v>APINbeVandeikya</v>
      </c>
    </row>
    <row r="368" spans="8:14" x14ac:dyDescent="0.35">
      <c r="H368" t="s">
        <v>227</v>
      </c>
      <c r="I368" t="s">
        <v>228</v>
      </c>
      <c r="J368" t="s">
        <v>727</v>
      </c>
      <c r="K368" s="80" t="s">
        <v>1228</v>
      </c>
      <c r="L368" t="s">
        <v>1229</v>
      </c>
      <c r="M368" t="s">
        <v>36</v>
      </c>
      <c r="N368" t="str">
        <f t="shared" si="5"/>
        <v>APINbeVandeikya</v>
      </c>
    </row>
    <row r="369" spans="8:14" x14ac:dyDescent="0.35">
      <c r="H369" t="s">
        <v>227</v>
      </c>
      <c r="I369" t="s">
        <v>228</v>
      </c>
      <c r="J369" t="s">
        <v>727</v>
      </c>
      <c r="K369" s="80" t="s">
        <v>1230</v>
      </c>
      <c r="L369" t="s">
        <v>1231</v>
      </c>
      <c r="M369" t="s">
        <v>36</v>
      </c>
      <c r="N369" t="str">
        <f t="shared" si="5"/>
        <v>APINbeVandeikya</v>
      </c>
    </row>
    <row r="370" spans="8:14" x14ac:dyDescent="0.35">
      <c r="H370" t="s">
        <v>227</v>
      </c>
      <c r="I370" t="s">
        <v>228</v>
      </c>
      <c r="J370" t="s">
        <v>727</v>
      </c>
      <c r="K370" s="80" t="s">
        <v>1232</v>
      </c>
      <c r="L370" t="s">
        <v>1233</v>
      </c>
      <c r="M370" t="s">
        <v>36</v>
      </c>
      <c r="N370" t="str">
        <f t="shared" si="5"/>
        <v>APINbeVandeikya</v>
      </c>
    </row>
    <row r="371" spans="8:14" x14ac:dyDescent="0.35">
      <c r="H371" t="s">
        <v>227</v>
      </c>
      <c r="I371" t="s">
        <v>228</v>
      </c>
      <c r="J371" t="s">
        <v>727</v>
      </c>
      <c r="K371" s="80" t="s">
        <v>1234</v>
      </c>
      <c r="L371" t="s">
        <v>1235</v>
      </c>
      <c r="M371" t="s">
        <v>36</v>
      </c>
      <c r="N371" t="str">
        <f t="shared" si="5"/>
        <v>APINbeVandeikya</v>
      </c>
    </row>
    <row r="372" spans="8:14" x14ac:dyDescent="0.35">
      <c r="H372" t="s">
        <v>227</v>
      </c>
      <c r="I372" t="s">
        <v>228</v>
      </c>
      <c r="J372" t="s">
        <v>727</v>
      </c>
      <c r="K372" s="80" t="s">
        <v>1236</v>
      </c>
      <c r="L372" t="s">
        <v>1237</v>
      </c>
      <c r="M372" t="s">
        <v>36</v>
      </c>
      <c r="N372" t="str">
        <f t="shared" si="5"/>
        <v>APINbeVandeikya</v>
      </c>
    </row>
    <row r="373" spans="8:14" x14ac:dyDescent="0.35">
      <c r="H373" t="s">
        <v>227</v>
      </c>
      <c r="I373" t="s">
        <v>228</v>
      </c>
      <c r="J373" t="s">
        <v>727</v>
      </c>
      <c r="K373" s="80" t="s">
        <v>1238</v>
      </c>
      <c r="L373" t="s">
        <v>1239</v>
      </c>
      <c r="M373" t="s">
        <v>36</v>
      </c>
      <c r="N373" t="str">
        <f t="shared" si="5"/>
        <v>APINbeVandeikya</v>
      </c>
    </row>
    <row r="374" spans="8:14" x14ac:dyDescent="0.35">
      <c r="H374" t="s">
        <v>227</v>
      </c>
      <c r="I374" t="s">
        <v>228</v>
      </c>
      <c r="J374" t="s">
        <v>727</v>
      </c>
      <c r="K374" s="80" t="s">
        <v>1240</v>
      </c>
      <c r="L374" t="s">
        <v>1241</v>
      </c>
      <c r="M374" t="s">
        <v>36</v>
      </c>
      <c r="N374" t="str">
        <f t="shared" si="5"/>
        <v>APINbeVandeikya</v>
      </c>
    </row>
    <row r="375" spans="8:14" x14ac:dyDescent="0.35">
      <c r="H375" t="s">
        <v>227</v>
      </c>
      <c r="I375" t="s">
        <v>228</v>
      </c>
      <c r="J375" t="s">
        <v>727</v>
      </c>
      <c r="K375" s="80" t="s">
        <v>1242</v>
      </c>
      <c r="L375" t="s">
        <v>1243</v>
      </c>
      <c r="M375" t="s">
        <v>36</v>
      </c>
      <c r="N375" t="str">
        <f t="shared" si="5"/>
        <v>APINbeVandeikya</v>
      </c>
    </row>
    <row r="376" spans="8:14" x14ac:dyDescent="0.35">
      <c r="H376" t="s">
        <v>227</v>
      </c>
      <c r="I376" t="s">
        <v>251</v>
      </c>
      <c r="J376" t="s">
        <v>334</v>
      </c>
      <c r="K376" s="80" t="s">
        <v>1244</v>
      </c>
      <c r="L376" t="s">
        <v>1245</v>
      </c>
      <c r="M376" t="s">
        <v>232</v>
      </c>
      <c r="N376" t="str">
        <f t="shared" si="5"/>
        <v>CCFNdeAniochaNorth</v>
      </c>
    </row>
    <row r="377" spans="8:14" x14ac:dyDescent="0.35">
      <c r="H377" t="s">
        <v>227</v>
      </c>
      <c r="I377" t="s">
        <v>251</v>
      </c>
      <c r="J377" t="s">
        <v>337</v>
      </c>
      <c r="K377" s="80" t="s">
        <v>1246</v>
      </c>
      <c r="L377" t="s">
        <v>1247</v>
      </c>
      <c r="M377" t="s">
        <v>232</v>
      </c>
      <c r="N377" t="str">
        <f t="shared" si="5"/>
        <v>CCFNdeEthiopeEast</v>
      </c>
    </row>
    <row r="378" spans="8:14" x14ac:dyDescent="0.35">
      <c r="H378" t="s">
        <v>227</v>
      </c>
      <c r="I378" t="s">
        <v>251</v>
      </c>
      <c r="J378" t="s">
        <v>337</v>
      </c>
      <c r="K378" s="80" t="s">
        <v>1248</v>
      </c>
      <c r="L378" t="s">
        <v>1249</v>
      </c>
      <c r="M378" t="s">
        <v>232</v>
      </c>
      <c r="N378" t="str">
        <f t="shared" si="5"/>
        <v>CCFNdeEthiopeEast</v>
      </c>
    </row>
    <row r="379" spans="8:14" x14ac:dyDescent="0.35">
      <c r="H379" t="s">
        <v>227</v>
      </c>
      <c r="I379" t="s">
        <v>251</v>
      </c>
      <c r="J379" t="s">
        <v>337</v>
      </c>
      <c r="K379" s="80" t="s">
        <v>1250</v>
      </c>
      <c r="L379" t="s">
        <v>1251</v>
      </c>
      <c r="M379" t="s">
        <v>232</v>
      </c>
      <c r="N379" t="str">
        <f t="shared" si="5"/>
        <v>CCFNdeEthiopeEast</v>
      </c>
    </row>
    <row r="380" spans="8:14" x14ac:dyDescent="0.35">
      <c r="H380" t="s">
        <v>227</v>
      </c>
      <c r="I380" t="s">
        <v>251</v>
      </c>
      <c r="J380" t="s">
        <v>340</v>
      </c>
      <c r="K380" s="80" t="s">
        <v>1252</v>
      </c>
      <c r="L380" t="s">
        <v>1253</v>
      </c>
      <c r="M380" t="s">
        <v>232</v>
      </c>
      <c r="N380" t="str">
        <f t="shared" si="5"/>
        <v>CCFNdeIkaSouth</v>
      </c>
    </row>
    <row r="381" spans="8:14" x14ac:dyDescent="0.35">
      <c r="H381" t="s">
        <v>227</v>
      </c>
      <c r="I381" t="s">
        <v>251</v>
      </c>
      <c r="J381" t="s">
        <v>343</v>
      </c>
      <c r="K381" s="80" t="s">
        <v>1254</v>
      </c>
      <c r="L381" t="s">
        <v>1255</v>
      </c>
      <c r="M381" t="s">
        <v>232</v>
      </c>
      <c r="N381" t="str">
        <f t="shared" si="5"/>
        <v>CCFNdeOshimiliSouth</v>
      </c>
    </row>
    <row r="382" spans="8:14" x14ac:dyDescent="0.35">
      <c r="H382" t="s">
        <v>227</v>
      </c>
      <c r="I382" t="s">
        <v>251</v>
      </c>
      <c r="J382" t="s">
        <v>343</v>
      </c>
      <c r="K382" s="80" t="s">
        <v>1256</v>
      </c>
      <c r="L382" t="s">
        <v>1257</v>
      </c>
      <c r="M382" t="s">
        <v>232</v>
      </c>
      <c r="N382" t="str">
        <f t="shared" si="5"/>
        <v>CCFNdeOshimiliSouth</v>
      </c>
    </row>
    <row r="383" spans="8:14" x14ac:dyDescent="0.35">
      <c r="H383" t="s">
        <v>227</v>
      </c>
      <c r="I383" t="s">
        <v>251</v>
      </c>
      <c r="J383" t="s">
        <v>346</v>
      </c>
      <c r="K383" s="80" t="s">
        <v>1258</v>
      </c>
      <c r="L383" t="s">
        <v>1259</v>
      </c>
      <c r="M383" t="s">
        <v>232</v>
      </c>
      <c r="N383" t="str">
        <f t="shared" si="5"/>
        <v>CCFNdeSapele</v>
      </c>
    </row>
    <row r="384" spans="8:14" x14ac:dyDescent="0.35">
      <c r="H384" t="s">
        <v>227</v>
      </c>
      <c r="I384" t="s">
        <v>251</v>
      </c>
      <c r="J384" t="s">
        <v>349</v>
      </c>
      <c r="K384" s="80" t="s">
        <v>1260</v>
      </c>
      <c r="L384" t="s">
        <v>1261</v>
      </c>
      <c r="M384" t="s">
        <v>232</v>
      </c>
      <c r="N384" t="str">
        <f t="shared" si="5"/>
        <v>CCFNdeUvwie</v>
      </c>
    </row>
    <row r="385" spans="8:14" x14ac:dyDescent="0.35">
      <c r="H385" t="s">
        <v>227</v>
      </c>
      <c r="I385" t="s">
        <v>251</v>
      </c>
      <c r="J385" t="s">
        <v>352</v>
      </c>
      <c r="K385" s="80" t="s">
        <v>1262</v>
      </c>
      <c r="L385" t="s">
        <v>1263</v>
      </c>
      <c r="M385" t="s">
        <v>232</v>
      </c>
      <c r="N385" t="str">
        <f t="shared" si="5"/>
        <v>CCFNdeWarriNorth</v>
      </c>
    </row>
    <row r="386" spans="8:14" x14ac:dyDescent="0.35">
      <c r="H386" t="s">
        <v>227</v>
      </c>
      <c r="I386" t="s">
        <v>256</v>
      </c>
      <c r="J386" t="s">
        <v>355</v>
      </c>
      <c r="K386" s="80" t="s">
        <v>1264</v>
      </c>
      <c r="L386" t="s">
        <v>1265</v>
      </c>
      <c r="M386" t="s">
        <v>232</v>
      </c>
      <c r="N386" t="str">
        <f t="shared" si="5"/>
        <v>CCFNebAbakaliki</v>
      </c>
    </row>
    <row r="387" spans="8:14" x14ac:dyDescent="0.35">
      <c r="H387" t="s">
        <v>227</v>
      </c>
      <c r="I387" t="s">
        <v>256</v>
      </c>
      <c r="J387" t="s">
        <v>355</v>
      </c>
      <c r="K387" s="80" t="s">
        <v>1266</v>
      </c>
      <c r="L387" t="s">
        <v>1267</v>
      </c>
      <c r="M387" t="s">
        <v>232</v>
      </c>
      <c r="N387" t="str">
        <f t="shared" ref="N387:N450" si="6">SUBSTITUTE(SUBSTITUTE(M387&amp;J387," ",""),"-","")</f>
        <v>CCFNebAbakaliki</v>
      </c>
    </row>
    <row r="388" spans="8:14" x14ac:dyDescent="0.35">
      <c r="H388" t="s">
        <v>227</v>
      </c>
      <c r="I388" t="s">
        <v>256</v>
      </c>
      <c r="J388" t="s">
        <v>355</v>
      </c>
      <c r="K388" s="80" t="s">
        <v>1268</v>
      </c>
      <c r="L388" t="s">
        <v>1269</v>
      </c>
      <c r="M388" t="s">
        <v>232</v>
      </c>
      <c r="N388" t="str">
        <f t="shared" si="6"/>
        <v>CCFNebAbakaliki</v>
      </c>
    </row>
    <row r="389" spans="8:14" x14ac:dyDescent="0.35">
      <c r="H389" t="s">
        <v>227</v>
      </c>
      <c r="I389" t="s">
        <v>256</v>
      </c>
      <c r="J389" t="s">
        <v>355</v>
      </c>
      <c r="K389" s="80" t="s">
        <v>1270</v>
      </c>
      <c r="L389" t="s">
        <v>1271</v>
      </c>
      <c r="M389" t="s">
        <v>232</v>
      </c>
      <c r="N389" t="str">
        <f t="shared" si="6"/>
        <v>CCFNebAbakaliki</v>
      </c>
    </row>
    <row r="390" spans="8:14" x14ac:dyDescent="0.35">
      <c r="H390" t="s">
        <v>227</v>
      </c>
      <c r="I390" t="s">
        <v>256</v>
      </c>
      <c r="J390" t="s">
        <v>355</v>
      </c>
      <c r="K390" s="80" t="s">
        <v>1272</v>
      </c>
      <c r="L390" t="s">
        <v>1273</v>
      </c>
      <c r="M390" t="s">
        <v>232</v>
      </c>
      <c r="N390" t="str">
        <f t="shared" si="6"/>
        <v>CCFNebAbakaliki</v>
      </c>
    </row>
    <row r="391" spans="8:14" x14ac:dyDescent="0.35">
      <c r="H391" t="s">
        <v>227</v>
      </c>
      <c r="I391" t="s">
        <v>256</v>
      </c>
      <c r="J391" t="s">
        <v>355</v>
      </c>
      <c r="K391" s="80" t="s">
        <v>1274</v>
      </c>
      <c r="L391" t="s">
        <v>1275</v>
      </c>
      <c r="M391" t="s">
        <v>232</v>
      </c>
      <c r="N391" t="str">
        <f t="shared" si="6"/>
        <v>CCFNebAbakaliki</v>
      </c>
    </row>
    <row r="392" spans="8:14" x14ac:dyDescent="0.35">
      <c r="H392" t="s">
        <v>227</v>
      </c>
      <c r="I392" t="s">
        <v>256</v>
      </c>
      <c r="J392" t="s">
        <v>355</v>
      </c>
      <c r="K392" s="80" t="s">
        <v>1276</v>
      </c>
      <c r="L392" t="s">
        <v>1277</v>
      </c>
      <c r="M392" t="s">
        <v>232</v>
      </c>
      <c r="N392" t="str">
        <f t="shared" si="6"/>
        <v>CCFNebAbakaliki</v>
      </c>
    </row>
    <row r="393" spans="8:14" x14ac:dyDescent="0.35">
      <c r="H393" t="s">
        <v>227</v>
      </c>
      <c r="I393" t="s">
        <v>256</v>
      </c>
      <c r="J393" t="s">
        <v>356</v>
      </c>
      <c r="K393" s="80" t="s">
        <v>1278</v>
      </c>
      <c r="L393" t="s">
        <v>1279</v>
      </c>
      <c r="M393" t="s">
        <v>232</v>
      </c>
      <c r="N393" t="str">
        <f t="shared" si="6"/>
        <v>CCFNebAfikpoNorth</v>
      </c>
    </row>
    <row r="394" spans="8:14" x14ac:dyDescent="0.35">
      <c r="H394" t="s">
        <v>227</v>
      </c>
      <c r="I394" t="s">
        <v>256</v>
      </c>
      <c r="J394" t="s">
        <v>356</v>
      </c>
      <c r="K394" s="80" t="s">
        <v>1280</v>
      </c>
      <c r="L394" t="s">
        <v>1281</v>
      </c>
      <c r="M394" t="s">
        <v>232</v>
      </c>
      <c r="N394" t="str">
        <f t="shared" si="6"/>
        <v>CCFNebAfikpoNorth</v>
      </c>
    </row>
    <row r="395" spans="8:14" x14ac:dyDescent="0.35">
      <c r="H395" t="s">
        <v>227</v>
      </c>
      <c r="I395" t="s">
        <v>256</v>
      </c>
      <c r="J395" t="s">
        <v>356</v>
      </c>
      <c r="K395" s="80" t="s">
        <v>1282</v>
      </c>
      <c r="L395" t="s">
        <v>1283</v>
      </c>
      <c r="M395" t="s">
        <v>232</v>
      </c>
      <c r="N395" t="str">
        <f t="shared" si="6"/>
        <v>CCFNebAfikpoNorth</v>
      </c>
    </row>
    <row r="396" spans="8:14" x14ac:dyDescent="0.35">
      <c r="H396" t="s">
        <v>227</v>
      </c>
      <c r="I396" t="s">
        <v>256</v>
      </c>
      <c r="J396" t="s">
        <v>356</v>
      </c>
      <c r="K396" s="80" t="s">
        <v>1284</v>
      </c>
      <c r="L396" t="s">
        <v>1285</v>
      </c>
      <c r="M396" t="s">
        <v>232</v>
      </c>
      <c r="N396" t="str">
        <f t="shared" si="6"/>
        <v>CCFNebAfikpoNorth</v>
      </c>
    </row>
    <row r="397" spans="8:14" x14ac:dyDescent="0.35">
      <c r="H397" t="s">
        <v>227</v>
      </c>
      <c r="I397" t="s">
        <v>256</v>
      </c>
      <c r="J397" t="s">
        <v>356</v>
      </c>
      <c r="K397" s="80" t="s">
        <v>1286</v>
      </c>
      <c r="L397" t="s">
        <v>1287</v>
      </c>
      <c r="M397" t="s">
        <v>232</v>
      </c>
      <c r="N397" t="str">
        <f t="shared" si="6"/>
        <v>CCFNebAfikpoNorth</v>
      </c>
    </row>
    <row r="398" spans="8:14" x14ac:dyDescent="0.35">
      <c r="H398" t="s">
        <v>227</v>
      </c>
      <c r="I398" t="s">
        <v>256</v>
      </c>
      <c r="J398" t="s">
        <v>356</v>
      </c>
      <c r="K398" s="80" t="s">
        <v>1288</v>
      </c>
      <c r="L398" t="s">
        <v>1289</v>
      </c>
      <c r="M398" t="s">
        <v>232</v>
      </c>
      <c r="N398" t="str">
        <f t="shared" si="6"/>
        <v>CCFNebAfikpoNorth</v>
      </c>
    </row>
    <row r="399" spans="8:14" x14ac:dyDescent="0.35">
      <c r="H399" t="s">
        <v>227</v>
      </c>
      <c r="I399" t="s">
        <v>256</v>
      </c>
      <c r="J399" t="s">
        <v>356</v>
      </c>
      <c r="K399" s="80" t="s">
        <v>1290</v>
      </c>
      <c r="L399" t="s">
        <v>1291</v>
      </c>
      <c r="M399" t="s">
        <v>232</v>
      </c>
      <c r="N399" t="str">
        <f t="shared" si="6"/>
        <v>CCFNebAfikpoNorth</v>
      </c>
    </row>
    <row r="400" spans="8:14" x14ac:dyDescent="0.35">
      <c r="H400" t="s">
        <v>227</v>
      </c>
      <c r="I400" t="s">
        <v>256</v>
      </c>
      <c r="J400" t="s">
        <v>356</v>
      </c>
      <c r="K400" s="80" t="s">
        <v>1292</v>
      </c>
      <c r="L400" t="s">
        <v>1293</v>
      </c>
      <c r="M400" t="s">
        <v>232</v>
      </c>
      <c r="N400" t="str">
        <f t="shared" si="6"/>
        <v>CCFNebAfikpoNorth</v>
      </c>
    </row>
    <row r="401" spans="8:14" x14ac:dyDescent="0.35">
      <c r="H401" t="s">
        <v>227</v>
      </c>
      <c r="I401" t="s">
        <v>256</v>
      </c>
      <c r="J401" t="s">
        <v>359</v>
      </c>
      <c r="K401" s="80" t="s">
        <v>1294</v>
      </c>
      <c r="L401" t="s">
        <v>1295</v>
      </c>
      <c r="M401" t="s">
        <v>232</v>
      </c>
      <c r="N401" t="str">
        <f t="shared" si="6"/>
        <v>CCFNebAfikpoSouth</v>
      </c>
    </row>
    <row r="402" spans="8:14" x14ac:dyDescent="0.35">
      <c r="H402" t="s">
        <v>227</v>
      </c>
      <c r="I402" t="s">
        <v>256</v>
      </c>
      <c r="J402" t="s">
        <v>359</v>
      </c>
      <c r="K402" s="80" t="s">
        <v>1296</v>
      </c>
      <c r="L402" t="s">
        <v>1297</v>
      </c>
      <c r="M402" t="s">
        <v>232</v>
      </c>
      <c r="N402" t="str">
        <f t="shared" si="6"/>
        <v>CCFNebAfikpoSouth</v>
      </c>
    </row>
    <row r="403" spans="8:14" x14ac:dyDescent="0.35">
      <c r="H403" t="s">
        <v>227</v>
      </c>
      <c r="I403" t="s">
        <v>256</v>
      </c>
      <c r="J403" t="s">
        <v>362</v>
      </c>
      <c r="K403" s="80" t="s">
        <v>1298</v>
      </c>
      <c r="L403" t="s">
        <v>1299</v>
      </c>
      <c r="M403" t="s">
        <v>232</v>
      </c>
      <c r="N403" t="str">
        <f t="shared" si="6"/>
        <v>CCFNebEbonyi</v>
      </c>
    </row>
    <row r="404" spans="8:14" x14ac:dyDescent="0.35">
      <c r="H404" t="s">
        <v>227</v>
      </c>
      <c r="I404" t="s">
        <v>256</v>
      </c>
      <c r="J404" t="s">
        <v>362</v>
      </c>
      <c r="K404" s="80" t="s">
        <v>1300</v>
      </c>
      <c r="L404" t="s">
        <v>1301</v>
      </c>
      <c r="M404" t="s">
        <v>232</v>
      </c>
      <c r="N404" t="str">
        <f t="shared" si="6"/>
        <v>CCFNebEbonyi</v>
      </c>
    </row>
    <row r="405" spans="8:14" x14ac:dyDescent="0.35">
      <c r="H405" t="s">
        <v>227</v>
      </c>
      <c r="I405" t="s">
        <v>256</v>
      </c>
      <c r="J405" t="s">
        <v>362</v>
      </c>
      <c r="K405" s="80" t="s">
        <v>1302</v>
      </c>
      <c r="L405" t="s">
        <v>1303</v>
      </c>
      <c r="M405" t="s">
        <v>232</v>
      </c>
      <c r="N405" t="str">
        <f t="shared" si="6"/>
        <v>CCFNebEbonyi</v>
      </c>
    </row>
    <row r="406" spans="8:14" x14ac:dyDescent="0.35">
      <c r="H406" t="s">
        <v>227</v>
      </c>
      <c r="I406" t="s">
        <v>256</v>
      </c>
      <c r="J406" t="s">
        <v>362</v>
      </c>
      <c r="K406" s="80" t="s">
        <v>1304</v>
      </c>
      <c r="L406" t="s">
        <v>1305</v>
      </c>
      <c r="M406" t="s">
        <v>232</v>
      </c>
      <c r="N406" t="str">
        <f t="shared" si="6"/>
        <v>CCFNebEbonyi</v>
      </c>
    </row>
    <row r="407" spans="8:14" x14ac:dyDescent="0.35">
      <c r="H407" t="s">
        <v>227</v>
      </c>
      <c r="I407" t="s">
        <v>256</v>
      </c>
      <c r="J407" t="s">
        <v>362</v>
      </c>
      <c r="K407" s="80" t="s">
        <v>1306</v>
      </c>
      <c r="L407" t="s">
        <v>1307</v>
      </c>
      <c r="M407" t="s">
        <v>232</v>
      </c>
      <c r="N407" t="str">
        <f t="shared" si="6"/>
        <v>CCFNebEbonyi</v>
      </c>
    </row>
    <row r="408" spans="8:14" x14ac:dyDescent="0.35">
      <c r="H408" t="s">
        <v>227</v>
      </c>
      <c r="I408" t="s">
        <v>256</v>
      </c>
      <c r="J408" t="s">
        <v>362</v>
      </c>
      <c r="K408" s="80" t="s">
        <v>1308</v>
      </c>
      <c r="L408" t="s">
        <v>1309</v>
      </c>
      <c r="M408" t="s">
        <v>232</v>
      </c>
      <c r="N408" t="str">
        <f t="shared" si="6"/>
        <v>CCFNebEbonyi</v>
      </c>
    </row>
    <row r="409" spans="8:14" x14ac:dyDescent="0.35">
      <c r="H409" t="s">
        <v>227</v>
      </c>
      <c r="I409" t="s">
        <v>256</v>
      </c>
      <c r="J409" t="s">
        <v>365</v>
      </c>
      <c r="K409" s="80" t="s">
        <v>1310</v>
      </c>
      <c r="L409" t="s">
        <v>1311</v>
      </c>
      <c r="M409" t="s">
        <v>232</v>
      </c>
      <c r="N409" t="str">
        <f t="shared" si="6"/>
        <v>CCFNebEzzaNorth</v>
      </c>
    </row>
    <row r="410" spans="8:14" x14ac:dyDescent="0.35">
      <c r="H410" t="s">
        <v>227</v>
      </c>
      <c r="I410" t="s">
        <v>256</v>
      </c>
      <c r="J410" t="s">
        <v>368</v>
      </c>
      <c r="K410" s="80" t="s">
        <v>1312</v>
      </c>
      <c r="L410" t="s">
        <v>1313</v>
      </c>
      <c r="M410" t="s">
        <v>232</v>
      </c>
      <c r="N410" t="str">
        <f t="shared" si="6"/>
        <v>CCFNebEzzaSouth</v>
      </c>
    </row>
    <row r="411" spans="8:14" x14ac:dyDescent="0.35">
      <c r="H411" t="s">
        <v>227</v>
      </c>
      <c r="I411" t="s">
        <v>256</v>
      </c>
      <c r="J411" t="s">
        <v>368</v>
      </c>
      <c r="K411" s="80" t="s">
        <v>1314</v>
      </c>
      <c r="L411" t="s">
        <v>1315</v>
      </c>
      <c r="M411" t="s">
        <v>232</v>
      </c>
      <c r="N411" t="str">
        <f t="shared" si="6"/>
        <v>CCFNebEzzaSouth</v>
      </c>
    </row>
    <row r="412" spans="8:14" x14ac:dyDescent="0.35">
      <c r="H412" t="s">
        <v>227</v>
      </c>
      <c r="I412" t="s">
        <v>256</v>
      </c>
      <c r="J412" t="s">
        <v>368</v>
      </c>
      <c r="K412" s="80" t="s">
        <v>1316</v>
      </c>
      <c r="L412" t="s">
        <v>1317</v>
      </c>
      <c r="M412" t="s">
        <v>232</v>
      </c>
      <c r="N412" t="str">
        <f t="shared" si="6"/>
        <v>CCFNebEzzaSouth</v>
      </c>
    </row>
    <row r="413" spans="8:14" x14ac:dyDescent="0.35">
      <c r="H413" t="s">
        <v>227</v>
      </c>
      <c r="I413" t="s">
        <v>256</v>
      </c>
      <c r="J413" t="s">
        <v>371</v>
      </c>
      <c r="K413" s="80" t="s">
        <v>1318</v>
      </c>
      <c r="L413" t="s">
        <v>1319</v>
      </c>
      <c r="M413" t="s">
        <v>232</v>
      </c>
      <c r="N413" t="str">
        <f t="shared" si="6"/>
        <v>CCFNebIkwo</v>
      </c>
    </row>
    <row r="414" spans="8:14" x14ac:dyDescent="0.35">
      <c r="H414" t="s">
        <v>227</v>
      </c>
      <c r="I414" t="s">
        <v>256</v>
      </c>
      <c r="J414" t="s">
        <v>371</v>
      </c>
      <c r="K414" s="80" t="s">
        <v>1320</v>
      </c>
      <c r="L414" t="s">
        <v>1321</v>
      </c>
      <c r="M414" t="s">
        <v>232</v>
      </c>
      <c r="N414" t="str">
        <f t="shared" si="6"/>
        <v>CCFNebIkwo</v>
      </c>
    </row>
    <row r="415" spans="8:14" x14ac:dyDescent="0.35">
      <c r="H415" t="s">
        <v>227</v>
      </c>
      <c r="I415" t="s">
        <v>256</v>
      </c>
      <c r="J415" t="s">
        <v>371</v>
      </c>
      <c r="K415" s="80" t="s">
        <v>1322</v>
      </c>
      <c r="L415" t="s">
        <v>1323</v>
      </c>
      <c r="M415" t="s">
        <v>232</v>
      </c>
      <c r="N415" t="str">
        <f t="shared" si="6"/>
        <v>CCFNebIkwo</v>
      </c>
    </row>
    <row r="416" spans="8:14" x14ac:dyDescent="0.35">
      <c r="H416" t="s">
        <v>227</v>
      </c>
      <c r="I416" t="s">
        <v>256</v>
      </c>
      <c r="J416" t="s">
        <v>374</v>
      </c>
      <c r="K416" s="80" t="s">
        <v>1324</v>
      </c>
      <c r="L416" t="s">
        <v>1325</v>
      </c>
      <c r="M416" t="s">
        <v>232</v>
      </c>
      <c r="N416" t="str">
        <f t="shared" si="6"/>
        <v>CCFNebIshielu</v>
      </c>
    </row>
    <row r="417" spans="8:14" x14ac:dyDescent="0.35">
      <c r="H417" t="s">
        <v>227</v>
      </c>
      <c r="I417" t="s">
        <v>256</v>
      </c>
      <c r="J417" t="s">
        <v>374</v>
      </c>
      <c r="K417" s="80" t="s">
        <v>1326</v>
      </c>
      <c r="L417" t="s">
        <v>1327</v>
      </c>
      <c r="M417" t="s">
        <v>232</v>
      </c>
      <c r="N417" t="str">
        <f t="shared" si="6"/>
        <v>CCFNebIshielu</v>
      </c>
    </row>
    <row r="418" spans="8:14" x14ac:dyDescent="0.35">
      <c r="H418" t="s">
        <v>227</v>
      </c>
      <c r="I418" t="s">
        <v>256</v>
      </c>
      <c r="J418" t="s">
        <v>377</v>
      </c>
      <c r="K418" s="80" t="s">
        <v>1328</v>
      </c>
      <c r="L418" t="s">
        <v>1329</v>
      </c>
      <c r="M418" t="s">
        <v>232</v>
      </c>
      <c r="N418" t="str">
        <f t="shared" si="6"/>
        <v>CCFNebIvo</v>
      </c>
    </row>
    <row r="419" spans="8:14" x14ac:dyDescent="0.35">
      <c r="H419" t="s">
        <v>227</v>
      </c>
      <c r="I419" t="s">
        <v>256</v>
      </c>
      <c r="J419" t="s">
        <v>377</v>
      </c>
      <c r="K419" s="80" t="s">
        <v>1330</v>
      </c>
      <c r="L419" t="s">
        <v>1331</v>
      </c>
      <c r="M419" t="s">
        <v>232</v>
      </c>
      <c r="N419" t="str">
        <f t="shared" si="6"/>
        <v>CCFNebIvo</v>
      </c>
    </row>
    <row r="420" spans="8:14" x14ac:dyDescent="0.35">
      <c r="H420" t="s">
        <v>227</v>
      </c>
      <c r="I420" t="s">
        <v>256</v>
      </c>
      <c r="J420" t="s">
        <v>377</v>
      </c>
      <c r="K420" s="80" t="s">
        <v>1332</v>
      </c>
      <c r="L420" t="s">
        <v>1333</v>
      </c>
      <c r="M420" t="s">
        <v>232</v>
      </c>
      <c r="N420" t="str">
        <f t="shared" si="6"/>
        <v>CCFNebIvo</v>
      </c>
    </row>
    <row r="421" spans="8:14" x14ac:dyDescent="0.35">
      <c r="H421" t="s">
        <v>227</v>
      </c>
      <c r="I421" t="s">
        <v>256</v>
      </c>
      <c r="J421" t="s">
        <v>377</v>
      </c>
      <c r="K421" s="80" t="s">
        <v>1334</v>
      </c>
      <c r="L421" t="s">
        <v>1335</v>
      </c>
      <c r="M421" t="s">
        <v>232</v>
      </c>
      <c r="N421" t="str">
        <f t="shared" si="6"/>
        <v>CCFNebIvo</v>
      </c>
    </row>
    <row r="422" spans="8:14" x14ac:dyDescent="0.35">
      <c r="H422" t="s">
        <v>227</v>
      </c>
      <c r="I422" t="s">
        <v>256</v>
      </c>
      <c r="J422" t="s">
        <v>377</v>
      </c>
      <c r="K422" s="80" t="s">
        <v>1336</v>
      </c>
      <c r="L422" t="s">
        <v>1337</v>
      </c>
      <c r="M422" t="s">
        <v>232</v>
      </c>
      <c r="N422" t="str">
        <f t="shared" si="6"/>
        <v>CCFNebIvo</v>
      </c>
    </row>
    <row r="423" spans="8:14" x14ac:dyDescent="0.35">
      <c r="H423" t="s">
        <v>227</v>
      </c>
      <c r="I423" t="s">
        <v>256</v>
      </c>
      <c r="J423" t="s">
        <v>377</v>
      </c>
      <c r="K423" s="80" t="s">
        <v>1338</v>
      </c>
      <c r="L423" t="s">
        <v>1339</v>
      </c>
      <c r="M423" t="s">
        <v>232</v>
      </c>
      <c r="N423" t="str">
        <f t="shared" si="6"/>
        <v>CCFNebIvo</v>
      </c>
    </row>
    <row r="424" spans="8:14" x14ac:dyDescent="0.35">
      <c r="H424" t="s">
        <v>227</v>
      </c>
      <c r="I424" t="s">
        <v>256</v>
      </c>
      <c r="J424" t="s">
        <v>380</v>
      </c>
      <c r="K424" s="80" t="s">
        <v>1340</v>
      </c>
      <c r="L424" t="s">
        <v>1341</v>
      </c>
      <c r="M424" t="s">
        <v>232</v>
      </c>
      <c r="N424" t="str">
        <f t="shared" si="6"/>
        <v>CCFNebIzzi</v>
      </c>
    </row>
    <row r="425" spans="8:14" x14ac:dyDescent="0.35">
      <c r="H425" t="s">
        <v>227</v>
      </c>
      <c r="I425" t="s">
        <v>256</v>
      </c>
      <c r="J425" t="s">
        <v>380</v>
      </c>
      <c r="K425" s="80" t="s">
        <v>1342</v>
      </c>
      <c r="L425" t="s">
        <v>1343</v>
      </c>
      <c r="M425" t="s">
        <v>232</v>
      </c>
      <c r="N425" t="str">
        <f t="shared" si="6"/>
        <v>CCFNebIzzi</v>
      </c>
    </row>
    <row r="426" spans="8:14" x14ac:dyDescent="0.35">
      <c r="H426" t="s">
        <v>227</v>
      </c>
      <c r="I426" t="s">
        <v>256</v>
      </c>
      <c r="J426" t="s">
        <v>380</v>
      </c>
      <c r="K426" s="80" t="s">
        <v>1344</v>
      </c>
      <c r="L426" t="s">
        <v>1345</v>
      </c>
      <c r="M426" t="s">
        <v>232</v>
      </c>
      <c r="N426" t="str">
        <f t="shared" si="6"/>
        <v>CCFNebIzzi</v>
      </c>
    </row>
    <row r="427" spans="8:14" x14ac:dyDescent="0.35">
      <c r="H427" t="s">
        <v>227</v>
      </c>
      <c r="I427" t="s">
        <v>256</v>
      </c>
      <c r="J427" t="s">
        <v>384</v>
      </c>
      <c r="K427" s="80" t="s">
        <v>1346</v>
      </c>
      <c r="L427" t="s">
        <v>1347</v>
      </c>
      <c r="M427" t="s">
        <v>232</v>
      </c>
      <c r="N427" t="str">
        <f t="shared" si="6"/>
        <v>CCFNebOhaozara</v>
      </c>
    </row>
    <row r="428" spans="8:14" x14ac:dyDescent="0.35">
      <c r="H428" t="s">
        <v>227</v>
      </c>
      <c r="I428" t="s">
        <v>256</v>
      </c>
      <c r="J428" t="s">
        <v>384</v>
      </c>
      <c r="K428" s="80" t="s">
        <v>1348</v>
      </c>
      <c r="L428" t="s">
        <v>1349</v>
      </c>
      <c r="M428" t="s">
        <v>232</v>
      </c>
      <c r="N428" t="str">
        <f t="shared" si="6"/>
        <v>CCFNebOhaozara</v>
      </c>
    </row>
    <row r="429" spans="8:14" x14ac:dyDescent="0.35">
      <c r="H429" t="s">
        <v>227</v>
      </c>
      <c r="I429" t="s">
        <v>256</v>
      </c>
      <c r="J429" t="s">
        <v>384</v>
      </c>
      <c r="K429" s="80" t="s">
        <v>1350</v>
      </c>
      <c r="L429" t="s">
        <v>1351</v>
      </c>
      <c r="M429" t="s">
        <v>232</v>
      </c>
      <c r="N429" t="str">
        <f t="shared" si="6"/>
        <v>CCFNebOhaozara</v>
      </c>
    </row>
    <row r="430" spans="8:14" x14ac:dyDescent="0.35">
      <c r="H430" t="s">
        <v>227</v>
      </c>
      <c r="I430" t="s">
        <v>256</v>
      </c>
      <c r="J430" t="s">
        <v>384</v>
      </c>
      <c r="K430" s="80" t="s">
        <v>1352</v>
      </c>
      <c r="L430" t="s">
        <v>1353</v>
      </c>
      <c r="M430" t="s">
        <v>232</v>
      </c>
      <c r="N430" t="str">
        <f t="shared" si="6"/>
        <v>CCFNebOhaozara</v>
      </c>
    </row>
    <row r="431" spans="8:14" x14ac:dyDescent="0.35">
      <c r="H431" t="s">
        <v>227</v>
      </c>
      <c r="I431" t="s">
        <v>256</v>
      </c>
      <c r="J431" t="s">
        <v>384</v>
      </c>
      <c r="K431" s="80" t="s">
        <v>1354</v>
      </c>
      <c r="L431" t="s">
        <v>1355</v>
      </c>
      <c r="M431" t="s">
        <v>232</v>
      </c>
      <c r="N431" t="str">
        <f t="shared" si="6"/>
        <v>CCFNebOhaozara</v>
      </c>
    </row>
    <row r="432" spans="8:14" x14ac:dyDescent="0.35">
      <c r="H432" t="s">
        <v>227</v>
      </c>
      <c r="I432" t="s">
        <v>256</v>
      </c>
      <c r="J432" t="s">
        <v>387</v>
      </c>
      <c r="K432" s="80" t="s">
        <v>1356</v>
      </c>
      <c r="L432" t="s">
        <v>1357</v>
      </c>
      <c r="M432" t="s">
        <v>232</v>
      </c>
      <c r="N432" t="str">
        <f t="shared" si="6"/>
        <v>CCFNebOhaukwu</v>
      </c>
    </row>
    <row r="433" spans="8:14" x14ac:dyDescent="0.35">
      <c r="H433" t="s">
        <v>227</v>
      </c>
      <c r="I433" t="s">
        <v>256</v>
      </c>
      <c r="J433" t="s">
        <v>387</v>
      </c>
      <c r="K433" s="80" t="s">
        <v>1358</v>
      </c>
      <c r="L433" t="s">
        <v>1359</v>
      </c>
      <c r="M433" t="s">
        <v>232</v>
      </c>
      <c r="N433" t="str">
        <f t="shared" si="6"/>
        <v>CCFNebOhaukwu</v>
      </c>
    </row>
    <row r="434" spans="8:14" x14ac:dyDescent="0.35">
      <c r="H434" t="s">
        <v>227</v>
      </c>
      <c r="I434" t="s">
        <v>256</v>
      </c>
      <c r="J434" t="s">
        <v>387</v>
      </c>
      <c r="K434" s="80" t="s">
        <v>1360</v>
      </c>
      <c r="L434" t="s">
        <v>1361</v>
      </c>
      <c r="M434" t="s">
        <v>232</v>
      </c>
      <c r="N434" t="str">
        <f t="shared" si="6"/>
        <v>CCFNebOhaukwu</v>
      </c>
    </row>
    <row r="435" spans="8:14" x14ac:dyDescent="0.35">
      <c r="H435" t="s">
        <v>227</v>
      </c>
      <c r="I435" t="s">
        <v>256</v>
      </c>
      <c r="J435" t="s">
        <v>387</v>
      </c>
      <c r="K435" s="80" t="s">
        <v>1362</v>
      </c>
      <c r="L435" t="s">
        <v>1363</v>
      </c>
      <c r="M435" t="s">
        <v>232</v>
      </c>
      <c r="N435" t="str">
        <f t="shared" si="6"/>
        <v>CCFNebOhaukwu</v>
      </c>
    </row>
    <row r="436" spans="8:14" x14ac:dyDescent="0.35">
      <c r="H436" t="s">
        <v>227</v>
      </c>
      <c r="I436" t="s">
        <v>256</v>
      </c>
      <c r="J436" t="s">
        <v>387</v>
      </c>
      <c r="K436" s="80" t="s">
        <v>1364</v>
      </c>
      <c r="L436" t="s">
        <v>1365</v>
      </c>
      <c r="M436" t="s">
        <v>232</v>
      </c>
      <c r="N436" t="str">
        <f t="shared" si="6"/>
        <v>CCFNebOhaukwu</v>
      </c>
    </row>
    <row r="437" spans="8:14" x14ac:dyDescent="0.35">
      <c r="H437" t="s">
        <v>227</v>
      </c>
      <c r="I437" t="s">
        <v>256</v>
      </c>
      <c r="J437" t="s">
        <v>390</v>
      </c>
      <c r="K437" s="80" t="s">
        <v>1366</v>
      </c>
      <c r="L437" t="s">
        <v>1367</v>
      </c>
      <c r="M437" t="s">
        <v>232</v>
      </c>
      <c r="N437" t="str">
        <f t="shared" si="6"/>
        <v>CCFNebOnicha</v>
      </c>
    </row>
    <row r="438" spans="8:14" x14ac:dyDescent="0.35">
      <c r="H438" t="s">
        <v>227</v>
      </c>
      <c r="I438" t="s">
        <v>256</v>
      </c>
      <c r="J438" t="s">
        <v>390</v>
      </c>
      <c r="K438" s="80" t="s">
        <v>1368</v>
      </c>
      <c r="L438" t="s">
        <v>1369</v>
      </c>
      <c r="M438" t="s">
        <v>232</v>
      </c>
      <c r="N438" t="str">
        <f t="shared" si="6"/>
        <v>CCFNebOnicha</v>
      </c>
    </row>
    <row r="439" spans="8:14" x14ac:dyDescent="0.35">
      <c r="H439" t="s">
        <v>227</v>
      </c>
      <c r="I439" t="s">
        <v>256</v>
      </c>
      <c r="J439" t="s">
        <v>390</v>
      </c>
      <c r="K439" s="80" t="s">
        <v>1370</v>
      </c>
      <c r="L439" t="s">
        <v>1371</v>
      </c>
      <c r="M439" t="s">
        <v>232</v>
      </c>
      <c r="N439" t="str">
        <f t="shared" si="6"/>
        <v>CCFNebOnicha</v>
      </c>
    </row>
    <row r="440" spans="8:14" x14ac:dyDescent="0.35">
      <c r="H440" t="s">
        <v>227</v>
      </c>
      <c r="I440" t="s">
        <v>256</v>
      </c>
      <c r="J440" t="s">
        <v>390</v>
      </c>
      <c r="K440" s="80" t="s">
        <v>1372</v>
      </c>
      <c r="L440" t="s">
        <v>1373</v>
      </c>
      <c r="M440" t="s">
        <v>232</v>
      </c>
      <c r="N440" t="str">
        <f t="shared" si="6"/>
        <v>CCFNebOnicha</v>
      </c>
    </row>
    <row r="441" spans="8:14" x14ac:dyDescent="0.35">
      <c r="H441" t="s">
        <v>227</v>
      </c>
      <c r="I441" t="s">
        <v>286</v>
      </c>
      <c r="J441" t="s">
        <v>730</v>
      </c>
      <c r="K441" s="80" t="s">
        <v>1374</v>
      </c>
      <c r="L441" t="s">
        <v>1375</v>
      </c>
      <c r="M441" t="s">
        <v>36</v>
      </c>
      <c r="N441" t="str">
        <f t="shared" si="6"/>
        <v>APINekAdoEkiti</v>
      </c>
    </row>
    <row r="442" spans="8:14" x14ac:dyDescent="0.35">
      <c r="H442" t="s">
        <v>227</v>
      </c>
      <c r="I442" t="s">
        <v>286</v>
      </c>
      <c r="J442" t="s">
        <v>730</v>
      </c>
      <c r="K442" s="80" t="s">
        <v>1376</v>
      </c>
      <c r="L442" t="s">
        <v>1377</v>
      </c>
      <c r="M442" t="s">
        <v>36</v>
      </c>
      <c r="N442" t="str">
        <f t="shared" si="6"/>
        <v>APINekAdoEkiti</v>
      </c>
    </row>
    <row r="443" spans="8:14" x14ac:dyDescent="0.35">
      <c r="H443" t="s">
        <v>227</v>
      </c>
      <c r="I443" t="s">
        <v>286</v>
      </c>
      <c r="J443" t="s">
        <v>733</v>
      </c>
      <c r="K443" s="80" t="s">
        <v>1378</v>
      </c>
      <c r="L443" t="s">
        <v>1379</v>
      </c>
      <c r="M443" t="s">
        <v>36</v>
      </c>
      <c r="N443" t="str">
        <f t="shared" si="6"/>
        <v>APINekEkitiEast</v>
      </c>
    </row>
    <row r="444" spans="8:14" x14ac:dyDescent="0.35">
      <c r="H444" t="s">
        <v>227</v>
      </c>
      <c r="I444" t="s">
        <v>286</v>
      </c>
      <c r="J444" t="s">
        <v>736</v>
      </c>
      <c r="K444" s="80" t="s">
        <v>1380</v>
      </c>
      <c r="L444" t="s">
        <v>1381</v>
      </c>
      <c r="M444" t="s">
        <v>36</v>
      </c>
      <c r="N444" t="str">
        <f t="shared" si="6"/>
        <v>APINekIdoOsi</v>
      </c>
    </row>
    <row r="445" spans="8:14" x14ac:dyDescent="0.35">
      <c r="H445" t="s">
        <v>227</v>
      </c>
      <c r="I445" t="s">
        <v>286</v>
      </c>
      <c r="J445" t="s">
        <v>739</v>
      </c>
      <c r="K445" s="80" t="s">
        <v>1382</v>
      </c>
      <c r="L445" t="s">
        <v>1383</v>
      </c>
      <c r="M445" t="s">
        <v>36</v>
      </c>
      <c r="N445" t="str">
        <f t="shared" si="6"/>
        <v>APINekIlejemeje</v>
      </c>
    </row>
    <row r="446" spans="8:14" x14ac:dyDescent="0.35">
      <c r="H446" s="80" t="s">
        <v>227</v>
      </c>
      <c r="I446" s="80" t="s">
        <v>286</v>
      </c>
      <c r="J446" s="80" t="s">
        <v>742</v>
      </c>
      <c r="K446" s="80" t="s">
        <v>1384</v>
      </c>
      <c r="L446" s="80" t="s">
        <v>1385</v>
      </c>
      <c r="M446" t="s">
        <v>36</v>
      </c>
      <c r="N446" t="str">
        <f t="shared" si="6"/>
        <v>APINekIrepodunIfelodun</v>
      </c>
    </row>
    <row r="447" spans="8:14" x14ac:dyDescent="0.35">
      <c r="H447" t="s">
        <v>227</v>
      </c>
      <c r="I447" t="s">
        <v>286</v>
      </c>
      <c r="J447" t="s">
        <v>745</v>
      </c>
      <c r="K447" s="80" t="s">
        <v>1386</v>
      </c>
      <c r="L447" t="s">
        <v>1387</v>
      </c>
      <c r="M447" t="s">
        <v>36</v>
      </c>
      <c r="N447" t="str">
        <f t="shared" si="6"/>
        <v>APINekOye</v>
      </c>
    </row>
    <row r="448" spans="8:14" x14ac:dyDescent="0.35">
      <c r="H448" t="s">
        <v>227</v>
      </c>
      <c r="I448" t="s">
        <v>260</v>
      </c>
      <c r="J448" t="s">
        <v>393</v>
      </c>
      <c r="K448" s="80" t="s">
        <v>1388</v>
      </c>
      <c r="L448" t="s">
        <v>1389</v>
      </c>
      <c r="M448" t="s">
        <v>232</v>
      </c>
      <c r="N448" t="str">
        <f t="shared" si="6"/>
        <v>CCFNenAninri</v>
      </c>
    </row>
    <row r="449" spans="8:14" x14ac:dyDescent="0.35">
      <c r="H449" t="s">
        <v>227</v>
      </c>
      <c r="I449" t="s">
        <v>260</v>
      </c>
      <c r="J449" t="s">
        <v>393</v>
      </c>
      <c r="K449" s="80" t="s">
        <v>1390</v>
      </c>
      <c r="L449" t="s">
        <v>1391</v>
      </c>
      <c r="M449" t="s">
        <v>232</v>
      </c>
      <c r="N449" t="str">
        <f t="shared" si="6"/>
        <v>CCFNenAninri</v>
      </c>
    </row>
    <row r="450" spans="8:14" x14ac:dyDescent="0.35">
      <c r="H450" t="s">
        <v>227</v>
      </c>
      <c r="I450" t="s">
        <v>260</v>
      </c>
      <c r="J450" t="s">
        <v>393</v>
      </c>
      <c r="K450" s="80" t="s">
        <v>1392</v>
      </c>
      <c r="L450" t="s">
        <v>1393</v>
      </c>
      <c r="M450" t="s">
        <v>232</v>
      </c>
      <c r="N450" t="str">
        <f t="shared" si="6"/>
        <v>CCFNenAninri</v>
      </c>
    </row>
    <row r="451" spans="8:14" x14ac:dyDescent="0.35">
      <c r="H451" t="s">
        <v>227</v>
      </c>
      <c r="I451" t="s">
        <v>260</v>
      </c>
      <c r="J451" t="s">
        <v>393</v>
      </c>
      <c r="K451" s="80" t="s">
        <v>1394</v>
      </c>
      <c r="L451" t="s">
        <v>1395</v>
      </c>
      <c r="M451" t="s">
        <v>232</v>
      </c>
      <c r="N451" t="str">
        <f t="shared" ref="N451:N514" si="7">SUBSTITUTE(SUBSTITUTE(M451&amp;J451," ",""),"-","")</f>
        <v>CCFNenAninri</v>
      </c>
    </row>
    <row r="452" spans="8:14" x14ac:dyDescent="0.35">
      <c r="H452" t="s">
        <v>227</v>
      </c>
      <c r="I452" t="s">
        <v>260</v>
      </c>
      <c r="J452" t="s">
        <v>393</v>
      </c>
      <c r="K452" s="80" t="s">
        <v>1396</v>
      </c>
      <c r="L452" t="s">
        <v>1397</v>
      </c>
      <c r="M452" t="s">
        <v>232</v>
      </c>
      <c r="N452" t="str">
        <f t="shared" si="7"/>
        <v>CCFNenAninri</v>
      </c>
    </row>
    <row r="453" spans="8:14" x14ac:dyDescent="0.35">
      <c r="H453" t="s">
        <v>227</v>
      </c>
      <c r="I453" t="s">
        <v>260</v>
      </c>
      <c r="J453" t="s">
        <v>393</v>
      </c>
      <c r="K453" s="80" t="s">
        <v>1398</v>
      </c>
      <c r="L453" t="s">
        <v>1399</v>
      </c>
      <c r="M453" t="s">
        <v>232</v>
      </c>
      <c r="N453" t="str">
        <f t="shared" si="7"/>
        <v>CCFNenAninri</v>
      </c>
    </row>
    <row r="454" spans="8:14" x14ac:dyDescent="0.35">
      <c r="H454" t="s">
        <v>227</v>
      </c>
      <c r="I454" t="s">
        <v>260</v>
      </c>
      <c r="J454" t="s">
        <v>393</v>
      </c>
      <c r="K454" s="80" t="s">
        <v>1400</v>
      </c>
      <c r="L454" t="s">
        <v>1401</v>
      </c>
      <c r="M454" t="s">
        <v>232</v>
      </c>
      <c r="N454" t="str">
        <f t="shared" si="7"/>
        <v>CCFNenAninri</v>
      </c>
    </row>
    <row r="455" spans="8:14" x14ac:dyDescent="0.35">
      <c r="H455" t="s">
        <v>227</v>
      </c>
      <c r="I455" t="s">
        <v>260</v>
      </c>
      <c r="J455" t="s">
        <v>396</v>
      </c>
      <c r="K455" s="80" t="s">
        <v>1402</v>
      </c>
      <c r="L455" t="s">
        <v>1403</v>
      </c>
      <c r="M455" t="s">
        <v>232</v>
      </c>
      <c r="N455" t="str">
        <f t="shared" si="7"/>
        <v>CCFNenAwgu</v>
      </c>
    </row>
    <row r="456" spans="8:14" x14ac:dyDescent="0.35">
      <c r="H456" t="s">
        <v>227</v>
      </c>
      <c r="I456" t="s">
        <v>260</v>
      </c>
      <c r="J456" t="s">
        <v>396</v>
      </c>
      <c r="K456" s="80" t="s">
        <v>1404</v>
      </c>
      <c r="L456" t="s">
        <v>1405</v>
      </c>
      <c r="M456" t="s">
        <v>232</v>
      </c>
      <c r="N456" t="str">
        <f t="shared" si="7"/>
        <v>CCFNenAwgu</v>
      </c>
    </row>
    <row r="457" spans="8:14" x14ac:dyDescent="0.35">
      <c r="H457" t="s">
        <v>227</v>
      </c>
      <c r="I457" t="s">
        <v>260</v>
      </c>
      <c r="J457" t="s">
        <v>396</v>
      </c>
      <c r="K457" s="80" t="s">
        <v>1406</v>
      </c>
      <c r="L457" t="s">
        <v>1407</v>
      </c>
      <c r="M457" t="s">
        <v>232</v>
      </c>
      <c r="N457" t="str">
        <f t="shared" si="7"/>
        <v>CCFNenAwgu</v>
      </c>
    </row>
    <row r="458" spans="8:14" x14ac:dyDescent="0.35">
      <c r="H458" t="s">
        <v>227</v>
      </c>
      <c r="I458" t="s">
        <v>260</v>
      </c>
      <c r="J458" t="s">
        <v>396</v>
      </c>
      <c r="K458" s="80" t="s">
        <v>1408</v>
      </c>
      <c r="L458" t="s">
        <v>1409</v>
      </c>
      <c r="M458" t="s">
        <v>232</v>
      </c>
      <c r="N458" t="str">
        <f t="shared" si="7"/>
        <v>CCFNenAwgu</v>
      </c>
    </row>
    <row r="459" spans="8:14" x14ac:dyDescent="0.35">
      <c r="H459" t="s">
        <v>227</v>
      </c>
      <c r="I459" t="s">
        <v>260</v>
      </c>
      <c r="J459" t="s">
        <v>399</v>
      </c>
      <c r="K459" s="80" t="s">
        <v>1410</v>
      </c>
      <c r="L459" t="s">
        <v>1411</v>
      </c>
      <c r="M459" t="s">
        <v>232</v>
      </c>
      <c r="N459" t="str">
        <f t="shared" si="7"/>
        <v>CCFNenEnuguEast</v>
      </c>
    </row>
    <row r="460" spans="8:14" x14ac:dyDescent="0.35">
      <c r="H460" t="s">
        <v>227</v>
      </c>
      <c r="I460" t="s">
        <v>260</v>
      </c>
      <c r="J460" t="s">
        <v>399</v>
      </c>
      <c r="K460" s="80" t="s">
        <v>1412</v>
      </c>
      <c r="L460" t="s">
        <v>1413</v>
      </c>
      <c r="M460" t="s">
        <v>232</v>
      </c>
      <c r="N460" t="str">
        <f t="shared" si="7"/>
        <v>CCFNenEnuguEast</v>
      </c>
    </row>
    <row r="461" spans="8:14" x14ac:dyDescent="0.35">
      <c r="H461" t="s">
        <v>227</v>
      </c>
      <c r="I461" t="s">
        <v>260</v>
      </c>
      <c r="J461" t="s">
        <v>399</v>
      </c>
      <c r="K461" s="80" t="s">
        <v>1414</v>
      </c>
      <c r="L461" t="s">
        <v>1415</v>
      </c>
      <c r="M461" t="s">
        <v>232</v>
      </c>
      <c r="N461" t="str">
        <f t="shared" si="7"/>
        <v>CCFNenEnuguEast</v>
      </c>
    </row>
    <row r="462" spans="8:14" x14ac:dyDescent="0.35">
      <c r="H462" t="s">
        <v>227</v>
      </c>
      <c r="I462" t="s">
        <v>260</v>
      </c>
      <c r="J462" t="s">
        <v>399</v>
      </c>
      <c r="K462" s="80" t="s">
        <v>1416</v>
      </c>
      <c r="L462" t="s">
        <v>1417</v>
      </c>
      <c r="M462" t="s">
        <v>232</v>
      </c>
      <c r="N462" t="str">
        <f t="shared" si="7"/>
        <v>CCFNenEnuguEast</v>
      </c>
    </row>
    <row r="463" spans="8:14" x14ac:dyDescent="0.35">
      <c r="H463" t="s">
        <v>227</v>
      </c>
      <c r="I463" t="s">
        <v>260</v>
      </c>
      <c r="J463" t="s">
        <v>399</v>
      </c>
      <c r="K463" s="80" t="s">
        <v>1418</v>
      </c>
      <c r="L463" t="s">
        <v>1419</v>
      </c>
      <c r="M463" t="s">
        <v>232</v>
      </c>
      <c r="N463" t="str">
        <f t="shared" si="7"/>
        <v>CCFNenEnuguEast</v>
      </c>
    </row>
    <row r="464" spans="8:14" x14ac:dyDescent="0.35">
      <c r="H464" t="s">
        <v>227</v>
      </c>
      <c r="I464" t="s">
        <v>260</v>
      </c>
      <c r="J464" t="s">
        <v>399</v>
      </c>
      <c r="K464" s="80" t="s">
        <v>1420</v>
      </c>
      <c r="L464" t="s">
        <v>1421</v>
      </c>
      <c r="M464" t="s">
        <v>232</v>
      </c>
      <c r="N464" t="str">
        <f t="shared" si="7"/>
        <v>CCFNenEnuguEast</v>
      </c>
    </row>
    <row r="465" spans="8:14" x14ac:dyDescent="0.35">
      <c r="H465" t="s">
        <v>227</v>
      </c>
      <c r="I465" t="s">
        <v>260</v>
      </c>
      <c r="J465" t="s">
        <v>399</v>
      </c>
      <c r="K465" s="80" t="s">
        <v>1422</v>
      </c>
      <c r="L465" t="s">
        <v>1423</v>
      </c>
      <c r="M465" t="s">
        <v>232</v>
      </c>
      <c r="N465" t="str">
        <f t="shared" si="7"/>
        <v>CCFNenEnuguEast</v>
      </c>
    </row>
    <row r="466" spans="8:14" x14ac:dyDescent="0.35">
      <c r="H466" t="s">
        <v>227</v>
      </c>
      <c r="I466" t="s">
        <v>260</v>
      </c>
      <c r="J466" t="s">
        <v>399</v>
      </c>
      <c r="K466" s="80" t="s">
        <v>1424</v>
      </c>
      <c r="L466" t="s">
        <v>1425</v>
      </c>
      <c r="M466" t="s">
        <v>232</v>
      </c>
      <c r="N466" t="str">
        <f t="shared" si="7"/>
        <v>CCFNenEnuguEast</v>
      </c>
    </row>
    <row r="467" spans="8:14" x14ac:dyDescent="0.35">
      <c r="H467" t="s">
        <v>227</v>
      </c>
      <c r="I467" t="s">
        <v>260</v>
      </c>
      <c r="J467" t="s">
        <v>399</v>
      </c>
      <c r="K467" s="80" t="s">
        <v>1426</v>
      </c>
      <c r="L467" t="s">
        <v>1427</v>
      </c>
      <c r="M467" t="s">
        <v>232</v>
      </c>
      <c r="N467" t="str">
        <f t="shared" si="7"/>
        <v>CCFNenEnuguEast</v>
      </c>
    </row>
    <row r="468" spans="8:14" x14ac:dyDescent="0.35">
      <c r="H468" t="s">
        <v>227</v>
      </c>
      <c r="I468" t="s">
        <v>260</v>
      </c>
      <c r="J468" t="s">
        <v>399</v>
      </c>
      <c r="K468" s="80" t="s">
        <v>1428</v>
      </c>
      <c r="L468" t="s">
        <v>1429</v>
      </c>
      <c r="M468" t="s">
        <v>232</v>
      </c>
      <c r="N468" t="str">
        <f t="shared" si="7"/>
        <v>CCFNenEnuguEast</v>
      </c>
    </row>
    <row r="469" spans="8:14" x14ac:dyDescent="0.35">
      <c r="H469" t="s">
        <v>227</v>
      </c>
      <c r="I469" t="s">
        <v>260</v>
      </c>
      <c r="J469" t="s">
        <v>402</v>
      </c>
      <c r="K469" s="80" t="s">
        <v>1430</v>
      </c>
      <c r="L469" t="s">
        <v>1431</v>
      </c>
      <c r="M469" t="s">
        <v>232</v>
      </c>
      <c r="N469" t="str">
        <f t="shared" si="7"/>
        <v>CCFNenEnuguNorth</v>
      </c>
    </row>
    <row r="470" spans="8:14" x14ac:dyDescent="0.35">
      <c r="H470" t="s">
        <v>227</v>
      </c>
      <c r="I470" t="s">
        <v>260</v>
      </c>
      <c r="J470" t="s">
        <v>402</v>
      </c>
      <c r="K470" s="80" t="s">
        <v>1432</v>
      </c>
      <c r="L470" t="s">
        <v>1433</v>
      </c>
      <c r="M470" t="s">
        <v>232</v>
      </c>
      <c r="N470" t="str">
        <f t="shared" si="7"/>
        <v>CCFNenEnuguNorth</v>
      </c>
    </row>
    <row r="471" spans="8:14" x14ac:dyDescent="0.35">
      <c r="H471" t="s">
        <v>227</v>
      </c>
      <c r="I471" t="s">
        <v>260</v>
      </c>
      <c r="J471" t="s">
        <v>402</v>
      </c>
      <c r="K471" s="80" t="s">
        <v>1434</v>
      </c>
      <c r="L471" t="s">
        <v>1435</v>
      </c>
      <c r="M471" t="s">
        <v>232</v>
      </c>
      <c r="N471" t="str">
        <f t="shared" si="7"/>
        <v>CCFNenEnuguNorth</v>
      </c>
    </row>
    <row r="472" spans="8:14" x14ac:dyDescent="0.35">
      <c r="H472" t="s">
        <v>227</v>
      </c>
      <c r="I472" t="s">
        <v>260</v>
      </c>
      <c r="J472" t="s">
        <v>402</v>
      </c>
      <c r="K472" s="80" t="s">
        <v>1436</v>
      </c>
      <c r="L472" t="s">
        <v>1437</v>
      </c>
      <c r="M472" t="s">
        <v>232</v>
      </c>
      <c r="N472" t="str">
        <f t="shared" si="7"/>
        <v>CCFNenEnuguNorth</v>
      </c>
    </row>
    <row r="473" spans="8:14" x14ac:dyDescent="0.35">
      <c r="H473" t="s">
        <v>227</v>
      </c>
      <c r="I473" t="s">
        <v>260</v>
      </c>
      <c r="J473" t="s">
        <v>402</v>
      </c>
      <c r="K473" s="80" t="s">
        <v>1438</v>
      </c>
      <c r="L473" t="s">
        <v>1439</v>
      </c>
      <c r="M473" t="s">
        <v>232</v>
      </c>
      <c r="N473" t="str">
        <f t="shared" si="7"/>
        <v>CCFNenEnuguNorth</v>
      </c>
    </row>
    <row r="474" spans="8:14" x14ac:dyDescent="0.35">
      <c r="H474" t="s">
        <v>227</v>
      </c>
      <c r="I474" t="s">
        <v>260</v>
      </c>
      <c r="J474" t="s">
        <v>402</v>
      </c>
      <c r="K474" s="80" t="s">
        <v>1440</v>
      </c>
      <c r="L474" t="s">
        <v>1441</v>
      </c>
      <c r="M474" t="s">
        <v>232</v>
      </c>
      <c r="N474" t="str">
        <f t="shared" si="7"/>
        <v>CCFNenEnuguNorth</v>
      </c>
    </row>
    <row r="475" spans="8:14" x14ac:dyDescent="0.35">
      <c r="H475" t="s">
        <v>227</v>
      </c>
      <c r="I475" t="s">
        <v>260</v>
      </c>
      <c r="J475" t="s">
        <v>405</v>
      </c>
      <c r="K475" s="80" t="s">
        <v>1442</v>
      </c>
      <c r="L475" t="s">
        <v>1443</v>
      </c>
      <c r="M475" t="s">
        <v>232</v>
      </c>
      <c r="N475" t="str">
        <f t="shared" si="7"/>
        <v>CCFNenEnuguSouth</v>
      </c>
    </row>
    <row r="476" spans="8:14" x14ac:dyDescent="0.35">
      <c r="H476" t="s">
        <v>227</v>
      </c>
      <c r="I476" t="s">
        <v>260</v>
      </c>
      <c r="J476" t="s">
        <v>405</v>
      </c>
      <c r="K476" s="80" t="s">
        <v>1444</v>
      </c>
      <c r="L476" t="s">
        <v>1445</v>
      </c>
      <c r="M476" t="s">
        <v>232</v>
      </c>
      <c r="N476" t="str">
        <f t="shared" si="7"/>
        <v>CCFNenEnuguSouth</v>
      </c>
    </row>
    <row r="477" spans="8:14" x14ac:dyDescent="0.35">
      <c r="H477" t="s">
        <v>227</v>
      </c>
      <c r="I477" t="s">
        <v>260</v>
      </c>
      <c r="J477" t="s">
        <v>405</v>
      </c>
      <c r="K477" s="80" t="s">
        <v>1446</v>
      </c>
      <c r="L477" t="s">
        <v>1447</v>
      </c>
      <c r="M477" t="s">
        <v>232</v>
      </c>
      <c r="N477" t="str">
        <f t="shared" si="7"/>
        <v>CCFNenEnuguSouth</v>
      </c>
    </row>
    <row r="478" spans="8:14" x14ac:dyDescent="0.35">
      <c r="H478" t="s">
        <v>227</v>
      </c>
      <c r="I478" t="s">
        <v>260</v>
      </c>
      <c r="J478" t="s">
        <v>405</v>
      </c>
      <c r="K478" s="80" t="s">
        <v>1448</v>
      </c>
      <c r="L478" t="s">
        <v>1449</v>
      </c>
      <c r="M478" t="s">
        <v>232</v>
      </c>
      <c r="N478" t="str">
        <f t="shared" si="7"/>
        <v>CCFNenEnuguSouth</v>
      </c>
    </row>
    <row r="479" spans="8:14" x14ac:dyDescent="0.35">
      <c r="H479" t="s">
        <v>227</v>
      </c>
      <c r="I479" t="s">
        <v>260</v>
      </c>
      <c r="J479" t="s">
        <v>405</v>
      </c>
      <c r="K479" s="80" t="s">
        <v>1450</v>
      </c>
      <c r="L479" t="s">
        <v>1451</v>
      </c>
      <c r="M479" t="s">
        <v>232</v>
      </c>
      <c r="N479" t="str">
        <f t="shared" si="7"/>
        <v>CCFNenEnuguSouth</v>
      </c>
    </row>
    <row r="480" spans="8:14" x14ac:dyDescent="0.35">
      <c r="H480" t="s">
        <v>227</v>
      </c>
      <c r="I480" t="s">
        <v>260</v>
      </c>
      <c r="J480" t="s">
        <v>405</v>
      </c>
      <c r="K480" s="80" t="s">
        <v>1452</v>
      </c>
      <c r="L480" t="s">
        <v>1453</v>
      </c>
      <c r="M480" t="s">
        <v>232</v>
      </c>
      <c r="N480" t="str">
        <f t="shared" si="7"/>
        <v>CCFNenEnuguSouth</v>
      </c>
    </row>
    <row r="481" spans="8:14" x14ac:dyDescent="0.35">
      <c r="H481" t="s">
        <v>227</v>
      </c>
      <c r="I481" t="s">
        <v>260</v>
      </c>
      <c r="J481" t="s">
        <v>408</v>
      </c>
      <c r="K481" s="80" t="s">
        <v>1454</v>
      </c>
      <c r="L481" t="s">
        <v>1455</v>
      </c>
      <c r="M481" t="s">
        <v>232</v>
      </c>
      <c r="N481" t="str">
        <f t="shared" si="7"/>
        <v>CCFNenEzeagu</v>
      </c>
    </row>
    <row r="482" spans="8:14" x14ac:dyDescent="0.35">
      <c r="H482" t="s">
        <v>227</v>
      </c>
      <c r="I482" t="s">
        <v>260</v>
      </c>
      <c r="J482" t="s">
        <v>408</v>
      </c>
      <c r="K482" s="80" t="s">
        <v>1456</v>
      </c>
      <c r="L482" t="s">
        <v>1457</v>
      </c>
      <c r="M482" t="s">
        <v>232</v>
      </c>
      <c r="N482" t="str">
        <f t="shared" si="7"/>
        <v>CCFNenEzeagu</v>
      </c>
    </row>
    <row r="483" spans="8:14" x14ac:dyDescent="0.35">
      <c r="H483" t="s">
        <v>227</v>
      </c>
      <c r="I483" t="s">
        <v>260</v>
      </c>
      <c r="J483" t="s">
        <v>411</v>
      </c>
      <c r="K483" s="80" t="s">
        <v>1458</v>
      </c>
      <c r="L483" t="s">
        <v>1459</v>
      </c>
      <c r="M483" t="s">
        <v>232</v>
      </c>
      <c r="N483" t="str">
        <f t="shared" si="7"/>
        <v>CCFNenIgboEtiti</v>
      </c>
    </row>
    <row r="484" spans="8:14" x14ac:dyDescent="0.35">
      <c r="H484" t="s">
        <v>227</v>
      </c>
      <c r="I484" t="s">
        <v>260</v>
      </c>
      <c r="J484" t="s">
        <v>411</v>
      </c>
      <c r="K484" s="80" t="s">
        <v>1460</v>
      </c>
      <c r="L484" t="s">
        <v>1461</v>
      </c>
      <c r="M484" t="s">
        <v>232</v>
      </c>
      <c r="N484" t="str">
        <f t="shared" si="7"/>
        <v>CCFNenIgboEtiti</v>
      </c>
    </row>
    <row r="485" spans="8:14" x14ac:dyDescent="0.35">
      <c r="H485" t="s">
        <v>227</v>
      </c>
      <c r="I485" t="s">
        <v>260</v>
      </c>
      <c r="J485" t="s">
        <v>411</v>
      </c>
      <c r="K485" s="80" t="s">
        <v>1462</v>
      </c>
      <c r="L485" t="s">
        <v>1463</v>
      </c>
      <c r="M485" t="s">
        <v>232</v>
      </c>
      <c r="N485" t="str">
        <f t="shared" si="7"/>
        <v>CCFNenIgboEtiti</v>
      </c>
    </row>
    <row r="486" spans="8:14" x14ac:dyDescent="0.35">
      <c r="H486" t="s">
        <v>227</v>
      </c>
      <c r="I486" t="s">
        <v>260</v>
      </c>
      <c r="J486" t="s">
        <v>411</v>
      </c>
      <c r="K486" s="80" t="s">
        <v>1464</v>
      </c>
      <c r="L486" t="s">
        <v>1465</v>
      </c>
      <c r="M486" t="s">
        <v>232</v>
      </c>
      <c r="N486" t="str">
        <f t="shared" si="7"/>
        <v>CCFNenIgboEtiti</v>
      </c>
    </row>
    <row r="487" spans="8:14" x14ac:dyDescent="0.35">
      <c r="H487" t="s">
        <v>227</v>
      </c>
      <c r="I487" t="s">
        <v>260</v>
      </c>
      <c r="J487" t="s">
        <v>411</v>
      </c>
      <c r="K487" s="80" t="s">
        <v>1466</v>
      </c>
      <c r="L487" t="s">
        <v>1467</v>
      </c>
      <c r="M487" t="s">
        <v>232</v>
      </c>
      <c r="N487" t="str">
        <f t="shared" si="7"/>
        <v>CCFNenIgboEtiti</v>
      </c>
    </row>
    <row r="488" spans="8:14" x14ac:dyDescent="0.35">
      <c r="H488" t="s">
        <v>227</v>
      </c>
      <c r="I488" t="s">
        <v>260</v>
      </c>
      <c r="J488" t="s">
        <v>414</v>
      </c>
      <c r="K488" s="80" t="s">
        <v>1468</v>
      </c>
      <c r="L488" t="s">
        <v>1469</v>
      </c>
      <c r="M488" t="s">
        <v>232</v>
      </c>
      <c r="N488" t="str">
        <f t="shared" si="7"/>
        <v>CCFNenIgboEzeNorth</v>
      </c>
    </row>
    <row r="489" spans="8:14" x14ac:dyDescent="0.35">
      <c r="H489" t="s">
        <v>227</v>
      </c>
      <c r="I489" t="s">
        <v>260</v>
      </c>
      <c r="J489" t="s">
        <v>414</v>
      </c>
      <c r="K489" s="80" t="s">
        <v>1470</v>
      </c>
      <c r="L489" t="s">
        <v>1471</v>
      </c>
      <c r="M489" t="s">
        <v>232</v>
      </c>
      <c r="N489" t="str">
        <f t="shared" si="7"/>
        <v>CCFNenIgboEzeNorth</v>
      </c>
    </row>
    <row r="490" spans="8:14" x14ac:dyDescent="0.35">
      <c r="H490" t="s">
        <v>227</v>
      </c>
      <c r="I490" t="s">
        <v>260</v>
      </c>
      <c r="J490" t="s">
        <v>414</v>
      </c>
      <c r="K490" s="80" t="s">
        <v>1472</v>
      </c>
      <c r="L490" t="s">
        <v>1473</v>
      </c>
      <c r="M490" t="s">
        <v>232</v>
      </c>
      <c r="N490" t="str">
        <f t="shared" si="7"/>
        <v>CCFNenIgboEzeNorth</v>
      </c>
    </row>
    <row r="491" spans="8:14" x14ac:dyDescent="0.35">
      <c r="H491" t="s">
        <v>227</v>
      </c>
      <c r="I491" t="s">
        <v>260</v>
      </c>
      <c r="J491" t="s">
        <v>414</v>
      </c>
      <c r="K491" s="80" t="s">
        <v>1474</v>
      </c>
      <c r="L491" t="s">
        <v>1475</v>
      </c>
      <c r="M491" t="s">
        <v>232</v>
      </c>
      <c r="N491" t="str">
        <f t="shared" si="7"/>
        <v>CCFNenIgboEzeNorth</v>
      </c>
    </row>
    <row r="492" spans="8:14" x14ac:dyDescent="0.35">
      <c r="H492" t="s">
        <v>227</v>
      </c>
      <c r="I492" t="s">
        <v>260</v>
      </c>
      <c r="J492" t="s">
        <v>414</v>
      </c>
      <c r="K492" s="80" t="s">
        <v>1476</v>
      </c>
      <c r="L492" t="s">
        <v>1477</v>
      </c>
      <c r="M492" t="s">
        <v>232</v>
      </c>
      <c r="N492" t="str">
        <f t="shared" si="7"/>
        <v>CCFNenIgboEzeNorth</v>
      </c>
    </row>
    <row r="493" spans="8:14" x14ac:dyDescent="0.35">
      <c r="H493" t="s">
        <v>227</v>
      </c>
      <c r="I493" t="s">
        <v>260</v>
      </c>
      <c r="J493" t="s">
        <v>414</v>
      </c>
      <c r="K493" s="80" t="s">
        <v>1478</v>
      </c>
      <c r="L493" t="s">
        <v>1479</v>
      </c>
      <c r="M493" t="s">
        <v>232</v>
      </c>
      <c r="N493" t="str">
        <f t="shared" si="7"/>
        <v>CCFNenIgboEzeNorth</v>
      </c>
    </row>
    <row r="494" spans="8:14" x14ac:dyDescent="0.35">
      <c r="H494" t="s">
        <v>227</v>
      </c>
      <c r="I494" t="s">
        <v>260</v>
      </c>
      <c r="J494" t="s">
        <v>414</v>
      </c>
      <c r="K494" s="80" t="s">
        <v>1480</v>
      </c>
      <c r="L494" t="s">
        <v>1481</v>
      </c>
      <c r="M494" t="s">
        <v>232</v>
      </c>
      <c r="N494" t="str">
        <f t="shared" si="7"/>
        <v>CCFNenIgboEzeNorth</v>
      </c>
    </row>
    <row r="495" spans="8:14" x14ac:dyDescent="0.35">
      <c r="H495" t="s">
        <v>227</v>
      </c>
      <c r="I495" t="s">
        <v>260</v>
      </c>
      <c r="J495" t="s">
        <v>417</v>
      </c>
      <c r="K495" s="80" t="s">
        <v>1482</v>
      </c>
      <c r="L495" t="s">
        <v>1483</v>
      </c>
      <c r="M495" t="s">
        <v>232</v>
      </c>
      <c r="N495" t="str">
        <f t="shared" si="7"/>
        <v>CCFNenIgboEzeSouth</v>
      </c>
    </row>
    <row r="496" spans="8:14" x14ac:dyDescent="0.35">
      <c r="H496" t="s">
        <v>227</v>
      </c>
      <c r="I496" t="s">
        <v>260</v>
      </c>
      <c r="J496" t="s">
        <v>417</v>
      </c>
      <c r="K496" s="80" t="s">
        <v>1484</v>
      </c>
      <c r="L496" t="s">
        <v>1485</v>
      </c>
      <c r="M496" t="s">
        <v>232</v>
      </c>
      <c r="N496" t="str">
        <f t="shared" si="7"/>
        <v>CCFNenIgboEzeSouth</v>
      </c>
    </row>
    <row r="497" spans="8:14" x14ac:dyDescent="0.35">
      <c r="H497" t="s">
        <v>227</v>
      </c>
      <c r="I497" t="s">
        <v>260</v>
      </c>
      <c r="J497" t="s">
        <v>417</v>
      </c>
      <c r="K497" s="80" t="s">
        <v>1486</v>
      </c>
      <c r="L497" t="s">
        <v>1487</v>
      </c>
      <c r="M497" t="s">
        <v>232</v>
      </c>
      <c r="N497" t="str">
        <f t="shared" si="7"/>
        <v>CCFNenIgboEzeSouth</v>
      </c>
    </row>
    <row r="498" spans="8:14" x14ac:dyDescent="0.35">
      <c r="H498" t="s">
        <v>227</v>
      </c>
      <c r="I498" t="s">
        <v>260</v>
      </c>
      <c r="J498" t="s">
        <v>420</v>
      </c>
      <c r="K498" s="80" t="s">
        <v>1488</v>
      </c>
      <c r="L498" t="s">
        <v>1489</v>
      </c>
      <c r="M498" t="s">
        <v>232</v>
      </c>
      <c r="N498" t="str">
        <f t="shared" si="7"/>
        <v>CCFNenIsiuzo</v>
      </c>
    </row>
    <row r="499" spans="8:14" x14ac:dyDescent="0.35">
      <c r="H499" t="s">
        <v>227</v>
      </c>
      <c r="I499" t="s">
        <v>260</v>
      </c>
      <c r="J499" t="s">
        <v>420</v>
      </c>
      <c r="K499" s="80" t="s">
        <v>1490</v>
      </c>
      <c r="L499" t="s">
        <v>1491</v>
      </c>
      <c r="M499" t="s">
        <v>232</v>
      </c>
      <c r="N499" t="str">
        <f t="shared" si="7"/>
        <v>CCFNenIsiuzo</v>
      </c>
    </row>
    <row r="500" spans="8:14" x14ac:dyDescent="0.35">
      <c r="H500" t="s">
        <v>227</v>
      </c>
      <c r="I500" t="s">
        <v>260</v>
      </c>
      <c r="J500" t="s">
        <v>420</v>
      </c>
      <c r="K500" s="80" t="s">
        <v>1492</v>
      </c>
      <c r="L500" t="s">
        <v>1493</v>
      </c>
      <c r="M500" t="s">
        <v>232</v>
      </c>
      <c r="N500" t="str">
        <f t="shared" si="7"/>
        <v>CCFNenIsiuzo</v>
      </c>
    </row>
    <row r="501" spans="8:14" x14ac:dyDescent="0.35">
      <c r="H501" t="s">
        <v>227</v>
      </c>
      <c r="I501" t="s">
        <v>260</v>
      </c>
      <c r="J501" t="s">
        <v>420</v>
      </c>
      <c r="K501" s="80" t="s">
        <v>1494</v>
      </c>
      <c r="L501" t="s">
        <v>1495</v>
      </c>
      <c r="M501" t="s">
        <v>232</v>
      </c>
      <c r="N501" t="str">
        <f t="shared" si="7"/>
        <v>CCFNenIsiuzo</v>
      </c>
    </row>
    <row r="502" spans="8:14" x14ac:dyDescent="0.35">
      <c r="H502" t="s">
        <v>227</v>
      </c>
      <c r="I502" t="s">
        <v>260</v>
      </c>
      <c r="J502" t="s">
        <v>420</v>
      </c>
      <c r="K502" s="80" t="s">
        <v>1496</v>
      </c>
      <c r="L502" t="s">
        <v>1497</v>
      </c>
      <c r="M502" t="s">
        <v>232</v>
      </c>
      <c r="N502" t="str">
        <f t="shared" si="7"/>
        <v>CCFNenIsiuzo</v>
      </c>
    </row>
    <row r="503" spans="8:14" x14ac:dyDescent="0.35">
      <c r="H503" t="s">
        <v>227</v>
      </c>
      <c r="I503" t="s">
        <v>260</v>
      </c>
      <c r="J503" t="s">
        <v>423</v>
      </c>
      <c r="K503" s="80" t="s">
        <v>1498</v>
      </c>
      <c r="L503" t="s">
        <v>1499</v>
      </c>
      <c r="M503" t="s">
        <v>232</v>
      </c>
      <c r="N503" t="str">
        <f t="shared" si="7"/>
        <v>CCFNenNkanuEast</v>
      </c>
    </row>
    <row r="504" spans="8:14" x14ac:dyDescent="0.35">
      <c r="H504" t="s">
        <v>227</v>
      </c>
      <c r="I504" t="s">
        <v>260</v>
      </c>
      <c r="J504" t="s">
        <v>426</v>
      </c>
      <c r="K504" s="80" t="s">
        <v>1500</v>
      </c>
      <c r="L504" t="s">
        <v>1501</v>
      </c>
      <c r="M504" t="s">
        <v>232</v>
      </c>
      <c r="N504" t="str">
        <f t="shared" si="7"/>
        <v>CCFNenNkanuWest</v>
      </c>
    </row>
    <row r="505" spans="8:14" x14ac:dyDescent="0.35">
      <c r="H505" t="s">
        <v>227</v>
      </c>
      <c r="I505" t="s">
        <v>260</v>
      </c>
      <c r="J505" t="s">
        <v>426</v>
      </c>
      <c r="K505" s="80" t="s">
        <v>1502</v>
      </c>
      <c r="L505" t="s">
        <v>1503</v>
      </c>
      <c r="M505" t="s">
        <v>232</v>
      </c>
      <c r="N505" t="str">
        <f t="shared" si="7"/>
        <v>CCFNenNkanuWest</v>
      </c>
    </row>
    <row r="506" spans="8:14" x14ac:dyDescent="0.35">
      <c r="H506" t="s">
        <v>227</v>
      </c>
      <c r="I506" t="s">
        <v>260</v>
      </c>
      <c r="J506" t="s">
        <v>426</v>
      </c>
      <c r="K506" s="80" t="s">
        <v>1504</v>
      </c>
      <c r="L506" t="s">
        <v>1505</v>
      </c>
      <c r="M506" t="s">
        <v>232</v>
      </c>
      <c r="N506" t="str">
        <f t="shared" si="7"/>
        <v>CCFNenNkanuWest</v>
      </c>
    </row>
    <row r="507" spans="8:14" x14ac:dyDescent="0.35">
      <c r="H507" t="s">
        <v>227</v>
      </c>
      <c r="I507" t="s">
        <v>260</v>
      </c>
      <c r="J507" t="s">
        <v>429</v>
      </c>
      <c r="K507" s="80" t="s">
        <v>1506</v>
      </c>
      <c r="L507" t="s">
        <v>1507</v>
      </c>
      <c r="M507" t="s">
        <v>232</v>
      </c>
      <c r="N507" t="str">
        <f t="shared" si="7"/>
        <v>CCFNenNsukka</v>
      </c>
    </row>
    <row r="508" spans="8:14" x14ac:dyDescent="0.35">
      <c r="H508" t="s">
        <v>227</v>
      </c>
      <c r="I508" t="s">
        <v>260</v>
      </c>
      <c r="J508" t="s">
        <v>429</v>
      </c>
      <c r="K508" s="80" t="s">
        <v>1508</v>
      </c>
      <c r="L508" t="s">
        <v>1509</v>
      </c>
      <c r="M508" t="s">
        <v>232</v>
      </c>
      <c r="N508" t="str">
        <f t="shared" si="7"/>
        <v>CCFNenNsukka</v>
      </c>
    </row>
    <row r="509" spans="8:14" x14ac:dyDescent="0.35">
      <c r="H509" t="s">
        <v>227</v>
      </c>
      <c r="I509" t="s">
        <v>260</v>
      </c>
      <c r="J509" t="s">
        <v>429</v>
      </c>
      <c r="K509" s="80" t="s">
        <v>1510</v>
      </c>
      <c r="L509" t="s">
        <v>1511</v>
      </c>
      <c r="M509" t="s">
        <v>232</v>
      </c>
      <c r="N509" t="str">
        <f t="shared" si="7"/>
        <v>CCFNenNsukka</v>
      </c>
    </row>
    <row r="510" spans="8:14" x14ac:dyDescent="0.35">
      <c r="H510" t="s">
        <v>227</v>
      </c>
      <c r="I510" t="s">
        <v>260</v>
      </c>
      <c r="J510" t="s">
        <v>429</v>
      </c>
      <c r="K510" s="80" t="s">
        <v>1512</v>
      </c>
      <c r="L510" t="s">
        <v>1513</v>
      </c>
      <c r="M510" t="s">
        <v>232</v>
      </c>
      <c r="N510" t="str">
        <f t="shared" si="7"/>
        <v>CCFNenNsukka</v>
      </c>
    </row>
    <row r="511" spans="8:14" x14ac:dyDescent="0.35">
      <c r="H511" t="s">
        <v>227</v>
      </c>
      <c r="I511" t="s">
        <v>260</v>
      </c>
      <c r="J511" t="s">
        <v>429</v>
      </c>
      <c r="K511" s="80" t="s">
        <v>1514</v>
      </c>
      <c r="L511" t="s">
        <v>1515</v>
      </c>
      <c r="M511" t="s">
        <v>232</v>
      </c>
      <c r="N511" t="str">
        <f t="shared" si="7"/>
        <v>CCFNenNsukka</v>
      </c>
    </row>
    <row r="512" spans="8:14" x14ac:dyDescent="0.35">
      <c r="H512" t="s">
        <v>227</v>
      </c>
      <c r="I512" t="s">
        <v>260</v>
      </c>
      <c r="J512" t="s">
        <v>429</v>
      </c>
      <c r="K512" s="80" t="s">
        <v>1516</v>
      </c>
      <c r="L512" t="s">
        <v>1517</v>
      </c>
      <c r="M512" t="s">
        <v>232</v>
      </c>
      <c r="N512" t="str">
        <f t="shared" si="7"/>
        <v>CCFNenNsukka</v>
      </c>
    </row>
    <row r="513" spans="8:14" x14ac:dyDescent="0.35">
      <c r="H513" t="s">
        <v>227</v>
      </c>
      <c r="I513" t="s">
        <v>260</v>
      </c>
      <c r="J513" t="s">
        <v>429</v>
      </c>
      <c r="K513" s="80" t="s">
        <v>1518</v>
      </c>
      <c r="L513" t="s">
        <v>1519</v>
      </c>
      <c r="M513" t="s">
        <v>232</v>
      </c>
      <c r="N513" t="str">
        <f t="shared" si="7"/>
        <v>CCFNenNsukka</v>
      </c>
    </row>
    <row r="514" spans="8:14" x14ac:dyDescent="0.35">
      <c r="H514" t="s">
        <v>227</v>
      </c>
      <c r="I514" t="s">
        <v>260</v>
      </c>
      <c r="J514" t="s">
        <v>429</v>
      </c>
      <c r="K514" s="80" t="s">
        <v>1520</v>
      </c>
      <c r="L514" t="s">
        <v>1521</v>
      </c>
      <c r="M514" t="s">
        <v>232</v>
      </c>
      <c r="N514" t="str">
        <f t="shared" si="7"/>
        <v>CCFNenNsukka</v>
      </c>
    </row>
    <row r="515" spans="8:14" x14ac:dyDescent="0.35">
      <c r="H515" t="s">
        <v>227</v>
      </c>
      <c r="I515" t="s">
        <v>260</v>
      </c>
      <c r="J515" t="s">
        <v>429</v>
      </c>
      <c r="K515" s="80" t="s">
        <v>1522</v>
      </c>
      <c r="L515" t="s">
        <v>1523</v>
      </c>
      <c r="M515" t="s">
        <v>232</v>
      </c>
      <c r="N515" t="str">
        <f t="shared" ref="N515:N578" si="8">SUBSTITUTE(SUBSTITUTE(M515&amp;J515," ",""),"-","")</f>
        <v>CCFNenNsukka</v>
      </c>
    </row>
    <row r="516" spans="8:14" x14ac:dyDescent="0.35">
      <c r="H516" t="s">
        <v>227</v>
      </c>
      <c r="I516" t="s">
        <v>260</v>
      </c>
      <c r="J516" t="s">
        <v>429</v>
      </c>
      <c r="K516" s="80" t="s">
        <v>1524</v>
      </c>
      <c r="L516" t="s">
        <v>1525</v>
      </c>
      <c r="M516" t="s">
        <v>232</v>
      </c>
      <c r="N516" t="str">
        <f t="shared" si="8"/>
        <v>CCFNenNsukka</v>
      </c>
    </row>
    <row r="517" spans="8:14" x14ac:dyDescent="0.35">
      <c r="H517" t="s">
        <v>227</v>
      </c>
      <c r="I517" t="s">
        <v>260</v>
      </c>
      <c r="J517" t="s">
        <v>432</v>
      </c>
      <c r="K517" s="80" t="s">
        <v>1526</v>
      </c>
      <c r="L517" t="s">
        <v>1527</v>
      </c>
      <c r="M517" t="s">
        <v>232</v>
      </c>
      <c r="N517" t="str">
        <f t="shared" si="8"/>
        <v>CCFNenOjiRiver</v>
      </c>
    </row>
    <row r="518" spans="8:14" x14ac:dyDescent="0.35">
      <c r="H518" t="s">
        <v>227</v>
      </c>
      <c r="I518" t="s">
        <v>260</v>
      </c>
      <c r="J518" t="s">
        <v>432</v>
      </c>
      <c r="K518" s="80" t="s">
        <v>1528</v>
      </c>
      <c r="L518" t="s">
        <v>1529</v>
      </c>
      <c r="M518" t="s">
        <v>232</v>
      </c>
      <c r="N518" t="str">
        <f t="shared" si="8"/>
        <v>CCFNenOjiRiver</v>
      </c>
    </row>
    <row r="519" spans="8:14" x14ac:dyDescent="0.35">
      <c r="H519" t="s">
        <v>227</v>
      </c>
      <c r="I519" t="s">
        <v>260</v>
      </c>
      <c r="J519" t="s">
        <v>432</v>
      </c>
      <c r="K519" s="80" t="s">
        <v>1530</v>
      </c>
      <c r="L519" t="s">
        <v>1531</v>
      </c>
      <c r="M519" t="s">
        <v>232</v>
      </c>
      <c r="N519" t="str">
        <f t="shared" si="8"/>
        <v>CCFNenOjiRiver</v>
      </c>
    </row>
    <row r="520" spans="8:14" x14ac:dyDescent="0.35">
      <c r="H520" t="s">
        <v>227</v>
      </c>
      <c r="I520" t="s">
        <v>260</v>
      </c>
      <c r="J520" t="s">
        <v>432</v>
      </c>
      <c r="K520" s="80" t="s">
        <v>1532</v>
      </c>
      <c r="L520" t="s">
        <v>1533</v>
      </c>
      <c r="M520" t="s">
        <v>232</v>
      </c>
      <c r="N520" t="str">
        <f t="shared" si="8"/>
        <v>CCFNenOjiRiver</v>
      </c>
    </row>
    <row r="521" spans="8:14" x14ac:dyDescent="0.35">
      <c r="H521" t="s">
        <v>227</v>
      </c>
      <c r="I521" t="s">
        <v>260</v>
      </c>
      <c r="J521" t="s">
        <v>435</v>
      </c>
      <c r="K521" s="80" t="s">
        <v>1534</v>
      </c>
      <c r="L521" t="s">
        <v>1535</v>
      </c>
      <c r="M521" t="s">
        <v>232</v>
      </c>
      <c r="N521" t="str">
        <f t="shared" si="8"/>
        <v>CCFNenUdenu</v>
      </c>
    </row>
    <row r="522" spans="8:14" x14ac:dyDescent="0.35">
      <c r="H522" t="s">
        <v>227</v>
      </c>
      <c r="I522" t="s">
        <v>260</v>
      </c>
      <c r="J522" t="s">
        <v>435</v>
      </c>
      <c r="K522" s="80" t="s">
        <v>1536</v>
      </c>
      <c r="L522" t="s">
        <v>1537</v>
      </c>
      <c r="M522" t="s">
        <v>232</v>
      </c>
      <c r="N522" t="str">
        <f t="shared" si="8"/>
        <v>CCFNenUdenu</v>
      </c>
    </row>
    <row r="523" spans="8:14" x14ac:dyDescent="0.35">
      <c r="H523" t="s">
        <v>227</v>
      </c>
      <c r="I523" t="s">
        <v>260</v>
      </c>
      <c r="J523" t="s">
        <v>435</v>
      </c>
      <c r="K523" s="80" t="s">
        <v>1538</v>
      </c>
      <c r="L523" t="s">
        <v>1539</v>
      </c>
      <c r="M523" t="s">
        <v>232</v>
      </c>
      <c r="N523" t="str">
        <f t="shared" si="8"/>
        <v>CCFNenUdenu</v>
      </c>
    </row>
    <row r="524" spans="8:14" x14ac:dyDescent="0.35">
      <c r="H524" t="s">
        <v>227</v>
      </c>
      <c r="I524" t="s">
        <v>260</v>
      </c>
      <c r="J524" t="s">
        <v>435</v>
      </c>
      <c r="K524" s="80" t="s">
        <v>1540</v>
      </c>
      <c r="L524" t="s">
        <v>1541</v>
      </c>
      <c r="M524" t="s">
        <v>232</v>
      </c>
      <c r="N524" t="str">
        <f t="shared" si="8"/>
        <v>CCFNenUdenu</v>
      </c>
    </row>
    <row r="525" spans="8:14" x14ac:dyDescent="0.35">
      <c r="H525" t="s">
        <v>227</v>
      </c>
      <c r="I525" t="s">
        <v>260</v>
      </c>
      <c r="J525" t="s">
        <v>435</v>
      </c>
      <c r="K525" s="80" t="s">
        <v>1542</v>
      </c>
      <c r="L525" t="s">
        <v>1543</v>
      </c>
      <c r="M525" t="s">
        <v>232</v>
      </c>
      <c r="N525" t="str">
        <f t="shared" si="8"/>
        <v>CCFNenUdenu</v>
      </c>
    </row>
    <row r="526" spans="8:14" x14ac:dyDescent="0.35">
      <c r="H526" t="s">
        <v>227</v>
      </c>
      <c r="I526" t="s">
        <v>260</v>
      </c>
      <c r="J526" t="s">
        <v>435</v>
      </c>
      <c r="K526" s="80" t="s">
        <v>1544</v>
      </c>
      <c r="L526" t="s">
        <v>1545</v>
      </c>
      <c r="M526" t="s">
        <v>232</v>
      </c>
      <c r="N526" t="str">
        <f t="shared" si="8"/>
        <v>CCFNenUdenu</v>
      </c>
    </row>
    <row r="527" spans="8:14" x14ac:dyDescent="0.35">
      <c r="H527" t="s">
        <v>227</v>
      </c>
      <c r="I527" t="s">
        <v>260</v>
      </c>
      <c r="J527" t="s">
        <v>435</v>
      </c>
      <c r="K527" s="80" t="s">
        <v>1546</v>
      </c>
      <c r="L527" t="s">
        <v>1547</v>
      </c>
      <c r="M527" t="s">
        <v>232</v>
      </c>
      <c r="N527" t="str">
        <f t="shared" si="8"/>
        <v>CCFNenUdenu</v>
      </c>
    </row>
    <row r="528" spans="8:14" x14ac:dyDescent="0.35">
      <c r="H528" t="s">
        <v>227</v>
      </c>
      <c r="I528" t="s">
        <v>260</v>
      </c>
      <c r="J528" t="s">
        <v>435</v>
      </c>
      <c r="K528" s="80" t="s">
        <v>1548</v>
      </c>
      <c r="L528" t="s">
        <v>1549</v>
      </c>
      <c r="M528" t="s">
        <v>232</v>
      </c>
      <c r="N528" t="str">
        <f t="shared" si="8"/>
        <v>CCFNenUdenu</v>
      </c>
    </row>
    <row r="529" spans="8:14" x14ac:dyDescent="0.35">
      <c r="H529" t="s">
        <v>227</v>
      </c>
      <c r="I529" t="s">
        <v>260</v>
      </c>
      <c r="J529" t="s">
        <v>435</v>
      </c>
      <c r="K529" s="80" t="s">
        <v>1550</v>
      </c>
      <c r="L529" t="s">
        <v>1551</v>
      </c>
      <c r="M529" t="s">
        <v>232</v>
      </c>
      <c r="N529" t="str">
        <f t="shared" si="8"/>
        <v>CCFNenUdenu</v>
      </c>
    </row>
    <row r="530" spans="8:14" x14ac:dyDescent="0.35">
      <c r="H530" t="s">
        <v>227</v>
      </c>
      <c r="I530" t="s">
        <v>260</v>
      </c>
      <c r="J530" t="s">
        <v>438</v>
      </c>
      <c r="K530" s="80" t="s">
        <v>1552</v>
      </c>
      <c r="L530" t="s">
        <v>1553</v>
      </c>
      <c r="M530" t="s">
        <v>232</v>
      </c>
      <c r="N530" t="str">
        <f t="shared" si="8"/>
        <v>CCFNenUdi</v>
      </c>
    </row>
    <row r="531" spans="8:14" x14ac:dyDescent="0.35">
      <c r="H531" t="s">
        <v>227</v>
      </c>
      <c r="I531" t="s">
        <v>260</v>
      </c>
      <c r="J531" t="s">
        <v>438</v>
      </c>
      <c r="K531" s="80" t="s">
        <v>1554</v>
      </c>
      <c r="L531" t="s">
        <v>1555</v>
      </c>
      <c r="M531" t="s">
        <v>232</v>
      </c>
      <c r="N531" t="str">
        <f t="shared" si="8"/>
        <v>CCFNenUdi</v>
      </c>
    </row>
    <row r="532" spans="8:14" x14ac:dyDescent="0.35">
      <c r="H532" t="s">
        <v>227</v>
      </c>
      <c r="I532" t="s">
        <v>260</v>
      </c>
      <c r="J532" t="s">
        <v>438</v>
      </c>
      <c r="K532" s="80" t="s">
        <v>1556</v>
      </c>
      <c r="L532" t="s">
        <v>1557</v>
      </c>
      <c r="M532" t="s">
        <v>232</v>
      </c>
      <c r="N532" t="str">
        <f t="shared" si="8"/>
        <v>CCFNenUdi</v>
      </c>
    </row>
    <row r="533" spans="8:14" x14ac:dyDescent="0.35">
      <c r="H533" t="s">
        <v>227</v>
      </c>
      <c r="I533" t="s">
        <v>260</v>
      </c>
      <c r="J533" t="s">
        <v>438</v>
      </c>
      <c r="K533" s="80" t="s">
        <v>1558</v>
      </c>
      <c r="L533" t="s">
        <v>1559</v>
      </c>
      <c r="M533" t="s">
        <v>232</v>
      </c>
      <c r="N533" t="str">
        <f t="shared" si="8"/>
        <v>CCFNenUdi</v>
      </c>
    </row>
    <row r="534" spans="8:14" x14ac:dyDescent="0.35">
      <c r="H534" t="s">
        <v>227</v>
      </c>
      <c r="I534" t="s">
        <v>260</v>
      </c>
      <c r="J534" t="s">
        <v>438</v>
      </c>
      <c r="K534" s="80" t="s">
        <v>1560</v>
      </c>
      <c r="L534" t="s">
        <v>1561</v>
      </c>
      <c r="M534" t="s">
        <v>232</v>
      </c>
      <c r="N534" t="str">
        <f t="shared" si="8"/>
        <v>CCFNenUdi</v>
      </c>
    </row>
    <row r="535" spans="8:14" x14ac:dyDescent="0.35">
      <c r="H535" t="s">
        <v>227</v>
      </c>
      <c r="I535" t="s">
        <v>260</v>
      </c>
      <c r="J535" t="s">
        <v>438</v>
      </c>
      <c r="K535" s="80" t="s">
        <v>1562</v>
      </c>
      <c r="L535" t="s">
        <v>1563</v>
      </c>
      <c r="M535" t="s">
        <v>232</v>
      </c>
      <c r="N535" t="str">
        <f t="shared" si="8"/>
        <v>CCFNenUdi</v>
      </c>
    </row>
    <row r="536" spans="8:14" x14ac:dyDescent="0.35">
      <c r="H536" t="s">
        <v>227</v>
      </c>
      <c r="I536" t="s">
        <v>260</v>
      </c>
      <c r="J536" t="s">
        <v>438</v>
      </c>
      <c r="K536" s="80" t="s">
        <v>1564</v>
      </c>
      <c r="L536" t="s">
        <v>1565</v>
      </c>
      <c r="M536" t="s">
        <v>232</v>
      </c>
      <c r="N536" t="str">
        <f t="shared" si="8"/>
        <v>CCFNenUdi</v>
      </c>
    </row>
    <row r="537" spans="8:14" x14ac:dyDescent="0.35">
      <c r="H537" t="s">
        <v>227</v>
      </c>
      <c r="I537" t="s">
        <v>260</v>
      </c>
      <c r="J537" t="s">
        <v>438</v>
      </c>
      <c r="K537" s="80" t="s">
        <v>1566</v>
      </c>
      <c r="L537" t="s">
        <v>1567</v>
      </c>
      <c r="M537" t="s">
        <v>232</v>
      </c>
      <c r="N537" t="str">
        <f t="shared" si="8"/>
        <v>CCFNenUdi</v>
      </c>
    </row>
    <row r="538" spans="8:14" x14ac:dyDescent="0.35">
      <c r="H538" t="s">
        <v>227</v>
      </c>
      <c r="I538" t="s">
        <v>260</v>
      </c>
      <c r="J538" t="s">
        <v>438</v>
      </c>
      <c r="K538" s="80" t="s">
        <v>1568</v>
      </c>
      <c r="L538" t="s">
        <v>1569</v>
      </c>
      <c r="M538" t="s">
        <v>232</v>
      </c>
      <c r="N538" t="str">
        <f t="shared" si="8"/>
        <v>CCFNenUdi</v>
      </c>
    </row>
    <row r="539" spans="8:14" x14ac:dyDescent="0.35">
      <c r="H539" t="s">
        <v>227</v>
      </c>
      <c r="I539" t="s">
        <v>260</v>
      </c>
      <c r="J539" t="s">
        <v>438</v>
      </c>
      <c r="K539" s="80" t="s">
        <v>1570</v>
      </c>
      <c r="L539" t="s">
        <v>1571</v>
      </c>
      <c r="M539" t="s">
        <v>232</v>
      </c>
      <c r="N539" t="str">
        <f t="shared" si="8"/>
        <v>CCFNenUdi</v>
      </c>
    </row>
    <row r="540" spans="8:14" x14ac:dyDescent="0.35">
      <c r="H540" t="s">
        <v>227</v>
      </c>
      <c r="I540" t="s">
        <v>225</v>
      </c>
      <c r="J540" t="s">
        <v>226</v>
      </c>
      <c r="K540" s="80" t="s">
        <v>1572</v>
      </c>
      <c r="L540" t="s">
        <v>1573</v>
      </c>
      <c r="M540" t="s">
        <v>245</v>
      </c>
      <c r="N540" t="str">
        <f t="shared" si="8"/>
        <v>IHVNfcAbaji</v>
      </c>
    </row>
    <row r="541" spans="8:14" x14ac:dyDescent="0.35">
      <c r="H541" t="s">
        <v>227</v>
      </c>
      <c r="I541" t="s">
        <v>225</v>
      </c>
      <c r="J541" t="s">
        <v>226</v>
      </c>
      <c r="K541" s="80" t="s">
        <v>1574</v>
      </c>
      <c r="L541" t="s">
        <v>1575</v>
      </c>
      <c r="M541" t="s">
        <v>245</v>
      </c>
      <c r="N541" t="str">
        <f t="shared" si="8"/>
        <v>IHVNfcAbaji</v>
      </c>
    </row>
    <row r="542" spans="8:14" x14ac:dyDescent="0.35">
      <c r="H542" t="s">
        <v>227</v>
      </c>
      <c r="I542" t="s">
        <v>225</v>
      </c>
      <c r="J542" t="s">
        <v>235</v>
      </c>
      <c r="K542" s="80" t="s">
        <v>1576</v>
      </c>
      <c r="L542" t="s">
        <v>1577</v>
      </c>
      <c r="M542" t="s">
        <v>245</v>
      </c>
      <c r="N542" t="str">
        <f t="shared" si="8"/>
        <v>IHVNfcAMAC</v>
      </c>
    </row>
    <row r="543" spans="8:14" x14ac:dyDescent="0.35">
      <c r="H543" t="s">
        <v>227</v>
      </c>
      <c r="I543" t="s">
        <v>225</v>
      </c>
      <c r="J543" t="s">
        <v>235</v>
      </c>
      <c r="K543" s="80" t="s">
        <v>1578</v>
      </c>
      <c r="L543" t="s">
        <v>1579</v>
      </c>
      <c r="M543" t="s">
        <v>245</v>
      </c>
      <c r="N543" t="str">
        <f t="shared" si="8"/>
        <v>IHVNfcAMAC</v>
      </c>
    </row>
    <row r="544" spans="8:14" x14ac:dyDescent="0.35">
      <c r="H544" t="s">
        <v>227</v>
      </c>
      <c r="I544" t="s">
        <v>225</v>
      </c>
      <c r="J544" t="s">
        <v>235</v>
      </c>
      <c r="K544" s="80" t="s">
        <v>1580</v>
      </c>
      <c r="L544" t="s">
        <v>1581</v>
      </c>
      <c r="M544" t="s">
        <v>245</v>
      </c>
      <c r="N544" t="str">
        <f t="shared" si="8"/>
        <v>IHVNfcAMAC</v>
      </c>
    </row>
    <row r="545" spans="8:14" x14ac:dyDescent="0.35">
      <c r="H545" t="s">
        <v>227</v>
      </c>
      <c r="I545" t="s">
        <v>225</v>
      </c>
      <c r="J545" t="s">
        <v>235</v>
      </c>
      <c r="K545" s="80" t="s">
        <v>1582</v>
      </c>
      <c r="L545" t="s">
        <v>1583</v>
      </c>
      <c r="M545" t="s">
        <v>245</v>
      </c>
      <c r="N545" t="str">
        <f t="shared" si="8"/>
        <v>IHVNfcAMAC</v>
      </c>
    </row>
    <row r="546" spans="8:14" x14ac:dyDescent="0.35">
      <c r="H546" t="s">
        <v>227</v>
      </c>
      <c r="I546" t="s">
        <v>225</v>
      </c>
      <c r="J546" t="s">
        <v>235</v>
      </c>
      <c r="K546" s="80" t="s">
        <v>1584</v>
      </c>
      <c r="L546" t="s">
        <v>1585</v>
      </c>
      <c r="M546" t="s">
        <v>245</v>
      </c>
      <c r="N546" t="str">
        <f t="shared" si="8"/>
        <v>IHVNfcAMAC</v>
      </c>
    </row>
    <row r="547" spans="8:14" x14ac:dyDescent="0.35">
      <c r="H547" t="s">
        <v>227</v>
      </c>
      <c r="I547" t="s">
        <v>225</v>
      </c>
      <c r="J547" t="s">
        <v>235</v>
      </c>
      <c r="K547" s="80" t="s">
        <v>1586</v>
      </c>
      <c r="L547" t="s">
        <v>1587</v>
      </c>
      <c r="M547" t="s">
        <v>245</v>
      </c>
      <c r="N547" t="str">
        <f t="shared" si="8"/>
        <v>IHVNfcAMAC</v>
      </c>
    </row>
    <row r="548" spans="8:14" x14ac:dyDescent="0.35">
      <c r="H548" t="s">
        <v>227</v>
      </c>
      <c r="I548" t="s">
        <v>225</v>
      </c>
      <c r="J548" t="s">
        <v>235</v>
      </c>
      <c r="K548" s="80" t="s">
        <v>1588</v>
      </c>
      <c r="L548" t="s">
        <v>1589</v>
      </c>
      <c r="M548" t="s">
        <v>245</v>
      </c>
      <c r="N548" t="str">
        <f t="shared" si="8"/>
        <v>IHVNfcAMAC</v>
      </c>
    </row>
    <row r="549" spans="8:14" x14ac:dyDescent="0.35">
      <c r="H549" t="s">
        <v>227</v>
      </c>
      <c r="I549" t="s">
        <v>225</v>
      </c>
      <c r="J549" t="s">
        <v>235</v>
      </c>
      <c r="K549" s="80" t="s">
        <v>1590</v>
      </c>
      <c r="L549" t="s">
        <v>1591</v>
      </c>
      <c r="M549" t="s">
        <v>245</v>
      </c>
      <c r="N549" t="str">
        <f t="shared" si="8"/>
        <v>IHVNfcAMAC</v>
      </c>
    </row>
    <row r="550" spans="8:14" x14ac:dyDescent="0.35">
      <c r="H550" t="s">
        <v>227</v>
      </c>
      <c r="I550" t="s">
        <v>225</v>
      </c>
      <c r="J550" t="s">
        <v>235</v>
      </c>
      <c r="K550" s="80" t="s">
        <v>1592</v>
      </c>
      <c r="L550" t="s">
        <v>1593</v>
      </c>
      <c r="M550" t="s">
        <v>245</v>
      </c>
      <c r="N550" t="str">
        <f t="shared" si="8"/>
        <v>IHVNfcAMAC</v>
      </c>
    </row>
    <row r="551" spans="8:14" x14ac:dyDescent="0.35">
      <c r="H551" t="s">
        <v>227</v>
      </c>
      <c r="I551" t="s">
        <v>225</v>
      </c>
      <c r="J551" t="s">
        <v>235</v>
      </c>
      <c r="K551" s="80" t="s">
        <v>1594</v>
      </c>
      <c r="L551" t="s">
        <v>1595</v>
      </c>
      <c r="M551" t="s">
        <v>245</v>
      </c>
      <c r="N551" t="str">
        <f t="shared" si="8"/>
        <v>IHVNfcAMAC</v>
      </c>
    </row>
    <row r="552" spans="8:14" x14ac:dyDescent="0.35">
      <c r="H552" t="s">
        <v>227</v>
      </c>
      <c r="I552" t="s">
        <v>225</v>
      </c>
      <c r="J552" t="s">
        <v>235</v>
      </c>
      <c r="K552" s="80" t="s">
        <v>1596</v>
      </c>
      <c r="L552" t="s">
        <v>1597</v>
      </c>
      <c r="M552" t="s">
        <v>245</v>
      </c>
      <c r="N552" t="str">
        <f t="shared" si="8"/>
        <v>IHVNfcAMAC</v>
      </c>
    </row>
    <row r="553" spans="8:14" x14ac:dyDescent="0.35">
      <c r="H553" t="s">
        <v>227</v>
      </c>
      <c r="I553" t="s">
        <v>225</v>
      </c>
      <c r="J553" t="s">
        <v>235</v>
      </c>
      <c r="K553" s="80" t="s">
        <v>1598</v>
      </c>
      <c r="L553" t="s">
        <v>1599</v>
      </c>
      <c r="M553" t="s">
        <v>245</v>
      </c>
      <c r="N553" t="str">
        <f t="shared" si="8"/>
        <v>IHVNfcAMAC</v>
      </c>
    </row>
    <row r="554" spans="8:14" x14ac:dyDescent="0.35">
      <c r="H554" t="s">
        <v>227</v>
      </c>
      <c r="I554" t="s">
        <v>225</v>
      </c>
      <c r="J554" t="s">
        <v>235</v>
      </c>
      <c r="K554" s="80" t="s">
        <v>1600</v>
      </c>
      <c r="L554" t="s">
        <v>1601</v>
      </c>
      <c r="M554" t="s">
        <v>245</v>
      </c>
      <c r="N554" t="str">
        <f t="shared" si="8"/>
        <v>IHVNfcAMAC</v>
      </c>
    </row>
    <row r="555" spans="8:14" x14ac:dyDescent="0.35">
      <c r="H555" t="s">
        <v>227</v>
      </c>
      <c r="I555" t="s">
        <v>225</v>
      </c>
      <c r="J555" t="s">
        <v>235</v>
      </c>
      <c r="K555" s="80" t="s">
        <v>1602</v>
      </c>
      <c r="L555" t="s">
        <v>1603</v>
      </c>
      <c r="M555" t="s">
        <v>245</v>
      </c>
      <c r="N555" t="str">
        <f t="shared" si="8"/>
        <v>IHVNfcAMAC</v>
      </c>
    </row>
    <row r="556" spans="8:14" x14ac:dyDescent="0.35">
      <c r="H556" t="s">
        <v>227</v>
      </c>
      <c r="I556" t="s">
        <v>225</v>
      </c>
      <c r="J556" t="s">
        <v>235</v>
      </c>
      <c r="K556" s="80" t="s">
        <v>1604</v>
      </c>
      <c r="L556" t="s">
        <v>1605</v>
      </c>
      <c r="M556" t="s">
        <v>245</v>
      </c>
      <c r="N556" t="str">
        <f t="shared" si="8"/>
        <v>IHVNfcAMAC</v>
      </c>
    </row>
    <row r="557" spans="8:14" x14ac:dyDescent="0.35">
      <c r="H557" t="s">
        <v>227</v>
      </c>
      <c r="I557" t="s">
        <v>225</v>
      </c>
      <c r="J557" t="s">
        <v>235</v>
      </c>
      <c r="K557" s="80" t="s">
        <v>1606</v>
      </c>
      <c r="L557" t="s">
        <v>1607</v>
      </c>
      <c r="M557" t="s">
        <v>245</v>
      </c>
      <c r="N557" t="str">
        <f t="shared" si="8"/>
        <v>IHVNfcAMAC</v>
      </c>
    </row>
    <row r="558" spans="8:14" x14ac:dyDescent="0.35">
      <c r="H558" t="s">
        <v>227</v>
      </c>
      <c r="I558" t="s">
        <v>225</v>
      </c>
      <c r="J558" t="s">
        <v>235</v>
      </c>
      <c r="K558" s="80" t="s">
        <v>1608</v>
      </c>
      <c r="L558" t="s">
        <v>1609</v>
      </c>
      <c r="M558" t="s">
        <v>245</v>
      </c>
      <c r="N558" t="str">
        <f t="shared" si="8"/>
        <v>IHVNfcAMAC</v>
      </c>
    </row>
    <row r="559" spans="8:14" x14ac:dyDescent="0.35">
      <c r="H559" t="s">
        <v>227</v>
      </c>
      <c r="I559" t="s">
        <v>225</v>
      </c>
      <c r="J559" t="s">
        <v>235</v>
      </c>
      <c r="K559" s="80" t="s">
        <v>1610</v>
      </c>
      <c r="L559" t="s">
        <v>1611</v>
      </c>
      <c r="M559" t="s">
        <v>245</v>
      </c>
      <c r="N559" t="str">
        <f t="shared" si="8"/>
        <v>IHVNfcAMAC</v>
      </c>
    </row>
    <row r="560" spans="8:14" x14ac:dyDescent="0.35">
      <c r="H560" t="s">
        <v>227</v>
      </c>
      <c r="I560" t="s">
        <v>225</v>
      </c>
      <c r="J560" t="s">
        <v>235</v>
      </c>
      <c r="K560" s="80" t="s">
        <v>1612</v>
      </c>
      <c r="L560" t="s">
        <v>1613</v>
      </c>
      <c r="M560" t="s">
        <v>245</v>
      </c>
      <c r="N560" t="str">
        <f t="shared" si="8"/>
        <v>IHVNfcAMAC</v>
      </c>
    </row>
    <row r="561" spans="8:14" x14ac:dyDescent="0.35">
      <c r="H561" t="s">
        <v>227</v>
      </c>
      <c r="I561" t="s">
        <v>225</v>
      </c>
      <c r="J561" t="s">
        <v>235</v>
      </c>
      <c r="K561" s="80" t="s">
        <v>1614</v>
      </c>
      <c r="L561" t="s">
        <v>1615</v>
      </c>
      <c r="M561" t="s">
        <v>245</v>
      </c>
      <c r="N561" t="str">
        <f t="shared" si="8"/>
        <v>IHVNfcAMAC</v>
      </c>
    </row>
    <row r="562" spans="8:14" x14ac:dyDescent="0.35">
      <c r="H562" t="s">
        <v>227</v>
      </c>
      <c r="I562" t="s">
        <v>225</v>
      </c>
      <c r="J562" t="s">
        <v>235</v>
      </c>
      <c r="K562" s="80" t="s">
        <v>1616</v>
      </c>
      <c r="L562" t="s">
        <v>1617</v>
      </c>
      <c r="M562" t="s">
        <v>245</v>
      </c>
      <c r="N562" t="str">
        <f t="shared" si="8"/>
        <v>IHVNfcAMAC</v>
      </c>
    </row>
    <row r="563" spans="8:14" x14ac:dyDescent="0.35">
      <c r="H563" t="s">
        <v>227</v>
      </c>
      <c r="I563" t="s">
        <v>225</v>
      </c>
      <c r="J563" t="s">
        <v>235</v>
      </c>
      <c r="K563" s="80" t="s">
        <v>1618</v>
      </c>
      <c r="L563" t="s">
        <v>1619</v>
      </c>
      <c r="M563" t="s">
        <v>245</v>
      </c>
      <c r="N563" t="str">
        <f t="shared" si="8"/>
        <v>IHVNfcAMAC</v>
      </c>
    </row>
    <row r="564" spans="8:14" x14ac:dyDescent="0.35">
      <c r="H564" t="s">
        <v>227</v>
      </c>
      <c r="I564" t="s">
        <v>225</v>
      </c>
      <c r="J564" t="s">
        <v>235</v>
      </c>
      <c r="K564" s="80" t="s">
        <v>1620</v>
      </c>
      <c r="L564" t="s">
        <v>1621</v>
      </c>
      <c r="M564" t="s">
        <v>245</v>
      </c>
      <c r="N564" t="str">
        <f t="shared" si="8"/>
        <v>IHVNfcAMAC</v>
      </c>
    </row>
    <row r="565" spans="8:14" x14ac:dyDescent="0.35">
      <c r="H565" t="s">
        <v>227</v>
      </c>
      <c r="I565" t="s">
        <v>225</v>
      </c>
      <c r="J565" t="s">
        <v>235</v>
      </c>
      <c r="K565" s="80" t="s">
        <v>1622</v>
      </c>
      <c r="L565" t="s">
        <v>1623</v>
      </c>
      <c r="M565" t="s">
        <v>245</v>
      </c>
      <c r="N565" t="str">
        <f t="shared" si="8"/>
        <v>IHVNfcAMAC</v>
      </c>
    </row>
    <row r="566" spans="8:14" x14ac:dyDescent="0.35">
      <c r="H566" t="s">
        <v>227</v>
      </c>
      <c r="I566" t="s">
        <v>225</v>
      </c>
      <c r="J566" t="s">
        <v>235</v>
      </c>
      <c r="K566" s="80" t="s">
        <v>1624</v>
      </c>
      <c r="L566" t="s">
        <v>1625</v>
      </c>
      <c r="M566" t="s">
        <v>245</v>
      </c>
      <c r="N566" t="str">
        <f t="shared" si="8"/>
        <v>IHVNfcAMAC</v>
      </c>
    </row>
    <row r="567" spans="8:14" x14ac:dyDescent="0.35">
      <c r="H567" t="s">
        <v>227</v>
      </c>
      <c r="I567" t="s">
        <v>225</v>
      </c>
      <c r="J567" t="s">
        <v>235</v>
      </c>
      <c r="K567" s="80" t="s">
        <v>1626</v>
      </c>
      <c r="L567" t="s">
        <v>1627</v>
      </c>
      <c r="M567" t="s">
        <v>245</v>
      </c>
      <c r="N567" t="str">
        <f t="shared" si="8"/>
        <v>IHVNfcAMAC</v>
      </c>
    </row>
    <row r="568" spans="8:14" x14ac:dyDescent="0.35">
      <c r="H568" t="s">
        <v>227</v>
      </c>
      <c r="I568" t="s">
        <v>225</v>
      </c>
      <c r="J568" t="s">
        <v>235</v>
      </c>
      <c r="K568" s="80" t="s">
        <v>1628</v>
      </c>
      <c r="L568" t="s">
        <v>1629</v>
      </c>
      <c r="M568" t="s">
        <v>245</v>
      </c>
      <c r="N568" t="str">
        <f t="shared" si="8"/>
        <v>IHVNfcAMAC</v>
      </c>
    </row>
    <row r="569" spans="8:14" x14ac:dyDescent="0.35">
      <c r="H569" t="s">
        <v>227</v>
      </c>
      <c r="I569" t="s">
        <v>225</v>
      </c>
      <c r="J569" t="s">
        <v>235</v>
      </c>
      <c r="K569" s="80" t="s">
        <v>1630</v>
      </c>
      <c r="L569" t="s">
        <v>1631</v>
      </c>
      <c r="M569" t="s">
        <v>245</v>
      </c>
      <c r="N569" t="str">
        <f t="shared" si="8"/>
        <v>IHVNfcAMAC</v>
      </c>
    </row>
    <row r="570" spans="8:14" x14ac:dyDescent="0.35">
      <c r="H570" t="s">
        <v>227</v>
      </c>
      <c r="I570" t="s">
        <v>225</v>
      </c>
      <c r="J570" t="s">
        <v>235</v>
      </c>
      <c r="K570" s="80" t="s">
        <v>1632</v>
      </c>
      <c r="L570" t="s">
        <v>1633</v>
      </c>
      <c r="M570" t="s">
        <v>245</v>
      </c>
      <c r="N570" t="str">
        <f t="shared" si="8"/>
        <v>IHVNfcAMAC</v>
      </c>
    </row>
    <row r="571" spans="8:14" x14ac:dyDescent="0.35">
      <c r="H571" t="s">
        <v>227</v>
      </c>
      <c r="I571" t="s">
        <v>225</v>
      </c>
      <c r="J571" t="s">
        <v>235</v>
      </c>
      <c r="K571" s="80" t="s">
        <v>1634</v>
      </c>
      <c r="L571" t="s">
        <v>1635</v>
      </c>
      <c r="M571" t="s">
        <v>245</v>
      </c>
      <c r="N571" t="str">
        <f t="shared" si="8"/>
        <v>IHVNfcAMAC</v>
      </c>
    </row>
    <row r="572" spans="8:14" x14ac:dyDescent="0.35">
      <c r="H572" t="s">
        <v>227</v>
      </c>
      <c r="I572" t="s">
        <v>225</v>
      </c>
      <c r="J572" t="s">
        <v>235</v>
      </c>
      <c r="K572" s="80" t="s">
        <v>1636</v>
      </c>
      <c r="L572" t="s">
        <v>1637</v>
      </c>
      <c r="M572" t="s">
        <v>245</v>
      </c>
      <c r="N572" t="str">
        <f t="shared" si="8"/>
        <v>IHVNfcAMAC</v>
      </c>
    </row>
    <row r="573" spans="8:14" x14ac:dyDescent="0.35">
      <c r="H573" t="s">
        <v>227</v>
      </c>
      <c r="I573" t="s">
        <v>225</v>
      </c>
      <c r="J573" t="s">
        <v>235</v>
      </c>
      <c r="K573" s="80" t="s">
        <v>1638</v>
      </c>
      <c r="L573" t="s">
        <v>1639</v>
      </c>
      <c r="M573" t="s">
        <v>245</v>
      </c>
      <c r="N573" t="str">
        <f t="shared" si="8"/>
        <v>IHVNfcAMAC</v>
      </c>
    </row>
    <row r="574" spans="8:14" x14ac:dyDescent="0.35">
      <c r="H574" t="s">
        <v>227</v>
      </c>
      <c r="I574" t="s">
        <v>225</v>
      </c>
      <c r="J574" t="s">
        <v>235</v>
      </c>
      <c r="K574" s="80" t="s">
        <v>1640</v>
      </c>
      <c r="L574" t="s">
        <v>1641</v>
      </c>
      <c r="M574" t="s">
        <v>245</v>
      </c>
      <c r="N574" t="str">
        <f t="shared" si="8"/>
        <v>IHVNfcAMAC</v>
      </c>
    </row>
    <row r="575" spans="8:14" x14ac:dyDescent="0.35">
      <c r="H575" t="s">
        <v>227</v>
      </c>
      <c r="I575" t="s">
        <v>225</v>
      </c>
      <c r="J575" t="s">
        <v>235</v>
      </c>
      <c r="K575" s="80" t="s">
        <v>1642</v>
      </c>
      <c r="L575" t="s">
        <v>1643</v>
      </c>
      <c r="M575" t="s">
        <v>245</v>
      </c>
      <c r="N575" t="str">
        <f t="shared" si="8"/>
        <v>IHVNfcAMAC</v>
      </c>
    </row>
    <row r="576" spans="8:14" x14ac:dyDescent="0.35">
      <c r="H576" t="s">
        <v>227</v>
      </c>
      <c r="I576" t="s">
        <v>225</v>
      </c>
      <c r="J576" t="s">
        <v>235</v>
      </c>
      <c r="K576" s="80" t="s">
        <v>1644</v>
      </c>
      <c r="L576" t="s">
        <v>1645</v>
      </c>
      <c r="M576" t="s">
        <v>245</v>
      </c>
      <c r="N576" t="str">
        <f t="shared" si="8"/>
        <v>IHVNfcAMAC</v>
      </c>
    </row>
    <row r="577" spans="8:14" x14ac:dyDescent="0.35">
      <c r="H577" t="s">
        <v>227</v>
      </c>
      <c r="I577" t="s">
        <v>225</v>
      </c>
      <c r="J577" t="s">
        <v>235</v>
      </c>
      <c r="K577" s="80" t="s">
        <v>1646</v>
      </c>
      <c r="L577" t="s">
        <v>1647</v>
      </c>
      <c r="M577" t="s">
        <v>245</v>
      </c>
      <c r="N577" t="str">
        <f t="shared" si="8"/>
        <v>IHVNfcAMAC</v>
      </c>
    </row>
    <row r="578" spans="8:14" x14ac:dyDescent="0.35">
      <c r="H578" t="s">
        <v>227</v>
      </c>
      <c r="I578" t="s">
        <v>225</v>
      </c>
      <c r="J578" t="s">
        <v>235</v>
      </c>
      <c r="K578" s="80" t="s">
        <v>1648</v>
      </c>
      <c r="L578" t="s">
        <v>1649</v>
      </c>
      <c r="M578" t="s">
        <v>245</v>
      </c>
      <c r="N578" t="str">
        <f t="shared" si="8"/>
        <v>IHVNfcAMAC</v>
      </c>
    </row>
    <row r="579" spans="8:14" x14ac:dyDescent="0.35">
      <c r="H579" t="s">
        <v>227</v>
      </c>
      <c r="I579" t="s">
        <v>225</v>
      </c>
      <c r="J579" t="s">
        <v>235</v>
      </c>
      <c r="K579" s="80" t="s">
        <v>1650</v>
      </c>
      <c r="L579" t="s">
        <v>1651</v>
      </c>
      <c r="M579" t="s">
        <v>245</v>
      </c>
      <c r="N579" t="str">
        <f t="shared" ref="N579:N642" si="9">SUBSTITUTE(SUBSTITUTE(M579&amp;J579," ",""),"-","")</f>
        <v>IHVNfcAMAC</v>
      </c>
    </row>
    <row r="580" spans="8:14" x14ac:dyDescent="0.35">
      <c r="H580" t="s">
        <v>227</v>
      </c>
      <c r="I580" t="s">
        <v>225</v>
      </c>
      <c r="J580" t="s">
        <v>235</v>
      </c>
      <c r="K580" s="80" t="s">
        <v>1652</v>
      </c>
      <c r="L580" t="s">
        <v>1653</v>
      </c>
      <c r="M580" t="s">
        <v>245</v>
      </c>
      <c r="N580" t="str">
        <f t="shared" si="9"/>
        <v>IHVNfcAMAC</v>
      </c>
    </row>
    <row r="581" spans="8:14" x14ac:dyDescent="0.35">
      <c r="H581" t="s">
        <v>227</v>
      </c>
      <c r="I581" t="s">
        <v>225</v>
      </c>
      <c r="J581" t="s">
        <v>235</v>
      </c>
      <c r="K581" s="80" t="s">
        <v>1654</v>
      </c>
      <c r="L581" t="s">
        <v>1655</v>
      </c>
      <c r="M581" t="s">
        <v>245</v>
      </c>
      <c r="N581" t="str">
        <f t="shared" si="9"/>
        <v>IHVNfcAMAC</v>
      </c>
    </row>
    <row r="582" spans="8:14" x14ac:dyDescent="0.35">
      <c r="H582" t="s">
        <v>227</v>
      </c>
      <c r="I582" t="s">
        <v>225</v>
      </c>
      <c r="J582" t="s">
        <v>235</v>
      </c>
      <c r="K582" s="80" t="s">
        <v>1656</v>
      </c>
      <c r="L582" t="s">
        <v>1657</v>
      </c>
      <c r="M582" t="s">
        <v>245</v>
      </c>
      <c r="N582" t="str">
        <f t="shared" si="9"/>
        <v>IHVNfcAMAC</v>
      </c>
    </row>
    <row r="583" spans="8:14" x14ac:dyDescent="0.35">
      <c r="H583" t="s">
        <v>227</v>
      </c>
      <c r="I583" t="s">
        <v>225</v>
      </c>
      <c r="J583" t="s">
        <v>235</v>
      </c>
      <c r="K583" s="80" t="s">
        <v>1658</v>
      </c>
      <c r="L583" t="s">
        <v>1659</v>
      </c>
      <c r="M583" t="s">
        <v>245</v>
      </c>
      <c r="N583" t="str">
        <f t="shared" si="9"/>
        <v>IHVNfcAMAC</v>
      </c>
    </row>
    <row r="584" spans="8:14" x14ac:dyDescent="0.35">
      <c r="H584" t="s">
        <v>227</v>
      </c>
      <c r="I584" t="s">
        <v>225</v>
      </c>
      <c r="J584" t="s">
        <v>235</v>
      </c>
      <c r="K584" s="80" t="s">
        <v>1660</v>
      </c>
      <c r="L584" t="s">
        <v>1661</v>
      </c>
      <c r="M584" t="s">
        <v>245</v>
      </c>
      <c r="N584" t="str">
        <f t="shared" si="9"/>
        <v>IHVNfcAMAC</v>
      </c>
    </row>
    <row r="585" spans="8:14" x14ac:dyDescent="0.35">
      <c r="H585" t="s">
        <v>227</v>
      </c>
      <c r="I585" t="s">
        <v>225</v>
      </c>
      <c r="J585" t="s">
        <v>235</v>
      </c>
      <c r="K585" s="80" t="s">
        <v>1662</v>
      </c>
      <c r="L585" t="s">
        <v>1663</v>
      </c>
      <c r="M585" t="s">
        <v>245</v>
      </c>
      <c r="N585" t="str">
        <f t="shared" si="9"/>
        <v>IHVNfcAMAC</v>
      </c>
    </row>
    <row r="586" spans="8:14" x14ac:dyDescent="0.35">
      <c r="H586" t="s">
        <v>227</v>
      </c>
      <c r="I586" t="s">
        <v>225</v>
      </c>
      <c r="J586" t="s">
        <v>235</v>
      </c>
      <c r="K586" s="80" t="s">
        <v>1664</v>
      </c>
      <c r="L586" t="s">
        <v>1665</v>
      </c>
      <c r="M586" t="s">
        <v>245</v>
      </c>
      <c r="N586" t="str">
        <f t="shared" si="9"/>
        <v>IHVNfcAMAC</v>
      </c>
    </row>
    <row r="587" spans="8:14" x14ac:dyDescent="0.35">
      <c r="H587" t="s">
        <v>227</v>
      </c>
      <c r="I587" t="s">
        <v>225</v>
      </c>
      <c r="J587" t="s">
        <v>235</v>
      </c>
      <c r="K587" s="80" t="s">
        <v>1666</v>
      </c>
      <c r="L587" t="s">
        <v>1667</v>
      </c>
      <c r="M587" t="s">
        <v>245</v>
      </c>
      <c r="N587" t="str">
        <f t="shared" si="9"/>
        <v>IHVNfcAMAC</v>
      </c>
    </row>
    <row r="588" spans="8:14" x14ac:dyDescent="0.35">
      <c r="H588" t="s">
        <v>227</v>
      </c>
      <c r="I588" t="s">
        <v>225</v>
      </c>
      <c r="J588" t="s">
        <v>235</v>
      </c>
      <c r="K588" s="80" t="s">
        <v>1668</v>
      </c>
      <c r="L588" t="s">
        <v>1669</v>
      </c>
      <c r="M588" t="s">
        <v>245</v>
      </c>
      <c r="N588" t="str">
        <f t="shared" si="9"/>
        <v>IHVNfcAMAC</v>
      </c>
    </row>
    <row r="589" spans="8:14" x14ac:dyDescent="0.35">
      <c r="H589" t="s">
        <v>227</v>
      </c>
      <c r="I589" t="s">
        <v>225</v>
      </c>
      <c r="J589" t="s">
        <v>235</v>
      </c>
      <c r="K589" s="80" t="s">
        <v>1670</v>
      </c>
      <c r="L589" t="s">
        <v>1671</v>
      </c>
      <c r="M589" t="s">
        <v>245</v>
      </c>
      <c r="N589" t="str">
        <f t="shared" si="9"/>
        <v>IHVNfcAMAC</v>
      </c>
    </row>
    <row r="590" spans="8:14" x14ac:dyDescent="0.35">
      <c r="H590" t="s">
        <v>227</v>
      </c>
      <c r="I590" t="s">
        <v>225</v>
      </c>
      <c r="J590" t="s">
        <v>235</v>
      </c>
      <c r="K590" s="80" t="s">
        <v>1672</v>
      </c>
      <c r="L590" t="s">
        <v>1673</v>
      </c>
      <c r="M590" t="s">
        <v>245</v>
      </c>
      <c r="N590" t="str">
        <f t="shared" si="9"/>
        <v>IHVNfcAMAC</v>
      </c>
    </row>
    <row r="591" spans="8:14" x14ac:dyDescent="0.35">
      <c r="H591" t="s">
        <v>227</v>
      </c>
      <c r="I591" t="s">
        <v>225</v>
      </c>
      <c r="J591" t="s">
        <v>235</v>
      </c>
      <c r="K591" s="80" t="s">
        <v>1674</v>
      </c>
      <c r="L591" t="s">
        <v>1675</v>
      </c>
      <c r="M591" t="s">
        <v>245</v>
      </c>
      <c r="N591" t="str">
        <f t="shared" si="9"/>
        <v>IHVNfcAMAC</v>
      </c>
    </row>
    <row r="592" spans="8:14" x14ac:dyDescent="0.35">
      <c r="H592" t="s">
        <v>227</v>
      </c>
      <c r="I592" t="s">
        <v>225</v>
      </c>
      <c r="J592" t="s">
        <v>235</v>
      </c>
      <c r="K592" s="80" t="s">
        <v>1676</v>
      </c>
      <c r="L592" t="s">
        <v>1677</v>
      </c>
      <c r="M592" t="s">
        <v>245</v>
      </c>
      <c r="N592" t="str">
        <f t="shared" si="9"/>
        <v>IHVNfcAMAC</v>
      </c>
    </row>
    <row r="593" spans="8:14" x14ac:dyDescent="0.35">
      <c r="H593" t="s">
        <v>227</v>
      </c>
      <c r="I593" t="s">
        <v>225</v>
      </c>
      <c r="J593" t="s">
        <v>235</v>
      </c>
      <c r="K593" s="80" t="s">
        <v>1678</v>
      </c>
      <c r="L593" t="s">
        <v>1679</v>
      </c>
      <c r="M593" t="s">
        <v>245</v>
      </c>
      <c r="N593" t="str">
        <f t="shared" si="9"/>
        <v>IHVNfcAMAC</v>
      </c>
    </row>
    <row r="594" spans="8:14" x14ac:dyDescent="0.35">
      <c r="H594" t="s">
        <v>227</v>
      </c>
      <c r="I594" t="s">
        <v>225</v>
      </c>
      <c r="J594" t="s">
        <v>235</v>
      </c>
      <c r="K594" s="80" t="s">
        <v>1680</v>
      </c>
      <c r="L594" t="s">
        <v>1681</v>
      </c>
      <c r="M594" t="s">
        <v>245</v>
      </c>
      <c r="N594" t="str">
        <f t="shared" si="9"/>
        <v>IHVNfcAMAC</v>
      </c>
    </row>
    <row r="595" spans="8:14" x14ac:dyDescent="0.35">
      <c r="H595" t="s">
        <v>227</v>
      </c>
      <c r="I595" t="s">
        <v>225</v>
      </c>
      <c r="J595" t="s">
        <v>235</v>
      </c>
      <c r="K595" s="80" t="s">
        <v>1682</v>
      </c>
      <c r="L595" t="s">
        <v>1683</v>
      </c>
      <c r="M595" t="s">
        <v>245</v>
      </c>
      <c r="N595" t="str">
        <f t="shared" si="9"/>
        <v>IHVNfcAMAC</v>
      </c>
    </row>
    <row r="596" spans="8:14" x14ac:dyDescent="0.35">
      <c r="H596" t="s">
        <v>227</v>
      </c>
      <c r="I596" t="s">
        <v>225</v>
      </c>
      <c r="J596" t="s">
        <v>235</v>
      </c>
      <c r="K596" s="80" t="s">
        <v>1684</v>
      </c>
      <c r="L596" t="s">
        <v>1685</v>
      </c>
      <c r="M596" t="s">
        <v>245</v>
      </c>
      <c r="N596" t="str">
        <f t="shared" si="9"/>
        <v>IHVNfcAMAC</v>
      </c>
    </row>
    <row r="597" spans="8:14" x14ac:dyDescent="0.35">
      <c r="H597" t="s">
        <v>227</v>
      </c>
      <c r="I597" t="s">
        <v>225</v>
      </c>
      <c r="J597" t="s">
        <v>235</v>
      </c>
      <c r="K597" s="80" t="s">
        <v>1686</v>
      </c>
      <c r="L597" t="s">
        <v>1687</v>
      </c>
      <c r="M597" t="s">
        <v>245</v>
      </c>
      <c r="N597" t="str">
        <f t="shared" si="9"/>
        <v>IHVNfcAMAC</v>
      </c>
    </row>
    <row r="598" spans="8:14" x14ac:dyDescent="0.35">
      <c r="H598" t="s">
        <v>227</v>
      </c>
      <c r="I598" t="s">
        <v>225</v>
      </c>
      <c r="J598" t="s">
        <v>235</v>
      </c>
      <c r="K598" s="80" t="s">
        <v>1688</v>
      </c>
      <c r="L598" t="s">
        <v>1689</v>
      </c>
      <c r="M598" t="s">
        <v>245</v>
      </c>
      <c r="N598" t="str">
        <f t="shared" si="9"/>
        <v>IHVNfcAMAC</v>
      </c>
    </row>
    <row r="599" spans="8:14" x14ac:dyDescent="0.35">
      <c r="H599" t="s">
        <v>227</v>
      </c>
      <c r="I599" t="s">
        <v>225</v>
      </c>
      <c r="J599" t="s">
        <v>235</v>
      </c>
      <c r="K599" s="80" t="s">
        <v>1690</v>
      </c>
      <c r="L599" t="s">
        <v>1691</v>
      </c>
      <c r="M599" t="s">
        <v>245</v>
      </c>
      <c r="N599" t="str">
        <f t="shared" si="9"/>
        <v>IHVNfcAMAC</v>
      </c>
    </row>
    <row r="600" spans="8:14" x14ac:dyDescent="0.35">
      <c r="H600" t="s">
        <v>227</v>
      </c>
      <c r="I600" t="s">
        <v>225</v>
      </c>
      <c r="J600" t="s">
        <v>235</v>
      </c>
      <c r="K600" s="80" t="s">
        <v>1692</v>
      </c>
      <c r="L600" t="s">
        <v>1693</v>
      </c>
      <c r="M600" t="s">
        <v>245</v>
      </c>
      <c r="N600" t="str">
        <f t="shared" si="9"/>
        <v>IHVNfcAMAC</v>
      </c>
    </row>
    <row r="601" spans="8:14" x14ac:dyDescent="0.35">
      <c r="H601" t="s">
        <v>227</v>
      </c>
      <c r="I601" t="s">
        <v>225</v>
      </c>
      <c r="J601" t="s">
        <v>235</v>
      </c>
      <c r="K601" s="80" t="s">
        <v>1694</v>
      </c>
      <c r="L601" t="s">
        <v>1695</v>
      </c>
      <c r="M601" t="s">
        <v>245</v>
      </c>
      <c r="N601" t="str">
        <f t="shared" si="9"/>
        <v>IHVNfcAMAC</v>
      </c>
    </row>
    <row r="602" spans="8:14" x14ac:dyDescent="0.35">
      <c r="H602" t="s">
        <v>227</v>
      </c>
      <c r="I602" t="s">
        <v>225</v>
      </c>
      <c r="J602" t="s">
        <v>235</v>
      </c>
      <c r="K602" s="80" t="s">
        <v>1696</v>
      </c>
      <c r="L602" t="s">
        <v>1697</v>
      </c>
      <c r="M602" t="s">
        <v>245</v>
      </c>
      <c r="N602" t="str">
        <f t="shared" si="9"/>
        <v>IHVNfcAMAC</v>
      </c>
    </row>
    <row r="603" spans="8:14" x14ac:dyDescent="0.35">
      <c r="H603" t="s">
        <v>227</v>
      </c>
      <c r="I603" t="s">
        <v>225</v>
      </c>
      <c r="J603" t="s">
        <v>235</v>
      </c>
      <c r="K603" s="80" t="s">
        <v>1698</v>
      </c>
      <c r="L603" t="s">
        <v>1699</v>
      </c>
      <c r="M603" t="s">
        <v>245</v>
      </c>
      <c r="N603" t="str">
        <f t="shared" si="9"/>
        <v>IHVNfcAMAC</v>
      </c>
    </row>
    <row r="604" spans="8:14" x14ac:dyDescent="0.35">
      <c r="H604" t="s">
        <v>227</v>
      </c>
      <c r="I604" t="s">
        <v>225</v>
      </c>
      <c r="J604" t="s">
        <v>235</v>
      </c>
      <c r="K604" s="80" t="s">
        <v>1700</v>
      </c>
      <c r="L604" t="s">
        <v>1701</v>
      </c>
      <c r="M604" t="s">
        <v>245</v>
      </c>
      <c r="N604" t="str">
        <f t="shared" si="9"/>
        <v>IHVNfcAMAC</v>
      </c>
    </row>
    <row r="605" spans="8:14" x14ac:dyDescent="0.35">
      <c r="H605" t="s">
        <v>227</v>
      </c>
      <c r="I605" t="s">
        <v>225</v>
      </c>
      <c r="J605" t="s">
        <v>235</v>
      </c>
      <c r="K605" s="80" t="s">
        <v>1702</v>
      </c>
      <c r="L605" t="s">
        <v>1703</v>
      </c>
      <c r="M605" t="s">
        <v>245</v>
      </c>
      <c r="N605" t="str">
        <f t="shared" si="9"/>
        <v>IHVNfcAMAC</v>
      </c>
    </row>
    <row r="606" spans="8:14" x14ac:dyDescent="0.35">
      <c r="H606" t="s">
        <v>227</v>
      </c>
      <c r="I606" t="s">
        <v>225</v>
      </c>
      <c r="J606" t="s">
        <v>235</v>
      </c>
      <c r="K606" s="80" t="s">
        <v>1704</v>
      </c>
      <c r="L606" t="s">
        <v>1705</v>
      </c>
      <c r="M606" t="s">
        <v>245</v>
      </c>
      <c r="N606" t="str">
        <f t="shared" si="9"/>
        <v>IHVNfcAMAC</v>
      </c>
    </row>
    <row r="607" spans="8:14" x14ac:dyDescent="0.35">
      <c r="H607" t="s">
        <v>227</v>
      </c>
      <c r="I607" t="s">
        <v>225</v>
      </c>
      <c r="J607" t="s">
        <v>235</v>
      </c>
      <c r="K607" s="80" t="s">
        <v>1706</v>
      </c>
      <c r="L607" t="s">
        <v>1707</v>
      </c>
      <c r="M607" t="s">
        <v>245</v>
      </c>
      <c r="N607" t="str">
        <f t="shared" si="9"/>
        <v>IHVNfcAMAC</v>
      </c>
    </row>
    <row r="608" spans="8:14" x14ac:dyDescent="0.35">
      <c r="H608" t="s">
        <v>227</v>
      </c>
      <c r="I608" t="s">
        <v>225</v>
      </c>
      <c r="J608" t="s">
        <v>235</v>
      </c>
      <c r="K608" s="80" t="s">
        <v>1708</v>
      </c>
      <c r="L608" t="s">
        <v>1709</v>
      </c>
      <c r="M608" t="s">
        <v>245</v>
      </c>
      <c r="N608" t="str">
        <f t="shared" si="9"/>
        <v>IHVNfcAMAC</v>
      </c>
    </row>
    <row r="609" spans="8:14" x14ac:dyDescent="0.35">
      <c r="H609" t="s">
        <v>227</v>
      </c>
      <c r="I609" t="s">
        <v>225</v>
      </c>
      <c r="J609" t="s">
        <v>235</v>
      </c>
      <c r="K609" s="80" t="s">
        <v>1710</v>
      </c>
      <c r="L609" t="s">
        <v>1711</v>
      </c>
      <c r="M609" t="s">
        <v>245</v>
      </c>
      <c r="N609" t="str">
        <f t="shared" si="9"/>
        <v>IHVNfcAMAC</v>
      </c>
    </row>
    <row r="610" spans="8:14" x14ac:dyDescent="0.35">
      <c r="H610" t="s">
        <v>227</v>
      </c>
      <c r="I610" t="s">
        <v>225</v>
      </c>
      <c r="J610" t="s">
        <v>235</v>
      </c>
      <c r="K610" s="80" t="s">
        <v>1712</v>
      </c>
      <c r="L610" t="s">
        <v>1713</v>
      </c>
      <c r="M610" t="s">
        <v>245</v>
      </c>
      <c r="N610" t="str">
        <f t="shared" si="9"/>
        <v>IHVNfcAMAC</v>
      </c>
    </row>
    <row r="611" spans="8:14" x14ac:dyDescent="0.35">
      <c r="H611" t="s">
        <v>227</v>
      </c>
      <c r="I611" t="s">
        <v>225</v>
      </c>
      <c r="J611" t="s">
        <v>235</v>
      </c>
      <c r="K611" s="80" t="s">
        <v>1714</v>
      </c>
      <c r="L611" t="s">
        <v>1715</v>
      </c>
      <c r="M611" t="s">
        <v>245</v>
      </c>
      <c r="N611" t="str">
        <f t="shared" si="9"/>
        <v>IHVNfcAMAC</v>
      </c>
    </row>
    <row r="612" spans="8:14" x14ac:dyDescent="0.35">
      <c r="H612" t="s">
        <v>227</v>
      </c>
      <c r="I612" t="s">
        <v>225</v>
      </c>
      <c r="J612" t="s">
        <v>235</v>
      </c>
      <c r="K612" s="80" t="s">
        <v>1716</v>
      </c>
      <c r="L612" t="s">
        <v>1717</v>
      </c>
      <c r="M612" t="s">
        <v>245</v>
      </c>
      <c r="N612" t="str">
        <f t="shared" si="9"/>
        <v>IHVNfcAMAC</v>
      </c>
    </row>
    <row r="613" spans="8:14" x14ac:dyDescent="0.35">
      <c r="H613" t="s">
        <v>227</v>
      </c>
      <c r="I613" t="s">
        <v>225</v>
      </c>
      <c r="J613" t="s">
        <v>235</v>
      </c>
      <c r="K613" s="80" t="s">
        <v>1718</v>
      </c>
      <c r="L613" t="s">
        <v>1719</v>
      </c>
      <c r="M613" t="s">
        <v>245</v>
      </c>
      <c r="N613" t="str">
        <f t="shared" si="9"/>
        <v>IHVNfcAMAC</v>
      </c>
    </row>
    <row r="614" spans="8:14" x14ac:dyDescent="0.35">
      <c r="H614" t="s">
        <v>227</v>
      </c>
      <c r="I614" t="s">
        <v>225</v>
      </c>
      <c r="J614" t="s">
        <v>235</v>
      </c>
      <c r="K614" s="80" t="s">
        <v>1720</v>
      </c>
      <c r="L614" t="s">
        <v>1721</v>
      </c>
      <c r="M614" t="s">
        <v>245</v>
      </c>
      <c r="N614" t="str">
        <f t="shared" si="9"/>
        <v>IHVNfcAMAC</v>
      </c>
    </row>
    <row r="615" spans="8:14" x14ac:dyDescent="0.35">
      <c r="H615" t="s">
        <v>227</v>
      </c>
      <c r="I615" t="s">
        <v>225</v>
      </c>
      <c r="J615" t="s">
        <v>235</v>
      </c>
      <c r="K615" s="80" t="s">
        <v>1722</v>
      </c>
      <c r="L615" t="s">
        <v>1723</v>
      </c>
      <c r="M615" t="s">
        <v>245</v>
      </c>
      <c r="N615" t="str">
        <f t="shared" si="9"/>
        <v>IHVNfcAMAC</v>
      </c>
    </row>
    <row r="616" spans="8:14" x14ac:dyDescent="0.35">
      <c r="H616" t="s">
        <v>227</v>
      </c>
      <c r="I616" t="s">
        <v>225</v>
      </c>
      <c r="J616" t="s">
        <v>235</v>
      </c>
      <c r="K616" s="80" t="s">
        <v>1724</v>
      </c>
      <c r="L616" t="s">
        <v>1725</v>
      </c>
      <c r="M616" t="s">
        <v>245</v>
      </c>
      <c r="N616" t="str">
        <f t="shared" si="9"/>
        <v>IHVNfcAMAC</v>
      </c>
    </row>
    <row r="617" spans="8:14" x14ac:dyDescent="0.35">
      <c r="H617" t="s">
        <v>227</v>
      </c>
      <c r="I617" t="s">
        <v>225</v>
      </c>
      <c r="J617" t="s">
        <v>235</v>
      </c>
      <c r="K617" s="80" t="s">
        <v>1726</v>
      </c>
      <c r="L617" t="s">
        <v>1727</v>
      </c>
      <c r="M617" t="s">
        <v>245</v>
      </c>
      <c r="N617" t="str">
        <f t="shared" si="9"/>
        <v>IHVNfcAMAC</v>
      </c>
    </row>
    <row r="618" spans="8:14" x14ac:dyDescent="0.35">
      <c r="H618" t="s">
        <v>227</v>
      </c>
      <c r="I618" t="s">
        <v>225</v>
      </c>
      <c r="J618" t="s">
        <v>235</v>
      </c>
      <c r="K618" s="80" t="s">
        <v>1728</v>
      </c>
      <c r="L618" t="s">
        <v>1729</v>
      </c>
      <c r="M618" t="s">
        <v>245</v>
      </c>
      <c r="N618" t="str">
        <f t="shared" si="9"/>
        <v>IHVNfcAMAC</v>
      </c>
    </row>
    <row r="619" spans="8:14" x14ac:dyDescent="0.35">
      <c r="H619" t="s">
        <v>227</v>
      </c>
      <c r="I619" t="s">
        <v>225</v>
      </c>
      <c r="J619" t="s">
        <v>235</v>
      </c>
      <c r="K619" s="80" t="s">
        <v>1730</v>
      </c>
      <c r="L619" t="s">
        <v>1731</v>
      </c>
      <c r="M619" t="s">
        <v>245</v>
      </c>
      <c r="N619" t="str">
        <f t="shared" si="9"/>
        <v>IHVNfcAMAC</v>
      </c>
    </row>
    <row r="620" spans="8:14" x14ac:dyDescent="0.35">
      <c r="H620" t="s">
        <v>227</v>
      </c>
      <c r="I620" t="s">
        <v>225</v>
      </c>
      <c r="J620" t="s">
        <v>235</v>
      </c>
      <c r="K620" s="80" t="s">
        <v>1732</v>
      </c>
      <c r="L620" t="s">
        <v>1733</v>
      </c>
      <c r="M620" t="s">
        <v>245</v>
      </c>
      <c r="N620" t="str">
        <f t="shared" si="9"/>
        <v>IHVNfcAMAC</v>
      </c>
    </row>
    <row r="621" spans="8:14" x14ac:dyDescent="0.35">
      <c r="H621" t="s">
        <v>227</v>
      </c>
      <c r="I621" t="s">
        <v>225</v>
      </c>
      <c r="J621" t="s">
        <v>235</v>
      </c>
      <c r="K621" s="80" t="s">
        <v>1734</v>
      </c>
      <c r="L621" t="s">
        <v>1735</v>
      </c>
      <c r="M621" t="s">
        <v>245</v>
      </c>
      <c r="N621" t="str">
        <f t="shared" si="9"/>
        <v>IHVNfcAMAC</v>
      </c>
    </row>
    <row r="622" spans="8:14" x14ac:dyDescent="0.35">
      <c r="H622" t="s">
        <v>227</v>
      </c>
      <c r="I622" t="s">
        <v>225</v>
      </c>
      <c r="J622" t="s">
        <v>235</v>
      </c>
      <c r="K622" s="80" t="s">
        <v>1736</v>
      </c>
      <c r="L622" t="s">
        <v>1737</v>
      </c>
      <c r="M622" t="s">
        <v>245</v>
      </c>
      <c r="N622" t="str">
        <f t="shared" si="9"/>
        <v>IHVNfcAMAC</v>
      </c>
    </row>
    <row r="623" spans="8:14" x14ac:dyDescent="0.35">
      <c r="H623" t="s">
        <v>227</v>
      </c>
      <c r="I623" t="s">
        <v>225</v>
      </c>
      <c r="J623" t="s">
        <v>235</v>
      </c>
      <c r="K623" s="80" t="s">
        <v>1738</v>
      </c>
      <c r="L623" t="s">
        <v>1739</v>
      </c>
      <c r="M623" t="s">
        <v>245</v>
      </c>
      <c r="N623" t="str">
        <f t="shared" si="9"/>
        <v>IHVNfcAMAC</v>
      </c>
    </row>
    <row r="624" spans="8:14" x14ac:dyDescent="0.35">
      <c r="H624" t="s">
        <v>227</v>
      </c>
      <c r="I624" t="s">
        <v>225</v>
      </c>
      <c r="J624" t="s">
        <v>235</v>
      </c>
      <c r="K624" s="80" t="s">
        <v>1740</v>
      </c>
      <c r="L624" t="s">
        <v>1741</v>
      </c>
      <c r="M624" t="s">
        <v>245</v>
      </c>
      <c r="N624" t="str">
        <f t="shared" si="9"/>
        <v>IHVNfcAMAC</v>
      </c>
    </row>
    <row r="625" spans="8:14" x14ac:dyDescent="0.35">
      <c r="H625" t="s">
        <v>227</v>
      </c>
      <c r="I625" t="s">
        <v>225</v>
      </c>
      <c r="J625" t="s">
        <v>235</v>
      </c>
      <c r="K625" s="80" t="s">
        <v>1742</v>
      </c>
      <c r="L625" t="s">
        <v>1743</v>
      </c>
      <c r="M625" t="s">
        <v>245</v>
      </c>
      <c r="N625" t="str">
        <f t="shared" si="9"/>
        <v>IHVNfcAMAC</v>
      </c>
    </row>
    <row r="626" spans="8:14" x14ac:dyDescent="0.35">
      <c r="H626" t="s">
        <v>227</v>
      </c>
      <c r="I626" t="s">
        <v>225</v>
      </c>
      <c r="J626" t="s">
        <v>235</v>
      </c>
      <c r="K626" s="80" t="s">
        <v>1744</v>
      </c>
      <c r="L626" t="s">
        <v>1745</v>
      </c>
      <c r="M626" t="s">
        <v>245</v>
      </c>
      <c r="N626" t="str">
        <f t="shared" si="9"/>
        <v>IHVNfcAMAC</v>
      </c>
    </row>
    <row r="627" spans="8:14" x14ac:dyDescent="0.35">
      <c r="H627" t="s">
        <v>227</v>
      </c>
      <c r="I627" t="s">
        <v>225</v>
      </c>
      <c r="J627" t="s">
        <v>235</v>
      </c>
      <c r="K627" s="80" t="s">
        <v>1746</v>
      </c>
      <c r="L627" t="s">
        <v>1747</v>
      </c>
      <c r="M627" t="s">
        <v>245</v>
      </c>
      <c r="N627" t="str">
        <f t="shared" si="9"/>
        <v>IHVNfcAMAC</v>
      </c>
    </row>
    <row r="628" spans="8:14" x14ac:dyDescent="0.35">
      <c r="H628" t="s">
        <v>227</v>
      </c>
      <c r="I628" t="s">
        <v>225</v>
      </c>
      <c r="J628" t="s">
        <v>235</v>
      </c>
      <c r="K628" s="80" t="s">
        <v>1748</v>
      </c>
      <c r="L628" t="s">
        <v>1749</v>
      </c>
      <c r="M628" t="s">
        <v>245</v>
      </c>
      <c r="N628" t="str">
        <f t="shared" si="9"/>
        <v>IHVNfcAMAC</v>
      </c>
    </row>
    <row r="629" spans="8:14" x14ac:dyDescent="0.35">
      <c r="H629" t="s">
        <v>227</v>
      </c>
      <c r="I629" t="s">
        <v>225</v>
      </c>
      <c r="J629" t="s">
        <v>235</v>
      </c>
      <c r="K629" s="80" t="s">
        <v>1750</v>
      </c>
      <c r="L629" t="s">
        <v>1751</v>
      </c>
      <c r="M629" t="s">
        <v>245</v>
      </c>
      <c r="N629" t="str">
        <f t="shared" si="9"/>
        <v>IHVNfcAMAC</v>
      </c>
    </row>
    <row r="630" spans="8:14" x14ac:dyDescent="0.35">
      <c r="H630" t="s">
        <v>227</v>
      </c>
      <c r="I630" t="s">
        <v>225</v>
      </c>
      <c r="J630" t="s">
        <v>235</v>
      </c>
      <c r="K630" s="80" t="s">
        <v>1752</v>
      </c>
      <c r="L630" t="s">
        <v>1753</v>
      </c>
      <c r="M630" t="s">
        <v>245</v>
      </c>
      <c r="N630" t="str">
        <f t="shared" si="9"/>
        <v>IHVNfcAMAC</v>
      </c>
    </row>
    <row r="631" spans="8:14" x14ac:dyDescent="0.35">
      <c r="H631" t="s">
        <v>227</v>
      </c>
      <c r="I631" t="s">
        <v>225</v>
      </c>
      <c r="J631" t="s">
        <v>235</v>
      </c>
      <c r="K631" s="80" t="s">
        <v>1754</v>
      </c>
      <c r="L631" t="s">
        <v>1755</v>
      </c>
      <c r="M631" t="s">
        <v>245</v>
      </c>
      <c r="N631" t="str">
        <f t="shared" si="9"/>
        <v>IHVNfcAMAC</v>
      </c>
    </row>
    <row r="632" spans="8:14" x14ac:dyDescent="0.35">
      <c r="H632" t="s">
        <v>227</v>
      </c>
      <c r="I632" t="s">
        <v>225</v>
      </c>
      <c r="J632" t="s">
        <v>235</v>
      </c>
      <c r="K632" s="80" t="s">
        <v>1756</v>
      </c>
      <c r="L632" t="s">
        <v>1757</v>
      </c>
      <c r="M632" t="s">
        <v>245</v>
      </c>
      <c r="N632" t="str">
        <f t="shared" si="9"/>
        <v>IHVNfcAMAC</v>
      </c>
    </row>
    <row r="633" spans="8:14" x14ac:dyDescent="0.35">
      <c r="H633" t="s">
        <v>227</v>
      </c>
      <c r="I633" t="s">
        <v>225</v>
      </c>
      <c r="J633" t="s">
        <v>235</v>
      </c>
      <c r="K633" s="80" t="s">
        <v>1758</v>
      </c>
      <c r="L633" t="s">
        <v>1759</v>
      </c>
      <c r="M633" t="s">
        <v>245</v>
      </c>
      <c r="N633" t="str">
        <f t="shared" si="9"/>
        <v>IHVNfcAMAC</v>
      </c>
    </row>
    <row r="634" spans="8:14" x14ac:dyDescent="0.35">
      <c r="H634" t="s">
        <v>227</v>
      </c>
      <c r="I634" t="s">
        <v>225</v>
      </c>
      <c r="J634" t="s">
        <v>235</v>
      </c>
      <c r="K634" s="80" t="s">
        <v>1760</v>
      </c>
      <c r="L634" t="s">
        <v>1761</v>
      </c>
      <c r="M634" t="s">
        <v>245</v>
      </c>
      <c r="N634" t="str">
        <f t="shared" si="9"/>
        <v>IHVNfcAMAC</v>
      </c>
    </row>
    <row r="635" spans="8:14" x14ac:dyDescent="0.35">
      <c r="H635" t="s">
        <v>227</v>
      </c>
      <c r="I635" t="s">
        <v>225</v>
      </c>
      <c r="J635" t="s">
        <v>235</v>
      </c>
      <c r="K635" s="80" t="s">
        <v>1762</v>
      </c>
      <c r="L635" t="s">
        <v>1763</v>
      </c>
      <c r="M635" t="s">
        <v>245</v>
      </c>
      <c r="N635" t="str">
        <f t="shared" si="9"/>
        <v>IHVNfcAMAC</v>
      </c>
    </row>
    <row r="636" spans="8:14" x14ac:dyDescent="0.35">
      <c r="H636" t="s">
        <v>227</v>
      </c>
      <c r="I636" t="s">
        <v>225</v>
      </c>
      <c r="J636" t="s">
        <v>235</v>
      </c>
      <c r="K636" s="80" t="s">
        <v>1764</v>
      </c>
      <c r="L636" t="s">
        <v>1765</v>
      </c>
      <c r="M636" t="s">
        <v>245</v>
      </c>
      <c r="N636" t="str">
        <f t="shared" si="9"/>
        <v>IHVNfcAMAC</v>
      </c>
    </row>
    <row r="637" spans="8:14" x14ac:dyDescent="0.35">
      <c r="H637" t="s">
        <v>227</v>
      </c>
      <c r="I637" t="s">
        <v>225</v>
      </c>
      <c r="J637" t="s">
        <v>235</v>
      </c>
      <c r="K637" s="80" t="s">
        <v>1766</v>
      </c>
      <c r="L637" t="s">
        <v>1767</v>
      </c>
      <c r="M637" t="s">
        <v>245</v>
      </c>
      <c r="N637" t="str">
        <f t="shared" si="9"/>
        <v>IHVNfcAMAC</v>
      </c>
    </row>
    <row r="638" spans="8:14" x14ac:dyDescent="0.35">
      <c r="H638" t="s">
        <v>227</v>
      </c>
      <c r="I638" t="s">
        <v>225</v>
      </c>
      <c r="J638" t="s">
        <v>241</v>
      </c>
      <c r="K638" s="80" t="s">
        <v>1768</v>
      </c>
      <c r="L638" t="s">
        <v>1769</v>
      </c>
      <c r="M638" t="s">
        <v>245</v>
      </c>
      <c r="N638" t="str">
        <f t="shared" si="9"/>
        <v>IHVNfcBwari</v>
      </c>
    </row>
    <row r="639" spans="8:14" x14ac:dyDescent="0.35">
      <c r="H639" t="s">
        <v>227</v>
      </c>
      <c r="I639" t="s">
        <v>225</v>
      </c>
      <c r="J639" t="s">
        <v>241</v>
      </c>
      <c r="K639" s="80" t="s">
        <v>1770</v>
      </c>
      <c r="L639" t="s">
        <v>1771</v>
      </c>
      <c r="M639" t="s">
        <v>245</v>
      </c>
      <c r="N639" t="str">
        <f t="shared" si="9"/>
        <v>IHVNfcBwari</v>
      </c>
    </row>
    <row r="640" spans="8:14" x14ac:dyDescent="0.35">
      <c r="H640" t="s">
        <v>227</v>
      </c>
      <c r="I640" t="s">
        <v>225</v>
      </c>
      <c r="J640" t="s">
        <v>241</v>
      </c>
      <c r="K640" s="80" t="s">
        <v>1772</v>
      </c>
      <c r="L640" t="s">
        <v>1773</v>
      </c>
      <c r="M640" t="s">
        <v>245</v>
      </c>
      <c r="N640" t="str">
        <f t="shared" si="9"/>
        <v>IHVNfcBwari</v>
      </c>
    </row>
    <row r="641" spans="8:14" x14ac:dyDescent="0.35">
      <c r="H641" t="s">
        <v>227</v>
      </c>
      <c r="I641" t="s">
        <v>225</v>
      </c>
      <c r="J641" t="s">
        <v>241</v>
      </c>
      <c r="K641" s="80" t="s">
        <v>1774</v>
      </c>
      <c r="L641" t="s">
        <v>1775</v>
      </c>
      <c r="M641" t="s">
        <v>245</v>
      </c>
      <c r="N641" t="str">
        <f t="shared" si="9"/>
        <v>IHVNfcBwari</v>
      </c>
    </row>
    <row r="642" spans="8:14" x14ac:dyDescent="0.35">
      <c r="H642" t="s">
        <v>227</v>
      </c>
      <c r="I642" t="s">
        <v>225</v>
      </c>
      <c r="J642" t="s">
        <v>241</v>
      </c>
      <c r="K642" s="80" t="s">
        <v>1776</v>
      </c>
      <c r="L642" t="s">
        <v>1777</v>
      </c>
      <c r="M642" t="s">
        <v>245</v>
      </c>
      <c r="N642" t="str">
        <f t="shared" si="9"/>
        <v>IHVNfcBwari</v>
      </c>
    </row>
    <row r="643" spans="8:14" x14ac:dyDescent="0.35">
      <c r="H643" t="s">
        <v>227</v>
      </c>
      <c r="I643" t="s">
        <v>225</v>
      </c>
      <c r="J643" t="s">
        <v>241</v>
      </c>
      <c r="K643" s="80" t="s">
        <v>1778</v>
      </c>
      <c r="L643" t="s">
        <v>1779</v>
      </c>
      <c r="M643" t="s">
        <v>245</v>
      </c>
      <c r="N643" t="str">
        <f t="shared" ref="N643:N706" si="10">SUBSTITUTE(SUBSTITUTE(M643&amp;J643," ",""),"-","")</f>
        <v>IHVNfcBwari</v>
      </c>
    </row>
    <row r="644" spans="8:14" x14ac:dyDescent="0.35">
      <c r="H644" t="s">
        <v>227</v>
      </c>
      <c r="I644" t="s">
        <v>225</v>
      </c>
      <c r="J644" t="s">
        <v>241</v>
      </c>
      <c r="K644" s="80" t="s">
        <v>1780</v>
      </c>
      <c r="L644" t="s">
        <v>1781</v>
      </c>
      <c r="M644" t="s">
        <v>245</v>
      </c>
      <c r="N644" t="str">
        <f t="shared" si="10"/>
        <v>IHVNfcBwari</v>
      </c>
    </row>
    <row r="645" spans="8:14" x14ac:dyDescent="0.35">
      <c r="H645" t="s">
        <v>227</v>
      </c>
      <c r="I645" t="s">
        <v>225</v>
      </c>
      <c r="J645" t="s">
        <v>241</v>
      </c>
      <c r="K645" s="80" t="s">
        <v>1782</v>
      </c>
      <c r="L645" t="s">
        <v>1783</v>
      </c>
      <c r="M645" t="s">
        <v>245</v>
      </c>
      <c r="N645" t="str">
        <f t="shared" si="10"/>
        <v>IHVNfcBwari</v>
      </c>
    </row>
    <row r="646" spans="8:14" x14ac:dyDescent="0.35">
      <c r="H646" t="s">
        <v>227</v>
      </c>
      <c r="I646" t="s">
        <v>225</v>
      </c>
      <c r="J646" t="s">
        <v>241</v>
      </c>
      <c r="K646" s="80" t="s">
        <v>1784</v>
      </c>
      <c r="L646" t="s">
        <v>1785</v>
      </c>
      <c r="M646" t="s">
        <v>245</v>
      </c>
      <c r="N646" t="str">
        <f t="shared" si="10"/>
        <v>IHVNfcBwari</v>
      </c>
    </row>
    <row r="647" spans="8:14" x14ac:dyDescent="0.35">
      <c r="H647" t="s">
        <v>227</v>
      </c>
      <c r="I647" t="s">
        <v>225</v>
      </c>
      <c r="J647" t="s">
        <v>241</v>
      </c>
      <c r="K647" s="80" t="s">
        <v>1786</v>
      </c>
      <c r="L647" t="s">
        <v>1787</v>
      </c>
      <c r="M647" t="s">
        <v>245</v>
      </c>
      <c r="N647" t="str">
        <f t="shared" si="10"/>
        <v>IHVNfcBwari</v>
      </c>
    </row>
    <row r="648" spans="8:14" x14ac:dyDescent="0.35">
      <c r="H648" t="s">
        <v>227</v>
      </c>
      <c r="I648" t="s">
        <v>225</v>
      </c>
      <c r="J648" t="s">
        <v>241</v>
      </c>
      <c r="K648" s="80" t="s">
        <v>1788</v>
      </c>
      <c r="L648" t="s">
        <v>1789</v>
      </c>
      <c r="M648" t="s">
        <v>245</v>
      </c>
      <c r="N648" t="str">
        <f t="shared" si="10"/>
        <v>IHVNfcBwari</v>
      </c>
    </row>
    <row r="649" spans="8:14" x14ac:dyDescent="0.35">
      <c r="H649" t="s">
        <v>227</v>
      </c>
      <c r="I649" t="s">
        <v>225</v>
      </c>
      <c r="J649" t="s">
        <v>241</v>
      </c>
      <c r="K649" s="80" t="s">
        <v>1790</v>
      </c>
      <c r="L649" t="s">
        <v>1791</v>
      </c>
      <c r="M649" t="s">
        <v>245</v>
      </c>
      <c r="N649" t="str">
        <f t="shared" si="10"/>
        <v>IHVNfcBwari</v>
      </c>
    </row>
    <row r="650" spans="8:14" x14ac:dyDescent="0.35">
      <c r="H650" t="s">
        <v>227</v>
      </c>
      <c r="I650" t="s">
        <v>225</v>
      </c>
      <c r="J650" t="s">
        <v>241</v>
      </c>
      <c r="K650" s="80" t="s">
        <v>1792</v>
      </c>
      <c r="L650" t="s">
        <v>1793</v>
      </c>
      <c r="M650" t="s">
        <v>245</v>
      </c>
      <c r="N650" t="str">
        <f t="shared" si="10"/>
        <v>IHVNfcBwari</v>
      </c>
    </row>
    <row r="651" spans="8:14" x14ac:dyDescent="0.35">
      <c r="H651" t="s">
        <v>227</v>
      </c>
      <c r="I651" t="s">
        <v>225</v>
      </c>
      <c r="J651" t="s">
        <v>241</v>
      </c>
      <c r="K651" s="80" t="s">
        <v>1794</v>
      </c>
      <c r="L651" t="s">
        <v>1795</v>
      </c>
      <c r="M651" t="s">
        <v>245</v>
      </c>
      <c r="N651" t="str">
        <f t="shared" si="10"/>
        <v>IHVNfcBwari</v>
      </c>
    </row>
    <row r="652" spans="8:14" x14ac:dyDescent="0.35">
      <c r="H652" t="s">
        <v>227</v>
      </c>
      <c r="I652" t="s">
        <v>225</v>
      </c>
      <c r="J652" t="s">
        <v>241</v>
      </c>
      <c r="K652" s="80" t="s">
        <v>1796</v>
      </c>
      <c r="L652" t="s">
        <v>1797</v>
      </c>
      <c r="M652" t="s">
        <v>245</v>
      </c>
      <c r="N652" t="str">
        <f t="shared" si="10"/>
        <v>IHVNfcBwari</v>
      </c>
    </row>
    <row r="653" spans="8:14" x14ac:dyDescent="0.35">
      <c r="H653" t="s">
        <v>227</v>
      </c>
      <c r="I653" t="s">
        <v>225</v>
      </c>
      <c r="J653" t="s">
        <v>241</v>
      </c>
      <c r="K653" s="80" t="s">
        <v>1798</v>
      </c>
      <c r="L653" t="s">
        <v>1799</v>
      </c>
      <c r="M653" t="s">
        <v>245</v>
      </c>
      <c r="N653" t="str">
        <f t="shared" si="10"/>
        <v>IHVNfcBwari</v>
      </c>
    </row>
    <row r="654" spans="8:14" x14ac:dyDescent="0.35">
      <c r="H654" t="s">
        <v>227</v>
      </c>
      <c r="I654" t="s">
        <v>225</v>
      </c>
      <c r="J654" t="s">
        <v>241</v>
      </c>
      <c r="K654" s="80" t="s">
        <v>1800</v>
      </c>
      <c r="L654" t="s">
        <v>1801</v>
      </c>
      <c r="M654" t="s">
        <v>245</v>
      </c>
      <c r="N654" t="str">
        <f t="shared" si="10"/>
        <v>IHVNfcBwari</v>
      </c>
    </row>
    <row r="655" spans="8:14" x14ac:dyDescent="0.35">
      <c r="H655" t="s">
        <v>227</v>
      </c>
      <c r="I655" t="s">
        <v>225</v>
      </c>
      <c r="J655" t="s">
        <v>241</v>
      </c>
      <c r="K655" s="80" t="s">
        <v>1802</v>
      </c>
      <c r="L655" t="s">
        <v>1803</v>
      </c>
      <c r="M655" t="s">
        <v>245</v>
      </c>
      <c r="N655" t="str">
        <f t="shared" si="10"/>
        <v>IHVNfcBwari</v>
      </c>
    </row>
    <row r="656" spans="8:14" x14ac:dyDescent="0.35">
      <c r="H656" t="s">
        <v>227</v>
      </c>
      <c r="I656" t="s">
        <v>225</v>
      </c>
      <c r="J656" t="s">
        <v>241</v>
      </c>
      <c r="K656" s="80" t="s">
        <v>1804</v>
      </c>
      <c r="L656" t="s">
        <v>1805</v>
      </c>
      <c r="M656" t="s">
        <v>245</v>
      </c>
      <c r="N656" t="str">
        <f t="shared" si="10"/>
        <v>IHVNfcBwari</v>
      </c>
    </row>
    <row r="657" spans="8:14" x14ac:dyDescent="0.35">
      <c r="H657" t="s">
        <v>227</v>
      </c>
      <c r="I657" t="s">
        <v>225</v>
      </c>
      <c r="J657" t="s">
        <v>241</v>
      </c>
      <c r="K657" s="80" t="s">
        <v>1806</v>
      </c>
      <c r="L657" t="s">
        <v>1807</v>
      </c>
      <c r="M657" t="s">
        <v>245</v>
      </c>
      <c r="N657" t="str">
        <f t="shared" si="10"/>
        <v>IHVNfcBwari</v>
      </c>
    </row>
    <row r="658" spans="8:14" x14ac:dyDescent="0.35">
      <c r="H658" t="s">
        <v>227</v>
      </c>
      <c r="I658" t="s">
        <v>225</v>
      </c>
      <c r="J658" t="s">
        <v>241</v>
      </c>
      <c r="K658" s="80" t="s">
        <v>1808</v>
      </c>
      <c r="L658" t="s">
        <v>1809</v>
      </c>
      <c r="M658" t="s">
        <v>245</v>
      </c>
      <c r="N658" t="str">
        <f t="shared" si="10"/>
        <v>IHVNfcBwari</v>
      </c>
    </row>
    <row r="659" spans="8:14" x14ac:dyDescent="0.35">
      <c r="H659" t="s">
        <v>227</v>
      </c>
      <c r="I659" t="s">
        <v>225</v>
      </c>
      <c r="J659" t="s">
        <v>241</v>
      </c>
      <c r="K659" s="80" t="s">
        <v>1810</v>
      </c>
      <c r="L659" t="s">
        <v>1811</v>
      </c>
      <c r="M659" t="s">
        <v>245</v>
      </c>
      <c r="N659" t="str">
        <f t="shared" si="10"/>
        <v>IHVNfcBwari</v>
      </c>
    </row>
    <row r="660" spans="8:14" x14ac:dyDescent="0.35">
      <c r="H660" t="s">
        <v>227</v>
      </c>
      <c r="I660" t="s">
        <v>225</v>
      </c>
      <c r="J660" t="s">
        <v>241</v>
      </c>
      <c r="K660" s="80" t="s">
        <v>1812</v>
      </c>
      <c r="L660" t="s">
        <v>1813</v>
      </c>
      <c r="M660" t="s">
        <v>245</v>
      </c>
      <c r="N660" t="str">
        <f t="shared" si="10"/>
        <v>IHVNfcBwari</v>
      </c>
    </row>
    <row r="661" spans="8:14" x14ac:dyDescent="0.35">
      <c r="H661" t="s">
        <v>227</v>
      </c>
      <c r="I661" t="s">
        <v>225</v>
      </c>
      <c r="J661" t="s">
        <v>241</v>
      </c>
      <c r="K661" s="80" t="s">
        <v>1814</v>
      </c>
      <c r="L661" t="s">
        <v>1815</v>
      </c>
      <c r="M661" t="s">
        <v>245</v>
      </c>
      <c r="N661" t="str">
        <f t="shared" si="10"/>
        <v>IHVNfcBwari</v>
      </c>
    </row>
    <row r="662" spans="8:14" x14ac:dyDescent="0.35">
      <c r="H662" t="s">
        <v>227</v>
      </c>
      <c r="I662" t="s">
        <v>225</v>
      </c>
      <c r="J662" t="s">
        <v>241</v>
      </c>
      <c r="K662" s="80" t="s">
        <v>1816</v>
      </c>
      <c r="L662" t="s">
        <v>1817</v>
      </c>
      <c r="M662" t="s">
        <v>245</v>
      </c>
      <c r="N662" t="str">
        <f t="shared" si="10"/>
        <v>IHVNfcBwari</v>
      </c>
    </row>
    <row r="663" spans="8:14" x14ac:dyDescent="0.35">
      <c r="H663" t="s">
        <v>227</v>
      </c>
      <c r="I663" t="s">
        <v>225</v>
      </c>
      <c r="J663" t="s">
        <v>241</v>
      </c>
      <c r="K663" s="80" t="s">
        <v>1818</v>
      </c>
      <c r="L663" t="s">
        <v>1819</v>
      </c>
      <c r="M663" t="s">
        <v>245</v>
      </c>
      <c r="N663" t="str">
        <f t="shared" si="10"/>
        <v>IHVNfcBwari</v>
      </c>
    </row>
    <row r="664" spans="8:14" x14ac:dyDescent="0.35">
      <c r="H664" t="s">
        <v>227</v>
      </c>
      <c r="I664" t="s">
        <v>225</v>
      </c>
      <c r="J664" t="s">
        <v>241</v>
      </c>
      <c r="K664" s="80" t="s">
        <v>1820</v>
      </c>
      <c r="L664" t="s">
        <v>1821</v>
      </c>
      <c r="M664" t="s">
        <v>245</v>
      </c>
      <c r="N664" t="str">
        <f t="shared" si="10"/>
        <v>IHVNfcBwari</v>
      </c>
    </row>
    <row r="665" spans="8:14" x14ac:dyDescent="0.35">
      <c r="H665" t="s">
        <v>227</v>
      </c>
      <c r="I665" t="s">
        <v>225</v>
      </c>
      <c r="J665" t="s">
        <v>241</v>
      </c>
      <c r="K665" s="80" t="s">
        <v>1822</v>
      </c>
      <c r="L665" t="s">
        <v>1823</v>
      </c>
      <c r="M665" t="s">
        <v>245</v>
      </c>
      <c r="N665" t="str">
        <f t="shared" si="10"/>
        <v>IHVNfcBwari</v>
      </c>
    </row>
    <row r="666" spans="8:14" x14ac:dyDescent="0.35">
      <c r="H666" t="s">
        <v>227</v>
      </c>
      <c r="I666" t="s">
        <v>225</v>
      </c>
      <c r="J666" t="s">
        <v>241</v>
      </c>
      <c r="K666" s="80" t="s">
        <v>1824</v>
      </c>
      <c r="L666" t="s">
        <v>1825</v>
      </c>
      <c r="M666" t="s">
        <v>245</v>
      </c>
      <c r="N666" t="str">
        <f t="shared" si="10"/>
        <v>IHVNfcBwari</v>
      </c>
    </row>
    <row r="667" spans="8:14" x14ac:dyDescent="0.35">
      <c r="H667" t="s">
        <v>227</v>
      </c>
      <c r="I667" t="s">
        <v>225</v>
      </c>
      <c r="J667" t="s">
        <v>241</v>
      </c>
      <c r="K667" s="80" t="s">
        <v>1826</v>
      </c>
      <c r="L667" t="s">
        <v>1827</v>
      </c>
      <c r="M667" t="s">
        <v>245</v>
      </c>
      <c r="N667" t="str">
        <f t="shared" si="10"/>
        <v>IHVNfcBwari</v>
      </c>
    </row>
    <row r="668" spans="8:14" x14ac:dyDescent="0.35">
      <c r="H668" t="s">
        <v>227</v>
      </c>
      <c r="I668" t="s">
        <v>225</v>
      </c>
      <c r="J668" t="s">
        <v>241</v>
      </c>
      <c r="K668" s="80" t="s">
        <v>1828</v>
      </c>
      <c r="L668" t="s">
        <v>1829</v>
      </c>
      <c r="M668" t="s">
        <v>245</v>
      </c>
      <c r="N668" t="str">
        <f t="shared" si="10"/>
        <v>IHVNfcBwari</v>
      </c>
    </row>
    <row r="669" spans="8:14" x14ac:dyDescent="0.35">
      <c r="H669" t="s">
        <v>227</v>
      </c>
      <c r="I669" t="s">
        <v>225</v>
      </c>
      <c r="J669" t="s">
        <v>241</v>
      </c>
      <c r="K669" s="80" t="s">
        <v>1830</v>
      </c>
      <c r="L669" t="s">
        <v>1831</v>
      </c>
      <c r="M669" t="s">
        <v>245</v>
      </c>
      <c r="N669" t="str">
        <f t="shared" si="10"/>
        <v>IHVNfcBwari</v>
      </c>
    </row>
    <row r="670" spans="8:14" x14ac:dyDescent="0.35">
      <c r="H670" t="s">
        <v>227</v>
      </c>
      <c r="I670" t="s">
        <v>225</v>
      </c>
      <c r="J670" t="s">
        <v>241</v>
      </c>
      <c r="K670" s="80" t="s">
        <v>1832</v>
      </c>
      <c r="L670" t="s">
        <v>1833</v>
      </c>
      <c r="M670" t="s">
        <v>245</v>
      </c>
      <c r="N670" t="str">
        <f t="shared" si="10"/>
        <v>IHVNfcBwari</v>
      </c>
    </row>
    <row r="671" spans="8:14" x14ac:dyDescent="0.35">
      <c r="H671" t="s">
        <v>227</v>
      </c>
      <c r="I671" t="s">
        <v>225</v>
      </c>
      <c r="J671" t="s">
        <v>241</v>
      </c>
      <c r="K671" s="80" t="s">
        <v>1834</v>
      </c>
      <c r="L671" t="s">
        <v>1835</v>
      </c>
      <c r="M671" t="s">
        <v>245</v>
      </c>
      <c r="N671" t="str">
        <f t="shared" si="10"/>
        <v>IHVNfcBwari</v>
      </c>
    </row>
    <row r="672" spans="8:14" x14ac:dyDescent="0.35">
      <c r="H672" t="s">
        <v>227</v>
      </c>
      <c r="I672" t="s">
        <v>225</v>
      </c>
      <c r="J672" t="s">
        <v>241</v>
      </c>
      <c r="K672" s="80" t="s">
        <v>1836</v>
      </c>
      <c r="L672" t="s">
        <v>1837</v>
      </c>
      <c r="M672" t="s">
        <v>245</v>
      </c>
      <c r="N672" t="str">
        <f t="shared" si="10"/>
        <v>IHVNfcBwari</v>
      </c>
    </row>
    <row r="673" spans="8:14" x14ac:dyDescent="0.35">
      <c r="H673" t="s">
        <v>227</v>
      </c>
      <c r="I673" t="s">
        <v>225</v>
      </c>
      <c r="J673" t="s">
        <v>241</v>
      </c>
      <c r="K673" s="80" t="s">
        <v>1838</v>
      </c>
      <c r="L673" t="s">
        <v>1839</v>
      </c>
      <c r="M673" t="s">
        <v>245</v>
      </c>
      <c r="N673" t="str">
        <f t="shared" si="10"/>
        <v>IHVNfcBwari</v>
      </c>
    </row>
    <row r="674" spans="8:14" x14ac:dyDescent="0.35">
      <c r="H674" t="s">
        <v>227</v>
      </c>
      <c r="I674" t="s">
        <v>225</v>
      </c>
      <c r="J674" t="s">
        <v>241</v>
      </c>
      <c r="K674" s="80" t="s">
        <v>1840</v>
      </c>
      <c r="L674" t="s">
        <v>1841</v>
      </c>
      <c r="M674" t="s">
        <v>245</v>
      </c>
      <c r="N674" t="str">
        <f t="shared" si="10"/>
        <v>IHVNfcBwari</v>
      </c>
    </row>
    <row r="675" spans="8:14" x14ac:dyDescent="0.35">
      <c r="H675" t="s">
        <v>227</v>
      </c>
      <c r="I675" t="s">
        <v>225</v>
      </c>
      <c r="J675" t="s">
        <v>241</v>
      </c>
      <c r="K675" s="80" t="s">
        <v>1842</v>
      </c>
      <c r="L675" t="s">
        <v>1843</v>
      </c>
      <c r="M675" t="s">
        <v>245</v>
      </c>
      <c r="N675" t="str">
        <f t="shared" si="10"/>
        <v>IHVNfcBwari</v>
      </c>
    </row>
    <row r="676" spans="8:14" x14ac:dyDescent="0.35">
      <c r="H676" t="s">
        <v>227</v>
      </c>
      <c r="I676" t="s">
        <v>225</v>
      </c>
      <c r="J676" t="s">
        <v>241</v>
      </c>
      <c r="K676" s="80" t="s">
        <v>1844</v>
      </c>
      <c r="L676" t="s">
        <v>1845</v>
      </c>
      <c r="M676" t="s">
        <v>245</v>
      </c>
      <c r="N676" t="str">
        <f t="shared" si="10"/>
        <v>IHVNfcBwari</v>
      </c>
    </row>
    <row r="677" spans="8:14" x14ac:dyDescent="0.35">
      <c r="H677" t="s">
        <v>227</v>
      </c>
      <c r="I677" t="s">
        <v>225</v>
      </c>
      <c r="J677" t="s">
        <v>241</v>
      </c>
      <c r="K677" s="80" t="s">
        <v>1846</v>
      </c>
      <c r="L677" t="s">
        <v>1847</v>
      </c>
      <c r="M677" t="s">
        <v>245</v>
      </c>
      <c r="N677" t="str">
        <f t="shared" si="10"/>
        <v>IHVNfcBwari</v>
      </c>
    </row>
    <row r="678" spans="8:14" x14ac:dyDescent="0.35">
      <c r="H678" t="s">
        <v>227</v>
      </c>
      <c r="I678" t="s">
        <v>225</v>
      </c>
      <c r="J678" t="s">
        <v>241</v>
      </c>
      <c r="K678" s="80" t="s">
        <v>1848</v>
      </c>
      <c r="L678" t="s">
        <v>1849</v>
      </c>
      <c r="M678" t="s">
        <v>245</v>
      </c>
      <c r="N678" t="str">
        <f t="shared" si="10"/>
        <v>IHVNfcBwari</v>
      </c>
    </row>
    <row r="679" spans="8:14" x14ac:dyDescent="0.35">
      <c r="H679" t="s">
        <v>227</v>
      </c>
      <c r="I679" t="s">
        <v>225</v>
      </c>
      <c r="J679" t="s">
        <v>241</v>
      </c>
      <c r="K679" s="80" t="s">
        <v>1850</v>
      </c>
      <c r="L679" t="s">
        <v>1851</v>
      </c>
      <c r="M679" t="s">
        <v>245</v>
      </c>
      <c r="N679" t="str">
        <f t="shared" si="10"/>
        <v>IHVNfcBwari</v>
      </c>
    </row>
    <row r="680" spans="8:14" x14ac:dyDescent="0.35">
      <c r="H680" t="s">
        <v>227</v>
      </c>
      <c r="I680" t="s">
        <v>225</v>
      </c>
      <c r="J680" t="s">
        <v>241</v>
      </c>
      <c r="K680" s="80" t="s">
        <v>1852</v>
      </c>
      <c r="L680" t="s">
        <v>1853</v>
      </c>
      <c r="M680" t="s">
        <v>245</v>
      </c>
      <c r="N680" t="str">
        <f t="shared" si="10"/>
        <v>IHVNfcBwari</v>
      </c>
    </row>
    <row r="681" spans="8:14" x14ac:dyDescent="0.35">
      <c r="H681" t="s">
        <v>227</v>
      </c>
      <c r="I681" t="s">
        <v>225</v>
      </c>
      <c r="J681" t="s">
        <v>241</v>
      </c>
      <c r="K681" s="80" t="s">
        <v>1854</v>
      </c>
      <c r="L681" t="s">
        <v>1855</v>
      </c>
      <c r="M681" t="s">
        <v>245</v>
      </c>
      <c r="N681" t="str">
        <f t="shared" si="10"/>
        <v>IHVNfcBwari</v>
      </c>
    </row>
    <row r="682" spans="8:14" x14ac:dyDescent="0.35">
      <c r="H682" t="s">
        <v>227</v>
      </c>
      <c r="I682" t="s">
        <v>225</v>
      </c>
      <c r="J682" t="s">
        <v>241</v>
      </c>
      <c r="K682" s="80" t="s">
        <v>1856</v>
      </c>
      <c r="L682" t="s">
        <v>1857</v>
      </c>
      <c r="M682" t="s">
        <v>245</v>
      </c>
      <c r="N682" t="str">
        <f t="shared" si="10"/>
        <v>IHVNfcBwari</v>
      </c>
    </row>
    <row r="683" spans="8:14" x14ac:dyDescent="0.35">
      <c r="H683" t="s">
        <v>227</v>
      </c>
      <c r="I683" t="s">
        <v>225</v>
      </c>
      <c r="J683" t="s">
        <v>241</v>
      </c>
      <c r="K683" s="80" t="s">
        <v>1858</v>
      </c>
      <c r="L683" t="s">
        <v>1859</v>
      </c>
      <c r="M683" t="s">
        <v>245</v>
      </c>
      <c r="N683" t="str">
        <f t="shared" si="10"/>
        <v>IHVNfcBwari</v>
      </c>
    </row>
    <row r="684" spans="8:14" x14ac:dyDescent="0.35">
      <c r="H684" t="s">
        <v>227</v>
      </c>
      <c r="I684" t="s">
        <v>225</v>
      </c>
      <c r="J684" t="s">
        <v>241</v>
      </c>
      <c r="K684" s="80" t="s">
        <v>1860</v>
      </c>
      <c r="L684" t="s">
        <v>1861</v>
      </c>
      <c r="M684" t="s">
        <v>245</v>
      </c>
      <c r="N684" t="str">
        <f t="shared" si="10"/>
        <v>IHVNfcBwari</v>
      </c>
    </row>
    <row r="685" spans="8:14" x14ac:dyDescent="0.35">
      <c r="H685" t="s">
        <v>227</v>
      </c>
      <c r="I685" t="s">
        <v>225</v>
      </c>
      <c r="J685" t="s">
        <v>241</v>
      </c>
      <c r="K685" s="80" t="s">
        <v>1862</v>
      </c>
      <c r="L685" t="s">
        <v>1863</v>
      </c>
      <c r="M685" t="s">
        <v>245</v>
      </c>
      <c r="N685" t="str">
        <f t="shared" si="10"/>
        <v>IHVNfcBwari</v>
      </c>
    </row>
    <row r="686" spans="8:14" x14ac:dyDescent="0.35">
      <c r="H686" t="s">
        <v>227</v>
      </c>
      <c r="I686" t="s">
        <v>225</v>
      </c>
      <c r="J686" t="s">
        <v>241</v>
      </c>
      <c r="K686" s="80" t="s">
        <v>1864</v>
      </c>
      <c r="L686" t="s">
        <v>1865</v>
      </c>
      <c r="M686" t="s">
        <v>245</v>
      </c>
      <c r="N686" t="str">
        <f t="shared" si="10"/>
        <v>IHVNfcBwari</v>
      </c>
    </row>
    <row r="687" spans="8:14" x14ac:dyDescent="0.35">
      <c r="H687" t="s">
        <v>227</v>
      </c>
      <c r="I687" t="s">
        <v>225</v>
      </c>
      <c r="J687" t="s">
        <v>248</v>
      </c>
      <c r="K687" s="80" t="s">
        <v>1866</v>
      </c>
      <c r="L687" t="s">
        <v>1867</v>
      </c>
      <c r="M687" t="s">
        <v>245</v>
      </c>
      <c r="N687" t="str">
        <f t="shared" si="10"/>
        <v>IHVNfcGwagwalada</v>
      </c>
    </row>
    <row r="688" spans="8:14" x14ac:dyDescent="0.35">
      <c r="H688" t="s">
        <v>227</v>
      </c>
      <c r="I688" t="s">
        <v>225</v>
      </c>
      <c r="J688" t="s">
        <v>248</v>
      </c>
      <c r="K688" s="80" t="s">
        <v>1868</v>
      </c>
      <c r="L688" t="s">
        <v>1869</v>
      </c>
      <c r="M688" t="s">
        <v>245</v>
      </c>
      <c r="N688" t="str">
        <f t="shared" si="10"/>
        <v>IHVNfcGwagwalada</v>
      </c>
    </row>
    <row r="689" spans="8:14" x14ac:dyDescent="0.35">
      <c r="H689" t="s">
        <v>227</v>
      </c>
      <c r="I689" t="s">
        <v>225</v>
      </c>
      <c r="J689" t="s">
        <v>248</v>
      </c>
      <c r="K689" s="80" t="s">
        <v>1870</v>
      </c>
      <c r="L689" t="s">
        <v>1871</v>
      </c>
      <c r="M689" t="s">
        <v>245</v>
      </c>
      <c r="N689" t="str">
        <f t="shared" si="10"/>
        <v>IHVNfcGwagwalada</v>
      </c>
    </row>
    <row r="690" spans="8:14" x14ac:dyDescent="0.35">
      <c r="H690" t="s">
        <v>227</v>
      </c>
      <c r="I690" t="s">
        <v>225</v>
      </c>
      <c r="J690" t="s">
        <v>248</v>
      </c>
      <c r="K690" s="80" t="s">
        <v>1872</v>
      </c>
      <c r="L690" t="s">
        <v>1873</v>
      </c>
      <c r="M690" t="s">
        <v>245</v>
      </c>
      <c r="N690" t="str">
        <f t="shared" si="10"/>
        <v>IHVNfcGwagwalada</v>
      </c>
    </row>
    <row r="691" spans="8:14" x14ac:dyDescent="0.35">
      <c r="H691" t="s">
        <v>227</v>
      </c>
      <c r="I691" t="s">
        <v>225</v>
      </c>
      <c r="J691" t="s">
        <v>248</v>
      </c>
      <c r="K691" s="80" t="s">
        <v>1874</v>
      </c>
      <c r="L691" t="s">
        <v>1875</v>
      </c>
      <c r="M691" t="s">
        <v>245</v>
      </c>
      <c r="N691" t="str">
        <f t="shared" si="10"/>
        <v>IHVNfcGwagwalada</v>
      </c>
    </row>
    <row r="692" spans="8:14" x14ac:dyDescent="0.35">
      <c r="H692" t="s">
        <v>227</v>
      </c>
      <c r="I692" t="s">
        <v>225</v>
      </c>
      <c r="J692" t="s">
        <v>248</v>
      </c>
      <c r="K692" s="80" t="s">
        <v>1876</v>
      </c>
      <c r="L692" t="s">
        <v>1877</v>
      </c>
      <c r="M692" t="s">
        <v>245</v>
      </c>
      <c r="N692" t="str">
        <f t="shared" si="10"/>
        <v>IHVNfcGwagwalada</v>
      </c>
    </row>
    <row r="693" spans="8:14" x14ac:dyDescent="0.35">
      <c r="H693" t="s">
        <v>227</v>
      </c>
      <c r="I693" t="s">
        <v>225</v>
      </c>
      <c r="J693" t="s">
        <v>252</v>
      </c>
      <c r="K693" s="80" t="s">
        <v>1878</v>
      </c>
      <c r="L693" t="s">
        <v>1879</v>
      </c>
      <c r="M693" t="s">
        <v>245</v>
      </c>
      <c r="N693" t="str">
        <f t="shared" si="10"/>
        <v>IHVNfcKuje</v>
      </c>
    </row>
    <row r="694" spans="8:14" x14ac:dyDescent="0.35">
      <c r="H694" t="s">
        <v>227</v>
      </c>
      <c r="I694" t="s">
        <v>225</v>
      </c>
      <c r="J694" t="s">
        <v>252</v>
      </c>
      <c r="K694" s="80" t="s">
        <v>1880</v>
      </c>
      <c r="L694" t="s">
        <v>1881</v>
      </c>
      <c r="M694" t="s">
        <v>245</v>
      </c>
      <c r="N694" t="str">
        <f t="shared" si="10"/>
        <v>IHVNfcKuje</v>
      </c>
    </row>
    <row r="695" spans="8:14" x14ac:dyDescent="0.35">
      <c r="H695" t="s">
        <v>227</v>
      </c>
      <c r="I695" t="s">
        <v>225</v>
      </c>
      <c r="J695" t="s">
        <v>257</v>
      </c>
      <c r="K695" s="80" t="s">
        <v>1882</v>
      </c>
      <c r="L695" t="s">
        <v>1883</v>
      </c>
      <c r="M695" t="s">
        <v>245</v>
      </c>
      <c r="N695" t="str">
        <f t="shared" si="10"/>
        <v>IHVNfcKwali</v>
      </c>
    </row>
    <row r="696" spans="8:14" x14ac:dyDescent="0.35">
      <c r="H696" t="s">
        <v>227</v>
      </c>
      <c r="I696" t="s">
        <v>225</v>
      </c>
      <c r="J696" t="s">
        <v>257</v>
      </c>
      <c r="K696" s="80" t="s">
        <v>1884</v>
      </c>
      <c r="L696" t="s">
        <v>1885</v>
      </c>
      <c r="M696" t="s">
        <v>245</v>
      </c>
      <c r="N696" t="str">
        <f t="shared" si="10"/>
        <v>IHVNfcKwali</v>
      </c>
    </row>
    <row r="697" spans="8:14" x14ac:dyDescent="0.35">
      <c r="H697" t="s">
        <v>227</v>
      </c>
      <c r="I697" t="s">
        <v>225</v>
      </c>
      <c r="J697" t="s">
        <v>257</v>
      </c>
      <c r="K697" s="80" t="s">
        <v>1886</v>
      </c>
      <c r="L697" t="s">
        <v>1887</v>
      </c>
      <c r="M697" t="s">
        <v>245</v>
      </c>
      <c r="N697" t="str">
        <f t="shared" si="10"/>
        <v>IHVNfcKwali</v>
      </c>
    </row>
    <row r="698" spans="8:14" x14ac:dyDescent="0.35">
      <c r="H698" t="s">
        <v>227</v>
      </c>
      <c r="I698" t="s">
        <v>225</v>
      </c>
      <c r="J698" t="s">
        <v>257</v>
      </c>
      <c r="K698" s="80" t="s">
        <v>1888</v>
      </c>
      <c r="L698" t="s">
        <v>1889</v>
      </c>
      <c r="M698" t="s">
        <v>245</v>
      </c>
      <c r="N698" t="str">
        <f t="shared" si="10"/>
        <v>IHVNfcKwali</v>
      </c>
    </row>
    <row r="699" spans="8:14" x14ac:dyDescent="0.35">
      <c r="H699" t="s">
        <v>227</v>
      </c>
      <c r="I699" t="s">
        <v>225</v>
      </c>
      <c r="J699" t="s">
        <v>257</v>
      </c>
      <c r="K699" s="80" t="s">
        <v>1890</v>
      </c>
      <c r="L699" t="s">
        <v>1891</v>
      </c>
      <c r="M699" t="s">
        <v>245</v>
      </c>
      <c r="N699" t="str">
        <f t="shared" si="10"/>
        <v>IHVNfcKwali</v>
      </c>
    </row>
    <row r="700" spans="8:14" x14ac:dyDescent="0.35">
      <c r="H700" t="s">
        <v>227</v>
      </c>
      <c r="I700" t="s">
        <v>270</v>
      </c>
      <c r="J700" t="s">
        <v>525</v>
      </c>
      <c r="K700" s="80" t="s">
        <v>1892</v>
      </c>
      <c r="L700" t="s">
        <v>1893</v>
      </c>
      <c r="M700" t="s">
        <v>238</v>
      </c>
      <c r="N700" t="str">
        <f t="shared" si="10"/>
        <v>CIHPgoAkko</v>
      </c>
    </row>
    <row r="701" spans="8:14" x14ac:dyDescent="0.35">
      <c r="H701" t="s">
        <v>227</v>
      </c>
      <c r="I701" t="s">
        <v>270</v>
      </c>
      <c r="J701" t="s">
        <v>525</v>
      </c>
      <c r="K701" s="80" t="s">
        <v>1894</v>
      </c>
      <c r="L701" t="s">
        <v>1895</v>
      </c>
      <c r="M701" t="s">
        <v>238</v>
      </c>
      <c r="N701" t="str">
        <f t="shared" si="10"/>
        <v>CIHPgoAkko</v>
      </c>
    </row>
    <row r="702" spans="8:14" x14ac:dyDescent="0.35">
      <c r="H702" t="s">
        <v>227</v>
      </c>
      <c r="I702" t="s">
        <v>270</v>
      </c>
      <c r="J702" t="s">
        <v>525</v>
      </c>
      <c r="K702" s="80" t="s">
        <v>1896</v>
      </c>
      <c r="L702" t="s">
        <v>1897</v>
      </c>
      <c r="M702" t="s">
        <v>238</v>
      </c>
      <c r="N702" t="str">
        <f t="shared" si="10"/>
        <v>CIHPgoAkko</v>
      </c>
    </row>
    <row r="703" spans="8:14" x14ac:dyDescent="0.35">
      <c r="H703" t="s">
        <v>227</v>
      </c>
      <c r="I703" t="s">
        <v>270</v>
      </c>
      <c r="J703" t="s">
        <v>525</v>
      </c>
      <c r="K703" s="80" t="s">
        <v>1898</v>
      </c>
      <c r="L703" t="s">
        <v>1899</v>
      </c>
      <c r="M703" t="s">
        <v>238</v>
      </c>
      <c r="N703" t="str">
        <f t="shared" si="10"/>
        <v>CIHPgoAkko</v>
      </c>
    </row>
    <row r="704" spans="8:14" x14ac:dyDescent="0.35">
      <c r="H704" t="s">
        <v>227</v>
      </c>
      <c r="I704" t="s">
        <v>270</v>
      </c>
      <c r="J704" t="s">
        <v>525</v>
      </c>
      <c r="K704" s="80" t="s">
        <v>1900</v>
      </c>
      <c r="L704" t="s">
        <v>1901</v>
      </c>
      <c r="M704" t="s">
        <v>238</v>
      </c>
      <c r="N704" t="str">
        <f t="shared" si="10"/>
        <v>CIHPgoAkko</v>
      </c>
    </row>
    <row r="705" spans="8:14" x14ac:dyDescent="0.35">
      <c r="H705" t="s">
        <v>227</v>
      </c>
      <c r="I705" t="s">
        <v>270</v>
      </c>
      <c r="J705" t="s">
        <v>525</v>
      </c>
      <c r="K705" s="80" t="s">
        <v>1902</v>
      </c>
      <c r="L705" t="s">
        <v>1903</v>
      </c>
      <c r="M705" t="s">
        <v>238</v>
      </c>
      <c r="N705" t="str">
        <f t="shared" si="10"/>
        <v>CIHPgoAkko</v>
      </c>
    </row>
    <row r="706" spans="8:14" x14ac:dyDescent="0.35">
      <c r="H706" t="s">
        <v>227</v>
      </c>
      <c r="I706" t="s">
        <v>270</v>
      </c>
      <c r="J706" t="s">
        <v>525</v>
      </c>
      <c r="K706" s="80" t="s">
        <v>1904</v>
      </c>
      <c r="L706" t="s">
        <v>1905</v>
      </c>
      <c r="M706" t="s">
        <v>238</v>
      </c>
      <c r="N706" t="str">
        <f t="shared" si="10"/>
        <v>CIHPgoAkko</v>
      </c>
    </row>
    <row r="707" spans="8:14" x14ac:dyDescent="0.35">
      <c r="H707" t="s">
        <v>227</v>
      </c>
      <c r="I707" t="s">
        <v>270</v>
      </c>
      <c r="J707" t="s">
        <v>525</v>
      </c>
      <c r="K707" s="80" t="s">
        <v>1906</v>
      </c>
      <c r="L707" t="s">
        <v>1907</v>
      </c>
      <c r="M707" t="s">
        <v>238</v>
      </c>
      <c r="N707" t="str">
        <f t="shared" ref="N707:N770" si="11">SUBSTITUTE(SUBSTITUTE(M707&amp;J707," ",""),"-","")</f>
        <v>CIHPgoAkko</v>
      </c>
    </row>
    <row r="708" spans="8:14" x14ac:dyDescent="0.35">
      <c r="H708" t="s">
        <v>227</v>
      </c>
      <c r="I708" t="s">
        <v>270</v>
      </c>
      <c r="J708" t="s">
        <v>525</v>
      </c>
      <c r="K708" s="80" t="s">
        <v>1908</v>
      </c>
      <c r="L708" t="s">
        <v>1909</v>
      </c>
      <c r="M708" t="s">
        <v>238</v>
      </c>
      <c r="N708" t="str">
        <f t="shared" si="11"/>
        <v>CIHPgoAkko</v>
      </c>
    </row>
    <row r="709" spans="8:14" x14ac:dyDescent="0.35">
      <c r="H709" t="s">
        <v>227</v>
      </c>
      <c r="I709" t="s">
        <v>270</v>
      </c>
      <c r="J709" t="s">
        <v>525</v>
      </c>
      <c r="K709" s="80" t="s">
        <v>1910</v>
      </c>
      <c r="L709" t="s">
        <v>1911</v>
      </c>
      <c r="M709" t="s">
        <v>238</v>
      </c>
      <c r="N709" t="str">
        <f t="shared" si="11"/>
        <v>CIHPgoAkko</v>
      </c>
    </row>
    <row r="710" spans="8:14" x14ac:dyDescent="0.35">
      <c r="H710" t="s">
        <v>227</v>
      </c>
      <c r="I710" t="s">
        <v>270</v>
      </c>
      <c r="J710" t="s">
        <v>525</v>
      </c>
      <c r="K710" s="80" t="s">
        <v>1912</v>
      </c>
      <c r="L710" t="s">
        <v>1913</v>
      </c>
      <c r="M710" t="s">
        <v>238</v>
      </c>
      <c r="N710" t="str">
        <f t="shared" si="11"/>
        <v>CIHPgoAkko</v>
      </c>
    </row>
    <row r="711" spans="8:14" x14ac:dyDescent="0.35">
      <c r="H711" t="s">
        <v>227</v>
      </c>
      <c r="I711" t="s">
        <v>270</v>
      </c>
      <c r="J711" t="s">
        <v>528</v>
      </c>
      <c r="K711" s="80" t="s">
        <v>1914</v>
      </c>
      <c r="L711" t="s">
        <v>1915</v>
      </c>
      <c r="M711" t="s">
        <v>238</v>
      </c>
      <c r="N711" t="str">
        <f t="shared" si="11"/>
        <v>CIHPgoBalanga</v>
      </c>
    </row>
    <row r="712" spans="8:14" x14ac:dyDescent="0.35">
      <c r="H712" t="s">
        <v>227</v>
      </c>
      <c r="I712" t="s">
        <v>270</v>
      </c>
      <c r="J712" t="s">
        <v>528</v>
      </c>
      <c r="K712" s="80" t="s">
        <v>1916</v>
      </c>
      <c r="L712" t="s">
        <v>1917</v>
      </c>
      <c r="M712" t="s">
        <v>238</v>
      </c>
      <c r="N712" t="str">
        <f t="shared" si="11"/>
        <v>CIHPgoBalanga</v>
      </c>
    </row>
    <row r="713" spans="8:14" x14ac:dyDescent="0.35">
      <c r="H713" t="s">
        <v>227</v>
      </c>
      <c r="I713" t="s">
        <v>270</v>
      </c>
      <c r="J713" t="s">
        <v>528</v>
      </c>
      <c r="K713" s="80" t="s">
        <v>1918</v>
      </c>
      <c r="L713" t="s">
        <v>1919</v>
      </c>
      <c r="M713" t="s">
        <v>238</v>
      </c>
      <c r="N713" t="str">
        <f t="shared" si="11"/>
        <v>CIHPgoBalanga</v>
      </c>
    </row>
    <row r="714" spans="8:14" x14ac:dyDescent="0.35">
      <c r="H714" t="s">
        <v>227</v>
      </c>
      <c r="I714" t="s">
        <v>270</v>
      </c>
      <c r="J714" t="s">
        <v>528</v>
      </c>
      <c r="K714" s="80" t="s">
        <v>1920</v>
      </c>
      <c r="L714" t="s">
        <v>1921</v>
      </c>
      <c r="M714" t="s">
        <v>238</v>
      </c>
      <c r="N714" t="str">
        <f t="shared" si="11"/>
        <v>CIHPgoBalanga</v>
      </c>
    </row>
    <row r="715" spans="8:14" x14ac:dyDescent="0.35">
      <c r="H715" t="s">
        <v>227</v>
      </c>
      <c r="I715" t="s">
        <v>270</v>
      </c>
      <c r="J715" t="s">
        <v>531</v>
      </c>
      <c r="K715" s="80" t="s">
        <v>1922</v>
      </c>
      <c r="L715" t="s">
        <v>1923</v>
      </c>
      <c r="M715" t="s">
        <v>238</v>
      </c>
      <c r="N715" t="str">
        <f t="shared" si="11"/>
        <v>CIHPgoBilliri</v>
      </c>
    </row>
    <row r="716" spans="8:14" x14ac:dyDescent="0.35">
      <c r="H716" t="s">
        <v>227</v>
      </c>
      <c r="I716" t="s">
        <v>270</v>
      </c>
      <c r="J716" t="s">
        <v>531</v>
      </c>
      <c r="K716" s="80" t="s">
        <v>1924</v>
      </c>
      <c r="L716" t="s">
        <v>1925</v>
      </c>
      <c r="M716" t="s">
        <v>238</v>
      </c>
      <c r="N716" t="str">
        <f t="shared" si="11"/>
        <v>CIHPgoBilliri</v>
      </c>
    </row>
    <row r="717" spans="8:14" x14ac:dyDescent="0.35">
      <c r="H717" t="s">
        <v>227</v>
      </c>
      <c r="I717" t="s">
        <v>270</v>
      </c>
      <c r="J717" t="s">
        <v>531</v>
      </c>
      <c r="K717" s="80" t="s">
        <v>1926</v>
      </c>
      <c r="L717" t="s">
        <v>1927</v>
      </c>
      <c r="M717" t="s">
        <v>238</v>
      </c>
      <c r="N717" t="str">
        <f t="shared" si="11"/>
        <v>CIHPgoBilliri</v>
      </c>
    </row>
    <row r="718" spans="8:14" x14ac:dyDescent="0.35">
      <c r="H718" t="s">
        <v>227</v>
      </c>
      <c r="I718" t="s">
        <v>270</v>
      </c>
      <c r="J718" t="s">
        <v>531</v>
      </c>
      <c r="K718" s="80" t="s">
        <v>1928</v>
      </c>
      <c r="L718" t="s">
        <v>1929</v>
      </c>
      <c r="M718" t="s">
        <v>238</v>
      </c>
      <c r="N718" t="str">
        <f t="shared" si="11"/>
        <v>CIHPgoBilliri</v>
      </c>
    </row>
    <row r="719" spans="8:14" x14ac:dyDescent="0.35">
      <c r="H719" t="s">
        <v>227</v>
      </c>
      <c r="I719" t="s">
        <v>270</v>
      </c>
      <c r="J719" t="s">
        <v>534</v>
      </c>
      <c r="K719" s="80" t="s">
        <v>1930</v>
      </c>
      <c r="L719" t="s">
        <v>1931</v>
      </c>
      <c r="M719" t="s">
        <v>238</v>
      </c>
      <c r="N719" t="str">
        <f t="shared" si="11"/>
        <v>CIHPgoDukku</v>
      </c>
    </row>
    <row r="720" spans="8:14" x14ac:dyDescent="0.35">
      <c r="H720" t="s">
        <v>227</v>
      </c>
      <c r="I720" t="s">
        <v>270</v>
      </c>
      <c r="J720" t="s">
        <v>534</v>
      </c>
      <c r="K720" s="80" t="s">
        <v>1932</v>
      </c>
      <c r="L720" t="s">
        <v>1933</v>
      </c>
      <c r="M720" t="s">
        <v>238</v>
      </c>
      <c r="N720" t="str">
        <f t="shared" si="11"/>
        <v>CIHPgoDukku</v>
      </c>
    </row>
    <row r="721" spans="8:14" x14ac:dyDescent="0.35">
      <c r="H721" t="s">
        <v>227</v>
      </c>
      <c r="I721" t="s">
        <v>270</v>
      </c>
      <c r="J721" t="s">
        <v>537</v>
      </c>
      <c r="K721" s="80" t="s">
        <v>1934</v>
      </c>
      <c r="L721" t="s">
        <v>1935</v>
      </c>
      <c r="M721" t="s">
        <v>238</v>
      </c>
      <c r="N721" t="str">
        <f t="shared" si="11"/>
        <v>CIHPgoFunakaye</v>
      </c>
    </row>
    <row r="722" spans="8:14" x14ac:dyDescent="0.35">
      <c r="H722" t="s">
        <v>227</v>
      </c>
      <c r="I722" t="s">
        <v>270</v>
      </c>
      <c r="J722" t="s">
        <v>537</v>
      </c>
      <c r="K722" s="80" t="s">
        <v>1936</v>
      </c>
      <c r="L722" t="s">
        <v>1937</v>
      </c>
      <c r="M722" t="s">
        <v>238</v>
      </c>
      <c r="N722" t="str">
        <f t="shared" si="11"/>
        <v>CIHPgoFunakaye</v>
      </c>
    </row>
    <row r="723" spans="8:14" x14ac:dyDescent="0.35">
      <c r="H723" t="s">
        <v>227</v>
      </c>
      <c r="I723" t="s">
        <v>270</v>
      </c>
      <c r="J723" t="s">
        <v>537</v>
      </c>
      <c r="K723" s="80" t="s">
        <v>1938</v>
      </c>
      <c r="L723" t="s">
        <v>1939</v>
      </c>
      <c r="M723" t="s">
        <v>238</v>
      </c>
      <c r="N723" t="str">
        <f t="shared" si="11"/>
        <v>CIHPgoFunakaye</v>
      </c>
    </row>
    <row r="724" spans="8:14" x14ac:dyDescent="0.35">
      <c r="H724" t="s">
        <v>227</v>
      </c>
      <c r="I724" t="s">
        <v>270</v>
      </c>
      <c r="J724" t="s">
        <v>540</v>
      </c>
      <c r="K724" s="80" t="s">
        <v>1940</v>
      </c>
      <c r="L724" t="s">
        <v>1941</v>
      </c>
      <c r="M724" t="s">
        <v>238</v>
      </c>
      <c r="N724" t="str">
        <f t="shared" si="11"/>
        <v>CIHPgoGombe</v>
      </c>
    </row>
    <row r="725" spans="8:14" x14ac:dyDescent="0.35">
      <c r="H725" t="s">
        <v>227</v>
      </c>
      <c r="I725" t="s">
        <v>270</v>
      </c>
      <c r="J725" t="s">
        <v>540</v>
      </c>
      <c r="K725" s="80" t="s">
        <v>1942</v>
      </c>
      <c r="L725" t="s">
        <v>1943</v>
      </c>
      <c r="M725" t="s">
        <v>238</v>
      </c>
      <c r="N725" t="str">
        <f t="shared" si="11"/>
        <v>CIHPgoGombe</v>
      </c>
    </row>
    <row r="726" spans="8:14" x14ac:dyDescent="0.35">
      <c r="H726" t="s">
        <v>227</v>
      </c>
      <c r="I726" t="s">
        <v>270</v>
      </c>
      <c r="J726" t="s">
        <v>540</v>
      </c>
      <c r="K726" s="80" t="s">
        <v>1944</v>
      </c>
      <c r="L726" t="s">
        <v>1945</v>
      </c>
      <c r="M726" t="s">
        <v>238</v>
      </c>
      <c r="N726" t="str">
        <f t="shared" si="11"/>
        <v>CIHPgoGombe</v>
      </c>
    </row>
    <row r="727" spans="8:14" x14ac:dyDescent="0.35">
      <c r="H727" t="s">
        <v>227</v>
      </c>
      <c r="I727" t="s">
        <v>270</v>
      </c>
      <c r="J727" t="s">
        <v>540</v>
      </c>
      <c r="K727" s="80" t="s">
        <v>1946</v>
      </c>
      <c r="L727" t="s">
        <v>1947</v>
      </c>
      <c r="M727" t="s">
        <v>238</v>
      </c>
      <c r="N727" t="str">
        <f t="shared" si="11"/>
        <v>CIHPgoGombe</v>
      </c>
    </row>
    <row r="728" spans="8:14" x14ac:dyDescent="0.35">
      <c r="H728" t="s">
        <v>227</v>
      </c>
      <c r="I728" t="s">
        <v>270</v>
      </c>
      <c r="J728" t="s">
        <v>540</v>
      </c>
      <c r="K728" s="80" t="s">
        <v>1948</v>
      </c>
      <c r="L728" t="s">
        <v>1949</v>
      </c>
      <c r="M728" t="s">
        <v>238</v>
      </c>
      <c r="N728" t="str">
        <f t="shared" si="11"/>
        <v>CIHPgoGombe</v>
      </c>
    </row>
    <row r="729" spans="8:14" x14ac:dyDescent="0.35">
      <c r="H729" t="s">
        <v>227</v>
      </c>
      <c r="I729" t="s">
        <v>270</v>
      </c>
      <c r="J729" t="s">
        <v>540</v>
      </c>
      <c r="K729" s="80" t="s">
        <v>1950</v>
      </c>
      <c r="L729" t="s">
        <v>1951</v>
      </c>
      <c r="M729" t="s">
        <v>238</v>
      </c>
      <c r="N729" t="str">
        <f t="shared" si="11"/>
        <v>CIHPgoGombe</v>
      </c>
    </row>
    <row r="730" spans="8:14" x14ac:dyDescent="0.35">
      <c r="H730" t="s">
        <v>227</v>
      </c>
      <c r="I730" t="s">
        <v>270</v>
      </c>
      <c r="J730" t="s">
        <v>540</v>
      </c>
      <c r="K730" s="80" t="s">
        <v>1952</v>
      </c>
      <c r="L730" t="s">
        <v>1953</v>
      </c>
      <c r="M730" t="s">
        <v>238</v>
      </c>
      <c r="N730" t="str">
        <f t="shared" si="11"/>
        <v>CIHPgoGombe</v>
      </c>
    </row>
    <row r="731" spans="8:14" x14ac:dyDescent="0.35">
      <c r="H731" t="s">
        <v>227</v>
      </c>
      <c r="I731" t="s">
        <v>270</v>
      </c>
      <c r="J731" t="s">
        <v>540</v>
      </c>
      <c r="K731" s="80" t="s">
        <v>1954</v>
      </c>
      <c r="L731" t="s">
        <v>1955</v>
      </c>
      <c r="M731" t="s">
        <v>238</v>
      </c>
      <c r="N731" t="str">
        <f t="shared" si="11"/>
        <v>CIHPgoGombe</v>
      </c>
    </row>
    <row r="732" spans="8:14" x14ac:dyDescent="0.35">
      <c r="H732" t="s">
        <v>227</v>
      </c>
      <c r="I732" t="s">
        <v>270</v>
      </c>
      <c r="J732" t="s">
        <v>540</v>
      </c>
      <c r="K732" s="80" t="s">
        <v>1956</v>
      </c>
      <c r="L732" t="s">
        <v>1957</v>
      </c>
      <c r="M732" t="s">
        <v>238</v>
      </c>
      <c r="N732" t="str">
        <f t="shared" si="11"/>
        <v>CIHPgoGombe</v>
      </c>
    </row>
    <row r="733" spans="8:14" x14ac:dyDescent="0.35">
      <c r="H733" t="s">
        <v>227</v>
      </c>
      <c r="I733" t="s">
        <v>270</v>
      </c>
      <c r="J733" t="s">
        <v>540</v>
      </c>
      <c r="K733" s="80" t="s">
        <v>1958</v>
      </c>
      <c r="L733" t="s">
        <v>1959</v>
      </c>
      <c r="M733" t="s">
        <v>238</v>
      </c>
      <c r="N733" t="str">
        <f t="shared" si="11"/>
        <v>CIHPgoGombe</v>
      </c>
    </row>
    <row r="734" spans="8:14" x14ac:dyDescent="0.35">
      <c r="H734" t="s">
        <v>227</v>
      </c>
      <c r="I734" t="s">
        <v>270</v>
      </c>
      <c r="J734" t="s">
        <v>540</v>
      </c>
      <c r="K734" s="80" t="s">
        <v>1960</v>
      </c>
      <c r="L734" t="s">
        <v>1961</v>
      </c>
      <c r="M734" t="s">
        <v>238</v>
      </c>
      <c r="N734" t="str">
        <f t="shared" si="11"/>
        <v>CIHPgoGombe</v>
      </c>
    </row>
    <row r="735" spans="8:14" x14ac:dyDescent="0.35">
      <c r="H735" t="s">
        <v>227</v>
      </c>
      <c r="I735" t="s">
        <v>270</v>
      </c>
      <c r="J735" t="s">
        <v>540</v>
      </c>
      <c r="K735" s="80" t="s">
        <v>1962</v>
      </c>
      <c r="L735" t="s">
        <v>1963</v>
      </c>
      <c r="M735" t="s">
        <v>238</v>
      </c>
      <c r="N735" t="str">
        <f t="shared" si="11"/>
        <v>CIHPgoGombe</v>
      </c>
    </row>
    <row r="736" spans="8:14" x14ac:dyDescent="0.35">
      <c r="H736" t="s">
        <v>227</v>
      </c>
      <c r="I736" t="s">
        <v>270</v>
      </c>
      <c r="J736" t="s">
        <v>540</v>
      </c>
      <c r="K736" s="80" t="s">
        <v>1964</v>
      </c>
      <c r="L736" t="s">
        <v>1965</v>
      </c>
      <c r="M736" t="s">
        <v>238</v>
      </c>
      <c r="N736" t="str">
        <f t="shared" si="11"/>
        <v>CIHPgoGombe</v>
      </c>
    </row>
    <row r="737" spans="8:14" x14ac:dyDescent="0.35">
      <c r="H737" t="s">
        <v>227</v>
      </c>
      <c r="I737" t="s">
        <v>270</v>
      </c>
      <c r="J737" t="s">
        <v>540</v>
      </c>
      <c r="K737" s="80" t="s">
        <v>1966</v>
      </c>
      <c r="L737" t="s">
        <v>1967</v>
      </c>
      <c r="M737" t="s">
        <v>238</v>
      </c>
      <c r="N737" t="str">
        <f t="shared" si="11"/>
        <v>CIHPgoGombe</v>
      </c>
    </row>
    <row r="738" spans="8:14" x14ac:dyDescent="0.35">
      <c r="H738" t="s">
        <v>227</v>
      </c>
      <c r="I738" t="s">
        <v>270</v>
      </c>
      <c r="J738" t="s">
        <v>540</v>
      </c>
      <c r="K738" s="80" t="s">
        <v>1968</v>
      </c>
      <c r="L738" t="s">
        <v>1969</v>
      </c>
      <c r="M738" t="s">
        <v>238</v>
      </c>
      <c r="N738" t="str">
        <f t="shared" si="11"/>
        <v>CIHPgoGombe</v>
      </c>
    </row>
    <row r="739" spans="8:14" x14ac:dyDescent="0.35">
      <c r="H739" t="s">
        <v>227</v>
      </c>
      <c r="I739" t="s">
        <v>270</v>
      </c>
      <c r="J739" t="s">
        <v>543</v>
      </c>
      <c r="K739" s="80" t="s">
        <v>1970</v>
      </c>
      <c r="L739" t="s">
        <v>1971</v>
      </c>
      <c r="M739" t="s">
        <v>238</v>
      </c>
      <c r="N739" t="str">
        <f t="shared" si="11"/>
        <v>CIHPgoKaltungo</v>
      </c>
    </row>
    <row r="740" spans="8:14" x14ac:dyDescent="0.35">
      <c r="H740" t="s">
        <v>227</v>
      </c>
      <c r="I740" t="s">
        <v>270</v>
      </c>
      <c r="J740" t="s">
        <v>543</v>
      </c>
      <c r="K740" s="80" t="s">
        <v>1972</v>
      </c>
      <c r="L740" t="s">
        <v>1973</v>
      </c>
      <c r="M740" t="s">
        <v>238</v>
      </c>
      <c r="N740" t="str">
        <f t="shared" si="11"/>
        <v>CIHPgoKaltungo</v>
      </c>
    </row>
    <row r="741" spans="8:14" x14ac:dyDescent="0.35">
      <c r="H741" t="s">
        <v>227</v>
      </c>
      <c r="I741" t="s">
        <v>270</v>
      </c>
      <c r="J741" t="s">
        <v>543</v>
      </c>
      <c r="K741" s="80" t="s">
        <v>1974</v>
      </c>
      <c r="L741" t="s">
        <v>1975</v>
      </c>
      <c r="M741" t="s">
        <v>238</v>
      </c>
      <c r="N741" t="str">
        <f t="shared" si="11"/>
        <v>CIHPgoKaltungo</v>
      </c>
    </row>
    <row r="742" spans="8:14" x14ac:dyDescent="0.35">
      <c r="H742" t="s">
        <v>227</v>
      </c>
      <c r="I742" t="s">
        <v>270</v>
      </c>
      <c r="J742" t="s">
        <v>543</v>
      </c>
      <c r="K742" s="80" t="s">
        <v>1976</v>
      </c>
      <c r="L742" t="s">
        <v>1977</v>
      </c>
      <c r="M742" t="s">
        <v>238</v>
      </c>
      <c r="N742" t="str">
        <f t="shared" si="11"/>
        <v>CIHPgoKaltungo</v>
      </c>
    </row>
    <row r="743" spans="8:14" x14ac:dyDescent="0.35">
      <c r="H743" t="s">
        <v>227</v>
      </c>
      <c r="I743" t="s">
        <v>270</v>
      </c>
      <c r="J743" t="s">
        <v>543</v>
      </c>
      <c r="K743" s="80" t="s">
        <v>1978</v>
      </c>
      <c r="L743" t="s">
        <v>1979</v>
      </c>
      <c r="M743" t="s">
        <v>238</v>
      </c>
      <c r="N743" t="str">
        <f t="shared" si="11"/>
        <v>CIHPgoKaltungo</v>
      </c>
    </row>
    <row r="744" spans="8:14" x14ac:dyDescent="0.35">
      <c r="H744" t="s">
        <v>227</v>
      </c>
      <c r="I744" t="s">
        <v>270</v>
      </c>
      <c r="J744" t="s">
        <v>543</v>
      </c>
      <c r="K744" s="80" t="s">
        <v>1980</v>
      </c>
      <c r="L744" t="s">
        <v>1981</v>
      </c>
      <c r="M744" t="s">
        <v>238</v>
      </c>
      <c r="N744" t="str">
        <f t="shared" si="11"/>
        <v>CIHPgoKaltungo</v>
      </c>
    </row>
    <row r="745" spans="8:14" x14ac:dyDescent="0.35">
      <c r="H745" t="s">
        <v>227</v>
      </c>
      <c r="I745" t="s">
        <v>270</v>
      </c>
      <c r="J745" t="s">
        <v>543</v>
      </c>
      <c r="K745" s="80" t="s">
        <v>1982</v>
      </c>
      <c r="L745" t="s">
        <v>1983</v>
      </c>
      <c r="M745" t="s">
        <v>238</v>
      </c>
      <c r="N745" t="str">
        <f t="shared" si="11"/>
        <v>CIHPgoKaltungo</v>
      </c>
    </row>
    <row r="746" spans="8:14" x14ac:dyDescent="0.35">
      <c r="H746" t="s">
        <v>227</v>
      </c>
      <c r="I746" t="s">
        <v>270</v>
      </c>
      <c r="J746" t="s">
        <v>546</v>
      </c>
      <c r="K746" s="80" t="s">
        <v>1984</v>
      </c>
      <c r="L746" t="s">
        <v>1985</v>
      </c>
      <c r="M746" t="s">
        <v>238</v>
      </c>
      <c r="N746" t="str">
        <f t="shared" si="11"/>
        <v>CIHPgoKwami</v>
      </c>
    </row>
    <row r="747" spans="8:14" x14ac:dyDescent="0.35">
      <c r="H747" t="s">
        <v>227</v>
      </c>
      <c r="I747" t="s">
        <v>270</v>
      </c>
      <c r="J747" t="s">
        <v>546</v>
      </c>
      <c r="K747" s="80" t="s">
        <v>1986</v>
      </c>
      <c r="L747" t="s">
        <v>1987</v>
      </c>
      <c r="M747" t="s">
        <v>238</v>
      </c>
      <c r="N747" t="str">
        <f t="shared" si="11"/>
        <v>CIHPgoKwami</v>
      </c>
    </row>
    <row r="748" spans="8:14" x14ac:dyDescent="0.35">
      <c r="H748" s="80" t="s">
        <v>227</v>
      </c>
      <c r="I748" s="80" t="s">
        <v>270</v>
      </c>
      <c r="J748" s="80" t="s">
        <v>549</v>
      </c>
      <c r="K748" s="80" t="s">
        <v>1988</v>
      </c>
      <c r="L748" s="80" t="s">
        <v>1989</v>
      </c>
      <c r="M748" t="s">
        <v>238</v>
      </c>
      <c r="N748" t="str">
        <f t="shared" si="11"/>
        <v>CIHPgoNafadaBajoga</v>
      </c>
    </row>
    <row r="749" spans="8:14" x14ac:dyDescent="0.35">
      <c r="H749" t="s">
        <v>227</v>
      </c>
      <c r="I749" t="s">
        <v>270</v>
      </c>
      <c r="J749" t="s">
        <v>552</v>
      </c>
      <c r="K749" s="80" t="s">
        <v>1990</v>
      </c>
      <c r="L749" t="s">
        <v>1991</v>
      </c>
      <c r="M749" t="s">
        <v>238</v>
      </c>
      <c r="N749" t="str">
        <f t="shared" si="11"/>
        <v>CIHPgoShongom</v>
      </c>
    </row>
    <row r="750" spans="8:14" x14ac:dyDescent="0.35">
      <c r="H750" t="s">
        <v>227</v>
      </c>
      <c r="I750" t="s">
        <v>270</v>
      </c>
      <c r="J750" t="s">
        <v>552</v>
      </c>
      <c r="K750" s="80" t="s">
        <v>1992</v>
      </c>
      <c r="L750" t="s">
        <v>1993</v>
      </c>
      <c r="M750" t="s">
        <v>238</v>
      </c>
      <c r="N750" t="str">
        <f t="shared" si="11"/>
        <v>CIHPgoShongom</v>
      </c>
    </row>
    <row r="751" spans="8:14" x14ac:dyDescent="0.35">
      <c r="H751" t="s">
        <v>227</v>
      </c>
      <c r="I751" t="s">
        <v>270</v>
      </c>
      <c r="J751" t="s">
        <v>555</v>
      </c>
      <c r="K751" s="80" t="s">
        <v>1994</v>
      </c>
      <c r="L751" t="s">
        <v>1995</v>
      </c>
      <c r="M751" t="s">
        <v>238</v>
      </c>
      <c r="N751" t="str">
        <f t="shared" si="11"/>
        <v>CIHPgoYamaltuDeba</v>
      </c>
    </row>
    <row r="752" spans="8:14" x14ac:dyDescent="0.35">
      <c r="H752" t="s">
        <v>227</v>
      </c>
      <c r="I752" t="s">
        <v>270</v>
      </c>
      <c r="J752" t="s">
        <v>555</v>
      </c>
      <c r="K752" s="80" t="s">
        <v>1996</v>
      </c>
      <c r="L752" t="s">
        <v>1997</v>
      </c>
      <c r="M752" t="s">
        <v>238</v>
      </c>
      <c r="N752" t="str">
        <f t="shared" si="11"/>
        <v>CIHPgoYamaltuDeba</v>
      </c>
    </row>
    <row r="753" spans="8:14" x14ac:dyDescent="0.35">
      <c r="H753" t="s">
        <v>227</v>
      </c>
      <c r="I753" t="s">
        <v>270</v>
      </c>
      <c r="J753" t="s">
        <v>555</v>
      </c>
      <c r="K753" s="80" t="s">
        <v>1998</v>
      </c>
      <c r="L753" t="s">
        <v>1999</v>
      </c>
      <c r="M753" t="s">
        <v>238</v>
      </c>
      <c r="N753" t="str">
        <f t="shared" si="11"/>
        <v>CIHPgoYamaltuDeba</v>
      </c>
    </row>
    <row r="754" spans="8:14" x14ac:dyDescent="0.35">
      <c r="H754" t="s">
        <v>227</v>
      </c>
      <c r="I754" t="s">
        <v>270</v>
      </c>
      <c r="J754" t="s">
        <v>555</v>
      </c>
      <c r="K754" s="80" t="s">
        <v>2000</v>
      </c>
      <c r="L754" t="s">
        <v>2001</v>
      </c>
      <c r="M754" t="s">
        <v>238</v>
      </c>
      <c r="N754" t="str">
        <f t="shared" si="11"/>
        <v>CIHPgoYamaltuDeba</v>
      </c>
    </row>
    <row r="755" spans="8:14" x14ac:dyDescent="0.35">
      <c r="H755" t="s">
        <v>227</v>
      </c>
      <c r="I755" t="s">
        <v>270</v>
      </c>
      <c r="J755" t="s">
        <v>555</v>
      </c>
      <c r="K755" s="80" t="s">
        <v>2002</v>
      </c>
      <c r="L755" t="s">
        <v>2003</v>
      </c>
      <c r="M755" t="s">
        <v>238</v>
      </c>
      <c r="N755" t="str">
        <f t="shared" si="11"/>
        <v>CIHPgoYamaltuDeba</v>
      </c>
    </row>
    <row r="756" spans="8:14" x14ac:dyDescent="0.35">
      <c r="H756" t="s">
        <v>227</v>
      </c>
      <c r="I756" t="s">
        <v>270</v>
      </c>
      <c r="J756" t="s">
        <v>555</v>
      </c>
      <c r="K756" s="80" t="s">
        <v>2004</v>
      </c>
      <c r="L756" t="s">
        <v>2005</v>
      </c>
      <c r="M756" t="s">
        <v>238</v>
      </c>
      <c r="N756" t="str">
        <f t="shared" si="11"/>
        <v>CIHPgoYamaltuDeba</v>
      </c>
    </row>
    <row r="757" spans="8:14" x14ac:dyDescent="0.35">
      <c r="H757" t="s">
        <v>227</v>
      </c>
      <c r="I757" t="s">
        <v>270</v>
      </c>
      <c r="J757" t="s">
        <v>555</v>
      </c>
      <c r="K757" s="80" t="s">
        <v>2006</v>
      </c>
      <c r="L757" t="s">
        <v>2007</v>
      </c>
      <c r="M757" t="s">
        <v>238</v>
      </c>
      <c r="N757" t="str">
        <f t="shared" si="11"/>
        <v>CIHPgoYamaltuDeba</v>
      </c>
    </row>
    <row r="758" spans="8:14" x14ac:dyDescent="0.35">
      <c r="H758" t="s">
        <v>227</v>
      </c>
      <c r="I758" t="s">
        <v>270</v>
      </c>
      <c r="J758" t="s">
        <v>555</v>
      </c>
      <c r="K758" s="80" t="s">
        <v>2008</v>
      </c>
      <c r="L758" t="s">
        <v>2009</v>
      </c>
      <c r="M758" t="s">
        <v>238</v>
      </c>
      <c r="N758" t="str">
        <f t="shared" si="11"/>
        <v>CIHPgoYamaltuDeba</v>
      </c>
    </row>
    <row r="759" spans="8:14" x14ac:dyDescent="0.35">
      <c r="H759" t="s">
        <v>227</v>
      </c>
      <c r="I759" t="s">
        <v>270</v>
      </c>
      <c r="J759" t="s">
        <v>555</v>
      </c>
      <c r="K759" s="80" t="s">
        <v>2010</v>
      </c>
      <c r="L759" t="s">
        <v>2011</v>
      </c>
      <c r="M759" t="s">
        <v>238</v>
      </c>
      <c r="N759" t="str">
        <f t="shared" si="11"/>
        <v>CIHPgoYamaltuDeba</v>
      </c>
    </row>
    <row r="760" spans="8:14" x14ac:dyDescent="0.35">
      <c r="H760" t="s">
        <v>227</v>
      </c>
      <c r="I760" t="s">
        <v>270</v>
      </c>
      <c r="J760" t="s">
        <v>555</v>
      </c>
      <c r="K760" s="80" t="s">
        <v>2012</v>
      </c>
      <c r="L760" t="s">
        <v>2013</v>
      </c>
      <c r="M760" t="s">
        <v>238</v>
      </c>
      <c r="N760" t="str">
        <f t="shared" si="11"/>
        <v>CIHPgoYamaltuDeba</v>
      </c>
    </row>
    <row r="761" spans="8:14" x14ac:dyDescent="0.35">
      <c r="H761" t="s">
        <v>227</v>
      </c>
      <c r="I761" t="s">
        <v>270</v>
      </c>
      <c r="J761" t="s">
        <v>555</v>
      </c>
      <c r="K761" s="80" t="s">
        <v>2014</v>
      </c>
      <c r="L761" t="s">
        <v>2015</v>
      </c>
      <c r="M761" t="s">
        <v>238</v>
      </c>
      <c r="N761" t="str">
        <f t="shared" si="11"/>
        <v>CIHPgoYamaltuDeba</v>
      </c>
    </row>
    <row r="762" spans="8:14" x14ac:dyDescent="0.35">
      <c r="H762" t="s">
        <v>227</v>
      </c>
      <c r="I762" t="s">
        <v>270</v>
      </c>
      <c r="J762" t="s">
        <v>555</v>
      </c>
      <c r="K762" s="80" t="s">
        <v>2016</v>
      </c>
      <c r="L762" t="s">
        <v>2017</v>
      </c>
      <c r="M762" t="s">
        <v>238</v>
      </c>
      <c r="N762" t="str">
        <f t="shared" si="11"/>
        <v>CIHPgoYamaltuDeba</v>
      </c>
    </row>
    <row r="763" spans="8:14" x14ac:dyDescent="0.35">
      <c r="H763" t="s">
        <v>227</v>
      </c>
      <c r="I763" t="s">
        <v>266</v>
      </c>
      <c r="J763" t="s">
        <v>441</v>
      </c>
      <c r="K763" s="80" t="s">
        <v>2018</v>
      </c>
      <c r="L763" t="s">
        <v>2019</v>
      </c>
      <c r="M763" t="s">
        <v>232</v>
      </c>
      <c r="N763" t="str">
        <f t="shared" si="11"/>
        <v>CCFNimAbohMbaise</v>
      </c>
    </row>
    <row r="764" spans="8:14" x14ac:dyDescent="0.35">
      <c r="H764" t="s">
        <v>227</v>
      </c>
      <c r="I764" t="s">
        <v>266</v>
      </c>
      <c r="J764" t="s">
        <v>441</v>
      </c>
      <c r="K764" s="80" t="s">
        <v>2020</v>
      </c>
      <c r="L764" t="s">
        <v>2021</v>
      </c>
      <c r="M764" t="s">
        <v>232</v>
      </c>
      <c r="N764" t="str">
        <f t="shared" si="11"/>
        <v>CCFNimAbohMbaise</v>
      </c>
    </row>
    <row r="765" spans="8:14" x14ac:dyDescent="0.35">
      <c r="H765" t="s">
        <v>227</v>
      </c>
      <c r="I765" t="s">
        <v>266</v>
      </c>
      <c r="J765" t="s">
        <v>441</v>
      </c>
      <c r="K765" s="80" t="s">
        <v>2022</v>
      </c>
      <c r="L765" t="s">
        <v>2023</v>
      </c>
      <c r="M765" t="s">
        <v>232</v>
      </c>
      <c r="N765" t="str">
        <f t="shared" si="11"/>
        <v>CCFNimAbohMbaise</v>
      </c>
    </row>
    <row r="766" spans="8:14" x14ac:dyDescent="0.35">
      <c r="H766" t="s">
        <v>227</v>
      </c>
      <c r="I766" t="s">
        <v>266</v>
      </c>
      <c r="J766" t="s">
        <v>441</v>
      </c>
      <c r="K766" s="80" t="s">
        <v>2024</v>
      </c>
      <c r="L766" t="s">
        <v>2025</v>
      </c>
      <c r="M766" t="s">
        <v>232</v>
      </c>
      <c r="N766" t="str">
        <f t="shared" si="11"/>
        <v>CCFNimAbohMbaise</v>
      </c>
    </row>
    <row r="767" spans="8:14" x14ac:dyDescent="0.35">
      <c r="H767" t="s">
        <v>227</v>
      </c>
      <c r="I767" t="s">
        <v>266</v>
      </c>
      <c r="J767" t="s">
        <v>441</v>
      </c>
      <c r="K767" s="80" t="s">
        <v>2026</v>
      </c>
      <c r="L767" t="s">
        <v>2027</v>
      </c>
      <c r="M767" t="s">
        <v>232</v>
      </c>
      <c r="N767" t="str">
        <f t="shared" si="11"/>
        <v>CCFNimAbohMbaise</v>
      </c>
    </row>
    <row r="768" spans="8:14" x14ac:dyDescent="0.35">
      <c r="H768" t="s">
        <v>227</v>
      </c>
      <c r="I768" t="s">
        <v>266</v>
      </c>
      <c r="J768" t="s">
        <v>444</v>
      </c>
      <c r="K768" s="80" t="s">
        <v>2028</v>
      </c>
      <c r="L768" t="s">
        <v>2029</v>
      </c>
      <c r="M768" t="s">
        <v>232</v>
      </c>
      <c r="N768" t="str">
        <f t="shared" si="11"/>
        <v>CCFNimAhiazuMbaise</v>
      </c>
    </row>
    <row r="769" spans="8:14" x14ac:dyDescent="0.35">
      <c r="H769" t="s">
        <v>227</v>
      </c>
      <c r="I769" t="s">
        <v>266</v>
      </c>
      <c r="J769" t="s">
        <v>444</v>
      </c>
      <c r="K769" s="80" t="s">
        <v>2030</v>
      </c>
      <c r="L769" t="s">
        <v>2031</v>
      </c>
      <c r="M769" t="s">
        <v>232</v>
      </c>
      <c r="N769" t="str">
        <f t="shared" si="11"/>
        <v>CCFNimAhiazuMbaise</v>
      </c>
    </row>
    <row r="770" spans="8:14" x14ac:dyDescent="0.35">
      <c r="H770" t="s">
        <v>227</v>
      </c>
      <c r="I770" t="s">
        <v>266</v>
      </c>
      <c r="J770" t="s">
        <v>444</v>
      </c>
      <c r="K770" s="80" t="s">
        <v>2032</v>
      </c>
      <c r="L770" t="s">
        <v>2033</v>
      </c>
      <c r="M770" t="s">
        <v>232</v>
      </c>
      <c r="N770" t="str">
        <f t="shared" si="11"/>
        <v>CCFNimAhiazuMbaise</v>
      </c>
    </row>
    <row r="771" spans="8:14" x14ac:dyDescent="0.35">
      <c r="H771" t="s">
        <v>227</v>
      </c>
      <c r="I771" t="s">
        <v>266</v>
      </c>
      <c r="J771" t="s">
        <v>447</v>
      </c>
      <c r="K771" s="80" t="s">
        <v>2034</v>
      </c>
      <c r="L771" t="s">
        <v>2035</v>
      </c>
      <c r="M771" t="s">
        <v>232</v>
      </c>
      <c r="N771" t="str">
        <f t="shared" ref="N771:N834" si="12">SUBSTITUTE(SUBSTITUTE(M771&amp;J771," ",""),"-","")</f>
        <v>CCFNimEhimeMbano</v>
      </c>
    </row>
    <row r="772" spans="8:14" x14ac:dyDescent="0.35">
      <c r="H772" t="s">
        <v>227</v>
      </c>
      <c r="I772" t="s">
        <v>266</v>
      </c>
      <c r="J772" t="s">
        <v>447</v>
      </c>
      <c r="K772" s="80" t="s">
        <v>2036</v>
      </c>
      <c r="L772" t="s">
        <v>2037</v>
      </c>
      <c r="M772" t="s">
        <v>232</v>
      </c>
      <c r="N772" t="str">
        <f t="shared" si="12"/>
        <v>CCFNimEhimeMbano</v>
      </c>
    </row>
    <row r="773" spans="8:14" x14ac:dyDescent="0.35">
      <c r="H773" t="s">
        <v>227</v>
      </c>
      <c r="I773" t="s">
        <v>266</v>
      </c>
      <c r="J773" t="s">
        <v>447</v>
      </c>
      <c r="K773" s="80" t="s">
        <v>2038</v>
      </c>
      <c r="L773" t="s">
        <v>2039</v>
      </c>
      <c r="M773" t="s">
        <v>232</v>
      </c>
      <c r="N773" t="str">
        <f t="shared" si="12"/>
        <v>CCFNimEhimeMbano</v>
      </c>
    </row>
    <row r="774" spans="8:14" x14ac:dyDescent="0.35">
      <c r="H774" t="s">
        <v>227</v>
      </c>
      <c r="I774" t="s">
        <v>266</v>
      </c>
      <c r="J774" t="s">
        <v>447</v>
      </c>
      <c r="K774" s="80" t="s">
        <v>2040</v>
      </c>
      <c r="L774" t="s">
        <v>2041</v>
      </c>
      <c r="M774" t="s">
        <v>232</v>
      </c>
      <c r="N774" t="str">
        <f t="shared" si="12"/>
        <v>CCFNimEhimeMbano</v>
      </c>
    </row>
    <row r="775" spans="8:14" x14ac:dyDescent="0.35">
      <c r="H775" t="s">
        <v>227</v>
      </c>
      <c r="I775" t="s">
        <v>266</v>
      </c>
      <c r="J775" t="s">
        <v>450</v>
      </c>
      <c r="K775" s="80" t="s">
        <v>2042</v>
      </c>
      <c r="L775" t="s">
        <v>2043</v>
      </c>
      <c r="M775" t="s">
        <v>232</v>
      </c>
      <c r="N775" t="str">
        <f t="shared" si="12"/>
        <v>CCFNimEzinihitte</v>
      </c>
    </row>
    <row r="776" spans="8:14" x14ac:dyDescent="0.35">
      <c r="H776" t="s">
        <v>227</v>
      </c>
      <c r="I776" t="s">
        <v>266</v>
      </c>
      <c r="J776" t="s">
        <v>450</v>
      </c>
      <c r="K776" s="80" t="s">
        <v>2044</v>
      </c>
      <c r="L776" t="s">
        <v>2045</v>
      </c>
      <c r="M776" t="s">
        <v>232</v>
      </c>
      <c r="N776" t="str">
        <f t="shared" si="12"/>
        <v>CCFNimEzinihitte</v>
      </c>
    </row>
    <row r="777" spans="8:14" x14ac:dyDescent="0.35">
      <c r="H777" t="s">
        <v>227</v>
      </c>
      <c r="I777" t="s">
        <v>266</v>
      </c>
      <c r="J777" t="s">
        <v>450</v>
      </c>
      <c r="K777" s="80" t="s">
        <v>2046</v>
      </c>
      <c r="L777" t="s">
        <v>2047</v>
      </c>
      <c r="M777" t="s">
        <v>232</v>
      </c>
      <c r="N777" t="str">
        <f t="shared" si="12"/>
        <v>CCFNimEzinihitte</v>
      </c>
    </row>
    <row r="778" spans="8:14" x14ac:dyDescent="0.35">
      <c r="H778" t="s">
        <v>227</v>
      </c>
      <c r="I778" t="s">
        <v>266</v>
      </c>
      <c r="J778" t="s">
        <v>453</v>
      </c>
      <c r="K778" s="80" t="s">
        <v>2048</v>
      </c>
      <c r="L778" t="s">
        <v>2049</v>
      </c>
      <c r="M778" t="s">
        <v>232</v>
      </c>
      <c r="N778" t="str">
        <f t="shared" si="12"/>
        <v>CCFNimIdeatoNorth</v>
      </c>
    </row>
    <row r="779" spans="8:14" x14ac:dyDescent="0.35">
      <c r="H779" t="s">
        <v>227</v>
      </c>
      <c r="I779" t="s">
        <v>266</v>
      </c>
      <c r="J779" t="s">
        <v>453</v>
      </c>
      <c r="K779" s="80" t="s">
        <v>2050</v>
      </c>
      <c r="L779" t="s">
        <v>2051</v>
      </c>
      <c r="M779" t="s">
        <v>232</v>
      </c>
      <c r="N779" t="str">
        <f t="shared" si="12"/>
        <v>CCFNimIdeatoNorth</v>
      </c>
    </row>
    <row r="780" spans="8:14" x14ac:dyDescent="0.35">
      <c r="H780" t="s">
        <v>227</v>
      </c>
      <c r="I780" t="s">
        <v>266</v>
      </c>
      <c r="J780" t="s">
        <v>453</v>
      </c>
      <c r="K780" s="80" t="s">
        <v>2052</v>
      </c>
      <c r="L780" t="s">
        <v>2053</v>
      </c>
      <c r="M780" t="s">
        <v>232</v>
      </c>
      <c r="N780" t="str">
        <f t="shared" si="12"/>
        <v>CCFNimIdeatoNorth</v>
      </c>
    </row>
    <row r="781" spans="8:14" x14ac:dyDescent="0.35">
      <c r="H781" t="s">
        <v>227</v>
      </c>
      <c r="I781" t="s">
        <v>266</v>
      </c>
      <c r="J781" t="s">
        <v>453</v>
      </c>
      <c r="K781" s="80" t="s">
        <v>2054</v>
      </c>
      <c r="L781" t="s">
        <v>2055</v>
      </c>
      <c r="M781" t="s">
        <v>232</v>
      </c>
      <c r="N781" t="str">
        <f t="shared" si="12"/>
        <v>CCFNimIdeatoNorth</v>
      </c>
    </row>
    <row r="782" spans="8:14" x14ac:dyDescent="0.35">
      <c r="H782" t="s">
        <v>227</v>
      </c>
      <c r="I782" t="s">
        <v>266</v>
      </c>
      <c r="J782" t="s">
        <v>453</v>
      </c>
      <c r="K782" s="80" t="s">
        <v>2056</v>
      </c>
      <c r="L782" t="s">
        <v>2057</v>
      </c>
      <c r="M782" t="s">
        <v>232</v>
      </c>
      <c r="N782" t="str">
        <f t="shared" si="12"/>
        <v>CCFNimIdeatoNorth</v>
      </c>
    </row>
    <row r="783" spans="8:14" x14ac:dyDescent="0.35">
      <c r="H783" t="s">
        <v>227</v>
      </c>
      <c r="I783" t="s">
        <v>266</v>
      </c>
      <c r="J783" t="s">
        <v>456</v>
      </c>
      <c r="K783" s="80" t="s">
        <v>2058</v>
      </c>
      <c r="L783" t="s">
        <v>2059</v>
      </c>
      <c r="M783" t="s">
        <v>232</v>
      </c>
      <c r="N783" t="str">
        <f t="shared" si="12"/>
        <v>CCFNimIdeatoSouth</v>
      </c>
    </row>
    <row r="784" spans="8:14" x14ac:dyDescent="0.35">
      <c r="H784" t="s">
        <v>227</v>
      </c>
      <c r="I784" t="s">
        <v>266</v>
      </c>
      <c r="J784" t="s">
        <v>459</v>
      </c>
      <c r="K784" s="80" t="s">
        <v>2060</v>
      </c>
      <c r="L784" t="s">
        <v>2061</v>
      </c>
      <c r="M784" t="s">
        <v>232</v>
      </c>
      <c r="N784" t="str">
        <f t="shared" si="12"/>
        <v>CCFNimIhitteUboma</v>
      </c>
    </row>
    <row r="785" spans="8:14" x14ac:dyDescent="0.35">
      <c r="H785" t="s">
        <v>227</v>
      </c>
      <c r="I785" t="s">
        <v>266</v>
      </c>
      <c r="J785" t="s">
        <v>459</v>
      </c>
      <c r="K785" s="80" t="s">
        <v>2062</v>
      </c>
      <c r="L785" t="s">
        <v>2063</v>
      </c>
      <c r="M785" t="s">
        <v>232</v>
      </c>
      <c r="N785" t="str">
        <f t="shared" si="12"/>
        <v>CCFNimIhitteUboma</v>
      </c>
    </row>
    <row r="786" spans="8:14" x14ac:dyDescent="0.35">
      <c r="H786" t="s">
        <v>227</v>
      </c>
      <c r="I786" t="s">
        <v>266</v>
      </c>
      <c r="J786" t="s">
        <v>459</v>
      </c>
      <c r="K786" s="80" t="s">
        <v>2034</v>
      </c>
      <c r="L786" t="s">
        <v>2064</v>
      </c>
      <c r="M786" t="s">
        <v>232</v>
      </c>
      <c r="N786" t="str">
        <f t="shared" si="12"/>
        <v>CCFNimIhitteUboma</v>
      </c>
    </row>
    <row r="787" spans="8:14" x14ac:dyDescent="0.35">
      <c r="H787" t="s">
        <v>227</v>
      </c>
      <c r="I787" t="s">
        <v>266</v>
      </c>
      <c r="J787" t="s">
        <v>463</v>
      </c>
      <c r="K787" s="80" t="s">
        <v>2065</v>
      </c>
      <c r="L787" t="s">
        <v>2066</v>
      </c>
      <c r="M787" t="s">
        <v>232</v>
      </c>
      <c r="N787" t="str">
        <f t="shared" si="12"/>
        <v>CCFNimIkeduru</v>
      </c>
    </row>
    <row r="788" spans="8:14" x14ac:dyDescent="0.35">
      <c r="H788" t="s">
        <v>227</v>
      </c>
      <c r="I788" t="s">
        <v>266</v>
      </c>
      <c r="J788" t="s">
        <v>463</v>
      </c>
      <c r="K788" s="80" t="s">
        <v>2067</v>
      </c>
      <c r="L788" t="s">
        <v>2068</v>
      </c>
      <c r="M788" t="s">
        <v>232</v>
      </c>
      <c r="N788" s="80" t="str">
        <f t="shared" si="12"/>
        <v>CCFNimIkeduru</v>
      </c>
    </row>
    <row r="789" spans="8:14" x14ac:dyDescent="0.35">
      <c r="H789" t="s">
        <v>227</v>
      </c>
      <c r="I789" t="s">
        <v>266</v>
      </c>
      <c r="J789" t="s">
        <v>463</v>
      </c>
      <c r="K789" s="80" t="s">
        <v>2069</v>
      </c>
      <c r="L789" t="s">
        <v>2070</v>
      </c>
      <c r="M789" t="s">
        <v>232</v>
      </c>
      <c r="N789" t="str">
        <f t="shared" si="12"/>
        <v>CCFNimIkeduru</v>
      </c>
    </row>
    <row r="790" spans="8:14" x14ac:dyDescent="0.35">
      <c r="H790" t="s">
        <v>227</v>
      </c>
      <c r="I790" t="s">
        <v>266</v>
      </c>
      <c r="J790" t="s">
        <v>466</v>
      </c>
      <c r="K790" s="80" t="s">
        <v>2071</v>
      </c>
      <c r="L790" t="s">
        <v>2072</v>
      </c>
      <c r="M790" t="s">
        <v>232</v>
      </c>
      <c r="N790" t="str">
        <f t="shared" si="12"/>
        <v>CCFNimIsialaMbano</v>
      </c>
    </row>
    <row r="791" spans="8:14" x14ac:dyDescent="0.35">
      <c r="H791" t="s">
        <v>227</v>
      </c>
      <c r="I791" t="s">
        <v>266</v>
      </c>
      <c r="J791" t="s">
        <v>469</v>
      </c>
      <c r="K791" s="80" t="s">
        <v>2073</v>
      </c>
      <c r="L791" t="s">
        <v>2074</v>
      </c>
      <c r="M791" t="s">
        <v>232</v>
      </c>
      <c r="N791" t="str">
        <f t="shared" si="12"/>
        <v>CCFNimIsu</v>
      </c>
    </row>
    <row r="792" spans="8:14" x14ac:dyDescent="0.35">
      <c r="H792" t="s">
        <v>227</v>
      </c>
      <c r="I792" t="s">
        <v>266</v>
      </c>
      <c r="J792" t="s">
        <v>469</v>
      </c>
      <c r="K792" s="80" t="s">
        <v>2075</v>
      </c>
      <c r="L792" t="s">
        <v>2076</v>
      </c>
      <c r="M792" t="s">
        <v>232</v>
      </c>
      <c r="N792" t="str">
        <f t="shared" si="12"/>
        <v>CCFNimIsu</v>
      </c>
    </row>
    <row r="793" spans="8:14" x14ac:dyDescent="0.35">
      <c r="H793" t="s">
        <v>227</v>
      </c>
      <c r="I793" t="s">
        <v>266</v>
      </c>
      <c r="J793" t="s">
        <v>469</v>
      </c>
      <c r="K793" s="80" t="s">
        <v>2077</v>
      </c>
      <c r="L793" t="s">
        <v>2078</v>
      </c>
      <c r="M793" t="s">
        <v>232</v>
      </c>
      <c r="N793" t="str">
        <f t="shared" si="12"/>
        <v>CCFNimIsu</v>
      </c>
    </row>
    <row r="794" spans="8:14" x14ac:dyDescent="0.35">
      <c r="H794" t="s">
        <v>227</v>
      </c>
      <c r="I794" t="s">
        <v>266</v>
      </c>
      <c r="J794" t="s">
        <v>472</v>
      </c>
      <c r="K794" s="80" t="s">
        <v>2079</v>
      </c>
      <c r="L794" t="s">
        <v>2080</v>
      </c>
      <c r="M794" t="s">
        <v>232</v>
      </c>
      <c r="N794" t="str">
        <f t="shared" si="12"/>
        <v>CCFNimMbaitoli</v>
      </c>
    </row>
    <row r="795" spans="8:14" x14ac:dyDescent="0.35">
      <c r="H795" t="s">
        <v>227</v>
      </c>
      <c r="I795" t="s">
        <v>266</v>
      </c>
      <c r="J795" t="s">
        <v>472</v>
      </c>
      <c r="K795" s="80" t="s">
        <v>2081</v>
      </c>
      <c r="L795" t="s">
        <v>2082</v>
      </c>
      <c r="M795" t="s">
        <v>232</v>
      </c>
      <c r="N795" t="str">
        <f t="shared" si="12"/>
        <v>CCFNimMbaitoli</v>
      </c>
    </row>
    <row r="796" spans="8:14" x14ac:dyDescent="0.35">
      <c r="H796" t="s">
        <v>227</v>
      </c>
      <c r="I796" t="s">
        <v>266</v>
      </c>
      <c r="J796" t="s">
        <v>472</v>
      </c>
      <c r="K796" s="80" t="s">
        <v>2083</v>
      </c>
      <c r="L796" t="s">
        <v>2084</v>
      </c>
      <c r="M796" t="s">
        <v>232</v>
      </c>
      <c r="N796" t="str">
        <f t="shared" si="12"/>
        <v>CCFNimMbaitoli</v>
      </c>
    </row>
    <row r="797" spans="8:14" x14ac:dyDescent="0.35">
      <c r="H797" t="s">
        <v>227</v>
      </c>
      <c r="I797" t="s">
        <v>266</v>
      </c>
      <c r="J797" t="s">
        <v>472</v>
      </c>
      <c r="K797" s="80" t="s">
        <v>2085</v>
      </c>
      <c r="L797" t="s">
        <v>2086</v>
      </c>
      <c r="M797" t="s">
        <v>232</v>
      </c>
      <c r="N797" t="str">
        <f t="shared" si="12"/>
        <v>CCFNimMbaitoli</v>
      </c>
    </row>
    <row r="798" spans="8:14" x14ac:dyDescent="0.35">
      <c r="H798" t="s">
        <v>227</v>
      </c>
      <c r="I798" t="s">
        <v>266</v>
      </c>
      <c r="J798" t="s">
        <v>475</v>
      </c>
      <c r="K798" s="80" t="s">
        <v>2087</v>
      </c>
      <c r="L798" t="s">
        <v>2088</v>
      </c>
      <c r="M798" t="s">
        <v>232</v>
      </c>
      <c r="N798" t="str">
        <f t="shared" si="12"/>
        <v>CCFNimNgorOkpala</v>
      </c>
    </row>
    <row r="799" spans="8:14" x14ac:dyDescent="0.35">
      <c r="H799" t="s">
        <v>227</v>
      </c>
      <c r="I799" t="s">
        <v>266</v>
      </c>
      <c r="J799" t="s">
        <v>475</v>
      </c>
      <c r="K799" s="80" t="s">
        <v>2089</v>
      </c>
      <c r="L799" t="s">
        <v>2090</v>
      </c>
      <c r="M799" t="s">
        <v>232</v>
      </c>
      <c r="N799" t="str">
        <f t="shared" si="12"/>
        <v>CCFNimNgorOkpala</v>
      </c>
    </row>
    <row r="800" spans="8:14" x14ac:dyDescent="0.35">
      <c r="H800" t="s">
        <v>227</v>
      </c>
      <c r="I800" t="s">
        <v>266</v>
      </c>
      <c r="J800" t="s">
        <v>475</v>
      </c>
      <c r="K800" s="80" t="s">
        <v>2091</v>
      </c>
      <c r="L800" t="s">
        <v>2092</v>
      </c>
      <c r="M800" t="s">
        <v>232</v>
      </c>
      <c r="N800" t="str">
        <f t="shared" si="12"/>
        <v>CCFNimNgorOkpala</v>
      </c>
    </row>
    <row r="801" spans="8:14" x14ac:dyDescent="0.35">
      <c r="H801" t="s">
        <v>227</v>
      </c>
      <c r="I801" t="s">
        <v>266</v>
      </c>
      <c r="J801" t="s">
        <v>475</v>
      </c>
      <c r="K801" s="80" t="s">
        <v>2093</v>
      </c>
      <c r="L801" t="s">
        <v>2094</v>
      </c>
      <c r="M801" t="s">
        <v>232</v>
      </c>
      <c r="N801" t="str">
        <f t="shared" si="12"/>
        <v>CCFNimNgorOkpala</v>
      </c>
    </row>
    <row r="802" spans="8:14" x14ac:dyDescent="0.35">
      <c r="H802" t="s">
        <v>227</v>
      </c>
      <c r="I802" t="s">
        <v>266</v>
      </c>
      <c r="J802" t="s">
        <v>478</v>
      </c>
      <c r="K802" s="80" t="s">
        <v>2095</v>
      </c>
      <c r="L802" t="s">
        <v>2096</v>
      </c>
      <c r="M802" t="s">
        <v>232</v>
      </c>
      <c r="N802" t="str">
        <f t="shared" si="12"/>
        <v>CCFNimNjaba</v>
      </c>
    </row>
    <row r="803" spans="8:14" x14ac:dyDescent="0.35">
      <c r="H803" t="s">
        <v>227</v>
      </c>
      <c r="I803" t="s">
        <v>266</v>
      </c>
      <c r="J803" t="s">
        <v>478</v>
      </c>
      <c r="K803" s="80" t="s">
        <v>2097</v>
      </c>
      <c r="L803" t="s">
        <v>2098</v>
      </c>
      <c r="M803" t="s">
        <v>232</v>
      </c>
      <c r="N803" t="str">
        <f t="shared" si="12"/>
        <v>CCFNimNjaba</v>
      </c>
    </row>
    <row r="804" spans="8:14" x14ac:dyDescent="0.35">
      <c r="H804" t="s">
        <v>227</v>
      </c>
      <c r="I804" t="s">
        <v>266</v>
      </c>
      <c r="J804" t="s">
        <v>481</v>
      </c>
      <c r="K804" s="80" t="s">
        <v>2099</v>
      </c>
      <c r="L804" t="s">
        <v>2100</v>
      </c>
      <c r="M804" t="s">
        <v>232</v>
      </c>
      <c r="N804" t="str">
        <f t="shared" si="12"/>
        <v>CCFNimNkwerre</v>
      </c>
    </row>
    <row r="805" spans="8:14" x14ac:dyDescent="0.35">
      <c r="H805" t="s">
        <v>227</v>
      </c>
      <c r="I805" t="s">
        <v>266</v>
      </c>
      <c r="J805" t="s">
        <v>481</v>
      </c>
      <c r="K805" s="80" t="s">
        <v>2101</v>
      </c>
      <c r="L805" t="s">
        <v>2102</v>
      </c>
      <c r="M805" t="s">
        <v>232</v>
      </c>
      <c r="N805" t="str">
        <f t="shared" si="12"/>
        <v>CCFNimNkwerre</v>
      </c>
    </row>
    <row r="806" spans="8:14" x14ac:dyDescent="0.35">
      <c r="H806" t="s">
        <v>227</v>
      </c>
      <c r="I806" t="s">
        <v>266</v>
      </c>
      <c r="J806" t="s">
        <v>481</v>
      </c>
      <c r="K806" s="80" t="s">
        <v>2103</v>
      </c>
      <c r="L806" t="s">
        <v>2104</v>
      </c>
      <c r="M806" t="s">
        <v>232</v>
      </c>
      <c r="N806" t="str">
        <f t="shared" si="12"/>
        <v>CCFNimNkwerre</v>
      </c>
    </row>
    <row r="807" spans="8:14" x14ac:dyDescent="0.35">
      <c r="H807" t="s">
        <v>227</v>
      </c>
      <c r="I807" t="s">
        <v>266</v>
      </c>
      <c r="J807" t="s">
        <v>481</v>
      </c>
      <c r="K807" s="80" t="s">
        <v>2105</v>
      </c>
      <c r="L807" t="s">
        <v>2106</v>
      </c>
      <c r="M807" t="s">
        <v>232</v>
      </c>
      <c r="N807" t="str">
        <f t="shared" si="12"/>
        <v>CCFNimNkwerre</v>
      </c>
    </row>
    <row r="808" spans="8:14" x14ac:dyDescent="0.35">
      <c r="H808" t="s">
        <v>227</v>
      </c>
      <c r="I808" t="s">
        <v>266</v>
      </c>
      <c r="J808" t="s">
        <v>481</v>
      </c>
      <c r="K808" s="80" t="s">
        <v>2107</v>
      </c>
      <c r="L808" t="s">
        <v>2108</v>
      </c>
      <c r="M808" t="s">
        <v>232</v>
      </c>
      <c r="N808" t="str">
        <f t="shared" si="12"/>
        <v>CCFNimNkwerre</v>
      </c>
    </row>
    <row r="809" spans="8:14" x14ac:dyDescent="0.35">
      <c r="H809" t="s">
        <v>227</v>
      </c>
      <c r="I809" t="s">
        <v>266</v>
      </c>
      <c r="J809" t="s">
        <v>484</v>
      </c>
      <c r="K809" s="80" t="s">
        <v>2109</v>
      </c>
      <c r="L809" t="s">
        <v>2110</v>
      </c>
      <c r="M809" t="s">
        <v>232</v>
      </c>
      <c r="N809" t="str">
        <f t="shared" si="12"/>
        <v>CCFNimNwangele</v>
      </c>
    </row>
    <row r="810" spans="8:14" x14ac:dyDescent="0.35">
      <c r="H810" t="s">
        <v>227</v>
      </c>
      <c r="I810" t="s">
        <v>266</v>
      </c>
      <c r="J810" t="s">
        <v>484</v>
      </c>
      <c r="K810" s="80" t="s">
        <v>2111</v>
      </c>
      <c r="L810" t="s">
        <v>2112</v>
      </c>
      <c r="M810" t="s">
        <v>232</v>
      </c>
      <c r="N810" t="str">
        <f t="shared" si="12"/>
        <v>CCFNimNwangele</v>
      </c>
    </row>
    <row r="811" spans="8:14" x14ac:dyDescent="0.35">
      <c r="H811" t="s">
        <v>227</v>
      </c>
      <c r="I811" t="s">
        <v>266</v>
      </c>
      <c r="J811" t="s">
        <v>484</v>
      </c>
      <c r="K811" s="80" t="s">
        <v>2113</v>
      </c>
      <c r="L811" t="s">
        <v>2114</v>
      </c>
      <c r="M811" t="s">
        <v>232</v>
      </c>
      <c r="N811" t="str">
        <f t="shared" si="12"/>
        <v>CCFNimNwangele</v>
      </c>
    </row>
    <row r="812" spans="8:14" x14ac:dyDescent="0.35">
      <c r="H812" t="s">
        <v>227</v>
      </c>
      <c r="I812" t="s">
        <v>266</v>
      </c>
      <c r="J812" t="s">
        <v>488</v>
      </c>
      <c r="K812" s="80" t="s">
        <v>2115</v>
      </c>
      <c r="L812" t="s">
        <v>2116</v>
      </c>
      <c r="M812" t="s">
        <v>232</v>
      </c>
      <c r="N812" t="str">
        <f t="shared" si="12"/>
        <v>CCFNimObowo</v>
      </c>
    </row>
    <row r="813" spans="8:14" x14ac:dyDescent="0.35">
      <c r="H813" t="s">
        <v>227</v>
      </c>
      <c r="I813" t="s">
        <v>266</v>
      </c>
      <c r="J813" t="s">
        <v>488</v>
      </c>
      <c r="K813" s="80" t="s">
        <v>2117</v>
      </c>
      <c r="L813" t="s">
        <v>2118</v>
      </c>
      <c r="M813" t="s">
        <v>232</v>
      </c>
      <c r="N813" t="str">
        <f t="shared" si="12"/>
        <v>CCFNimObowo</v>
      </c>
    </row>
    <row r="814" spans="8:14" x14ac:dyDescent="0.35">
      <c r="H814" t="s">
        <v>227</v>
      </c>
      <c r="I814" t="s">
        <v>266</v>
      </c>
      <c r="J814" t="s">
        <v>491</v>
      </c>
      <c r="K814" s="80" t="s">
        <v>2119</v>
      </c>
      <c r="L814" t="s">
        <v>2120</v>
      </c>
      <c r="M814" t="s">
        <v>232</v>
      </c>
      <c r="N814" t="str">
        <f t="shared" si="12"/>
        <v>CCFNimOguta</v>
      </c>
    </row>
    <row r="815" spans="8:14" x14ac:dyDescent="0.35">
      <c r="H815" t="s">
        <v>227</v>
      </c>
      <c r="I815" t="s">
        <v>266</v>
      </c>
      <c r="J815" t="s">
        <v>491</v>
      </c>
      <c r="K815" s="80" t="s">
        <v>2121</v>
      </c>
      <c r="L815" t="s">
        <v>2122</v>
      </c>
      <c r="M815" t="s">
        <v>232</v>
      </c>
      <c r="N815" t="str">
        <f t="shared" si="12"/>
        <v>CCFNimOguta</v>
      </c>
    </row>
    <row r="816" spans="8:14" x14ac:dyDescent="0.35">
      <c r="H816" t="s">
        <v>227</v>
      </c>
      <c r="I816" t="s">
        <v>266</v>
      </c>
      <c r="J816" t="s">
        <v>491</v>
      </c>
      <c r="K816" s="80" t="s">
        <v>2123</v>
      </c>
      <c r="L816" t="s">
        <v>2124</v>
      </c>
      <c r="M816" t="s">
        <v>232</v>
      </c>
      <c r="N816" t="str">
        <f t="shared" si="12"/>
        <v>CCFNimOguta</v>
      </c>
    </row>
    <row r="817" spans="8:14" x14ac:dyDescent="0.35">
      <c r="H817" t="s">
        <v>227</v>
      </c>
      <c r="I817" t="s">
        <v>266</v>
      </c>
      <c r="J817" t="s">
        <v>491</v>
      </c>
      <c r="K817" s="80" t="s">
        <v>2125</v>
      </c>
      <c r="L817" t="s">
        <v>2126</v>
      </c>
      <c r="M817" t="s">
        <v>232</v>
      </c>
      <c r="N817" t="str">
        <f t="shared" si="12"/>
        <v>CCFNimOguta</v>
      </c>
    </row>
    <row r="818" spans="8:14" x14ac:dyDescent="0.35">
      <c r="H818" t="s">
        <v>227</v>
      </c>
      <c r="I818" t="s">
        <v>266</v>
      </c>
      <c r="J818" t="s">
        <v>491</v>
      </c>
      <c r="K818" s="80" t="s">
        <v>2127</v>
      </c>
      <c r="L818" t="s">
        <v>2128</v>
      </c>
      <c r="M818" t="s">
        <v>232</v>
      </c>
      <c r="N818" t="str">
        <f t="shared" si="12"/>
        <v>CCFNimOguta</v>
      </c>
    </row>
    <row r="819" spans="8:14" x14ac:dyDescent="0.35">
      <c r="H819" t="s">
        <v>227</v>
      </c>
      <c r="I819" t="s">
        <v>266</v>
      </c>
      <c r="J819" t="s">
        <v>494</v>
      </c>
      <c r="K819" s="80" t="s">
        <v>2129</v>
      </c>
      <c r="L819" t="s">
        <v>2130</v>
      </c>
      <c r="M819" t="s">
        <v>232</v>
      </c>
      <c r="N819" t="str">
        <f t="shared" si="12"/>
        <v>CCFNimOhajiEgbema</v>
      </c>
    </row>
    <row r="820" spans="8:14" x14ac:dyDescent="0.35">
      <c r="H820" t="s">
        <v>227</v>
      </c>
      <c r="I820" t="s">
        <v>266</v>
      </c>
      <c r="J820" t="s">
        <v>494</v>
      </c>
      <c r="K820" s="80" t="s">
        <v>2131</v>
      </c>
      <c r="L820" t="s">
        <v>2132</v>
      </c>
      <c r="M820" t="s">
        <v>232</v>
      </c>
      <c r="N820" t="str">
        <f t="shared" si="12"/>
        <v>CCFNimOhajiEgbema</v>
      </c>
    </row>
    <row r="821" spans="8:14" x14ac:dyDescent="0.35">
      <c r="H821" t="s">
        <v>227</v>
      </c>
      <c r="I821" t="s">
        <v>266</v>
      </c>
      <c r="J821" t="s">
        <v>494</v>
      </c>
      <c r="K821" s="80" t="s">
        <v>2133</v>
      </c>
      <c r="L821" t="s">
        <v>2134</v>
      </c>
      <c r="M821" t="s">
        <v>232</v>
      </c>
      <c r="N821" t="str">
        <f t="shared" si="12"/>
        <v>CCFNimOhajiEgbema</v>
      </c>
    </row>
    <row r="822" spans="8:14" x14ac:dyDescent="0.35">
      <c r="H822" t="s">
        <v>227</v>
      </c>
      <c r="I822" t="s">
        <v>266</v>
      </c>
      <c r="J822" t="s">
        <v>494</v>
      </c>
      <c r="K822" s="80" t="s">
        <v>2135</v>
      </c>
      <c r="L822" t="s">
        <v>2136</v>
      </c>
      <c r="M822" t="s">
        <v>232</v>
      </c>
      <c r="N822" t="str">
        <f t="shared" si="12"/>
        <v>CCFNimOhajiEgbema</v>
      </c>
    </row>
    <row r="823" spans="8:14" x14ac:dyDescent="0.35">
      <c r="H823" t="s">
        <v>227</v>
      </c>
      <c r="I823" t="s">
        <v>266</v>
      </c>
      <c r="J823" t="s">
        <v>494</v>
      </c>
      <c r="K823" s="80" t="s">
        <v>2137</v>
      </c>
      <c r="L823" t="s">
        <v>2138</v>
      </c>
      <c r="M823" t="s">
        <v>232</v>
      </c>
      <c r="N823" t="str">
        <f t="shared" si="12"/>
        <v>CCFNimOhajiEgbema</v>
      </c>
    </row>
    <row r="824" spans="8:14" x14ac:dyDescent="0.35">
      <c r="H824" t="s">
        <v>227</v>
      </c>
      <c r="I824" t="s">
        <v>266</v>
      </c>
      <c r="J824" t="s">
        <v>497</v>
      </c>
      <c r="K824" s="80" t="s">
        <v>2139</v>
      </c>
      <c r="L824" t="s">
        <v>2140</v>
      </c>
      <c r="M824" t="s">
        <v>232</v>
      </c>
      <c r="N824" t="str">
        <f t="shared" si="12"/>
        <v>CCFNimOkigwe</v>
      </c>
    </row>
    <row r="825" spans="8:14" x14ac:dyDescent="0.35">
      <c r="H825" t="s">
        <v>227</v>
      </c>
      <c r="I825" t="s">
        <v>266</v>
      </c>
      <c r="J825" t="s">
        <v>497</v>
      </c>
      <c r="K825" s="80" t="s">
        <v>2141</v>
      </c>
      <c r="L825" t="s">
        <v>2142</v>
      </c>
      <c r="M825" t="s">
        <v>232</v>
      </c>
      <c r="N825" t="str">
        <f t="shared" si="12"/>
        <v>CCFNimOkigwe</v>
      </c>
    </row>
    <row r="826" spans="8:14" x14ac:dyDescent="0.35">
      <c r="H826" t="s">
        <v>227</v>
      </c>
      <c r="I826" t="s">
        <v>266</v>
      </c>
      <c r="J826" t="s">
        <v>497</v>
      </c>
      <c r="K826" s="80" t="s">
        <v>2143</v>
      </c>
      <c r="L826" t="s">
        <v>2144</v>
      </c>
      <c r="M826" t="s">
        <v>232</v>
      </c>
      <c r="N826" t="str">
        <f t="shared" si="12"/>
        <v>CCFNimOkigwe</v>
      </c>
    </row>
    <row r="827" spans="8:14" x14ac:dyDescent="0.35">
      <c r="H827" t="s">
        <v>227</v>
      </c>
      <c r="I827" t="s">
        <v>266</v>
      </c>
      <c r="J827" t="s">
        <v>500</v>
      </c>
      <c r="K827" s="80" t="s">
        <v>2145</v>
      </c>
      <c r="L827" t="s">
        <v>2146</v>
      </c>
      <c r="M827" t="s">
        <v>232</v>
      </c>
      <c r="N827" t="str">
        <f t="shared" si="12"/>
        <v>CCFNimOnuimo</v>
      </c>
    </row>
    <row r="828" spans="8:14" x14ac:dyDescent="0.35">
      <c r="H828" t="s">
        <v>227</v>
      </c>
      <c r="I828" t="s">
        <v>266</v>
      </c>
      <c r="J828" t="s">
        <v>500</v>
      </c>
      <c r="K828" s="80" t="s">
        <v>2147</v>
      </c>
      <c r="L828" t="s">
        <v>2148</v>
      </c>
      <c r="M828" t="s">
        <v>232</v>
      </c>
      <c r="N828" t="str">
        <f t="shared" si="12"/>
        <v>CCFNimOnuimo</v>
      </c>
    </row>
    <row r="829" spans="8:14" x14ac:dyDescent="0.35">
      <c r="H829" t="s">
        <v>227</v>
      </c>
      <c r="I829" t="s">
        <v>266</v>
      </c>
      <c r="J829" t="s">
        <v>503</v>
      </c>
      <c r="K829" s="80" t="s">
        <v>2149</v>
      </c>
      <c r="L829" t="s">
        <v>2150</v>
      </c>
      <c r="M829" t="s">
        <v>232</v>
      </c>
      <c r="N829" t="str">
        <f t="shared" si="12"/>
        <v>CCFNimOrlu</v>
      </c>
    </row>
    <row r="830" spans="8:14" x14ac:dyDescent="0.35">
      <c r="H830" t="s">
        <v>227</v>
      </c>
      <c r="I830" t="s">
        <v>266</v>
      </c>
      <c r="J830" t="s">
        <v>503</v>
      </c>
      <c r="K830" s="80" t="s">
        <v>2151</v>
      </c>
      <c r="L830" t="s">
        <v>2152</v>
      </c>
      <c r="M830" t="s">
        <v>232</v>
      </c>
      <c r="N830" t="str">
        <f t="shared" si="12"/>
        <v>CCFNimOrlu</v>
      </c>
    </row>
    <row r="831" spans="8:14" x14ac:dyDescent="0.35">
      <c r="H831" t="s">
        <v>227</v>
      </c>
      <c r="I831" t="s">
        <v>266</v>
      </c>
      <c r="J831" t="s">
        <v>503</v>
      </c>
      <c r="K831" s="80" t="s">
        <v>2153</v>
      </c>
      <c r="L831" t="s">
        <v>2154</v>
      </c>
      <c r="M831" t="s">
        <v>232</v>
      </c>
      <c r="N831" t="str">
        <f t="shared" si="12"/>
        <v>CCFNimOrlu</v>
      </c>
    </row>
    <row r="832" spans="8:14" x14ac:dyDescent="0.35">
      <c r="H832" t="s">
        <v>227</v>
      </c>
      <c r="I832" t="s">
        <v>266</v>
      </c>
      <c r="J832" t="s">
        <v>503</v>
      </c>
      <c r="K832" s="80" t="s">
        <v>2155</v>
      </c>
      <c r="L832" t="s">
        <v>2156</v>
      </c>
      <c r="M832" t="s">
        <v>232</v>
      </c>
      <c r="N832" t="str">
        <f t="shared" si="12"/>
        <v>CCFNimOrlu</v>
      </c>
    </row>
    <row r="833" spans="8:14" x14ac:dyDescent="0.35">
      <c r="H833" t="s">
        <v>227</v>
      </c>
      <c r="I833" t="s">
        <v>266</v>
      </c>
      <c r="J833" t="s">
        <v>503</v>
      </c>
      <c r="K833" s="80" t="s">
        <v>2157</v>
      </c>
      <c r="L833" t="s">
        <v>2158</v>
      </c>
      <c r="M833" t="s">
        <v>232</v>
      </c>
      <c r="N833" t="str">
        <f t="shared" si="12"/>
        <v>CCFNimOrlu</v>
      </c>
    </row>
    <row r="834" spans="8:14" x14ac:dyDescent="0.35">
      <c r="H834" t="s">
        <v>227</v>
      </c>
      <c r="I834" t="s">
        <v>266</v>
      </c>
      <c r="J834" t="s">
        <v>507</v>
      </c>
      <c r="K834" s="80" t="s">
        <v>2159</v>
      </c>
      <c r="L834" t="s">
        <v>2160</v>
      </c>
      <c r="M834" t="s">
        <v>232</v>
      </c>
      <c r="N834" t="str">
        <f t="shared" si="12"/>
        <v>CCFNimOrsu</v>
      </c>
    </row>
    <row r="835" spans="8:14" x14ac:dyDescent="0.35">
      <c r="H835" t="s">
        <v>227</v>
      </c>
      <c r="I835" t="s">
        <v>266</v>
      </c>
      <c r="J835" t="s">
        <v>510</v>
      </c>
      <c r="K835" s="80" t="s">
        <v>2161</v>
      </c>
      <c r="L835" t="s">
        <v>2162</v>
      </c>
      <c r="M835" t="s">
        <v>232</v>
      </c>
      <c r="N835" t="str">
        <f t="shared" ref="N835:N898" si="13">SUBSTITUTE(SUBSTITUTE(M835&amp;J835," ",""),"-","")</f>
        <v>CCFNimOruEast</v>
      </c>
    </row>
    <row r="836" spans="8:14" x14ac:dyDescent="0.35">
      <c r="H836" t="s">
        <v>227</v>
      </c>
      <c r="I836" t="s">
        <v>266</v>
      </c>
      <c r="J836" t="s">
        <v>510</v>
      </c>
      <c r="K836" s="80" t="s">
        <v>2163</v>
      </c>
      <c r="L836" t="s">
        <v>2164</v>
      </c>
      <c r="M836" t="s">
        <v>232</v>
      </c>
      <c r="N836" t="str">
        <f t="shared" si="13"/>
        <v>CCFNimOruEast</v>
      </c>
    </row>
    <row r="837" spans="8:14" x14ac:dyDescent="0.35">
      <c r="H837" t="s">
        <v>227</v>
      </c>
      <c r="I837" t="s">
        <v>266</v>
      </c>
      <c r="J837" t="s">
        <v>510</v>
      </c>
      <c r="K837" s="80" t="s">
        <v>2165</v>
      </c>
      <c r="L837" t="s">
        <v>2166</v>
      </c>
      <c r="M837" t="s">
        <v>232</v>
      </c>
      <c r="N837" t="str">
        <f t="shared" si="13"/>
        <v>CCFNimOruEast</v>
      </c>
    </row>
    <row r="838" spans="8:14" x14ac:dyDescent="0.35">
      <c r="H838" t="s">
        <v>227</v>
      </c>
      <c r="I838" t="s">
        <v>266</v>
      </c>
      <c r="J838" t="s">
        <v>510</v>
      </c>
      <c r="K838" s="80" t="s">
        <v>2167</v>
      </c>
      <c r="L838" t="s">
        <v>2168</v>
      </c>
      <c r="M838" t="s">
        <v>232</v>
      </c>
      <c r="N838" t="str">
        <f t="shared" si="13"/>
        <v>CCFNimOruEast</v>
      </c>
    </row>
    <row r="839" spans="8:14" x14ac:dyDescent="0.35">
      <c r="H839" t="s">
        <v>227</v>
      </c>
      <c r="I839" t="s">
        <v>266</v>
      </c>
      <c r="J839" t="s">
        <v>510</v>
      </c>
      <c r="K839" s="80" t="s">
        <v>2169</v>
      </c>
      <c r="L839" t="s">
        <v>2170</v>
      </c>
      <c r="M839" t="s">
        <v>232</v>
      </c>
      <c r="N839" t="str">
        <f t="shared" si="13"/>
        <v>CCFNimOruEast</v>
      </c>
    </row>
    <row r="840" spans="8:14" x14ac:dyDescent="0.35">
      <c r="H840" t="s">
        <v>227</v>
      </c>
      <c r="I840" t="s">
        <v>266</v>
      </c>
      <c r="J840" t="s">
        <v>513</v>
      </c>
      <c r="K840" s="80" t="s">
        <v>2171</v>
      </c>
      <c r="L840" t="s">
        <v>2172</v>
      </c>
      <c r="M840" t="s">
        <v>232</v>
      </c>
      <c r="N840" t="str">
        <f t="shared" si="13"/>
        <v>CCFNimOruWest</v>
      </c>
    </row>
    <row r="841" spans="8:14" x14ac:dyDescent="0.35">
      <c r="H841" t="s">
        <v>227</v>
      </c>
      <c r="I841" t="s">
        <v>266</v>
      </c>
      <c r="J841" t="s">
        <v>516</v>
      </c>
      <c r="K841" s="80" t="s">
        <v>2173</v>
      </c>
      <c r="L841" t="s">
        <v>2174</v>
      </c>
      <c r="M841" t="s">
        <v>232</v>
      </c>
      <c r="N841" t="str">
        <f t="shared" si="13"/>
        <v>CCFNimOwerriMunicipal</v>
      </c>
    </row>
    <row r="842" spans="8:14" x14ac:dyDescent="0.35">
      <c r="H842" t="s">
        <v>227</v>
      </c>
      <c r="I842" t="s">
        <v>266</v>
      </c>
      <c r="J842" t="s">
        <v>516</v>
      </c>
      <c r="K842" s="80" t="s">
        <v>2175</v>
      </c>
      <c r="L842" t="s">
        <v>2176</v>
      </c>
      <c r="M842" t="s">
        <v>232</v>
      </c>
      <c r="N842" t="str">
        <f t="shared" si="13"/>
        <v>CCFNimOwerriMunicipal</v>
      </c>
    </row>
    <row r="843" spans="8:14" x14ac:dyDescent="0.35">
      <c r="H843" t="s">
        <v>227</v>
      </c>
      <c r="I843" t="s">
        <v>266</v>
      </c>
      <c r="J843" t="s">
        <v>516</v>
      </c>
      <c r="K843" s="80" t="s">
        <v>2177</v>
      </c>
      <c r="L843" t="s">
        <v>2178</v>
      </c>
      <c r="M843" t="s">
        <v>232</v>
      </c>
      <c r="N843" t="str">
        <f t="shared" si="13"/>
        <v>CCFNimOwerriMunicipal</v>
      </c>
    </row>
    <row r="844" spans="8:14" x14ac:dyDescent="0.35">
      <c r="H844" t="s">
        <v>227</v>
      </c>
      <c r="I844" t="s">
        <v>266</v>
      </c>
      <c r="J844" t="s">
        <v>516</v>
      </c>
      <c r="K844" s="80" t="s">
        <v>2179</v>
      </c>
      <c r="L844" t="s">
        <v>2180</v>
      </c>
      <c r="M844" t="s">
        <v>232</v>
      </c>
      <c r="N844" t="str">
        <f t="shared" si="13"/>
        <v>CCFNimOwerriMunicipal</v>
      </c>
    </row>
    <row r="845" spans="8:14" x14ac:dyDescent="0.35">
      <c r="H845" t="s">
        <v>227</v>
      </c>
      <c r="I845" t="s">
        <v>266</v>
      </c>
      <c r="J845" t="s">
        <v>516</v>
      </c>
      <c r="K845" s="80" t="s">
        <v>2181</v>
      </c>
      <c r="L845" t="s">
        <v>2182</v>
      </c>
      <c r="M845" t="s">
        <v>232</v>
      </c>
      <c r="N845" t="str">
        <f t="shared" si="13"/>
        <v>CCFNimOwerriMunicipal</v>
      </c>
    </row>
    <row r="846" spans="8:14" x14ac:dyDescent="0.35">
      <c r="H846" t="s">
        <v>227</v>
      </c>
      <c r="I846" t="s">
        <v>266</v>
      </c>
      <c r="J846" t="s">
        <v>519</v>
      </c>
      <c r="K846" s="80" t="s">
        <v>2183</v>
      </c>
      <c r="L846" t="s">
        <v>2184</v>
      </c>
      <c r="M846" t="s">
        <v>232</v>
      </c>
      <c r="N846" t="str">
        <f t="shared" si="13"/>
        <v>CCFNimOwerriNorth</v>
      </c>
    </row>
    <row r="847" spans="8:14" x14ac:dyDescent="0.35">
      <c r="H847" t="s">
        <v>227</v>
      </c>
      <c r="I847" t="s">
        <v>266</v>
      </c>
      <c r="J847" t="s">
        <v>519</v>
      </c>
      <c r="K847" s="80" t="s">
        <v>2185</v>
      </c>
      <c r="L847" t="s">
        <v>2186</v>
      </c>
      <c r="M847" t="s">
        <v>232</v>
      </c>
      <c r="N847" t="str">
        <f t="shared" si="13"/>
        <v>CCFNimOwerriNorth</v>
      </c>
    </row>
    <row r="848" spans="8:14" x14ac:dyDescent="0.35">
      <c r="H848" t="s">
        <v>227</v>
      </c>
      <c r="I848" t="s">
        <v>266</v>
      </c>
      <c r="J848" t="s">
        <v>519</v>
      </c>
      <c r="K848" s="80" t="s">
        <v>2187</v>
      </c>
      <c r="L848" t="s">
        <v>2188</v>
      </c>
      <c r="M848" t="s">
        <v>232</v>
      </c>
      <c r="N848" t="str">
        <f t="shared" si="13"/>
        <v>CCFNimOwerriNorth</v>
      </c>
    </row>
    <row r="849" spans="8:14" x14ac:dyDescent="0.35">
      <c r="H849" t="s">
        <v>227</v>
      </c>
      <c r="I849" t="s">
        <v>266</v>
      </c>
      <c r="J849" t="s">
        <v>519</v>
      </c>
      <c r="K849" s="80" t="s">
        <v>2189</v>
      </c>
      <c r="L849" t="s">
        <v>2190</v>
      </c>
      <c r="M849" t="s">
        <v>232</v>
      </c>
      <c r="N849" t="str">
        <f t="shared" si="13"/>
        <v>CCFNimOwerriNorth</v>
      </c>
    </row>
    <row r="850" spans="8:14" x14ac:dyDescent="0.35">
      <c r="H850" t="s">
        <v>227</v>
      </c>
      <c r="I850" t="s">
        <v>266</v>
      </c>
      <c r="J850" t="s">
        <v>519</v>
      </c>
      <c r="K850" s="80" t="s">
        <v>2191</v>
      </c>
      <c r="L850" t="s">
        <v>2192</v>
      </c>
      <c r="M850" t="s">
        <v>232</v>
      </c>
      <c r="N850" t="str">
        <f t="shared" si="13"/>
        <v>CCFNimOwerriNorth</v>
      </c>
    </row>
    <row r="851" spans="8:14" x14ac:dyDescent="0.35">
      <c r="H851" t="s">
        <v>227</v>
      </c>
      <c r="I851" t="s">
        <v>266</v>
      </c>
      <c r="J851" t="s">
        <v>522</v>
      </c>
      <c r="K851" s="80" t="s">
        <v>2193</v>
      </c>
      <c r="L851" t="s">
        <v>2194</v>
      </c>
      <c r="M851" t="s">
        <v>232</v>
      </c>
      <c r="N851" t="str">
        <f t="shared" si="13"/>
        <v>CCFNimOwerriWest</v>
      </c>
    </row>
    <row r="852" spans="8:14" x14ac:dyDescent="0.35">
      <c r="H852" t="s">
        <v>227</v>
      </c>
      <c r="I852" t="s">
        <v>266</v>
      </c>
      <c r="J852" t="s">
        <v>522</v>
      </c>
      <c r="K852" s="80" t="s">
        <v>2195</v>
      </c>
      <c r="L852" t="s">
        <v>2196</v>
      </c>
      <c r="M852" t="s">
        <v>232</v>
      </c>
      <c r="N852" t="str">
        <f t="shared" si="13"/>
        <v>CCFNimOwerriWest</v>
      </c>
    </row>
    <row r="853" spans="8:14" x14ac:dyDescent="0.35">
      <c r="H853" t="s">
        <v>227</v>
      </c>
      <c r="I853" t="s">
        <v>274</v>
      </c>
      <c r="J853" t="s">
        <v>558</v>
      </c>
      <c r="K853" s="80" t="s">
        <v>2197</v>
      </c>
      <c r="L853" t="s">
        <v>2198</v>
      </c>
      <c r="M853" t="s">
        <v>238</v>
      </c>
      <c r="N853" t="str">
        <f t="shared" si="13"/>
        <v>CIHPkdBirninGwari</v>
      </c>
    </row>
    <row r="854" spans="8:14" x14ac:dyDescent="0.35">
      <c r="H854" t="s">
        <v>227</v>
      </c>
      <c r="I854" t="s">
        <v>274</v>
      </c>
      <c r="J854" t="s">
        <v>558</v>
      </c>
      <c r="K854" s="80" t="s">
        <v>2199</v>
      </c>
      <c r="L854" t="s">
        <v>2200</v>
      </c>
      <c r="M854" t="s">
        <v>238</v>
      </c>
      <c r="N854" t="str">
        <f t="shared" si="13"/>
        <v>CIHPkdBirninGwari</v>
      </c>
    </row>
    <row r="855" spans="8:14" x14ac:dyDescent="0.35">
      <c r="H855" t="s">
        <v>227</v>
      </c>
      <c r="I855" t="s">
        <v>274</v>
      </c>
      <c r="J855" t="s">
        <v>558</v>
      </c>
      <c r="K855" s="80" t="s">
        <v>2201</v>
      </c>
      <c r="L855" t="s">
        <v>2202</v>
      </c>
      <c r="M855" t="s">
        <v>238</v>
      </c>
      <c r="N855" t="str">
        <f t="shared" si="13"/>
        <v>CIHPkdBirninGwari</v>
      </c>
    </row>
    <row r="856" spans="8:14" x14ac:dyDescent="0.35">
      <c r="H856" t="s">
        <v>227</v>
      </c>
      <c r="I856" t="s">
        <v>274</v>
      </c>
      <c r="J856" t="s">
        <v>558</v>
      </c>
      <c r="K856" s="80" t="s">
        <v>2203</v>
      </c>
      <c r="L856" t="s">
        <v>2204</v>
      </c>
      <c r="M856" t="s">
        <v>238</v>
      </c>
      <c r="N856" t="str">
        <f t="shared" si="13"/>
        <v>CIHPkdBirninGwari</v>
      </c>
    </row>
    <row r="857" spans="8:14" x14ac:dyDescent="0.35">
      <c r="H857" t="s">
        <v>227</v>
      </c>
      <c r="I857" t="s">
        <v>274</v>
      </c>
      <c r="J857" t="s">
        <v>558</v>
      </c>
      <c r="K857" s="80" t="s">
        <v>2205</v>
      </c>
      <c r="L857" t="s">
        <v>2206</v>
      </c>
      <c r="M857" t="s">
        <v>238</v>
      </c>
      <c r="N857" t="str">
        <f t="shared" si="13"/>
        <v>CIHPkdBirninGwari</v>
      </c>
    </row>
    <row r="858" spans="8:14" x14ac:dyDescent="0.35">
      <c r="H858" t="s">
        <v>227</v>
      </c>
      <c r="I858" t="s">
        <v>274</v>
      </c>
      <c r="J858" t="s">
        <v>558</v>
      </c>
      <c r="K858" s="80" t="s">
        <v>2207</v>
      </c>
      <c r="L858" t="s">
        <v>2208</v>
      </c>
      <c r="M858" t="s">
        <v>238</v>
      </c>
      <c r="N858" t="str">
        <f t="shared" si="13"/>
        <v>CIHPkdBirninGwari</v>
      </c>
    </row>
    <row r="859" spans="8:14" x14ac:dyDescent="0.35">
      <c r="H859" t="s">
        <v>227</v>
      </c>
      <c r="I859" t="s">
        <v>274</v>
      </c>
      <c r="J859" t="s">
        <v>558</v>
      </c>
      <c r="K859" s="80" t="s">
        <v>2209</v>
      </c>
      <c r="L859" t="s">
        <v>2210</v>
      </c>
      <c r="M859" t="s">
        <v>238</v>
      </c>
      <c r="N859" t="str">
        <f t="shared" si="13"/>
        <v>CIHPkdBirninGwari</v>
      </c>
    </row>
    <row r="860" spans="8:14" x14ac:dyDescent="0.35">
      <c r="H860" t="s">
        <v>227</v>
      </c>
      <c r="I860" t="s">
        <v>274</v>
      </c>
      <c r="J860" t="s">
        <v>558</v>
      </c>
      <c r="K860" s="80" t="s">
        <v>2211</v>
      </c>
      <c r="L860" t="s">
        <v>2212</v>
      </c>
      <c r="M860" t="s">
        <v>238</v>
      </c>
      <c r="N860" t="str">
        <f t="shared" si="13"/>
        <v>CIHPkdBirninGwari</v>
      </c>
    </row>
    <row r="861" spans="8:14" x14ac:dyDescent="0.35">
      <c r="H861" t="s">
        <v>227</v>
      </c>
      <c r="I861" t="s">
        <v>274</v>
      </c>
      <c r="J861" t="s">
        <v>558</v>
      </c>
      <c r="K861" s="80" t="s">
        <v>2213</v>
      </c>
      <c r="L861" t="s">
        <v>2214</v>
      </c>
      <c r="M861" t="s">
        <v>238</v>
      </c>
      <c r="N861" t="str">
        <f t="shared" si="13"/>
        <v>CIHPkdBirninGwari</v>
      </c>
    </row>
    <row r="862" spans="8:14" x14ac:dyDescent="0.35">
      <c r="H862" t="s">
        <v>227</v>
      </c>
      <c r="I862" t="s">
        <v>274</v>
      </c>
      <c r="J862" t="s">
        <v>558</v>
      </c>
      <c r="K862" s="80" t="s">
        <v>2215</v>
      </c>
      <c r="L862" t="s">
        <v>2216</v>
      </c>
      <c r="M862" t="s">
        <v>238</v>
      </c>
      <c r="N862" t="str">
        <f t="shared" si="13"/>
        <v>CIHPkdBirninGwari</v>
      </c>
    </row>
    <row r="863" spans="8:14" x14ac:dyDescent="0.35">
      <c r="H863" t="s">
        <v>227</v>
      </c>
      <c r="I863" t="s">
        <v>274</v>
      </c>
      <c r="J863" t="s">
        <v>561</v>
      </c>
      <c r="K863" s="80" t="s">
        <v>2217</v>
      </c>
      <c r="L863" t="s">
        <v>2218</v>
      </c>
      <c r="M863" t="s">
        <v>238</v>
      </c>
      <c r="N863" t="str">
        <f t="shared" si="13"/>
        <v>CIHPkdChikun</v>
      </c>
    </row>
    <row r="864" spans="8:14" x14ac:dyDescent="0.35">
      <c r="H864" t="s">
        <v>227</v>
      </c>
      <c r="I864" t="s">
        <v>274</v>
      </c>
      <c r="J864" t="s">
        <v>561</v>
      </c>
      <c r="K864" s="80" t="s">
        <v>2219</v>
      </c>
      <c r="L864" t="s">
        <v>2220</v>
      </c>
      <c r="M864" t="s">
        <v>238</v>
      </c>
      <c r="N864" t="str">
        <f t="shared" si="13"/>
        <v>CIHPkdChikun</v>
      </c>
    </row>
    <row r="865" spans="8:14" x14ac:dyDescent="0.35">
      <c r="H865" t="s">
        <v>227</v>
      </c>
      <c r="I865" t="s">
        <v>274</v>
      </c>
      <c r="J865" t="s">
        <v>561</v>
      </c>
      <c r="K865" s="80" t="s">
        <v>2221</v>
      </c>
      <c r="L865" t="s">
        <v>2222</v>
      </c>
      <c r="M865" t="s">
        <v>238</v>
      </c>
      <c r="N865" t="str">
        <f t="shared" si="13"/>
        <v>CIHPkdChikun</v>
      </c>
    </row>
    <row r="866" spans="8:14" x14ac:dyDescent="0.35">
      <c r="H866" t="s">
        <v>227</v>
      </c>
      <c r="I866" t="s">
        <v>274</v>
      </c>
      <c r="J866" t="s">
        <v>561</v>
      </c>
      <c r="K866" s="80" t="s">
        <v>2223</v>
      </c>
      <c r="L866" t="s">
        <v>2224</v>
      </c>
      <c r="M866" t="s">
        <v>238</v>
      </c>
      <c r="N866" t="str">
        <f t="shared" si="13"/>
        <v>CIHPkdChikun</v>
      </c>
    </row>
    <row r="867" spans="8:14" x14ac:dyDescent="0.35">
      <c r="H867" t="s">
        <v>227</v>
      </c>
      <c r="I867" t="s">
        <v>274</v>
      </c>
      <c r="J867" t="s">
        <v>561</v>
      </c>
      <c r="K867" s="80" t="s">
        <v>2225</v>
      </c>
      <c r="L867" t="s">
        <v>2226</v>
      </c>
      <c r="M867" t="s">
        <v>238</v>
      </c>
      <c r="N867" t="str">
        <f t="shared" si="13"/>
        <v>CIHPkdChikun</v>
      </c>
    </row>
    <row r="868" spans="8:14" x14ac:dyDescent="0.35">
      <c r="H868" t="s">
        <v>227</v>
      </c>
      <c r="I868" t="s">
        <v>274</v>
      </c>
      <c r="J868" t="s">
        <v>561</v>
      </c>
      <c r="K868" s="80" t="s">
        <v>2227</v>
      </c>
      <c r="L868" t="s">
        <v>2228</v>
      </c>
      <c r="M868" t="s">
        <v>238</v>
      </c>
      <c r="N868" t="str">
        <f t="shared" si="13"/>
        <v>CIHPkdChikun</v>
      </c>
    </row>
    <row r="869" spans="8:14" x14ac:dyDescent="0.35">
      <c r="H869" t="s">
        <v>227</v>
      </c>
      <c r="I869" t="s">
        <v>274</v>
      </c>
      <c r="J869" t="s">
        <v>561</v>
      </c>
      <c r="K869" s="80" t="s">
        <v>2229</v>
      </c>
      <c r="L869" t="s">
        <v>2230</v>
      </c>
      <c r="M869" t="s">
        <v>238</v>
      </c>
      <c r="N869" t="str">
        <f t="shared" si="13"/>
        <v>CIHPkdChikun</v>
      </c>
    </row>
    <row r="870" spans="8:14" x14ac:dyDescent="0.35">
      <c r="H870" t="s">
        <v>227</v>
      </c>
      <c r="I870" t="s">
        <v>274</v>
      </c>
      <c r="J870" t="s">
        <v>561</v>
      </c>
      <c r="K870" s="80" t="s">
        <v>2231</v>
      </c>
      <c r="L870" t="s">
        <v>2232</v>
      </c>
      <c r="M870" t="s">
        <v>238</v>
      </c>
      <c r="N870" t="str">
        <f t="shared" si="13"/>
        <v>CIHPkdChikun</v>
      </c>
    </row>
    <row r="871" spans="8:14" x14ac:dyDescent="0.35">
      <c r="H871" t="s">
        <v>227</v>
      </c>
      <c r="I871" t="s">
        <v>274</v>
      </c>
      <c r="J871" t="s">
        <v>564</v>
      </c>
      <c r="K871" s="80" t="s">
        <v>2233</v>
      </c>
      <c r="L871" t="s">
        <v>2234</v>
      </c>
      <c r="M871" t="s">
        <v>238</v>
      </c>
      <c r="N871" t="str">
        <f t="shared" si="13"/>
        <v>CIHPkdGiwa</v>
      </c>
    </row>
    <row r="872" spans="8:14" x14ac:dyDescent="0.35">
      <c r="H872" t="s">
        <v>227</v>
      </c>
      <c r="I872" t="s">
        <v>274</v>
      </c>
      <c r="J872" t="s">
        <v>564</v>
      </c>
      <c r="K872" s="80" t="s">
        <v>2235</v>
      </c>
      <c r="L872" t="s">
        <v>2236</v>
      </c>
      <c r="M872" t="s">
        <v>238</v>
      </c>
      <c r="N872" t="str">
        <f t="shared" si="13"/>
        <v>CIHPkdGiwa</v>
      </c>
    </row>
    <row r="873" spans="8:14" x14ac:dyDescent="0.35">
      <c r="H873" t="s">
        <v>227</v>
      </c>
      <c r="I873" t="s">
        <v>274</v>
      </c>
      <c r="J873" t="s">
        <v>567</v>
      </c>
      <c r="K873" s="80" t="s">
        <v>2237</v>
      </c>
      <c r="L873" t="s">
        <v>2238</v>
      </c>
      <c r="M873" t="s">
        <v>238</v>
      </c>
      <c r="N873" t="str">
        <f t="shared" si="13"/>
        <v>CIHPkdIgabi</v>
      </c>
    </row>
    <row r="874" spans="8:14" x14ac:dyDescent="0.35">
      <c r="H874" t="s">
        <v>227</v>
      </c>
      <c r="I874" t="s">
        <v>274</v>
      </c>
      <c r="J874" t="s">
        <v>570</v>
      </c>
      <c r="K874" s="80" t="s">
        <v>2239</v>
      </c>
      <c r="L874" t="s">
        <v>2240</v>
      </c>
      <c r="M874" t="s">
        <v>238</v>
      </c>
      <c r="N874" t="str">
        <f t="shared" si="13"/>
        <v>CIHPkdJaba</v>
      </c>
    </row>
    <row r="875" spans="8:14" x14ac:dyDescent="0.35">
      <c r="H875" t="s">
        <v>227</v>
      </c>
      <c r="I875" t="s">
        <v>274</v>
      </c>
      <c r="J875" t="s">
        <v>570</v>
      </c>
      <c r="K875" s="80" t="s">
        <v>2241</v>
      </c>
      <c r="L875" t="s">
        <v>2242</v>
      </c>
      <c r="M875" t="s">
        <v>238</v>
      </c>
      <c r="N875" t="str">
        <f t="shared" si="13"/>
        <v>CIHPkdJaba</v>
      </c>
    </row>
    <row r="876" spans="8:14" x14ac:dyDescent="0.35">
      <c r="H876" t="s">
        <v>227</v>
      </c>
      <c r="I876" t="s">
        <v>274</v>
      </c>
      <c r="J876" t="s">
        <v>570</v>
      </c>
      <c r="K876" s="80" t="s">
        <v>2243</v>
      </c>
      <c r="L876" t="s">
        <v>2244</v>
      </c>
      <c r="M876" t="s">
        <v>238</v>
      </c>
      <c r="N876" t="str">
        <f t="shared" si="13"/>
        <v>CIHPkdJaba</v>
      </c>
    </row>
    <row r="877" spans="8:14" x14ac:dyDescent="0.35">
      <c r="H877" t="s">
        <v>227</v>
      </c>
      <c r="I877" t="s">
        <v>274</v>
      </c>
      <c r="J877" t="s">
        <v>570</v>
      </c>
      <c r="K877" s="80" t="s">
        <v>2245</v>
      </c>
      <c r="L877" t="s">
        <v>2246</v>
      </c>
      <c r="M877" t="s">
        <v>238</v>
      </c>
      <c r="N877" t="str">
        <f t="shared" si="13"/>
        <v>CIHPkdJaba</v>
      </c>
    </row>
    <row r="878" spans="8:14" x14ac:dyDescent="0.35">
      <c r="H878" t="s">
        <v>227</v>
      </c>
      <c r="I878" t="s">
        <v>274</v>
      </c>
      <c r="J878" t="s">
        <v>570</v>
      </c>
      <c r="K878" s="80" t="s">
        <v>2247</v>
      </c>
      <c r="L878" t="s">
        <v>2248</v>
      </c>
      <c r="M878" t="s">
        <v>238</v>
      </c>
      <c r="N878" t="str">
        <f t="shared" si="13"/>
        <v>CIHPkdJaba</v>
      </c>
    </row>
    <row r="879" spans="8:14" x14ac:dyDescent="0.35">
      <c r="H879" t="s">
        <v>227</v>
      </c>
      <c r="I879" t="s">
        <v>274</v>
      </c>
      <c r="J879" t="s">
        <v>2249</v>
      </c>
      <c r="K879" s="80" t="s">
        <v>2250</v>
      </c>
      <c r="L879" t="s">
        <v>2251</v>
      </c>
      <c r="M879" t="s">
        <v>238</v>
      </c>
      <c r="N879" t="str">
        <f t="shared" si="13"/>
        <v>CIHPkdJemaa</v>
      </c>
    </row>
    <row r="880" spans="8:14" x14ac:dyDescent="0.35">
      <c r="H880" t="s">
        <v>227</v>
      </c>
      <c r="I880" t="s">
        <v>274</v>
      </c>
      <c r="J880" t="s">
        <v>2249</v>
      </c>
      <c r="K880" s="80" t="s">
        <v>2252</v>
      </c>
      <c r="L880" t="s">
        <v>2253</v>
      </c>
      <c r="M880" t="s">
        <v>238</v>
      </c>
      <c r="N880" t="str">
        <f t="shared" si="13"/>
        <v>CIHPkdJemaa</v>
      </c>
    </row>
    <row r="881" spans="8:14" x14ac:dyDescent="0.35">
      <c r="H881" t="s">
        <v>227</v>
      </c>
      <c r="I881" t="s">
        <v>274</v>
      </c>
      <c r="J881" t="s">
        <v>2249</v>
      </c>
      <c r="K881" s="80" t="s">
        <v>2254</v>
      </c>
      <c r="L881" t="s">
        <v>2255</v>
      </c>
      <c r="M881" t="s">
        <v>238</v>
      </c>
      <c r="N881" t="str">
        <f t="shared" si="13"/>
        <v>CIHPkdJemaa</v>
      </c>
    </row>
    <row r="882" spans="8:14" x14ac:dyDescent="0.35">
      <c r="H882" t="s">
        <v>227</v>
      </c>
      <c r="I882" t="s">
        <v>274</v>
      </c>
      <c r="J882" t="s">
        <v>2249</v>
      </c>
      <c r="K882" s="80" t="s">
        <v>2256</v>
      </c>
      <c r="L882" t="s">
        <v>2257</v>
      </c>
      <c r="M882" t="s">
        <v>238</v>
      </c>
      <c r="N882" t="str">
        <f t="shared" si="13"/>
        <v>CIHPkdJemaa</v>
      </c>
    </row>
    <row r="883" spans="8:14" x14ac:dyDescent="0.35">
      <c r="H883" t="s">
        <v>227</v>
      </c>
      <c r="I883" t="s">
        <v>274</v>
      </c>
      <c r="J883" t="s">
        <v>2249</v>
      </c>
      <c r="K883" s="80" t="s">
        <v>2258</v>
      </c>
      <c r="L883" t="s">
        <v>2259</v>
      </c>
      <c r="M883" t="s">
        <v>238</v>
      </c>
      <c r="N883" t="str">
        <f t="shared" si="13"/>
        <v>CIHPkdJemaa</v>
      </c>
    </row>
    <row r="884" spans="8:14" x14ac:dyDescent="0.35">
      <c r="H884" t="s">
        <v>227</v>
      </c>
      <c r="I884" t="s">
        <v>274</v>
      </c>
      <c r="J884" t="s">
        <v>2249</v>
      </c>
      <c r="K884" s="80" t="s">
        <v>2260</v>
      </c>
      <c r="L884" t="s">
        <v>2261</v>
      </c>
      <c r="M884" t="s">
        <v>238</v>
      </c>
      <c r="N884" t="str">
        <f t="shared" si="13"/>
        <v>CIHPkdJemaa</v>
      </c>
    </row>
    <row r="885" spans="8:14" x14ac:dyDescent="0.35">
      <c r="H885" t="s">
        <v>227</v>
      </c>
      <c r="I885" t="s">
        <v>274</v>
      </c>
      <c r="J885" t="s">
        <v>2249</v>
      </c>
      <c r="K885" s="80" t="s">
        <v>2262</v>
      </c>
      <c r="L885" t="s">
        <v>2263</v>
      </c>
      <c r="M885" t="s">
        <v>238</v>
      </c>
      <c r="N885" t="str">
        <f t="shared" si="13"/>
        <v>CIHPkdJemaa</v>
      </c>
    </row>
    <row r="886" spans="8:14" x14ac:dyDescent="0.35">
      <c r="H886" t="s">
        <v>227</v>
      </c>
      <c r="I886" t="s">
        <v>274</v>
      </c>
      <c r="J886" t="s">
        <v>2249</v>
      </c>
      <c r="K886" s="80" t="s">
        <v>2264</v>
      </c>
      <c r="L886" t="s">
        <v>2265</v>
      </c>
      <c r="M886" t="s">
        <v>238</v>
      </c>
      <c r="N886" t="str">
        <f t="shared" si="13"/>
        <v>CIHPkdJemaa</v>
      </c>
    </row>
    <row r="887" spans="8:14" x14ac:dyDescent="0.35">
      <c r="H887" t="s">
        <v>227</v>
      </c>
      <c r="I887" t="s">
        <v>274</v>
      </c>
      <c r="J887" t="s">
        <v>2249</v>
      </c>
      <c r="K887" s="80" t="s">
        <v>2266</v>
      </c>
      <c r="L887" t="s">
        <v>2267</v>
      </c>
      <c r="M887" t="s">
        <v>238</v>
      </c>
      <c r="N887" t="str">
        <f t="shared" si="13"/>
        <v>CIHPkdJemaa</v>
      </c>
    </row>
    <row r="888" spans="8:14" x14ac:dyDescent="0.35">
      <c r="H888" t="s">
        <v>227</v>
      </c>
      <c r="I888" t="s">
        <v>274</v>
      </c>
      <c r="J888" t="s">
        <v>2249</v>
      </c>
      <c r="K888" s="80" t="s">
        <v>2268</v>
      </c>
      <c r="L888" t="s">
        <v>2269</v>
      </c>
      <c r="M888" t="s">
        <v>238</v>
      </c>
      <c r="N888" t="str">
        <f t="shared" si="13"/>
        <v>CIHPkdJemaa</v>
      </c>
    </row>
    <row r="889" spans="8:14" x14ac:dyDescent="0.35">
      <c r="H889" t="s">
        <v>227</v>
      </c>
      <c r="I889" t="s">
        <v>274</v>
      </c>
      <c r="J889" t="s">
        <v>2249</v>
      </c>
      <c r="K889" s="80" t="s">
        <v>2270</v>
      </c>
      <c r="L889" t="s">
        <v>2271</v>
      </c>
      <c r="M889" t="s">
        <v>238</v>
      </c>
      <c r="N889" t="str">
        <f t="shared" si="13"/>
        <v>CIHPkdJemaa</v>
      </c>
    </row>
    <row r="890" spans="8:14" x14ac:dyDescent="0.35">
      <c r="H890" t="s">
        <v>227</v>
      </c>
      <c r="I890" t="s">
        <v>274</v>
      </c>
      <c r="J890" t="s">
        <v>577</v>
      </c>
      <c r="K890" s="80" t="s">
        <v>2272</v>
      </c>
      <c r="L890" t="s">
        <v>2273</v>
      </c>
      <c r="M890" t="s">
        <v>238</v>
      </c>
      <c r="N890" t="str">
        <f t="shared" si="13"/>
        <v>CIHPkdKachia</v>
      </c>
    </row>
    <row r="891" spans="8:14" x14ac:dyDescent="0.35">
      <c r="H891" t="s">
        <v>227</v>
      </c>
      <c r="I891" t="s">
        <v>274</v>
      </c>
      <c r="J891" t="s">
        <v>577</v>
      </c>
      <c r="K891" s="80" t="s">
        <v>2274</v>
      </c>
      <c r="L891" t="s">
        <v>2275</v>
      </c>
      <c r="M891" t="s">
        <v>238</v>
      </c>
      <c r="N891" t="str">
        <f t="shared" si="13"/>
        <v>CIHPkdKachia</v>
      </c>
    </row>
    <row r="892" spans="8:14" x14ac:dyDescent="0.35">
      <c r="H892" t="s">
        <v>227</v>
      </c>
      <c r="I892" t="s">
        <v>274</v>
      </c>
      <c r="J892" t="s">
        <v>577</v>
      </c>
      <c r="K892" s="80" t="s">
        <v>2276</v>
      </c>
      <c r="L892" t="s">
        <v>2277</v>
      </c>
      <c r="M892" t="s">
        <v>238</v>
      </c>
      <c r="N892" t="str">
        <f t="shared" si="13"/>
        <v>CIHPkdKachia</v>
      </c>
    </row>
    <row r="893" spans="8:14" x14ac:dyDescent="0.35">
      <c r="H893" t="s">
        <v>227</v>
      </c>
      <c r="I893" t="s">
        <v>274</v>
      </c>
      <c r="J893" t="s">
        <v>580</v>
      </c>
      <c r="K893" s="80" t="s">
        <v>2278</v>
      </c>
      <c r="L893" t="s">
        <v>2279</v>
      </c>
      <c r="M893" t="s">
        <v>238</v>
      </c>
      <c r="N893" t="str">
        <f t="shared" si="13"/>
        <v>CIHPkdKadunaNorth</v>
      </c>
    </row>
    <row r="894" spans="8:14" x14ac:dyDescent="0.35">
      <c r="H894" t="s">
        <v>227</v>
      </c>
      <c r="I894" t="s">
        <v>274</v>
      </c>
      <c r="J894" t="s">
        <v>580</v>
      </c>
      <c r="K894" s="80" t="s">
        <v>2280</v>
      </c>
      <c r="L894" t="s">
        <v>2281</v>
      </c>
      <c r="M894" t="s">
        <v>238</v>
      </c>
      <c r="N894" t="str">
        <f t="shared" si="13"/>
        <v>CIHPkdKadunaNorth</v>
      </c>
    </row>
    <row r="895" spans="8:14" x14ac:dyDescent="0.35">
      <c r="H895" t="s">
        <v>227</v>
      </c>
      <c r="I895" t="s">
        <v>274</v>
      </c>
      <c r="J895" t="s">
        <v>580</v>
      </c>
      <c r="K895" s="80" t="s">
        <v>2282</v>
      </c>
      <c r="L895" t="s">
        <v>2283</v>
      </c>
      <c r="M895" t="s">
        <v>238</v>
      </c>
      <c r="N895" t="str">
        <f t="shared" si="13"/>
        <v>CIHPkdKadunaNorth</v>
      </c>
    </row>
    <row r="896" spans="8:14" x14ac:dyDescent="0.35">
      <c r="H896" t="s">
        <v>227</v>
      </c>
      <c r="I896" t="s">
        <v>274</v>
      </c>
      <c r="J896" t="s">
        <v>580</v>
      </c>
      <c r="K896" s="80" t="s">
        <v>2284</v>
      </c>
      <c r="L896" t="s">
        <v>2285</v>
      </c>
      <c r="M896" t="s">
        <v>238</v>
      </c>
      <c r="N896" t="str">
        <f t="shared" si="13"/>
        <v>CIHPkdKadunaNorth</v>
      </c>
    </row>
    <row r="897" spans="8:14" x14ac:dyDescent="0.35">
      <c r="H897" t="s">
        <v>227</v>
      </c>
      <c r="I897" t="s">
        <v>274</v>
      </c>
      <c r="J897" t="s">
        <v>580</v>
      </c>
      <c r="K897" s="80" t="s">
        <v>2286</v>
      </c>
      <c r="L897" t="s">
        <v>2287</v>
      </c>
      <c r="M897" t="s">
        <v>238</v>
      </c>
      <c r="N897" t="str">
        <f t="shared" si="13"/>
        <v>CIHPkdKadunaNorth</v>
      </c>
    </row>
    <row r="898" spans="8:14" x14ac:dyDescent="0.35">
      <c r="H898" t="s">
        <v>227</v>
      </c>
      <c r="I898" t="s">
        <v>274</v>
      </c>
      <c r="J898" t="s">
        <v>580</v>
      </c>
      <c r="K898" s="80" t="s">
        <v>2288</v>
      </c>
      <c r="L898" t="s">
        <v>2289</v>
      </c>
      <c r="M898" t="s">
        <v>238</v>
      </c>
      <c r="N898" t="str">
        <f t="shared" si="13"/>
        <v>CIHPkdKadunaNorth</v>
      </c>
    </row>
    <row r="899" spans="8:14" x14ac:dyDescent="0.35">
      <c r="H899" t="s">
        <v>227</v>
      </c>
      <c r="I899" t="s">
        <v>274</v>
      </c>
      <c r="J899" t="s">
        <v>580</v>
      </c>
      <c r="K899" s="80" t="s">
        <v>2290</v>
      </c>
      <c r="L899" t="s">
        <v>2291</v>
      </c>
      <c r="M899" t="s">
        <v>238</v>
      </c>
      <c r="N899" t="str">
        <f t="shared" ref="N899:N962" si="14">SUBSTITUTE(SUBSTITUTE(M899&amp;J899," ",""),"-","")</f>
        <v>CIHPkdKadunaNorth</v>
      </c>
    </row>
    <row r="900" spans="8:14" x14ac:dyDescent="0.35">
      <c r="H900" t="s">
        <v>227</v>
      </c>
      <c r="I900" t="s">
        <v>274</v>
      </c>
      <c r="J900" t="s">
        <v>580</v>
      </c>
      <c r="K900" s="80" t="s">
        <v>2292</v>
      </c>
      <c r="L900" t="s">
        <v>2293</v>
      </c>
      <c r="M900" t="s">
        <v>238</v>
      </c>
      <c r="N900" t="str">
        <f t="shared" si="14"/>
        <v>CIHPkdKadunaNorth</v>
      </c>
    </row>
    <row r="901" spans="8:14" x14ac:dyDescent="0.35">
      <c r="H901" t="s">
        <v>227</v>
      </c>
      <c r="I901" t="s">
        <v>274</v>
      </c>
      <c r="J901" t="s">
        <v>583</v>
      </c>
      <c r="K901" s="80" t="s">
        <v>2294</v>
      </c>
      <c r="L901" t="s">
        <v>2295</v>
      </c>
      <c r="M901" t="s">
        <v>238</v>
      </c>
      <c r="N901" t="str">
        <f t="shared" si="14"/>
        <v>CIHPkdKadunaSouth</v>
      </c>
    </row>
    <row r="902" spans="8:14" x14ac:dyDescent="0.35">
      <c r="H902" t="s">
        <v>227</v>
      </c>
      <c r="I902" t="s">
        <v>274</v>
      </c>
      <c r="J902" t="s">
        <v>583</v>
      </c>
      <c r="K902" s="80" t="s">
        <v>2296</v>
      </c>
      <c r="L902" t="s">
        <v>2297</v>
      </c>
      <c r="M902" t="s">
        <v>238</v>
      </c>
      <c r="N902" t="str">
        <f t="shared" si="14"/>
        <v>CIHPkdKadunaSouth</v>
      </c>
    </row>
    <row r="903" spans="8:14" x14ac:dyDescent="0.35">
      <c r="H903" t="s">
        <v>227</v>
      </c>
      <c r="I903" t="s">
        <v>274</v>
      </c>
      <c r="J903" t="s">
        <v>583</v>
      </c>
      <c r="K903" s="80" t="s">
        <v>2298</v>
      </c>
      <c r="L903" t="s">
        <v>2299</v>
      </c>
      <c r="M903" t="s">
        <v>238</v>
      </c>
      <c r="N903" t="str">
        <f t="shared" si="14"/>
        <v>CIHPkdKadunaSouth</v>
      </c>
    </row>
    <row r="904" spans="8:14" x14ac:dyDescent="0.35">
      <c r="H904" t="s">
        <v>227</v>
      </c>
      <c r="I904" t="s">
        <v>274</v>
      </c>
      <c r="J904" t="s">
        <v>583</v>
      </c>
      <c r="K904" s="80" t="s">
        <v>2300</v>
      </c>
      <c r="L904" t="s">
        <v>2301</v>
      </c>
      <c r="M904" t="s">
        <v>238</v>
      </c>
      <c r="N904" t="str">
        <f t="shared" si="14"/>
        <v>CIHPkdKadunaSouth</v>
      </c>
    </row>
    <row r="905" spans="8:14" x14ac:dyDescent="0.35">
      <c r="H905" t="s">
        <v>227</v>
      </c>
      <c r="I905" t="s">
        <v>274</v>
      </c>
      <c r="J905" t="s">
        <v>583</v>
      </c>
      <c r="K905" s="80" t="s">
        <v>2302</v>
      </c>
      <c r="L905" t="s">
        <v>2303</v>
      </c>
      <c r="M905" t="s">
        <v>238</v>
      </c>
      <c r="N905" t="str">
        <f t="shared" si="14"/>
        <v>CIHPkdKadunaSouth</v>
      </c>
    </row>
    <row r="906" spans="8:14" x14ac:dyDescent="0.35">
      <c r="H906" t="s">
        <v>227</v>
      </c>
      <c r="I906" t="s">
        <v>274</v>
      </c>
      <c r="J906" t="s">
        <v>583</v>
      </c>
      <c r="K906" s="80" t="s">
        <v>2304</v>
      </c>
      <c r="L906" t="s">
        <v>2305</v>
      </c>
      <c r="M906" t="s">
        <v>238</v>
      </c>
      <c r="N906" t="str">
        <f t="shared" si="14"/>
        <v>CIHPkdKadunaSouth</v>
      </c>
    </row>
    <row r="907" spans="8:14" x14ac:dyDescent="0.35">
      <c r="H907" t="s">
        <v>227</v>
      </c>
      <c r="I907" t="s">
        <v>274</v>
      </c>
      <c r="J907" t="s">
        <v>583</v>
      </c>
      <c r="K907" s="80" t="s">
        <v>2306</v>
      </c>
      <c r="L907" t="s">
        <v>2307</v>
      </c>
      <c r="M907" t="s">
        <v>238</v>
      </c>
      <c r="N907" t="str">
        <f t="shared" si="14"/>
        <v>CIHPkdKadunaSouth</v>
      </c>
    </row>
    <row r="908" spans="8:14" x14ac:dyDescent="0.35">
      <c r="H908" t="s">
        <v>227</v>
      </c>
      <c r="I908" t="s">
        <v>274</v>
      </c>
      <c r="J908" t="s">
        <v>583</v>
      </c>
      <c r="K908" s="80" t="s">
        <v>2308</v>
      </c>
      <c r="L908" t="s">
        <v>2309</v>
      </c>
      <c r="M908" t="s">
        <v>238</v>
      </c>
      <c r="N908" t="str">
        <f t="shared" si="14"/>
        <v>CIHPkdKadunaSouth</v>
      </c>
    </row>
    <row r="909" spans="8:14" x14ac:dyDescent="0.35">
      <c r="H909" t="s">
        <v>227</v>
      </c>
      <c r="I909" t="s">
        <v>274</v>
      </c>
      <c r="J909" t="s">
        <v>583</v>
      </c>
      <c r="K909" s="80" t="s">
        <v>2310</v>
      </c>
      <c r="L909" t="s">
        <v>2311</v>
      </c>
      <c r="M909" t="s">
        <v>238</v>
      </c>
      <c r="N909" t="str">
        <f t="shared" si="14"/>
        <v>CIHPkdKadunaSouth</v>
      </c>
    </row>
    <row r="910" spans="8:14" x14ac:dyDescent="0.35">
      <c r="H910" t="s">
        <v>227</v>
      </c>
      <c r="I910" t="s">
        <v>274</v>
      </c>
      <c r="J910" t="s">
        <v>583</v>
      </c>
      <c r="K910" s="80" t="s">
        <v>2312</v>
      </c>
      <c r="L910" t="s">
        <v>2313</v>
      </c>
      <c r="M910" t="s">
        <v>238</v>
      </c>
      <c r="N910" t="str">
        <f t="shared" si="14"/>
        <v>CIHPkdKadunaSouth</v>
      </c>
    </row>
    <row r="911" spans="8:14" x14ac:dyDescent="0.35">
      <c r="H911" t="s">
        <v>227</v>
      </c>
      <c r="I911" t="s">
        <v>274</v>
      </c>
      <c r="J911" t="s">
        <v>583</v>
      </c>
      <c r="K911" s="80" t="s">
        <v>2314</v>
      </c>
      <c r="L911" t="s">
        <v>2315</v>
      </c>
      <c r="M911" t="s">
        <v>238</v>
      </c>
      <c r="N911" t="str">
        <f t="shared" si="14"/>
        <v>CIHPkdKadunaSouth</v>
      </c>
    </row>
    <row r="912" spans="8:14" x14ac:dyDescent="0.35">
      <c r="H912" t="s">
        <v>227</v>
      </c>
      <c r="I912" t="s">
        <v>274</v>
      </c>
      <c r="J912" t="s">
        <v>583</v>
      </c>
      <c r="K912" s="80" t="s">
        <v>2316</v>
      </c>
      <c r="L912" t="s">
        <v>2317</v>
      </c>
      <c r="M912" t="s">
        <v>238</v>
      </c>
      <c r="N912" t="str">
        <f t="shared" si="14"/>
        <v>CIHPkdKadunaSouth</v>
      </c>
    </row>
    <row r="913" spans="8:14" x14ac:dyDescent="0.35">
      <c r="H913" t="s">
        <v>227</v>
      </c>
      <c r="I913" t="s">
        <v>274</v>
      </c>
      <c r="J913" t="s">
        <v>583</v>
      </c>
      <c r="K913" s="80" t="s">
        <v>2318</v>
      </c>
      <c r="L913" t="s">
        <v>2319</v>
      </c>
      <c r="M913" t="s">
        <v>238</v>
      </c>
      <c r="N913" t="str">
        <f t="shared" si="14"/>
        <v>CIHPkdKadunaSouth</v>
      </c>
    </row>
    <row r="914" spans="8:14" x14ac:dyDescent="0.35">
      <c r="H914" t="s">
        <v>227</v>
      </c>
      <c r="I914" t="s">
        <v>274</v>
      </c>
      <c r="J914" t="s">
        <v>583</v>
      </c>
      <c r="K914" s="80" t="s">
        <v>2320</v>
      </c>
      <c r="L914" t="s">
        <v>2321</v>
      </c>
      <c r="M914" t="s">
        <v>238</v>
      </c>
      <c r="N914" t="str">
        <f t="shared" si="14"/>
        <v>CIHPkdKadunaSouth</v>
      </c>
    </row>
    <row r="915" spans="8:14" x14ac:dyDescent="0.35">
      <c r="H915" t="s">
        <v>227</v>
      </c>
      <c r="I915" t="s">
        <v>274</v>
      </c>
      <c r="J915" t="s">
        <v>586</v>
      </c>
      <c r="K915" s="80" t="s">
        <v>2322</v>
      </c>
      <c r="L915" t="s">
        <v>2323</v>
      </c>
      <c r="M915" t="s">
        <v>238</v>
      </c>
      <c r="N915" t="str">
        <f t="shared" si="14"/>
        <v>CIHPkdKagarko</v>
      </c>
    </row>
    <row r="916" spans="8:14" x14ac:dyDescent="0.35">
      <c r="H916" t="s">
        <v>227</v>
      </c>
      <c r="I916" t="s">
        <v>274</v>
      </c>
      <c r="J916" t="s">
        <v>586</v>
      </c>
      <c r="K916" s="80" t="s">
        <v>2324</v>
      </c>
      <c r="L916" t="s">
        <v>2325</v>
      </c>
      <c r="M916" t="s">
        <v>238</v>
      </c>
      <c r="N916" t="str">
        <f t="shared" si="14"/>
        <v>CIHPkdKagarko</v>
      </c>
    </row>
    <row r="917" spans="8:14" x14ac:dyDescent="0.35">
      <c r="H917" t="s">
        <v>227</v>
      </c>
      <c r="I917" t="s">
        <v>274</v>
      </c>
      <c r="J917" t="s">
        <v>589</v>
      </c>
      <c r="K917" s="80" t="s">
        <v>2326</v>
      </c>
      <c r="L917" t="s">
        <v>2327</v>
      </c>
      <c r="M917" t="s">
        <v>238</v>
      </c>
      <c r="N917" t="str">
        <f t="shared" si="14"/>
        <v>CIHPkdKajuru</v>
      </c>
    </row>
    <row r="918" spans="8:14" x14ac:dyDescent="0.35">
      <c r="H918" t="s">
        <v>227</v>
      </c>
      <c r="I918" t="s">
        <v>274</v>
      </c>
      <c r="J918" t="s">
        <v>592</v>
      </c>
      <c r="K918" s="80" t="s">
        <v>2328</v>
      </c>
      <c r="L918" t="s">
        <v>2329</v>
      </c>
      <c r="M918" t="s">
        <v>238</v>
      </c>
      <c r="N918" t="str">
        <f t="shared" si="14"/>
        <v>CIHPkdKaura</v>
      </c>
    </row>
    <row r="919" spans="8:14" x14ac:dyDescent="0.35">
      <c r="H919" t="s">
        <v>227</v>
      </c>
      <c r="I919" t="s">
        <v>274</v>
      </c>
      <c r="J919" t="s">
        <v>592</v>
      </c>
      <c r="K919" s="80" t="s">
        <v>2330</v>
      </c>
      <c r="L919" t="s">
        <v>2331</v>
      </c>
      <c r="M919" t="s">
        <v>238</v>
      </c>
      <c r="N919" t="str">
        <f t="shared" si="14"/>
        <v>CIHPkdKaura</v>
      </c>
    </row>
    <row r="920" spans="8:14" x14ac:dyDescent="0.35">
      <c r="H920" t="s">
        <v>227</v>
      </c>
      <c r="I920" t="s">
        <v>274</v>
      </c>
      <c r="J920" t="s">
        <v>592</v>
      </c>
      <c r="K920" s="80" t="s">
        <v>2332</v>
      </c>
      <c r="L920" t="s">
        <v>2333</v>
      </c>
      <c r="M920" t="s">
        <v>238</v>
      </c>
      <c r="N920" t="str">
        <f t="shared" si="14"/>
        <v>CIHPkdKaura</v>
      </c>
    </row>
    <row r="921" spans="8:14" x14ac:dyDescent="0.35">
      <c r="H921" t="s">
        <v>227</v>
      </c>
      <c r="I921" t="s">
        <v>274</v>
      </c>
      <c r="J921" t="s">
        <v>592</v>
      </c>
      <c r="K921" s="80" t="s">
        <v>2334</v>
      </c>
      <c r="L921" t="s">
        <v>2335</v>
      </c>
      <c r="M921" t="s">
        <v>238</v>
      </c>
      <c r="N921" t="str">
        <f t="shared" si="14"/>
        <v>CIHPkdKaura</v>
      </c>
    </row>
    <row r="922" spans="8:14" x14ac:dyDescent="0.35">
      <c r="H922" t="s">
        <v>227</v>
      </c>
      <c r="I922" t="s">
        <v>274</v>
      </c>
      <c r="J922" t="s">
        <v>592</v>
      </c>
      <c r="K922" s="80" t="s">
        <v>2336</v>
      </c>
      <c r="L922" t="s">
        <v>2337</v>
      </c>
      <c r="M922" t="s">
        <v>238</v>
      </c>
      <c r="N922" t="str">
        <f t="shared" si="14"/>
        <v>CIHPkdKaura</v>
      </c>
    </row>
    <row r="923" spans="8:14" x14ac:dyDescent="0.35">
      <c r="H923" t="s">
        <v>227</v>
      </c>
      <c r="I923" t="s">
        <v>274</v>
      </c>
      <c r="J923" t="s">
        <v>595</v>
      </c>
      <c r="K923" s="80" t="s">
        <v>2338</v>
      </c>
      <c r="L923" t="s">
        <v>2339</v>
      </c>
      <c r="M923" t="s">
        <v>238</v>
      </c>
      <c r="N923" t="str">
        <f t="shared" si="14"/>
        <v>CIHPkdKauru</v>
      </c>
    </row>
    <row r="924" spans="8:14" x14ac:dyDescent="0.35">
      <c r="H924" t="s">
        <v>227</v>
      </c>
      <c r="I924" t="s">
        <v>274</v>
      </c>
      <c r="J924" t="s">
        <v>595</v>
      </c>
      <c r="K924" s="80" t="s">
        <v>2340</v>
      </c>
      <c r="L924" t="s">
        <v>2341</v>
      </c>
      <c r="M924" t="s">
        <v>238</v>
      </c>
      <c r="N924" t="str">
        <f t="shared" si="14"/>
        <v>CIHPkdKauru</v>
      </c>
    </row>
    <row r="925" spans="8:14" x14ac:dyDescent="0.35">
      <c r="H925" t="s">
        <v>227</v>
      </c>
      <c r="I925" t="s">
        <v>274</v>
      </c>
      <c r="J925" t="s">
        <v>595</v>
      </c>
      <c r="K925" s="80" t="s">
        <v>2342</v>
      </c>
      <c r="L925" t="s">
        <v>2343</v>
      </c>
      <c r="M925" t="s">
        <v>238</v>
      </c>
      <c r="N925" t="str">
        <f t="shared" si="14"/>
        <v>CIHPkdKauru</v>
      </c>
    </row>
    <row r="926" spans="8:14" x14ac:dyDescent="0.35">
      <c r="H926" t="s">
        <v>227</v>
      </c>
      <c r="I926" t="s">
        <v>274</v>
      </c>
      <c r="J926" t="s">
        <v>595</v>
      </c>
      <c r="K926" s="80" t="s">
        <v>2344</v>
      </c>
      <c r="L926" t="s">
        <v>2345</v>
      </c>
      <c r="M926" t="s">
        <v>238</v>
      </c>
      <c r="N926" t="str">
        <f t="shared" si="14"/>
        <v>CIHPkdKauru</v>
      </c>
    </row>
    <row r="927" spans="8:14" x14ac:dyDescent="0.35">
      <c r="H927" t="s">
        <v>227</v>
      </c>
      <c r="I927" t="s">
        <v>274</v>
      </c>
      <c r="J927" t="s">
        <v>595</v>
      </c>
      <c r="K927" s="80" t="s">
        <v>2346</v>
      </c>
      <c r="L927" t="s">
        <v>2347</v>
      </c>
      <c r="M927" t="s">
        <v>238</v>
      </c>
      <c r="N927" t="str">
        <f t="shared" si="14"/>
        <v>CIHPkdKauru</v>
      </c>
    </row>
    <row r="928" spans="8:14" x14ac:dyDescent="0.35">
      <c r="H928" t="s">
        <v>227</v>
      </c>
      <c r="I928" t="s">
        <v>274</v>
      </c>
      <c r="J928" t="s">
        <v>595</v>
      </c>
      <c r="K928" s="80" t="s">
        <v>2348</v>
      </c>
      <c r="L928" t="s">
        <v>2349</v>
      </c>
      <c r="M928" t="s">
        <v>238</v>
      </c>
      <c r="N928" t="str">
        <f t="shared" si="14"/>
        <v>CIHPkdKauru</v>
      </c>
    </row>
    <row r="929" spans="8:14" x14ac:dyDescent="0.35">
      <c r="H929" t="s">
        <v>227</v>
      </c>
      <c r="I929" t="s">
        <v>274</v>
      </c>
      <c r="J929" t="s">
        <v>598</v>
      </c>
      <c r="K929" s="80" t="s">
        <v>2350</v>
      </c>
      <c r="L929" t="s">
        <v>2351</v>
      </c>
      <c r="M929" t="s">
        <v>238</v>
      </c>
      <c r="N929" t="str">
        <f t="shared" si="14"/>
        <v>CIHPkdKubau</v>
      </c>
    </row>
    <row r="930" spans="8:14" x14ac:dyDescent="0.35">
      <c r="H930" t="s">
        <v>227</v>
      </c>
      <c r="I930" t="s">
        <v>274</v>
      </c>
      <c r="J930" t="s">
        <v>598</v>
      </c>
      <c r="K930" s="80" t="s">
        <v>2352</v>
      </c>
      <c r="L930" t="s">
        <v>2353</v>
      </c>
      <c r="M930" t="s">
        <v>238</v>
      </c>
      <c r="N930" t="str">
        <f t="shared" si="14"/>
        <v>CIHPkdKubau</v>
      </c>
    </row>
    <row r="931" spans="8:14" x14ac:dyDescent="0.35">
      <c r="H931" t="s">
        <v>227</v>
      </c>
      <c r="I931" t="s">
        <v>274</v>
      </c>
      <c r="J931" t="s">
        <v>601</v>
      </c>
      <c r="K931" s="80" t="s">
        <v>2354</v>
      </c>
      <c r="L931" t="s">
        <v>2355</v>
      </c>
      <c r="M931" t="s">
        <v>238</v>
      </c>
      <c r="N931" t="str">
        <f t="shared" si="14"/>
        <v>CIHPkdLere</v>
      </c>
    </row>
    <row r="932" spans="8:14" x14ac:dyDescent="0.35">
      <c r="H932" t="s">
        <v>227</v>
      </c>
      <c r="I932" t="s">
        <v>274</v>
      </c>
      <c r="J932" t="s">
        <v>601</v>
      </c>
      <c r="K932" s="80" t="s">
        <v>2356</v>
      </c>
      <c r="L932" t="s">
        <v>2357</v>
      </c>
      <c r="M932" t="s">
        <v>238</v>
      </c>
      <c r="N932" t="str">
        <f t="shared" si="14"/>
        <v>CIHPkdLere</v>
      </c>
    </row>
    <row r="933" spans="8:14" x14ac:dyDescent="0.35">
      <c r="H933" t="s">
        <v>227</v>
      </c>
      <c r="I933" t="s">
        <v>274</v>
      </c>
      <c r="J933" t="s">
        <v>601</v>
      </c>
      <c r="K933" s="80" t="s">
        <v>2358</v>
      </c>
      <c r="L933" t="s">
        <v>2359</v>
      </c>
      <c r="M933" t="s">
        <v>238</v>
      </c>
      <c r="N933" t="str">
        <f t="shared" si="14"/>
        <v>CIHPkdLere</v>
      </c>
    </row>
    <row r="934" spans="8:14" x14ac:dyDescent="0.35">
      <c r="H934" t="s">
        <v>227</v>
      </c>
      <c r="I934" t="s">
        <v>274</v>
      </c>
      <c r="J934" t="s">
        <v>601</v>
      </c>
      <c r="K934" s="80" t="s">
        <v>2360</v>
      </c>
      <c r="L934" t="s">
        <v>2361</v>
      </c>
      <c r="M934" t="s">
        <v>238</v>
      </c>
      <c r="N934" t="str">
        <f t="shared" si="14"/>
        <v>CIHPkdLere</v>
      </c>
    </row>
    <row r="935" spans="8:14" x14ac:dyDescent="0.35">
      <c r="H935" t="s">
        <v>227</v>
      </c>
      <c r="I935" t="s">
        <v>274</v>
      </c>
      <c r="J935" t="s">
        <v>601</v>
      </c>
      <c r="K935" s="80" t="s">
        <v>2362</v>
      </c>
      <c r="L935" t="s">
        <v>2363</v>
      </c>
      <c r="M935" t="s">
        <v>238</v>
      </c>
      <c r="N935" t="str">
        <f t="shared" si="14"/>
        <v>CIHPkdLere</v>
      </c>
    </row>
    <row r="936" spans="8:14" x14ac:dyDescent="0.35">
      <c r="H936" t="s">
        <v>227</v>
      </c>
      <c r="I936" t="s">
        <v>274</v>
      </c>
      <c r="J936" t="s">
        <v>601</v>
      </c>
      <c r="K936" s="80" t="s">
        <v>311</v>
      </c>
      <c r="L936" t="s">
        <v>2364</v>
      </c>
      <c r="M936" t="s">
        <v>238</v>
      </c>
      <c r="N936" t="str">
        <f t="shared" si="14"/>
        <v>CIHPkdLere</v>
      </c>
    </row>
    <row r="937" spans="8:14" x14ac:dyDescent="0.35">
      <c r="H937" t="s">
        <v>227</v>
      </c>
      <c r="I937" t="s">
        <v>274</v>
      </c>
      <c r="J937" t="s">
        <v>601</v>
      </c>
      <c r="K937" s="80" t="s">
        <v>2365</v>
      </c>
      <c r="L937" t="s">
        <v>2366</v>
      </c>
      <c r="M937" t="s">
        <v>238</v>
      </c>
      <c r="N937" t="str">
        <f t="shared" si="14"/>
        <v>CIHPkdLere</v>
      </c>
    </row>
    <row r="938" spans="8:14" x14ac:dyDescent="0.35">
      <c r="H938" t="s">
        <v>227</v>
      </c>
      <c r="I938" t="s">
        <v>274</v>
      </c>
      <c r="J938" t="s">
        <v>601</v>
      </c>
      <c r="K938" s="80" t="s">
        <v>2367</v>
      </c>
      <c r="L938" t="s">
        <v>2368</v>
      </c>
      <c r="M938" t="s">
        <v>238</v>
      </c>
      <c r="N938" t="str">
        <f t="shared" si="14"/>
        <v>CIHPkdLere</v>
      </c>
    </row>
    <row r="939" spans="8:14" x14ac:dyDescent="0.35">
      <c r="H939" t="s">
        <v>227</v>
      </c>
      <c r="I939" t="s">
        <v>274</v>
      </c>
      <c r="J939" t="s">
        <v>601</v>
      </c>
      <c r="K939" s="80" t="s">
        <v>2369</v>
      </c>
      <c r="L939" t="s">
        <v>2370</v>
      </c>
      <c r="M939" t="s">
        <v>238</v>
      </c>
      <c r="N939" t="str">
        <f t="shared" si="14"/>
        <v>CIHPkdLere</v>
      </c>
    </row>
    <row r="940" spans="8:14" x14ac:dyDescent="0.35">
      <c r="H940" t="s">
        <v>227</v>
      </c>
      <c r="I940" t="s">
        <v>274</v>
      </c>
      <c r="J940" t="s">
        <v>601</v>
      </c>
      <c r="K940" s="80" t="s">
        <v>2371</v>
      </c>
      <c r="L940" t="s">
        <v>2372</v>
      </c>
      <c r="M940" t="s">
        <v>238</v>
      </c>
      <c r="N940" t="str">
        <f t="shared" si="14"/>
        <v>CIHPkdLere</v>
      </c>
    </row>
    <row r="941" spans="8:14" x14ac:dyDescent="0.35">
      <c r="H941" t="s">
        <v>227</v>
      </c>
      <c r="I941" t="s">
        <v>274</v>
      </c>
      <c r="J941" t="s">
        <v>601</v>
      </c>
      <c r="K941" s="80" t="s">
        <v>2373</v>
      </c>
      <c r="L941" t="s">
        <v>2374</v>
      </c>
      <c r="M941" t="s">
        <v>238</v>
      </c>
      <c r="N941" t="str">
        <f t="shared" si="14"/>
        <v>CIHPkdLere</v>
      </c>
    </row>
    <row r="942" spans="8:14" x14ac:dyDescent="0.35">
      <c r="H942" t="s">
        <v>227</v>
      </c>
      <c r="I942" t="s">
        <v>274</v>
      </c>
      <c r="J942" t="s">
        <v>601</v>
      </c>
      <c r="K942" s="80" t="s">
        <v>2375</v>
      </c>
      <c r="L942" t="s">
        <v>2376</v>
      </c>
      <c r="M942" t="s">
        <v>238</v>
      </c>
      <c r="N942" t="str">
        <f t="shared" si="14"/>
        <v>CIHPkdLere</v>
      </c>
    </row>
    <row r="943" spans="8:14" x14ac:dyDescent="0.35">
      <c r="H943" t="s">
        <v>227</v>
      </c>
      <c r="I943" t="s">
        <v>274</v>
      </c>
      <c r="J943" t="s">
        <v>601</v>
      </c>
      <c r="K943" s="80" t="s">
        <v>2377</v>
      </c>
      <c r="L943" t="s">
        <v>2378</v>
      </c>
      <c r="M943" t="s">
        <v>238</v>
      </c>
      <c r="N943" t="str">
        <f t="shared" si="14"/>
        <v>CIHPkdLere</v>
      </c>
    </row>
    <row r="944" spans="8:14" x14ac:dyDescent="0.35">
      <c r="H944" t="s">
        <v>227</v>
      </c>
      <c r="I944" t="s">
        <v>274</v>
      </c>
      <c r="J944" t="s">
        <v>604</v>
      </c>
      <c r="K944" s="80" t="s">
        <v>2379</v>
      </c>
      <c r="L944" t="s">
        <v>2380</v>
      </c>
      <c r="M944" t="s">
        <v>238</v>
      </c>
      <c r="N944" t="str">
        <f t="shared" si="14"/>
        <v>CIHPkdMakarfi</v>
      </c>
    </row>
    <row r="945" spans="8:14" x14ac:dyDescent="0.35">
      <c r="H945" t="s">
        <v>227</v>
      </c>
      <c r="I945" t="s">
        <v>274</v>
      </c>
      <c r="J945" t="s">
        <v>604</v>
      </c>
      <c r="K945" s="80" t="s">
        <v>2381</v>
      </c>
      <c r="L945" t="s">
        <v>2382</v>
      </c>
      <c r="M945" t="s">
        <v>238</v>
      </c>
      <c r="N945" t="str">
        <f t="shared" si="14"/>
        <v>CIHPkdMakarfi</v>
      </c>
    </row>
    <row r="946" spans="8:14" x14ac:dyDescent="0.35">
      <c r="H946" t="s">
        <v>227</v>
      </c>
      <c r="I946" t="s">
        <v>274</v>
      </c>
      <c r="J946" t="s">
        <v>604</v>
      </c>
      <c r="K946" s="80" t="s">
        <v>2383</v>
      </c>
      <c r="L946" t="s">
        <v>2384</v>
      </c>
      <c r="M946" t="s">
        <v>238</v>
      </c>
      <c r="N946" t="str">
        <f t="shared" si="14"/>
        <v>CIHPkdMakarfi</v>
      </c>
    </row>
    <row r="947" spans="8:14" x14ac:dyDescent="0.35">
      <c r="H947" t="s">
        <v>227</v>
      </c>
      <c r="I947" t="s">
        <v>274</v>
      </c>
      <c r="J947" t="s">
        <v>604</v>
      </c>
      <c r="K947" s="80" t="s">
        <v>2385</v>
      </c>
      <c r="L947" t="s">
        <v>2386</v>
      </c>
      <c r="M947" t="s">
        <v>238</v>
      </c>
      <c r="N947" t="str">
        <f t="shared" si="14"/>
        <v>CIHPkdMakarfi</v>
      </c>
    </row>
    <row r="948" spans="8:14" x14ac:dyDescent="0.35">
      <c r="H948" t="s">
        <v>227</v>
      </c>
      <c r="I948" t="s">
        <v>274</v>
      </c>
      <c r="J948" t="s">
        <v>604</v>
      </c>
      <c r="K948" s="80" t="s">
        <v>2387</v>
      </c>
      <c r="L948" t="s">
        <v>2388</v>
      </c>
      <c r="M948" t="s">
        <v>238</v>
      </c>
      <c r="N948" t="str">
        <f t="shared" si="14"/>
        <v>CIHPkdMakarfi</v>
      </c>
    </row>
    <row r="949" spans="8:14" x14ac:dyDescent="0.35">
      <c r="H949" t="s">
        <v>227</v>
      </c>
      <c r="I949" t="s">
        <v>274</v>
      </c>
      <c r="J949" t="s">
        <v>604</v>
      </c>
      <c r="K949" s="80" t="s">
        <v>2389</v>
      </c>
      <c r="L949" t="s">
        <v>2390</v>
      </c>
      <c r="M949" t="s">
        <v>238</v>
      </c>
      <c r="N949" t="str">
        <f t="shared" si="14"/>
        <v>CIHPkdMakarfi</v>
      </c>
    </row>
    <row r="950" spans="8:14" x14ac:dyDescent="0.35">
      <c r="H950" t="s">
        <v>227</v>
      </c>
      <c r="I950" t="s">
        <v>274</v>
      </c>
      <c r="J950" t="s">
        <v>604</v>
      </c>
      <c r="K950" s="80" t="s">
        <v>2391</v>
      </c>
      <c r="L950" t="s">
        <v>2392</v>
      </c>
      <c r="M950" t="s">
        <v>238</v>
      </c>
      <c r="N950" t="str">
        <f t="shared" si="14"/>
        <v>CIHPkdMakarfi</v>
      </c>
    </row>
    <row r="951" spans="8:14" x14ac:dyDescent="0.35">
      <c r="H951" t="s">
        <v>227</v>
      </c>
      <c r="I951" t="s">
        <v>274</v>
      </c>
      <c r="J951" t="s">
        <v>604</v>
      </c>
      <c r="K951" s="80" t="s">
        <v>2393</v>
      </c>
      <c r="L951" t="s">
        <v>2394</v>
      </c>
      <c r="M951" t="s">
        <v>238</v>
      </c>
      <c r="N951" t="str">
        <f t="shared" si="14"/>
        <v>CIHPkdMakarfi</v>
      </c>
    </row>
    <row r="952" spans="8:14" x14ac:dyDescent="0.35">
      <c r="H952" t="s">
        <v>227</v>
      </c>
      <c r="I952" t="s">
        <v>274</v>
      </c>
      <c r="J952" t="s">
        <v>607</v>
      </c>
      <c r="K952" s="80" t="s">
        <v>2395</v>
      </c>
      <c r="L952" t="s">
        <v>2396</v>
      </c>
      <c r="M952" t="s">
        <v>238</v>
      </c>
      <c r="N952" t="str">
        <f t="shared" si="14"/>
        <v>CIHPkdSabonGari</v>
      </c>
    </row>
    <row r="953" spans="8:14" x14ac:dyDescent="0.35">
      <c r="H953" t="s">
        <v>227</v>
      </c>
      <c r="I953" t="s">
        <v>274</v>
      </c>
      <c r="J953" t="s">
        <v>610</v>
      </c>
      <c r="K953" s="80" t="s">
        <v>2397</v>
      </c>
      <c r="L953" t="s">
        <v>2398</v>
      </c>
      <c r="M953" t="s">
        <v>238</v>
      </c>
      <c r="N953" t="str">
        <f t="shared" si="14"/>
        <v>CIHPkdSanga</v>
      </c>
    </row>
    <row r="954" spans="8:14" x14ac:dyDescent="0.35">
      <c r="H954" t="s">
        <v>227</v>
      </c>
      <c r="I954" t="s">
        <v>274</v>
      </c>
      <c r="J954" t="s">
        <v>610</v>
      </c>
      <c r="K954" s="80" t="s">
        <v>2399</v>
      </c>
      <c r="L954" t="s">
        <v>2400</v>
      </c>
      <c r="M954" t="s">
        <v>238</v>
      </c>
      <c r="N954" t="str">
        <f t="shared" si="14"/>
        <v>CIHPkdSanga</v>
      </c>
    </row>
    <row r="955" spans="8:14" x14ac:dyDescent="0.35">
      <c r="H955" t="s">
        <v>227</v>
      </c>
      <c r="I955" t="s">
        <v>274</v>
      </c>
      <c r="J955" t="s">
        <v>610</v>
      </c>
      <c r="K955" s="80" t="s">
        <v>2401</v>
      </c>
      <c r="L955" t="s">
        <v>2402</v>
      </c>
      <c r="M955" t="s">
        <v>238</v>
      </c>
      <c r="N955" t="str">
        <f t="shared" si="14"/>
        <v>CIHPkdSanga</v>
      </c>
    </row>
    <row r="956" spans="8:14" x14ac:dyDescent="0.35">
      <c r="H956" t="s">
        <v>227</v>
      </c>
      <c r="I956" t="s">
        <v>274</v>
      </c>
      <c r="J956" t="s">
        <v>610</v>
      </c>
      <c r="K956" s="80" t="s">
        <v>2403</v>
      </c>
      <c r="L956" t="s">
        <v>2404</v>
      </c>
      <c r="M956" t="s">
        <v>238</v>
      </c>
      <c r="N956" t="str">
        <f t="shared" si="14"/>
        <v>CIHPkdSanga</v>
      </c>
    </row>
    <row r="957" spans="8:14" x14ac:dyDescent="0.35">
      <c r="H957" t="s">
        <v>227</v>
      </c>
      <c r="I957" t="s">
        <v>274</v>
      </c>
      <c r="J957" t="s">
        <v>610</v>
      </c>
      <c r="K957" s="80" t="s">
        <v>2405</v>
      </c>
      <c r="L957" t="s">
        <v>2406</v>
      </c>
      <c r="M957" t="s">
        <v>238</v>
      </c>
      <c r="N957" t="str">
        <f t="shared" si="14"/>
        <v>CIHPkdSanga</v>
      </c>
    </row>
    <row r="958" spans="8:14" x14ac:dyDescent="0.35">
      <c r="H958" t="s">
        <v>227</v>
      </c>
      <c r="I958" t="s">
        <v>274</v>
      </c>
      <c r="J958" t="s">
        <v>610</v>
      </c>
      <c r="K958" s="80" t="s">
        <v>2407</v>
      </c>
      <c r="L958" t="s">
        <v>2408</v>
      </c>
      <c r="M958" t="s">
        <v>238</v>
      </c>
      <c r="N958" t="str">
        <f t="shared" si="14"/>
        <v>CIHPkdSanga</v>
      </c>
    </row>
    <row r="959" spans="8:14" x14ac:dyDescent="0.35">
      <c r="H959" t="s">
        <v>227</v>
      </c>
      <c r="I959" t="s">
        <v>274</v>
      </c>
      <c r="J959" t="s">
        <v>610</v>
      </c>
      <c r="K959" s="80" t="s">
        <v>2409</v>
      </c>
      <c r="L959" t="s">
        <v>2410</v>
      </c>
      <c r="M959" t="s">
        <v>238</v>
      </c>
      <c r="N959" t="str">
        <f t="shared" si="14"/>
        <v>CIHPkdSanga</v>
      </c>
    </row>
    <row r="960" spans="8:14" x14ac:dyDescent="0.35">
      <c r="H960" t="s">
        <v>227</v>
      </c>
      <c r="I960" t="s">
        <v>274</v>
      </c>
      <c r="J960" t="s">
        <v>610</v>
      </c>
      <c r="K960" s="80" t="s">
        <v>2411</v>
      </c>
      <c r="L960" t="s">
        <v>2412</v>
      </c>
      <c r="M960" t="s">
        <v>238</v>
      </c>
      <c r="N960" t="str">
        <f t="shared" si="14"/>
        <v>CIHPkdSanga</v>
      </c>
    </row>
    <row r="961" spans="8:14" x14ac:dyDescent="0.35">
      <c r="H961" t="s">
        <v>227</v>
      </c>
      <c r="I961" t="s">
        <v>274</v>
      </c>
      <c r="J961" t="s">
        <v>610</v>
      </c>
      <c r="K961" s="80" t="s">
        <v>2413</v>
      </c>
      <c r="L961" t="s">
        <v>2414</v>
      </c>
      <c r="M961" t="s">
        <v>238</v>
      </c>
      <c r="N961" t="str">
        <f t="shared" si="14"/>
        <v>CIHPkdSanga</v>
      </c>
    </row>
    <row r="962" spans="8:14" x14ac:dyDescent="0.35">
      <c r="H962" t="s">
        <v>227</v>
      </c>
      <c r="I962" t="s">
        <v>274</v>
      </c>
      <c r="J962" t="s">
        <v>613</v>
      </c>
      <c r="K962" s="80" t="s">
        <v>2415</v>
      </c>
      <c r="L962" t="s">
        <v>2416</v>
      </c>
      <c r="M962" t="s">
        <v>238</v>
      </c>
      <c r="N962" t="str">
        <f t="shared" si="14"/>
        <v>CIHPkdSoba</v>
      </c>
    </row>
    <row r="963" spans="8:14" x14ac:dyDescent="0.35">
      <c r="H963" t="s">
        <v>227</v>
      </c>
      <c r="I963" t="s">
        <v>274</v>
      </c>
      <c r="J963" t="s">
        <v>616</v>
      </c>
      <c r="K963" s="80" t="s">
        <v>2417</v>
      </c>
      <c r="L963" t="s">
        <v>2418</v>
      </c>
      <c r="M963" t="s">
        <v>238</v>
      </c>
      <c r="N963" t="str">
        <f t="shared" ref="N963:N1026" si="15">SUBSTITUTE(SUBSTITUTE(M963&amp;J963," ",""),"-","")</f>
        <v>CIHPkdZangoKataf</v>
      </c>
    </row>
    <row r="964" spans="8:14" x14ac:dyDescent="0.35">
      <c r="H964" t="s">
        <v>227</v>
      </c>
      <c r="I964" t="s">
        <v>274</v>
      </c>
      <c r="J964" t="s">
        <v>616</v>
      </c>
      <c r="K964" s="80" t="s">
        <v>2419</v>
      </c>
      <c r="L964" t="s">
        <v>2420</v>
      </c>
      <c r="M964" t="s">
        <v>238</v>
      </c>
      <c r="N964" t="str">
        <f t="shared" si="15"/>
        <v>CIHPkdZangoKataf</v>
      </c>
    </row>
    <row r="965" spans="8:14" x14ac:dyDescent="0.35">
      <c r="H965" t="s">
        <v>227</v>
      </c>
      <c r="I965" t="s">
        <v>274</v>
      </c>
      <c r="J965" t="s">
        <v>616</v>
      </c>
      <c r="K965" s="80" t="s">
        <v>2421</v>
      </c>
      <c r="L965" t="s">
        <v>2422</v>
      </c>
      <c r="M965" t="s">
        <v>238</v>
      </c>
      <c r="N965" t="str">
        <f t="shared" si="15"/>
        <v>CIHPkdZangoKataf</v>
      </c>
    </row>
    <row r="966" spans="8:14" x14ac:dyDescent="0.35">
      <c r="H966" t="s">
        <v>227</v>
      </c>
      <c r="I966" t="s">
        <v>274</v>
      </c>
      <c r="J966" t="s">
        <v>619</v>
      </c>
      <c r="K966" s="80" t="s">
        <v>2423</v>
      </c>
      <c r="L966" t="s">
        <v>2424</v>
      </c>
      <c r="M966" t="s">
        <v>238</v>
      </c>
      <c r="N966" t="str">
        <f t="shared" si="15"/>
        <v>CIHPkdZaria</v>
      </c>
    </row>
    <row r="967" spans="8:14" x14ac:dyDescent="0.35">
      <c r="H967" t="s">
        <v>227</v>
      </c>
      <c r="I967" t="s">
        <v>274</v>
      </c>
      <c r="J967" t="s">
        <v>619</v>
      </c>
      <c r="K967" s="80" t="s">
        <v>2425</v>
      </c>
      <c r="L967" t="s">
        <v>2426</v>
      </c>
      <c r="M967" t="s">
        <v>238</v>
      </c>
      <c r="N967" t="str">
        <f t="shared" si="15"/>
        <v>CIHPkdZaria</v>
      </c>
    </row>
    <row r="968" spans="8:14" x14ac:dyDescent="0.35">
      <c r="H968" t="s">
        <v>227</v>
      </c>
      <c r="I968" t="s">
        <v>274</v>
      </c>
      <c r="J968" t="s">
        <v>619</v>
      </c>
      <c r="K968" s="80" t="s">
        <v>2427</v>
      </c>
      <c r="L968" t="s">
        <v>2428</v>
      </c>
      <c r="M968" t="s">
        <v>238</v>
      </c>
      <c r="N968" t="str">
        <f t="shared" si="15"/>
        <v>CIHPkdZaria</v>
      </c>
    </row>
    <row r="969" spans="8:14" x14ac:dyDescent="0.35">
      <c r="H969" t="s">
        <v>227</v>
      </c>
      <c r="I969" t="s">
        <v>274</v>
      </c>
      <c r="J969" t="s">
        <v>619</v>
      </c>
      <c r="K969" s="80" t="s">
        <v>2429</v>
      </c>
      <c r="L969" t="s">
        <v>2430</v>
      </c>
      <c r="M969" t="s">
        <v>238</v>
      </c>
      <c r="N969" t="str">
        <f t="shared" si="15"/>
        <v>CIHPkdZaria</v>
      </c>
    </row>
    <row r="970" spans="8:14" x14ac:dyDescent="0.35">
      <c r="H970" t="s">
        <v>227</v>
      </c>
      <c r="I970" t="s">
        <v>240</v>
      </c>
      <c r="J970" t="s">
        <v>310</v>
      </c>
      <c r="K970" s="80" t="s">
        <v>2431</v>
      </c>
      <c r="L970" t="s">
        <v>2432</v>
      </c>
      <c r="M970" t="s">
        <v>245</v>
      </c>
      <c r="N970" t="str">
        <f t="shared" si="15"/>
        <v>IHVNknGezawa</v>
      </c>
    </row>
    <row r="971" spans="8:14" x14ac:dyDescent="0.35">
      <c r="H971" t="s">
        <v>227</v>
      </c>
      <c r="I971" t="s">
        <v>240</v>
      </c>
      <c r="J971" t="s">
        <v>313</v>
      </c>
      <c r="K971" s="80" t="s">
        <v>2433</v>
      </c>
      <c r="L971" t="s">
        <v>2434</v>
      </c>
      <c r="M971" t="s">
        <v>245</v>
      </c>
      <c r="N971" t="str">
        <f t="shared" si="15"/>
        <v>IHVNknNassarawa</v>
      </c>
    </row>
    <row r="972" spans="8:14" x14ac:dyDescent="0.35">
      <c r="H972" t="s">
        <v>227</v>
      </c>
      <c r="I972" t="s">
        <v>240</v>
      </c>
      <c r="J972" t="s">
        <v>313</v>
      </c>
      <c r="K972" s="80" t="s">
        <v>2435</v>
      </c>
      <c r="L972" t="s">
        <v>2436</v>
      </c>
      <c r="M972" t="s">
        <v>245</v>
      </c>
      <c r="N972" t="str">
        <f t="shared" si="15"/>
        <v>IHVNknNassarawa</v>
      </c>
    </row>
    <row r="973" spans="8:14" x14ac:dyDescent="0.35">
      <c r="H973" t="s">
        <v>227</v>
      </c>
      <c r="I973" t="s">
        <v>240</v>
      </c>
      <c r="J973" t="s">
        <v>313</v>
      </c>
      <c r="K973" s="80" t="s">
        <v>2437</v>
      </c>
      <c r="L973" t="s">
        <v>2438</v>
      </c>
      <c r="M973" t="s">
        <v>245</v>
      </c>
      <c r="N973" t="str">
        <f t="shared" si="15"/>
        <v>IHVNknNassarawa</v>
      </c>
    </row>
    <row r="974" spans="8:14" x14ac:dyDescent="0.35">
      <c r="H974" t="s">
        <v>227</v>
      </c>
      <c r="I974" t="s">
        <v>240</v>
      </c>
      <c r="J974" t="s">
        <v>316</v>
      </c>
      <c r="K974" s="80" t="s">
        <v>2439</v>
      </c>
      <c r="L974" t="s">
        <v>2440</v>
      </c>
      <c r="M974" t="s">
        <v>245</v>
      </c>
      <c r="N974" t="str">
        <f t="shared" si="15"/>
        <v>IHVNknTarauni</v>
      </c>
    </row>
    <row r="975" spans="8:14" x14ac:dyDescent="0.35">
      <c r="H975" t="s">
        <v>227</v>
      </c>
      <c r="I975" t="s">
        <v>240</v>
      </c>
      <c r="J975" t="s">
        <v>316</v>
      </c>
      <c r="K975" s="80" t="s">
        <v>2441</v>
      </c>
      <c r="L975" t="s">
        <v>2442</v>
      </c>
      <c r="M975" t="s">
        <v>245</v>
      </c>
      <c r="N975" t="str">
        <f t="shared" si="15"/>
        <v>IHVNknTarauni</v>
      </c>
    </row>
    <row r="976" spans="8:14" x14ac:dyDescent="0.35">
      <c r="H976" t="s">
        <v>227</v>
      </c>
      <c r="I976" t="s">
        <v>240</v>
      </c>
      <c r="J976" t="s">
        <v>319</v>
      </c>
      <c r="K976" s="80" t="s">
        <v>2443</v>
      </c>
      <c r="L976" t="s">
        <v>2444</v>
      </c>
      <c r="M976" t="s">
        <v>245</v>
      </c>
      <c r="N976" t="str">
        <f t="shared" si="15"/>
        <v>IHVNknTudunWada</v>
      </c>
    </row>
    <row r="977" spans="8:14" x14ac:dyDescent="0.35">
      <c r="H977" t="s">
        <v>227</v>
      </c>
      <c r="I977" t="s">
        <v>240</v>
      </c>
      <c r="J977" t="s">
        <v>322</v>
      </c>
      <c r="K977" s="80" t="s">
        <v>2445</v>
      </c>
      <c r="L977" t="s">
        <v>2446</v>
      </c>
      <c r="M977" t="s">
        <v>245</v>
      </c>
      <c r="N977" t="str">
        <f t="shared" si="15"/>
        <v>IHVNknUngogo</v>
      </c>
    </row>
    <row r="978" spans="8:14" x14ac:dyDescent="0.35">
      <c r="H978" t="s">
        <v>227</v>
      </c>
      <c r="I978" t="s">
        <v>240</v>
      </c>
      <c r="J978" t="s">
        <v>322</v>
      </c>
      <c r="K978" s="80" t="s">
        <v>2447</v>
      </c>
      <c r="L978" t="s">
        <v>2448</v>
      </c>
      <c r="M978" t="s">
        <v>245</v>
      </c>
      <c r="N978" t="str">
        <f t="shared" si="15"/>
        <v>IHVNknUngogo</v>
      </c>
    </row>
    <row r="979" spans="8:14" x14ac:dyDescent="0.35">
      <c r="H979" t="s">
        <v>227</v>
      </c>
      <c r="I979" t="s">
        <v>247</v>
      </c>
      <c r="J979" t="s">
        <v>325</v>
      </c>
      <c r="K979" s="80" t="s">
        <v>2449</v>
      </c>
      <c r="L979" t="s">
        <v>2450</v>
      </c>
      <c r="M979" t="s">
        <v>245</v>
      </c>
      <c r="N979" t="str">
        <f t="shared" si="15"/>
        <v>IHVNktFuntua</v>
      </c>
    </row>
    <row r="980" spans="8:14" x14ac:dyDescent="0.35">
      <c r="H980" t="s">
        <v>227</v>
      </c>
      <c r="I980" t="s">
        <v>247</v>
      </c>
      <c r="J980" t="s">
        <v>328</v>
      </c>
      <c r="K980" s="80" t="s">
        <v>2451</v>
      </c>
      <c r="L980" t="s">
        <v>2452</v>
      </c>
      <c r="M980" t="s">
        <v>245</v>
      </c>
      <c r="N980" t="str">
        <f t="shared" si="15"/>
        <v>IHVNktKankia</v>
      </c>
    </row>
    <row r="981" spans="8:14" x14ac:dyDescent="0.35">
      <c r="H981" t="s">
        <v>227</v>
      </c>
      <c r="I981" t="s">
        <v>247</v>
      </c>
      <c r="J981" t="s">
        <v>331</v>
      </c>
      <c r="K981" s="80" t="s">
        <v>2453</v>
      </c>
      <c r="L981" t="s">
        <v>2454</v>
      </c>
      <c r="M981" t="s">
        <v>245</v>
      </c>
      <c r="N981" t="str">
        <f t="shared" si="15"/>
        <v>IHVNktKatsina</v>
      </c>
    </row>
    <row r="982" spans="8:14" x14ac:dyDescent="0.35">
      <c r="H982" t="s">
        <v>227</v>
      </c>
      <c r="I982" t="s">
        <v>247</v>
      </c>
      <c r="J982" t="s">
        <v>331</v>
      </c>
      <c r="K982" s="80" t="s">
        <v>2455</v>
      </c>
      <c r="L982" t="s">
        <v>2456</v>
      </c>
      <c r="M982" t="s">
        <v>245</v>
      </c>
      <c r="N982" t="str">
        <f t="shared" si="15"/>
        <v>IHVNktKatsina</v>
      </c>
    </row>
    <row r="983" spans="8:14" x14ac:dyDescent="0.35">
      <c r="H983" t="s">
        <v>227</v>
      </c>
      <c r="I983" t="s">
        <v>278</v>
      </c>
      <c r="J983" t="s">
        <v>622</v>
      </c>
      <c r="K983" s="80" t="s">
        <v>2457</v>
      </c>
      <c r="L983" t="s">
        <v>2458</v>
      </c>
      <c r="M983" t="s">
        <v>238</v>
      </c>
      <c r="N983" t="str">
        <f t="shared" si="15"/>
        <v>CIHPkoAdavi</v>
      </c>
    </row>
    <row r="984" spans="8:14" x14ac:dyDescent="0.35">
      <c r="H984" t="s">
        <v>227</v>
      </c>
      <c r="I984" t="s">
        <v>278</v>
      </c>
      <c r="J984" t="s">
        <v>622</v>
      </c>
      <c r="K984" s="80" t="s">
        <v>2459</v>
      </c>
      <c r="L984" t="s">
        <v>2460</v>
      </c>
      <c r="M984" t="s">
        <v>238</v>
      </c>
      <c r="N984" t="str">
        <f t="shared" si="15"/>
        <v>CIHPkoAdavi</v>
      </c>
    </row>
    <row r="985" spans="8:14" x14ac:dyDescent="0.35">
      <c r="H985" t="s">
        <v>227</v>
      </c>
      <c r="I985" t="s">
        <v>278</v>
      </c>
      <c r="J985" t="s">
        <v>625</v>
      </c>
      <c r="K985" s="80" t="s">
        <v>2461</v>
      </c>
      <c r="L985" t="s">
        <v>2462</v>
      </c>
      <c r="M985" t="s">
        <v>238</v>
      </c>
      <c r="N985" t="str">
        <f t="shared" si="15"/>
        <v>CIHPkoAjaokuta</v>
      </c>
    </row>
    <row r="986" spans="8:14" x14ac:dyDescent="0.35">
      <c r="H986" t="s">
        <v>227</v>
      </c>
      <c r="I986" t="s">
        <v>278</v>
      </c>
      <c r="J986" t="s">
        <v>629</v>
      </c>
      <c r="K986" s="80" t="s">
        <v>2463</v>
      </c>
      <c r="L986" t="s">
        <v>2464</v>
      </c>
      <c r="M986" t="s">
        <v>238</v>
      </c>
      <c r="N986" t="str">
        <f t="shared" si="15"/>
        <v>CIHPkoAnkpa</v>
      </c>
    </row>
    <row r="987" spans="8:14" x14ac:dyDescent="0.35">
      <c r="H987" t="s">
        <v>227</v>
      </c>
      <c r="I987" t="s">
        <v>278</v>
      </c>
      <c r="J987" t="s">
        <v>629</v>
      </c>
      <c r="K987" s="80" t="s">
        <v>2465</v>
      </c>
      <c r="L987" t="s">
        <v>2466</v>
      </c>
      <c r="M987" t="s">
        <v>238</v>
      </c>
      <c r="N987" t="str">
        <f t="shared" si="15"/>
        <v>CIHPkoAnkpa</v>
      </c>
    </row>
    <row r="988" spans="8:14" x14ac:dyDescent="0.35">
      <c r="H988" t="s">
        <v>227</v>
      </c>
      <c r="I988" t="s">
        <v>278</v>
      </c>
      <c r="J988" t="s">
        <v>629</v>
      </c>
      <c r="K988" s="80" t="s">
        <v>2467</v>
      </c>
      <c r="L988" t="s">
        <v>2468</v>
      </c>
      <c r="M988" t="s">
        <v>238</v>
      </c>
      <c r="N988" t="str">
        <f t="shared" si="15"/>
        <v>CIHPkoAnkpa</v>
      </c>
    </row>
    <row r="989" spans="8:14" x14ac:dyDescent="0.35">
      <c r="H989" t="s">
        <v>227</v>
      </c>
      <c r="I989" t="s">
        <v>278</v>
      </c>
      <c r="J989" t="s">
        <v>629</v>
      </c>
      <c r="K989" s="80" t="s">
        <v>2469</v>
      </c>
      <c r="L989" t="s">
        <v>2470</v>
      </c>
      <c r="M989" t="s">
        <v>238</v>
      </c>
      <c r="N989" t="str">
        <f t="shared" si="15"/>
        <v>CIHPkoAnkpa</v>
      </c>
    </row>
    <row r="990" spans="8:14" x14ac:dyDescent="0.35">
      <c r="H990" t="s">
        <v>227</v>
      </c>
      <c r="I990" t="s">
        <v>278</v>
      </c>
      <c r="J990" t="s">
        <v>629</v>
      </c>
      <c r="K990" s="80" t="s">
        <v>2471</v>
      </c>
      <c r="L990" t="s">
        <v>2472</v>
      </c>
      <c r="M990" t="s">
        <v>238</v>
      </c>
      <c r="N990" t="str">
        <f t="shared" si="15"/>
        <v>CIHPkoAnkpa</v>
      </c>
    </row>
    <row r="991" spans="8:14" x14ac:dyDescent="0.35">
      <c r="H991" t="s">
        <v>227</v>
      </c>
      <c r="I991" t="s">
        <v>278</v>
      </c>
      <c r="J991" t="s">
        <v>629</v>
      </c>
      <c r="K991" s="80" t="s">
        <v>2473</v>
      </c>
      <c r="L991" t="s">
        <v>2474</v>
      </c>
      <c r="M991" t="s">
        <v>238</v>
      </c>
      <c r="N991" t="str">
        <f t="shared" si="15"/>
        <v>CIHPkoAnkpa</v>
      </c>
    </row>
    <row r="992" spans="8:14" x14ac:dyDescent="0.35">
      <c r="H992" t="s">
        <v>227</v>
      </c>
      <c r="I992" t="s">
        <v>278</v>
      </c>
      <c r="J992" t="s">
        <v>629</v>
      </c>
      <c r="K992" s="80" t="s">
        <v>2475</v>
      </c>
      <c r="L992" t="s">
        <v>2476</v>
      </c>
      <c r="M992" t="s">
        <v>238</v>
      </c>
      <c r="N992" t="str">
        <f t="shared" si="15"/>
        <v>CIHPkoAnkpa</v>
      </c>
    </row>
    <row r="993" spans="8:14" x14ac:dyDescent="0.35">
      <c r="H993" t="s">
        <v>227</v>
      </c>
      <c r="I993" t="s">
        <v>278</v>
      </c>
      <c r="J993" t="s">
        <v>632</v>
      </c>
      <c r="K993" s="80" t="s">
        <v>2477</v>
      </c>
      <c r="L993" t="s">
        <v>2478</v>
      </c>
      <c r="M993" t="s">
        <v>238</v>
      </c>
      <c r="N993" t="str">
        <f t="shared" si="15"/>
        <v>CIHPkoDekina</v>
      </c>
    </row>
    <row r="994" spans="8:14" x14ac:dyDescent="0.35">
      <c r="H994" t="s">
        <v>227</v>
      </c>
      <c r="I994" t="s">
        <v>278</v>
      </c>
      <c r="J994" t="s">
        <v>632</v>
      </c>
      <c r="K994" s="80" t="s">
        <v>2479</v>
      </c>
      <c r="L994" t="s">
        <v>2480</v>
      </c>
      <c r="M994" t="s">
        <v>238</v>
      </c>
      <c r="N994" t="str">
        <f t="shared" si="15"/>
        <v>CIHPkoDekina</v>
      </c>
    </row>
    <row r="995" spans="8:14" x14ac:dyDescent="0.35">
      <c r="H995" t="s">
        <v>227</v>
      </c>
      <c r="I995" t="s">
        <v>278</v>
      </c>
      <c r="J995" t="s">
        <v>632</v>
      </c>
      <c r="K995" s="80" t="s">
        <v>2481</v>
      </c>
      <c r="L995" t="s">
        <v>2482</v>
      </c>
      <c r="M995" t="s">
        <v>238</v>
      </c>
      <c r="N995" t="str">
        <f t="shared" si="15"/>
        <v>CIHPkoDekina</v>
      </c>
    </row>
    <row r="996" spans="8:14" x14ac:dyDescent="0.35">
      <c r="H996" t="s">
        <v>227</v>
      </c>
      <c r="I996" t="s">
        <v>278</v>
      </c>
      <c r="J996" t="s">
        <v>632</v>
      </c>
      <c r="K996" s="80" t="s">
        <v>2483</v>
      </c>
      <c r="L996" t="s">
        <v>2484</v>
      </c>
      <c r="M996" t="s">
        <v>238</v>
      </c>
      <c r="N996" t="str">
        <f t="shared" si="15"/>
        <v>CIHPkoDekina</v>
      </c>
    </row>
    <row r="997" spans="8:14" x14ac:dyDescent="0.35">
      <c r="H997" t="s">
        <v>227</v>
      </c>
      <c r="I997" t="s">
        <v>278</v>
      </c>
      <c r="J997" t="s">
        <v>632</v>
      </c>
      <c r="K997" s="80" t="s">
        <v>2485</v>
      </c>
      <c r="L997" t="s">
        <v>2486</v>
      </c>
      <c r="M997" t="s">
        <v>238</v>
      </c>
      <c r="N997" t="str">
        <f t="shared" si="15"/>
        <v>CIHPkoDekina</v>
      </c>
    </row>
    <row r="998" spans="8:14" x14ac:dyDescent="0.35">
      <c r="H998" t="s">
        <v>227</v>
      </c>
      <c r="I998" t="s">
        <v>278</v>
      </c>
      <c r="J998" t="s">
        <v>632</v>
      </c>
      <c r="K998" s="80" t="s">
        <v>2487</v>
      </c>
      <c r="L998" t="s">
        <v>2488</v>
      </c>
      <c r="M998" t="s">
        <v>238</v>
      </c>
      <c r="N998" t="str">
        <f t="shared" si="15"/>
        <v>CIHPkoDekina</v>
      </c>
    </row>
    <row r="999" spans="8:14" x14ac:dyDescent="0.35">
      <c r="H999" t="s">
        <v>227</v>
      </c>
      <c r="I999" t="s">
        <v>278</v>
      </c>
      <c r="J999" t="s">
        <v>632</v>
      </c>
      <c r="K999" s="80" t="s">
        <v>2489</v>
      </c>
      <c r="L999" t="s">
        <v>2490</v>
      </c>
      <c r="M999" t="s">
        <v>238</v>
      </c>
      <c r="N999" t="str">
        <f t="shared" si="15"/>
        <v>CIHPkoDekina</v>
      </c>
    </row>
    <row r="1000" spans="8:14" x14ac:dyDescent="0.35">
      <c r="H1000" t="s">
        <v>227</v>
      </c>
      <c r="I1000" t="s">
        <v>278</v>
      </c>
      <c r="J1000" t="s">
        <v>635</v>
      </c>
      <c r="K1000" s="80" t="s">
        <v>2491</v>
      </c>
      <c r="L1000" t="s">
        <v>2492</v>
      </c>
      <c r="M1000" t="s">
        <v>238</v>
      </c>
      <c r="N1000" t="str">
        <f t="shared" si="15"/>
        <v>CIHPkoIbaji</v>
      </c>
    </row>
    <row r="1001" spans="8:14" x14ac:dyDescent="0.35">
      <c r="H1001" t="s">
        <v>227</v>
      </c>
      <c r="I1001" t="s">
        <v>278</v>
      </c>
      <c r="J1001" t="s">
        <v>638</v>
      </c>
      <c r="K1001" s="80" t="s">
        <v>2493</v>
      </c>
      <c r="L1001" t="s">
        <v>2494</v>
      </c>
      <c r="M1001" t="s">
        <v>238</v>
      </c>
      <c r="N1001" t="str">
        <f t="shared" si="15"/>
        <v>CIHPkoIdah</v>
      </c>
    </row>
    <row r="1002" spans="8:14" x14ac:dyDescent="0.35">
      <c r="H1002" t="s">
        <v>227</v>
      </c>
      <c r="I1002" t="s">
        <v>278</v>
      </c>
      <c r="J1002" t="s">
        <v>638</v>
      </c>
      <c r="K1002" s="80" t="s">
        <v>2495</v>
      </c>
      <c r="L1002" t="s">
        <v>2496</v>
      </c>
      <c r="M1002" t="s">
        <v>238</v>
      </c>
      <c r="N1002" t="str">
        <f t="shared" si="15"/>
        <v>CIHPkoIdah</v>
      </c>
    </row>
    <row r="1003" spans="8:14" x14ac:dyDescent="0.35">
      <c r="H1003" t="s">
        <v>227</v>
      </c>
      <c r="I1003" t="s">
        <v>278</v>
      </c>
      <c r="J1003" t="s">
        <v>641</v>
      </c>
      <c r="K1003" s="80" t="s">
        <v>2497</v>
      </c>
      <c r="L1003" t="s">
        <v>2498</v>
      </c>
      <c r="M1003" t="s">
        <v>238</v>
      </c>
      <c r="N1003" t="str">
        <f t="shared" si="15"/>
        <v>CIHPkoIgalamelaOdolu</v>
      </c>
    </row>
    <row r="1004" spans="8:14" x14ac:dyDescent="0.35">
      <c r="H1004" t="s">
        <v>227</v>
      </c>
      <c r="I1004" t="s">
        <v>278</v>
      </c>
      <c r="J1004" t="s">
        <v>644</v>
      </c>
      <c r="K1004" s="80" t="s">
        <v>2499</v>
      </c>
      <c r="L1004" t="s">
        <v>2500</v>
      </c>
      <c r="M1004" t="s">
        <v>238</v>
      </c>
      <c r="N1004" t="str">
        <f t="shared" si="15"/>
        <v>CIHPkoIjumu</v>
      </c>
    </row>
    <row r="1005" spans="8:14" x14ac:dyDescent="0.35">
      <c r="H1005" t="s">
        <v>227</v>
      </c>
      <c r="I1005" t="s">
        <v>278</v>
      </c>
      <c r="J1005" t="s">
        <v>644</v>
      </c>
      <c r="K1005" s="80" t="s">
        <v>2501</v>
      </c>
      <c r="L1005" t="s">
        <v>2502</v>
      </c>
      <c r="M1005" t="s">
        <v>238</v>
      </c>
      <c r="N1005" t="str">
        <f t="shared" si="15"/>
        <v>CIHPkoIjumu</v>
      </c>
    </row>
    <row r="1006" spans="8:14" x14ac:dyDescent="0.35">
      <c r="H1006" t="s">
        <v>227</v>
      </c>
      <c r="I1006" t="s">
        <v>278</v>
      </c>
      <c r="J1006" t="s">
        <v>647</v>
      </c>
      <c r="K1006" s="80" t="s">
        <v>2503</v>
      </c>
      <c r="L1006" t="s">
        <v>2504</v>
      </c>
      <c r="M1006" t="s">
        <v>238</v>
      </c>
      <c r="N1006" t="str">
        <f t="shared" si="15"/>
        <v>CIHPkoKabbaBunu</v>
      </c>
    </row>
    <row r="1007" spans="8:14" x14ac:dyDescent="0.35">
      <c r="H1007" s="80" t="s">
        <v>227</v>
      </c>
      <c r="I1007" s="80" t="s">
        <v>278</v>
      </c>
      <c r="J1007" s="80" t="s">
        <v>647</v>
      </c>
      <c r="K1007" s="80" t="s">
        <v>2505</v>
      </c>
      <c r="L1007" s="80" t="s">
        <v>2506</v>
      </c>
      <c r="M1007" t="s">
        <v>238</v>
      </c>
      <c r="N1007" t="str">
        <f t="shared" si="15"/>
        <v>CIHPkoKabbaBunu</v>
      </c>
    </row>
    <row r="1008" spans="8:14" x14ac:dyDescent="0.35">
      <c r="H1008" t="s">
        <v>227</v>
      </c>
      <c r="I1008" t="s">
        <v>278</v>
      </c>
      <c r="J1008" t="s">
        <v>650</v>
      </c>
      <c r="K1008" s="80" t="s">
        <v>2507</v>
      </c>
      <c r="L1008" t="s">
        <v>2508</v>
      </c>
      <c r="M1008" t="s">
        <v>238</v>
      </c>
      <c r="N1008" t="str">
        <f t="shared" si="15"/>
        <v>CIHPkoKogi</v>
      </c>
    </row>
    <row r="1009" spans="8:14" x14ac:dyDescent="0.35">
      <c r="H1009" t="s">
        <v>227</v>
      </c>
      <c r="I1009" t="s">
        <v>278</v>
      </c>
      <c r="J1009" t="s">
        <v>650</v>
      </c>
      <c r="K1009" s="80" t="s">
        <v>2509</v>
      </c>
      <c r="L1009" t="s">
        <v>2510</v>
      </c>
      <c r="M1009" t="s">
        <v>238</v>
      </c>
      <c r="N1009" t="str">
        <f t="shared" si="15"/>
        <v>CIHPkoKogi</v>
      </c>
    </row>
    <row r="1010" spans="8:14" x14ac:dyDescent="0.35">
      <c r="H1010" t="s">
        <v>227</v>
      </c>
      <c r="I1010" t="s">
        <v>278</v>
      </c>
      <c r="J1010" t="s">
        <v>650</v>
      </c>
      <c r="K1010" s="80" t="s">
        <v>2511</v>
      </c>
      <c r="L1010" t="s">
        <v>2512</v>
      </c>
      <c r="M1010" t="s">
        <v>238</v>
      </c>
      <c r="N1010" s="80" t="str">
        <f t="shared" si="15"/>
        <v>CIHPkoKogi</v>
      </c>
    </row>
    <row r="1011" spans="8:14" x14ac:dyDescent="0.35">
      <c r="H1011" t="s">
        <v>227</v>
      </c>
      <c r="I1011" t="s">
        <v>278</v>
      </c>
      <c r="J1011" t="s">
        <v>653</v>
      </c>
      <c r="K1011" s="80" t="s">
        <v>2513</v>
      </c>
      <c r="L1011" t="s">
        <v>2514</v>
      </c>
      <c r="M1011" t="s">
        <v>238</v>
      </c>
      <c r="N1011" t="str">
        <f t="shared" si="15"/>
        <v>CIHPkoLokoja</v>
      </c>
    </row>
    <row r="1012" spans="8:14" x14ac:dyDescent="0.35">
      <c r="H1012" t="s">
        <v>227</v>
      </c>
      <c r="I1012" t="s">
        <v>278</v>
      </c>
      <c r="J1012" t="s">
        <v>653</v>
      </c>
      <c r="K1012" s="80" t="s">
        <v>2515</v>
      </c>
      <c r="L1012" t="s">
        <v>2516</v>
      </c>
      <c r="M1012" t="s">
        <v>238</v>
      </c>
      <c r="N1012" t="str">
        <f t="shared" si="15"/>
        <v>CIHPkoLokoja</v>
      </c>
    </row>
    <row r="1013" spans="8:14" x14ac:dyDescent="0.35">
      <c r="H1013" t="s">
        <v>227</v>
      </c>
      <c r="I1013" t="s">
        <v>278</v>
      </c>
      <c r="J1013" t="s">
        <v>656</v>
      </c>
      <c r="K1013" s="80" t="s">
        <v>2517</v>
      </c>
      <c r="L1013" t="s">
        <v>2518</v>
      </c>
      <c r="M1013" t="s">
        <v>238</v>
      </c>
      <c r="N1013" t="str">
        <f t="shared" si="15"/>
        <v>CIHPkoOfu</v>
      </c>
    </row>
    <row r="1014" spans="8:14" x14ac:dyDescent="0.35">
      <c r="H1014" t="s">
        <v>227</v>
      </c>
      <c r="I1014" t="s">
        <v>278</v>
      </c>
      <c r="J1014" t="s">
        <v>656</v>
      </c>
      <c r="K1014" s="80" t="s">
        <v>2519</v>
      </c>
      <c r="L1014" t="s">
        <v>2520</v>
      </c>
      <c r="M1014" t="s">
        <v>238</v>
      </c>
      <c r="N1014" t="str">
        <f t="shared" si="15"/>
        <v>CIHPkoOfu</v>
      </c>
    </row>
    <row r="1015" spans="8:14" x14ac:dyDescent="0.35">
      <c r="H1015" t="s">
        <v>227</v>
      </c>
      <c r="I1015" t="s">
        <v>278</v>
      </c>
      <c r="J1015" t="s">
        <v>659</v>
      </c>
      <c r="K1015" s="80" t="s">
        <v>2521</v>
      </c>
      <c r="L1015" t="s">
        <v>2522</v>
      </c>
      <c r="M1015" t="s">
        <v>238</v>
      </c>
      <c r="N1015" t="str">
        <f t="shared" si="15"/>
        <v>CIHPkoOkehi</v>
      </c>
    </row>
    <row r="1016" spans="8:14" x14ac:dyDescent="0.35">
      <c r="H1016" t="s">
        <v>227</v>
      </c>
      <c r="I1016" t="s">
        <v>278</v>
      </c>
      <c r="J1016" t="s">
        <v>659</v>
      </c>
      <c r="K1016" s="80" t="s">
        <v>2523</v>
      </c>
      <c r="L1016" t="s">
        <v>2524</v>
      </c>
      <c r="M1016" t="s">
        <v>238</v>
      </c>
      <c r="N1016" t="str">
        <f t="shared" si="15"/>
        <v>CIHPkoOkehi</v>
      </c>
    </row>
    <row r="1017" spans="8:14" x14ac:dyDescent="0.35">
      <c r="H1017" t="s">
        <v>227</v>
      </c>
      <c r="I1017" t="s">
        <v>278</v>
      </c>
      <c r="J1017" t="s">
        <v>662</v>
      </c>
      <c r="K1017" s="80" t="s">
        <v>2525</v>
      </c>
      <c r="L1017" t="s">
        <v>2526</v>
      </c>
      <c r="M1017" t="s">
        <v>238</v>
      </c>
      <c r="N1017" t="str">
        <f t="shared" si="15"/>
        <v>CIHPkoOkene</v>
      </c>
    </row>
    <row r="1018" spans="8:14" x14ac:dyDescent="0.35">
      <c r="H1018" t="s">
        <v>227</v>
      </c>
      <c r="I1018" t="s">
        <v>278</v>
      </c>
      <c r="J1018" t="s">
        <v>662</v>
      </c>
      <c r="K1018" s="80" t="s">
        <v>2527</v>
      </c>
      <c r="L1018" t="s">
        <v>2528</v>
      </c>
      <c r="M1018" t="s">
        <v>238</v>
      </c>
      <c r="N1018" t="str">
        <f t="shared" si="15"/>
        <v>CIHPkoOkene</v>
      </c>
    </row>
    <row r="1019" spans="8:14" x14ac:dyDescent="0.35">
      <c r="H1019" t="s">
        <v>227</v>
      </c>
      <c r="I1019" t="s">
        <v>278</v>
      </c>
      <c r="J1019" t="s">
        <v>662</v>
      </c>
      <c r="K1019" s="80" t="s">
        <v>2529</v>
      </c>
      <c r="L1019" t="s">
        <v>2530</v>
      </c>
      <c r="M1019" t="s">
        <v>238</v>
      </c>
      <c r="N1019" t="str">
        <f t="shared" si="15"/>
        <v>CIHPkoOkene</v>
      </c>
    </row>
    <row r="1020" spans="8:14" x14ac:dyDescent="0.35">
      <c r="H1020" t="s">
        <v>227</v>
      </c>
      <c r="I1020" t="s">
        <v>278</v>
      </c>
      <c r="J1020" t="s">
        <v>665</v>
      </c>
      <c r="K1020" s="80" t="s">
        <v>2531</v>
      </c>
      <c r="L1020" t="s">
        <v>2532</v>
      </c>
      <c r="M1020" t="s">
        <v>238</v>
      </c>
      <c r="N1020" t="str">
        <f t="shared" si="15"/>
        <v>CIHPkoOlamaboro</v>
      </c>
    </row>
    <row r="1021" spans="8:14" x14ac:dyDescent="0.35">
      <c r="H1021" t="s">
        <v>227</v>
      </c>
      <c r="I1021" t="s">
        <v>278</v>
      </c>
      <c r="J1021" t="s">
        <v>665</v>
      </c>
      <c r="K1021" s="80" t="s">
        <v>2533</v>
      </c>
      <c r="L1021" t="s">
        <v>2534</v>
      </c>
      <c r="M1021" t="s">
        <v>238</v>
      </c>
      <c r="N1021" t="str">
        <f t="shared" si="15"/>
        <v>CIHPkoOlamaboro</v>
      </c>
    </row>
    <row r="1022" spans="8:14" x14ac:dyDescent="0.35">
      <c r="H1022" t="s">
        <v>227</v>
      </c>
      <c r="I1022" t="s">
        <v>278</v>
      </c>
      <c r="J1022" t="s">
        <v>665</v>
      </c>
      <c r="K1022" s="80" t="s">
        <v>2535</v>
      </c>
      <c r="L1022" t="s">
        <v>2536</v>
      </c>
      <c r="M1022" t="s">
        <v>238</v>
      </c>
      <c r="N1022" t="str">
        <f t="shared" si="15"/>
        <v>CIHPkoOlamaboro</v>
      </c>
    </row>
    <row r="1023" spans="8:14" x14ac:dyDescent="0.35">
      <c r="H1023" t="s">
        <v>227</v>
      </c>
      <c r="I1023" t="s">
        <v>278</v>
      </c>
      <c r="J1023" t="s">
        <v>668</v>
      </c>
      <c r="K1023" s="80" t="s">
        <v>2537</v>
      </c>
      <c r="L1023" t="s">
        <v>2538</v>
      </c>
      <c r="M1023" t="s">
        <v>238</v>
      </c>
      <c r="N1023" t="str">
        <f t="shared" si="15"/>
        <v>CIHPkoOmala</v>
      </c>
    </row>
    <row r="1024" spans="8:14" x14ac:dyDescent="0.35">
      <c r="H1024" t="s">
        <v>227</v>
      </c>
      <c r="I1024" t="s">
        <v>278</v>
      </c>
      <c r="J1024" t="s">
        <v>668</v>
      </c>
      <c r="K1024" s="80" t="s">
        <v>2539</v>
      </c>
      <c r="L1024" t="s">
        <v>2540</v>
      </c>
      <c r="M1024" t="s">
        <v>238</v>
      </c>
      <c r="N1024" t="str">
        <f t="shared" si="15"/>
        <v>CIHPkoOmala</v>
      </c>
    </row>
    <row r="1025" spans="8:14" x14ac:dyDescent="0.35">
      <c r="H1025" t="s">
        <v>227</v>
      </c>
      <c r="I1025" t="s">
        <v>290</v>
      </c>
      <c r="J1025" t="s">
        <v>748</v>
      </c>
      <c r="K1025" s="80" t="s">
        <v>2541</v>
      </c>
      <c r="L1025" t="s">
        <v>2542</v>
      </c>
      <c r="M1025" t="s">
        <v>36</v>
      </c>
      <c r="N1025" t="str">
        <f t="shared" si="15"/>
        <v>APINlaAlimosho</v>
      </c>
    </row>
    <row r="1026" spans="8:14" x14ac:dyDescent="0.35">
      <c r="H1026" t="s">
        <v>227</v>
      </c>
      <c r="I1026" t="s">
        <v>290</v>
      </c>
      <c r="J1026" t="s">
        <v>748</v>
      </c>
      <c r="K1026" s="80" t="s">
        <v>2543</v>
      </c>
      <c r="L1026" t="s">
        <v>2544</v>
      </c>
      <c r="M1026" t="s">
        <v>36</v>
      </c>
      <c r="N1026" t="str">
        <f t="shared" si="15"/>
        <v>APINlaAlimosho</v>
      </c>
    </row>
    <row r="1027" spans="8:14" x14ac:dyDescent="0.35">
      <c r="H1027" t="s">
        <v>227</v>
      </c>
      <c r="I1027" t="s">
        <v>290</v>
      </c>
      <c r="J1027" t="s">
        <v>748</v>
      </c>
      <c r="K1027" s="80" t="s">
        <v>2545</v>
      </c>
      <c r="L1027" t="s">
        <v>2546</v>
      </c>
      <c r="M1027" t="s">
        <v>36</v>
      </c>
      <c r="N1027" t="str">
        <f t="shared" ref="N1027:N1090" si="16">SUBSTITUTE(SUBSTITUTE(M1027&amp;J1027," ",""),"-","")</f>
        <v>APINlaAlimosho</v>
      </c>
    </row>
    <row r="1028" spans="8:14" x14ac:dyDescent="0.35">
      <c r="H1028" t="s">
        <v>227</v>
      </c>
      <c r="I1028" t="s">
        <v>290</v>
      </c>
      <c r="J1028" t="s">
        <v>748</v>
      </c>
      <c r="K1028" s="80" t="s">
        <v>2547</v>
      </c>
      <c r="L1028" t="s">
        <v>2548</v>
      </c>
      <c r="M1028" t="s">
        <v>36</v>
      </c>
      <c r="N1028" t="str">
        <f t="shared" si="16"/>
        <v>APINlaAlimosho</v>
      </c>
    </row>
    <row r="1029" spans="8:14" x14ac:dyDescent="0.35">
      <c r="H1029" t="s">
        <v>227</v>
      </c>
      <c r="I1029" t="s">
        <v>290</v>
      </c>
      <c r="J1029" t="s">
        <v>748</v>
      </c>
      <c r="K1029" s="80" t="s">
        <v>2549</v>
      </c>
      <c r="L1029" t="s">
        <v>2550</v>
      </c>
      <c r="M1029" t="s">
        <v>36</v>
      </c>
      <c r="N1029" t="str">
        <f t="shared" si="16"/>
        <v>APINlaAlimosho</v>
      </c>
    </row>
    <row r="1030" spans="8:14" x14ac:dyDescent="0.35">
      <c r="H1030" t="s">
        <v>227</v>
      </c>
      <c r="I1030" t="s">
        <v>290</v>
      </c>
      <c r="J1030" t="s">
        <v>748</v>
      </c>
      <c r="K1030" s="80" t="s">
        <v>2551</v>
      </c>
      <c r="L1030" t="s">
        <v>2552</v>
      </c>
      <c r="M1030" t="s">
        <v>36</v>
      </c>
      <c r="N1030" t="str">
        <f t="shared" si="16"/>
        <v>APINlaAlimosho</v>
      </c>
    </row>
    <row r="1031" spans="8:14" x14ac:dyDescent="0.35">
      <c r="H1031" t="s">
        <v>227</v>
      </c>
      <c r="I1031" t="s">
        <v>290</v>
      </c>
      <c r="J1031" t="s">
        <v>748</v>
      </c>
      <c r="K1031" s="80" t="s">
        <v>2553</v>
      </c>
      <c r="L1031" t="s">
        <v>2554</v>
      </c>
      <c r="M1031" t="s">
        <v>36</v>
      </c>
      <c r="N1031" t="str">
        <f t="shared" si="16"/>
        <v>APINlaAlimosho</v>
      </c>
    </row>
    <row r="1032" spans="8:14" x14ac:dyDescent="0.35">
      <c r="H1032" t="s">
        <v>227</v>
      </c>
      <c r="I1032" t="s">
        <v>290</v>
      </c>
      <c r="J1032" t="s">
        <v>748</v>
      </c>
      <c r="K1032" s="80" t="s">
        <v>2555</v>
      </c>
      <c r="L1032" t="s">
        <v>2556</v>
      </c>
      <c r="M1032" t="s">
        <v>36</v>
      </c>
      <c r="N1032" t="str">
        <f t="shared" si="16"/>
        <v>APINlaAlimosho</v>
      </c>
    </row>
    <row r="1033" spans="8:14" x14ac:dyDescent="0.35">
      <c r="H1033" t="s">
        <v>227</v>
      </c>
      <c r="I1033" t="s">
        <v>290</v>
      </c>
      <c r="J1033" t="s">
        <v>748</v>
      </c>
      <c r="K1033" s="80" t="s">
        <v>2557</v>
      </c>
      <c r="L1033" t="s">
        <v>2558</v>
      </c>
      <c r="M1033" t="s">
        <v>36</v>
      </c>
      <c r="N1033" t="str">
        <f t="shared" si="16"/>
        <v>APINlaAlimosho</v>
      </c>
    </row>
    <row r="1034" spans="8:14" x14ac:dyDescent="0.35">
      <c r="H1034" t="s">
        <v>227</v>
      </c>
      <c r="I1034" t="s">
        <v>290</v>
      </c>
      <c r="J1034" t="s">
        <v>748</v>
      </c>
      <c r="K1034" s="80" t="s">
        <v>2559</v>
      </c>
      <c r="L1034" t="s">
        <v>2560</v>
      </c>
      <c r="M1034" t="s">
        <v>36</v>
      </c>
      <c r="N1034" t="str">
        <f t="shared" si="16"/>
        <v>APINlaAlimosho</v>
      </c>
    </row>
    <row r="1035" spans="8:14" x14ac:dyDescent="0.35">
      <c r="H1035" t="s">
        <v>227</v>
      </c>
      <c r="I1035" t="s">
        <v>290</v>
      </c>
      <c r="J1035" t="s">
        <v>748</v>
      </c>
      <c r="K1035" s="80" t="s">
        <v>2561</v>
      </c>
      <c r="L1035" t="s">
        <v>2562</v>
      </c>
      <c r="M1035" t="s">
        <v>36</v>
      </c>
      <c r="N1035" t="str">
        <f t="shared" si="16"/>
        <v>APINlaAlimosho</v>
      </c>
    </row>
    <row r="1036" spans="8:14" x14ac:dyDescent="0.35">
      <c r="H1036" t="s">
        <v>227</v>
      </c>
      <c r="I1036" t="s">
        <v>290</v>
      </c>
      <c r="J1036" t="s">
        <v>748</v>
      </c>
      <c r="K1036" s="80" t="s">
        <v>2563</v>
      </c>
      <c r="L1036" t="s">
        <v>2564</v>
      </c>
      <c r="M1036" t="s">
        <v>36</v>
      </c>
      <c r="N1036" t="str">
        <f t="shared" si="16"/>
        <v>APINlaAlimosho</v>
      </c>
    </row>
    <row r="1037" spans="8:14" x14ac:dyDescent="0.35">
      <c r="H1037" t="s">
        <v>227</v>
      </c>
      <c r="I1037" t="s">
        <v>290</v>
      </c>
      <c r="J1037" t="s">
        <v>748</v>
      </c>
      <c r="K1037" s="80" t="s">
        <v>2565</v>
      </c>
      <c r="L1037" t="s">
        <v>2566</v>
      </c>
      <c r="M1037" t="s">
        <v>36</v>
      </c>
      <c r="N1037" t="str">
        <f t="shared" si="16"/>
        <v>APINlaAlimosho</v>
      </c>
    </row>
    <row r="1038" spans="8:14" x14ac:dyDescent="0.35">
      <c r="H1038" t="s">
        <v>227</v>
      </c>
      <c r="I1038" t="s">
        <v>290</v>
      </c>
      <c r="J1038" t="s">
        <v>748</v>
      </c>
      <c r="K1038" s="80" t="s">
        <v>2567</v>
      </c>
      <c r="L1038" t="s">
        <v>2568</v>
      </c>
      <c r="M1038" t="s">
        <v>36</v>
      </c>
      <c r="N1038" t="str">
        <f t="shared" si="16"/>
        <v>APINlaAlimosho</v>
      </c>
    </row>
    <row r="1039" spans="8:14" x14ac:dyDescent="0.35">
      <c r="H1039" t="s">
        <v>227</v>
      </c>
      <c r="I1039" t="s">
        <v>290</v>
      </c>
      <c r="J1039" t="s">
        <v>748</v>
      </c>
      <c r="K1039" s="80" t="s">
        <v>2569</v>
      </c>
      <c r="L1039" t="s">
        <v>2570</v>
      </c>
      <c r="M1039" t="s">
        <v>36</v>
      </c>
      <c r="N1039" t="str">
        <f t="shared" si="16"/>
        <v>APINlaAlimosho</v>
      </c>
    </row>
    <row r="1040" spans="8:14" x14ac:dyDescent="0.35">
      <c r="H1040" t="s">
        <v>227</v>
      </c>
      <c r="I1040" t="s">
        <v>290</v>
      </c>
      <c r="J1040" t="s">
        <v>748</v>
      </c>
      <c r="K1040" s="80" t="s">
        <v>2571</v>
      </c>
      <c r="L1040" t="s">
        <v>2572</v>
      </c>
      <c r="M1040" t="s">
        <v>36</v>
      </c>
      <c r="N1040" t="str">
        <f t="shared" si="16"/>
        <v>APINlaAlimosho</v>
      </c>
    </row>
    <row r="1041" spans="8:14" x14ac:dyDescent="0.35">
      <c r="H1041" t="s">
        <v>227</v>
      </c>
      <c r="I1041" t="s">
        <v>290</v>
      </c>
      <c r="J1041" t="s">
        <v>748</v>
      </c>
      <c r="K1041" s="80" t="s">
        <v>2573</v>
      </c>
      <c r="L1041" t="s">
        <v>2574</v>
      </c>
      <c r="M1041" t="s">
        <v>36</v>
      </c>
      <c r="N1041" t="str">
        <f t="shared" si="16"/>
        <v>APINlaAlimosho</v>
      </c>
    </row>
    <row r="1042" spans="8:14" x14ac:dyDescent="0.35">
      <c r="H1042" t="s">
        <v>227</v>
      </c>
      <c r="I1042" t="s">
        <v>290</v>
      </c>
      <c r="J1042" t="s">
        <v>748</v>
      </c>
      <c r="K1042" s="80" t="s">
        <v>2575</v>
      </c>
      <c r="L1042" t="s">
        <v>2576</v>
      </c>
      <c r="M1042" t="s">
        <v>36</v>
      </c>
      <c r="N1042" t="str">
        <f t="shared" si="16"/>
        <v>APINlaAlimosho</v>
      </c>
    </row>
    <row r="1043" spans="8:14" x14ac:dyDescent="0.35">
      <c r="H1043" t="s">
        <v>227</v>
      </c>
      <c r="I1043" t="s">
        <v>290</v>
      </c>
      <c r="J1043" t="s">
        <v>748</v>
      </c>
      <c r="K1043" s="80" t="s">
        <v>2577</v>
      </c>
      <c r="L1043" t="s">
        <v>2578</v>
      </c>
      <c r="M1043" t="s">
        <v>36</v>
      </c>
      <c r="N1043" t="str">
        <f t="shared" si="16"/>
        <v>APINlaAlimosho</v>
      </c>
    </row>
    <row r="1044" spans="8:14" x14ac:dyDescent="0.35">
      <c r="H1044" t="s">
        <v>227</v>
      </c>
      <c r="I1044" t="s">
        <v>290</v>
      </c>
      <c r="J1044" t="s">
        <v>748</v>
      </c>
      <c r="K1044" s="80" t="s">
        <v>2579</v>
      </c>
      <c r="L1044" t="s">
        <v>2580</v>
      </c>
      <c r="M1044" t="s">
        <v>36</v>
      </c>
      <c r="N1044" t="str">
        <f t="shared" si="16"/>
        <v>APINlaAlimosho</v>
      </c>
    </row>
    <row r="1045" spans="8:14" x14ac:dyDescent="0.35">
      <c r="H1045" t="s">
        <v>227</v>
      </c>
      <c r="I1045" t="s">
        <v>290</v>
      </c>
      <c r="J1045" t="s">
        <v>748</v>
      </c>
      <c r="K1045" s="80" t="s">
        <v>2581</v>
      </c>
      <c r="L1045" t="s">
        <v>2582</v>
      </c>
      <c r="M1045" t="s">
        <v>36</v>
      </c>
      <c r="N1045" t="str">
        <f t="shared" si="16"/>
        <v>APINlaAlimosho</v>
      </c>
    </row>
    <row r="1046" spans="8:14" x14ac:dyDescent="0.35">
      <c r="H1046" t="s">
        <v>227</v>
      </c>
      <c r="I1046" t="s">
        <v>290</v>
      </c>
      <c r="J1046" t="s">
        <v>748</v>
      </c>
      <c r="K1046" s="80" t="s">
        <v>2583</v>
      </c>
      <c r="L1046" t="s">
        <v>2584</v>
      </c>
      <c r="M1046" t="s">
        <v>36</v>
      </c>
      <c r="N1046" t="str">
        <f t="shared" si="16"/>
        <v>APINlaAlimosho</v>
      </c>
    </row>
    <row r="1047" spans="8:14" x14ac:dyDescent="0.35">
      <c r="H1047" t="s">
        <v>227</v>
      </c>
      <c r="I1047" t="s">
        <v>290</v>
      </c>
      <c r="J1047" t="s">
        <v>748</v>
      </c>
      <c r="K1047" s="80" t="s">
        <v>2585</v>
      </c>
      <c r="L1047" t="s">
        <v>2586</v>
      </c>
      <c r="M1047" t="s">
        <v>36</v>
      </c>
      <c r="N1047" t="str">
        <f t="shared" si="16"/>
        <v>APINlaAlimosho</v>
      </c>
    </row>
    <row r="1048" spans="8:14" x14ac:dyDescent="0.35">
      <c r="H1048" t="s">
        <v>227</v>
      </c>
      <c r="I1048" t="s">
        <v>290</v>
      </c>
      <c r="J1048" t="s">
        <v>748</v>
      </c>
      <c r="K1048" s="80" t="s">
        <v>2587</v>
      </c>
      <c r="L1048" t="s">
        <v>2588</v>
      </c>
      <c r="M1048" t="s">
        <v>36</v>
      </c>
      <c r="N1048" t="str">
        <f t="shared" si="16"/>
        <v>APINlaAlimosho</v>
      </c>
    </row>
    <row r="1049" spans="8:14" x14ac:dyDescent="0.35">
      <c r="H1049" t="s">
        <v>227</v>
      </c>
      <c r="I1049" t="s">
        <v>290</v>
      </c>
      <c r="J1049" t="s">
        <v>748</v>
      </c>
      <c r="K1049" s="80" t="s">
        <v>2589</v>
      </c>
      <c r="L1049" t="s">
        <v>2590</v>
      </c>
      <c r="M1049" t="s">
        <v>36</v>
      </c>
      <c r="N1049" t="str">
        <f t="shared" si="16"/>
        <v>APINlaAlimosho</v>
      </c>
    </row>
    <row r="1050" spans="8:14" x14ac:dyDescent="0.35">
      <c r="H1050" t="s">
        <v>227</v>
      </c>
      <c r="I1050" t="s">
        <v>290</v>
      </c>
      <c r="J1050" t="s">
        <v>748</v>
      </c>
      <c r="K1050" s="80" t="s">
        <v>2591</v>
      </c>
      <c r="L1050" t="s">
        <v>2592</v>
      </c>
      <c r="M1050" t="s">
        <v>36</v>
      </c>
      <c r="N1050" t="str">
        <f t="shared" si="16"/>
        <v>APINlaAlimosho</v>
      </c>
    </row>
    <row r="1051" spans="8:14" x14ac:dyDescent="0.35">
      <c r="H1051" t="s">
        <v>227</v>
      </c>
      <c r="I1051" t="s">
        <v>290</v>
      </c>
      <c r="J1051" t="s">
        <v>748</v>
      </c>
      <c r="K1051" s="80" t="s">
        <v>2593</v>
      </c>
      <c r="L1051" t="s">
        <v>2594</v>
      </c>
      <c r="M1051" t="s">
        <v>36</v>
      </c>
      <c r="N1051" t="str">
        <f t="shared" si="16"/>
        <v>APINlaAlimosho</v>
      </c>
    </row>
    <row r="1052" spans="8:14" x14ac:dyDescent="0.35">
      <c r="H1052" t="s">
        <v>227</v>
      </c>
      <c r="I1052" t="s">
        <v>290</v>
      </c>
      <c r="J1052" t="s">
        <v>748</v>
      </c>
      <c r="K1052" s="80" t="s">
        <v>2595</v>
      </c>
      <c r="L1052" t="s">
        <v>2596</v>
      </c>
      <c r="M1052" t="s">
        <v>36</v>
      </c>
      <c r="N1052" t="str">
        <f t="shared" si="16"/>
        <v>APINlaAlimosho</v>
      </c>
    </row>
    <row r="1053" spans="8:14" x14ac:dyDescent="0.35">
      <c r="H1053" t="s">
        <v>227</v>
      </c>
      <c r="I1053" t="s">
        <v>290</v>
      </c>
      <c r="J1053" t="s">
        <v>748</v>
      </c>
      <c r="K1053" s="80" t="s">
        <v>2597</v>
      </c>
      <c r="L1053" t="s">
        <v>2598</v>
      </c>
      <c r="M1053" t="s">
        <v>36</v>
      </c>
      <c r="N1053" t="str">
        <f t="shared" si="16"/>
        <v>APINlaAlimosho</v>
      </c>
    </row>
    <row r="1054" spans="8:14" x14ac:dyDescent="0.35">
      <c r="H1054" t="s">
        <v>227</v>
      </c>
      <c r="I1054" t="s">
        <v>290</v>
      </c>
      <c r="J1054" t="s">
        <v>748</v>
      </c>
      <c r="K1054" s="80" t="s">
        <v>2599</v>
      </c>
      <c r="L1054" t="s">
        <v>2600</v>
      </c>
      <c r="M1054" t="s">
        <v>36</v>
      </c>
      <c r="N1054" t="str">
        <f t="shared" si="16"/>
        <v>APINlaAlimosho</v>
      </c>
    </row>
    <row r="1055" spans="8:14" x14ac:dyDescent="0.35">
      <c r="H1055" t="s">
        <v>227</v>
      </c>
      <c r="I1055" t="s">
        <v>290</v>
      </c>
      <c r="J1055" t="s">
        <v>748</v>
      </c>
      <c r="K1055" s="80" t="s">
        <v>2601</v>
      </c>
      <c r="L1055" t="s">
        <v>2602</v>
      </c>
      <c r="M1055" t="s">
        <v>36</v>
      </c>
      <c r="N1055" t="str">
        <f t="shared" si="16"/>
        <v>APINlaAlimosho</v>
      </c>
    </row>
    <row r="1056" spans="8:14" x14ac:dyDescent="0.35">
      <c r="H1056" t="s">
        <v>227</v>
      </c>
      <c r="I1056" t="s">
        <v>290</v>
      </c>
      <c r="J1056" t="s">
        <v>748</v>
      </c>
      <c r="K1056" s="80" t="s">
        <v>2603</v>
      </c>
      <c r="L1056" t="s">
        <v>2604</v>
      </c>
      <c r="M1056" t="s">
        <v>36</v>
      </c>
      <c r="N1056" t="str">
        <f t="shared" si="16"/>
        <v>APINlaAlimosho</v>
      </c>
    </row>
    <row r="1057" spans="8:14" x14ac:dyDescent="0.35">
      <c r="H1057" t="s">
        <v>227</v>
      </c>
      <c r="I1057" t="s">
        <v>290</v>
      </c>
      <c r="J1057" t="s">
        <v>748</v>
      </c>
      <c r="K1057" s="80" t="s">
        <v>2605</v>
      </c>
      <c r="L1057" t="s">
        <v>2606</v>
      </c>
      <c r="M1057" t="s">
        <v>36</v>
      </c>
      <c r="N1057" t="str">
        <f t="shared" si="16"/>
        <v>APINlaAlimosho</v>
      </c>
    </row>
    <row r="1058" spans="8:14" x14ac:dyDescent="0.35">
      <c r="H1058" t="s">
        <v>227</v>
      </c>
      <c r="I1058" t="s">
        <v>290</v>
      </c>
      <c r="J1058" t="s">
        <v>748</v>
      </c>
      <c r="K1058" s="80" t="s">
        <v>2607</v>
      </c>
      <c r="L1058" t="s">
        <v>2608</v>
      </c>
      <c r="M1058" t="s">
        <v>36</v>
      </c>
      <c r="N1058" t="str">
        <f t="shared" si="16"/>
        <v>APINlaAlimosho</v>
      </c>
    </row>
    <row r="1059" spans="8:14" x14ac:dyDescent="0.35">
      <c r="H1059" t="s">
        <v>227</v>
      </c>
      <c r="I1059" t="s">
        <v>290</v>
      </c>
      <c r="J1059" t="s">
        <v>748</v>
      </c>
      <c r="K1059" s="80" t="s">
        <v>2609</v>
      </c>
      <c r="L1059" t="s">
        <v>2610</v>
      </c>
      <c r="M1059" t="s">
        <v>36</v>
      </c>
      <c r="N1059" t="str">
        <f t="shared" si="16"/>
        <v>APINlaAlimosho</v>
      </c>
    </row>
    <row r="1060" spans="8:14" x14ac:dyDescent="0.35">
      <c r="H1060" t="s">
        <v>227</v>
      </c>
      <c r="I1060" t="s">
        <v>290</v>
      </c>
      <c r="J1060" t="s">
        <v>748</v>
      </c>
      <c r="K1060" s="80" t="s">
        <v>2611</v>
      </c>
      <c r="L1060" t="s">
        <v>2612</v>
      </c>
      <c r="M1060" t="s">
        <v>36</v>
      </c>
      <c r="N1060" t="str">
        <f t="shared" si="16"/>
        <v>APINlaAlimosho</v>
      </c>
    </row>
    <row r="1061" spans="8:14" x14ac:dyDescent="0.35">
      <c r="H1061" t="s">
        <v>227</v>
      </c>
      <c r="I1061" t="s">
        <v>290</v>
      </c>
      <c r="J1061" t="s">
        <v>748</v>
      </c>
      <c r="K1061" s="80" t="s">
        <v>2613</v>
      </c>
      <c r="L1061" t="s">
        <v>2614</v>
      </c>
      <c r="M1061" t="s">
        <v>36</v>
      </c>
      <c r="N1061" t="str">
        <f t="shared" si="16"/>
        <v>APINlaAlimosho</v>
      </c>
    </row>
    <row r="1062" spans="8:14" x14ac:dyDescent="0.35">
      <c r="H1062" t="s">
        <v>227</v>
      </c>
      <c r="I1062" t="s">
        <v>290</v>
      </c>
      <c r="J1062" t="s">
        <v>748</v>
      </c>
      <c r="K1062" s="80" t="s">
        <v>2615</v>
      </c>
      <c r="L1062" t="s">
        <v>2616</v>
      </c>
      <c r="M1062" t="s">
        <v>36</v>
      </c>
      <c r="N1062" t="str">
        <f t="shared" si="16"/>
        <v>APINlaAlimosho</v>
      </c>
    </row>
    <row r="1063" spans="8:14" x14ac:dyDescent="0.35">
      <c r="H1063" t="s">
        <v>227</v>
      </c>
      <c r="I1063" t="s">
        <v>290</v>
      </c>
      <c r="J1063" t="s">
        <v>748</v>
      </c>
      <c r="K1063" s="80" t="s">
        <v>2617</v>
      </c>
      <c r="L1063" t="s">
        <v>2618</v>
      </c>
      <c r="M1063" t="s">
        <v>36</v>
      </c>
      <c r="N1063" t="str">
        <f t="shared" si="16"/>
        <v>APINlaAlimosho</v>
      </c>
    </row>
    <row r="1064" spans="8:14" x14ac:dyDescent="0.35">
      <c r="H1064" t="s">
        <v>227</v>
      </c>
      <c r="I1064" t="s">
        <v>290</v>
      </c>
      <c r="J1064" t="s">
        <v>748</v>
      </c>
      <c r="K1064" s="80" t="s">
        <v>2619</v>
      </c>
      <c r="L1064" t="s">
        <v>2620</v>
      </c>
      <c r="M1064" t="s">
        <v>36</v>
      </c>
      <c r="N1064" t="str">
        <f t="shared" si="16"/>
        <v>APINlaAlimosho</v>
      </c>
    </row>
    <row r="1065" spans="8:14" x14ac:dyDescent="0.35">
      <c r="H1065" t="s">
        <v>227</v>
      </c>
      <c r="I1065" t="s">
        <v>290</v>
      </c>
      <c r="J1065" t="s">
        <v>748</v>
      </c>
      <c r="K1065" s="80" t="s">
        <v>2621</v>
      </c>
      <c r="L1065" t="s">
        <v>2622</v>
      </c>
      <c r="M1065" t="s">
        <v>36</v>
      </c>
      <c r="N1065" t="str">
        <f t="shared" si="16"/>
        <v>APINlaAlimosho</v>
      </c>
    </row>
    <row r="1066" spans="8:14" x14ac:dyDescent="0.35">
      <c r="H1066" t="s">
        <v>227</v>
      </c>
      <c r="I1066" t="s">
        <v>290</v>
      </c>
      <c r="J1066" t="s">
        <v>748</v>
      </c>
      <c r="K1066" s="80" t="s">
        <v>2623</v>
      </c>
      <c r="L1066" t="s">
        <v>2624</v>
      </c>
      <c r="M1066" t="s">
        <v>36</v>
      </c>
      <c r="N1066" t="str">
        <f t="shared" si="16"/>
        <v>APINlaAlimosho</v>
      </c>
    </row>
    <row r="1067" spans="8:14" x14ac:dyDescent="0.35">
      <c r="H1067" t="s">
        <v>227</v>
      </c>
      <c r="I1067" t="s">
        <v>290</v>
      </c>
      <c r="J1067" t="s">
        <v>748</v>
      </c>
      <c r="K1067" s="80" t="s">
        <v>2625</v>
      </c>
      <c r="L1067" t="s">
        <v>2626</v>
      </c>
      <c r="M1067" t="s">
        <v>36</v>
      </c>
      <c r="N1067" t="str">
        <f t="shared" si="16"/>
        <v>APINlaAlimosho</v>
      </c>
    </row>
    <row r="1068" spans="8:14" x14ac:dyDescent="0.35">
      <c r="H1068" t="s">
        <v>227</v>
      </c>
      <c r="I1068" t="s">
        <v>290</v>
      </c>
      <c r="J1068" t="s">
        <v>748</v>
      </c>
      <c r="K1068" s="80" t="s">
        <v>2627</v>
      </c>
      <c r="L1068" t="s">
        <v>2628</v>
      </c>
      <c r="M1068" t="s">
        <v>36</v>
      </c>
      <c r="N1068" t="str">
        <f t="shared" si="16"/>
        <v>APINlaAlimosho</v>
      </c>
    </row>
    <row r="1069" spans="8:14" x14ac:dyDescent="0.35">
      <c r="H1069" t="s">
        <v>227</v>
      </c>
      <c r="I1069" t="s">
        <v>290</v>
      </c>
      <c r="J1069" t="s">
        <v>748</v>
      </c>
      <c r="K1069" s="80" t="s">
        <v>2629</v>
      </c>
      <c r="L1069" t="s">
        <v>2630</v>
      </c>
      <c r="M1069" t="s">
        <v>36</v>
      </c>
      <c r="N1069" t="str">
        <f t="shared" si="16"/>
        <v>APINlaAlimosho</v>
      </c>
    </row>
    <row r="1070" spans="8:14" x14ac:dyDescent="0.35">
      <c r="H1070" t="s">
        <v>227</v>
      </c>
      <c r="I1070" t="s">
        <v>290</v>
      </c>
      <c r="J1070" t="s">
        <v>748</v>
      </c>
      <c r="K1070" s="80" t="s">
        <v>2631</v>
      </c>
      <c r="L1070" t="s">
        <v>2632</v>
      </c>
      <c r="M1070" t="s">
        <v>36</v>
      </c>
      <c r="N1070" t="str">
        <f t="shared" si="16"/>
        <v>APINlaAlimosho</v>
      </c>
    </row>
    <row r="1071" spans="8:14" x14ac:dyDescent="0.35">
      <c r="H1071" t="s">
        <v>227</v>
      </c>
      <c r="I1071" t="s">
        <v>290</v>
      </c>
      <c r="J1071" t="s">
        <v>751</v>
      </c>
      <c r="K1071" s="80" t="s">
        <v>2633</v>
      </c>
      <c r="L1071" t="s">
        <v>2634</v>
      </c>
      <c r="M1071" t="s">
        <v>36</v>
      </c>
      <c r="N1071" t="str">
        <f t="shared" si="16"/>
        <v>APINlaAmuwoOdofin</v>
      </c>
    </row>
    <row r="1072" spans="8:14" x14ac:dyDescent="0.35">
      <c r="H1072" t="s">
        <v>227</v>
      </c>
      <c r="I1072" t="s">
        <v>290</v>
      </c>
      <c r="J1072" t="s">
        <v>751</v>
      </c>
      <c r="K1072" s="80" t="s">
        <v>2635</v>
      </c>
      <c r="L1072" t="s">
        <v>2636</v>
      </c>
      <c r="M1072" t="s">
        <v>36</v>
      </c>
      <c r="N1072" t="str">
        <f t="shared" si="16"/>
        <v>APINlaAmuwoOdofin</v>
      </c>
    </row>
    <row r="1073" spans="8:14" x14ac:dyDescent="0.35">
      <c r="H1073" t="s">
        <v>227</v>
      </c>
      <c r="I1073" t="s">
        <v>290</v>
      </c>
      <c r="J1073" t="s">
        <v>751</v>
      </c>
      <c r="K1073" s="80" t="s">
        <v>2637</v>
      </c>
      <c r="L1073" t="s">
        <v>2638</v>
      </c>
      <c r="M1073" t="s">
        <v>36</v>
      </c>
      <c r="N1073" t="str">
        <f t="shared" si="16"/>
        <v>APINlaAmuwoOdofin</v>
      </c>
    </row>
    <row r="1074" spans="8:14" x14ac:dyDescent="0.35">
      <c r="H1074" t="s">
        <v>227</v>
      </c>
      <c r="I1074" t="s">
        <v>290</v>
      </c>
      <c r="J1074" t="s">
        <v>751</v>
      </c>
      <c r="K1074" s="80" t="s">
        <v>2639</v>
      </c>
      <c r="L1074" t="s">
        <v>2640</v>
      </c>
      <c r="M1074" t="s">
        <v>36</v>
      </c>
      <c r="N1074" t="str">
        <f t="shared" si="16"/>
        <v>APINlaAmuwoOdofin</v>
      </c>
    </row>
    <row r="1075" spans="8:14" x14ac:dyDescent="0.35">
      <c r="H1075" t="s">
        <v>227</v>
      </c>
      <c r="I1075" t="s">
        <v>290</v>
      </c>
      <c r="J1075" t="s">
        <v>751</v>
      </c>
      <c r="K1075" s="80" t="s">
        <v>2641</v>
      </c>
      <c r="L1075" t="s">
        <v>2642</v>
      </c>
      <c r="M1075" t="s">
        <v>36</v>
      </c>
      <c r="N1075" t="str">
        <f t="shared" si="16"/>
        <v>APINlaAmuwoOdofin</v>
      </c>
    </row>
    <row r="1076" spans="8:14" x14ac:dyDescent="0.35">
      <c r="H1076" t="s">
        <v>227</v>
      </c>
      <c r="I1076" t="s">
        <v>290</v>
      </c>
      <c r="J1076" t="s">
        <v>751</v>
      </c>
      <c r="K1076" s="80" t="s">
        <v>2643</v>
      </c>
      <c r="L1076" t="s">
        <v>2644</v>
      </c>
      <c r="M1076" t="s">
        <v>36</v>
      </c>
      <c r="N1076" t="str">
        <f t="shared" si="16"/>
        <v>APINlaAmuwoOdofin</v>
      </c>
    </row>
    <row r="1077" spans="8:14" x14ac:dyDescent="0.35">
      <c r="H1077" t="s">
        <v>227</v>
      </c>
      <c r="I1077" t="s">
        <v>290</v>
      </c>
      <c r="J1077" t="s">
        <v>751</v>
      </c>
      <c r="K1077" s="80" t="s">
        <v>2645</v>
      </c>
      <c r="L1077" t="s">
        <v>2646</v>
      </c>
      <c r="M1077" t="s">
        <v>36</v>
      </c>
      <c r="N1077" t="str">
        <f t="shared" si="16"/>
        <v>APINlaAmuwoOdofin</v>
      </c>
    </row>
    <row r="1078" spans="8:14" x14ac:dyDescent="0.35">
      <c r="H1078" t="s">
        <v>227</v>
      </c>
      <c r="I1078" t="s">
        <v>290</v>
      </c>
      <c r="J1078" t="s">
        <v>751</v>
      </c>
      <c r="K1078" s="80" t="s">
        <v>2647</v>
      </c>
      <c r="L1078" t="s">
        <v>2648</v>
      </c>
      <c r="M1078" t="s">
        <v>36</v>
      </c>
      <c r="N1078" t="str">
        <f t="shared" si="16"/>
        <v>APINlaAmuwoOdofin</v>
      </c>
    </row>
    <row r="1079" spans="8:14" x14ac:dyDescent="0.35">
      <c r="H1079" t="s">
        <v>227</v>
      </c>
      <c r="I1079" t="s">
        <v>290</v>
      </c>
      <c r="J1079" t="s">
        <v>751</v>
      </c>
      <c r="K1079" s="80" t="s">
        <v>2649</v>
      </c>
      <c r="L1079" t="s">
        <v>2650</v>
      </c>
      <c r="M1079" t="s">
        <v>36</v>
      </c>
      <c r="N1079" t="str">
        <f t="shared" si="16"/>
        <v>APINlaAmuwoOdofin</v>
      </c>
    </row>
    <row r="1080" spans="8:14" x14ac:dyDescent="0.35">
      <c r="H1080" t="s">
        <v>227</v>
      </c>
      <c r="I1080" t="s">
        <v>290</v>
      </c>
      <c r="J1080" t="s">
        <v>754</v>
      </c>
      <c r="K1080" s="80" t="s">
        <v>2651</v>
      </c>
      <c r="L1080" t="s">
        <v>2652</v>
      </c>
      <c r="M1080" t="s">
        <v>36</v>
      </c>
      <c r="N1080" t="str">
        <f t="shared" si="16"/>
        <v>APINlaEpe</v>
      </c>
    </row>
    <row r="1081" spans="8:14" x14ac:dyDescent="0.35">
      <c r="H1081" t="s">
        <v>227</v>
      </c>
      <c r="I1081" t="s">
        <v>290</v>
      </c>
      <c r="J1081" t="s">
        <v>754</v>
      </c>
      <c r="K1081" s="80" t="s">
        <v>2653</v>
      </c>
      <c r="L1081" t="s">
        <v>2654</v>
      </c>
      <c r="M1081" t="s">
        <v>36</v>
      </c>
      <c r="N1081" t="str">
        <f t="shared" si="16"/>
        <v>APINlaEpe</v>
      </c>
    </row>
    <row r="1082" spans="8:14" x14ac:dyDescent="0.35">
      <c r="H1082" t="s">
        <v>227</v>
      </c>
      <c r="I1082" t="s">
        <v>290</v>
      </c>
      <c r="J1082" t="s">
        <v>754</v>
      </c>
      <c r="K1082" s="80" t="s">
        <v>2655</v>
      </c>
      <c r="L1082" t="s">
        <v>2656</v>
      </c>
      <c r="M1082" t="s">
        <v>36</v>
      </c>
      <c r="N1082" t="str">
        <f t="shared" si="16"/>
        <v>APINlaEpe</v>
      </c>
    </row>
    <row r="1083" spans="8:14" x14ac:dyDescent="0.35">
      <c r="H1083" t="s">
        <v>227</v>
      </c>
      <c r="I1083" t="s">
        <v>290</v>
      </c>
      <c r="J1083" t="s">
        <v>754</v>
      </c>
      <c r="K1083" s="80" t="s">
        <v>2657</v>
      </c>
      <c r="L1083" t="s">
        <v>2658</v>
      </c>
      <c r="M1083" t="s">
        <v>36</v>
      </c>
      <c r="N1083" t="str">
        <f t="shared" si="16"/>
        <v>APINlaEpe</v>
      </c>
    </row>
    <row r="1084" spans="8:14" x14ac:dyDescent="0.35">
      <c r="H1084" t="s">
        <v>227</v>
      </c>
      <c r="I1084" t="s">
        <v>290</v>
      </c>
      <c r="J1084" t="s">
        <v>757</v>
      </c>
      <c r="K1084" s="80" t="s">
        <v>2659</v>
      </c>
      <c r="L1084" t="s">
        <v>2660</v>
      </c>
      <c r="M1084" t="s">
        <v>36</v>
      </c>
      <c r="N1084" t="str">
        <f t="shared" si="16"/>
        <v>APINlaEtiOsa</v>
      </c>
    </row>
    <row r="1085" spans="8:14" x14ac:dyDescent="0.35">
      <c r="H1085" t="s">
        <v>227</v>
      </c>
      <c r="I1085" t="s">
        <v>290</v>
      </c>
      <c r="J1085" t="s">
        <v>757</v>
      </c>
      <c r="K1085" s="80" t="s">
        <v>2661</v>
      </c>
      <c r="L1085" t="s">
        <v>2662</v>
      </c>
      <c r="M1085" t="s">
        <v>36</v>
      </c>
      <c r="N1085" t="str">
        <f t="shared" si="16"/>
        <v>APINlaEtiOsa</v>
      </c>
    </row>
    <row r="1086" spans="8:14" x14ac:dyDescent="0.35">
      <c r="H1086" t="s">
        <v>227</v>
      </c>
      <c r="I1086" t="s">
        <v>290</v>
      </c>
      <c r="J1086" t="s">
        <v>757</v>
      </c>
      <c r="K1086" s="80" t="s">
        <v>2663</v>
      </c>
      <c r="L1086" t="s">
        <v>2664</v>
      </c>
      <c r="M1086" t="s">
        <v>36</v>
      </c>
      <c r="N1086" t="str">
        <f t="shared" si="16"/>
        <v>APINlaEtiOsa</v>
      </c>
    </row>
    <row r="1087" spans="8:14" x14ac:dyDescent="0.35">
      <c r="H1087" t="s">
        <v>227</v>
      </c>
      <c r="I1087" t="s">
        <v>290</v>
      </c>
      <c r="J1087" t="s">
        <v>757</v>
      </c>
      <c r="K1087" s="80" t="s">
        <v>2665</v>
      </c>
      <c r="L1087" t="s">
        <v>2666</v>
      </c>
      <c r="M1087" t="s">
        <v>36</v>
      </c>
      <c r="N1087" t="str">
        <f t="shared" si="16"/>
        <v>APINlaEtiOsa</v>
      </c>
    </row>
    <row r="1088" spans="8:14" x14ac:dyDescent="0.35">
      <c r="H1088" t="s">
        <v>227</v>
      </c>
      <c r="I1088" t="s">
        <v>290</v>
      </c>
      <c r="J1088" t="s">
        <v>757</v>
      </c>
      <c r="K1088" s="80" t="s">
        <v>2667</v>
      </c>
      <c r="L1088" t="s">
        <v>2668</v>
      </c>
      <c r="M1088" t="s">
        <v>36</v>
      </c>
      <c r="N1088" t="str">
        <f t="shared" si="16"/>
        <v>APINlaEtiOsa</v>
      </c>
    </row>
    <row r="1089" spans="8:14" x14ac:dyDescent="0.35">
      <c r="H1089" t="s">
        <v>227</v>
      </c>
      <c r="I1089" t="s">
        <v>290</v>
      </c>
      <c r="J1089" t="s">
        <v>757</v>
      </c>
      <c r="K1089" s="80" t="s">
        <v>2669</v>
      </c>
      <c r="L1089" t="s">
        <v>2670</v>
      </c>
      <c r="M1089" t="s">
        <v>36</v>
      </c>
      <c r="N1089" t="str">
        <f t="shared" si="16"/>
        <v>APINlaEtiOsa</v>
      </c>
    </row>
    <row r="1090" spans="8:14" x14ac:dyDescent="0.35">
      <c r="H1090" t="s">
        <v>227</v>
      </c>
      <c r="I1090" t="s">
        <v>290</v>
      </c>
      <c r="J1090" t="s">
        <v>757</v>
      </c>
      <c r="K1090" s="80" t="s">
        <v>2671</v>
      </c>
      <c r="L1090" t="s">
        <v>2672</v>
      </c>
      <c r="M1090" t="s">
        <v>36</v>
      </c>
      <c r="N1090" t="str">
        <f t="shared" si="16"/>
        <v>APINlaEtiOsa</v>
      </c>
    </row>
    <row r="1091" spans="8:14" x14ac:dyDescent="0.35">
      <c r="H1091" t="s">
        <v>227</v>
      </c>
      <c r="I1091" t="s">
        <v>290</v>
      </c>
      <c r="J1091" t="s">
        <v>760</v>
      </c>
      <c r="K1091" s="80" t="s">
        <v>2673</v>
      </c>
      <c r="L1091" t="s">
        <v>2674</v>
      </c>
      <c r="M1091" t="s">
        <v>36</v>
      </c>
      <c r="N1091" t="str">
        <f t="shared" ref="N1091:N1154" si="17">SUBSTITUTE(SUBSTITUTE(M1091&amp;J1091," ",""),"-","")</f>
        <v>APINlaIbejuLekki</v>
      </c>
    </row>
    <row r="1092" spans="8:14" x14ac:dyDescent="0.35">
      <c r="H1092" t="s">
        <v>227</v>
      </c>
      <c r="I1092" t="s">
        <v>290</v>
      </c>
      <c r="J1092" t="s">
        <v>760</v>
      </c>
      <c r="K1092" s="80" t="s">
        <v>2675</v>
      </c>
      <c r="L1092" t="s">
        <v>2676</v>
      </c>
      <c r="M1092" t="s">
        <v>36</v>
      </c>
      <c r="N1092" t="str">
        <f t="shared" si="17"/>
        <v>APINlaIbejuLekki</v>
      </c>
    </row>
    <row r="1093" spans="8:14" x14ac:dyDescent="0.35">
      <c r="H1093" t="s">
        <v>227</v>
      </c>
      <c r="I1093" t="s">
        <v>290</v>
      </c>
      <c r="J1093" t="s">
        <v>760</v>
      </c>
      <c r="K1093" s="80" t="s">
        <v>2677</v>
      </c>
      <c r="L1093" t="s">
        <v>2678</v>
      </c>
      <c r="M1093" t="s">
        <v>36</v>
      </c>
      <c r="N1093" t="str">
        <f t="shared" si="17"/>
        <v>APINlaIbejuLekki</v>
      </c>
    </row>
    <row r="1094" spans="8:14" x14ac:dyDescent="0.35">
      <c r="H1094" t="s">
        <v>227</v>
      </c>
      <c r="I1094" t="s">
        <v>290</v>
      </c>
      <c r="J1094" t="s">
        <v>760</v>
      </c>
      <c r="K1094" s="80" t="s">
        <v>2679</v>
      </c>
      <c r="L1094" t="s">
        <v>2680</v>
      </c>
      <c r="M1094" t="s">
        <v>36</v>
      </c>
      <c r="N1094" t="str">
        <f t="shared" si="17"/>
        <v>APINlaIbejuLekki</v>
      </c>
    </row>
    <row r="1095" spans="8:14" x14ac:dyDescent="0.35">
      <c r="H1095" t="s">
        <v>227</v>
      </c>
      <c r="I1095" t="s">
        <v>290</v>
      </c>
      <c r="J1095" t="s">
        <v>763</v>
      </c>
      <c r="K1095" s="80" t="s">
        <v>2681</v>
      </c>
      <c r="L1095" t="s">
        <v>2682</v>
      </c>
      <c r="M1095" t="s">
        <v>36</v>
      </c>
      <c r="N1095" t="str">
        <f t="shared" si="17"/>
        <v>APINlaIfakoIjaiye</v>
      </c>
    </row>
    <row r="1096" spans="8:14" x14ac:dyDescent="0.35">
      <c r="H1096" t="s">
        <v>227</v>
      </c>
      <c r="I1096" t="s">
        <v>290</v>
      </c>
      <c r="J1096" t="s">
        <v>763</v>
      </c>
      <c r="K1096" s="80" t="s">
        <v>2683</v>
      </c>
      <c r="L1096" t="s">
        <v>2684</v>
      </c>
      <c r="M1096" t="s">
        <v>36</v>
      </c>
      <c r="N1096" t="str">
        <f t="shared" si="17"/>
        <v>APINlaIfakoIjaiye</v>
      </c>
    </row>
    <row r="1097" spans="8:14" x14ac:dyDescent="0.35">
      <c r="H1097" t="s">
        <v>227</v>
      </c>
      <c r="I1097" t="s">
        <v>290</v>
      </c>
      <c r="J1097" t="s">
        <v>763</v>
      </c>
      <c r="K1097" s="80" t="s">
        <v>2685</v>
      </c>
      <c r="L1097" t="s">
        <v>2686</v>
      </c>
      <c r="M1097" t="s">
        <v>36</v>
      </c>
      <c r="N1097" t="str">
        <f t="shared" si="17"/>
        <v>APINlaIfakoIjaiye</v>
      </c>
    </row>
    <row r="1098" spans="8:14" x14ac:dyDescent="0.35">
      <c r="H1098" t="s">
        <v>227</v>
      </c>
      <c r="I1098" t="s">
        <v>290</v>
      </c>
      <c r="J1098" t="s">
        <v>763</v>
      </c>
      <c r="K1098" s="80" t="s">
        <v>2687</v>
      </c>
      <c r="L1098" t="s">
        <v>2688</v>
      </c>
      <c r="M1098" t="s">
        <v>36</v>
      </c>
      <c r="N1098" t="str">
        <f t="shared" si="17"/>
        <v>APINlaIfakoIjaiye</v>
      </c>
    </row>
    <row r="1099" spans="8:14" x14ac:dyDescent="0.35">
      <c r="H1099" t="s">
        <v>227</v>
      </c>
      <c r="I1099" t="s">
        <v>290</v>
      </c>
      <c r="J1099" t="s">
        <v>763</v>
      </c>
      <c r="K1099" s="80" t="s">
        <v>2689</v>
      </c>
      <c r="L1099" t="s">
        <v>2690</v>
      </c>
      <c r="M1099" t="s">
        <v>36</v>
      </c>
      <c r="N1099" t="str">
        <f t="shared" si="17"/>
        <v>APINlaIfakoIjaiye</v>
      </c>
    </row>
    <row r="1100" spans="8:14" x14ac:dyDescent="0.35">
      <c r="H1100" t="s">
        <v>227</v>
      </c>
      <c r="I1100" t="s">
        <v>290</v>
      </c>
      <c r="J1100" t="s">
        <v>763</v>
      </c>
      <c r="K1100" s="80" t="s">
        <v>2691</v>
      </c>
      <c r="L1100" t="s">
        <v>2692</v>
      </c>
      <c r="M1100" t="s">
        <v>36</v>
      </c>
      <c r="N1100" t="str">
        <f t="shared" si="17"/>
        <v>APINlaIfakoIjaiye</v>
      </c>
    </row>
    <row r="1101" spans="8:14" x14ac:dyDescent="0.35">
      <c r="H1101" t="s">
        <v>227</v>
      </c>
      <c r="I1101" t="s">
        <v>290</v>
      </c>
      <c r="J1101" t="s">
        <v>763</v>
      </c>
      <c r="K1101" s="80" t="s">
        <v>2693</v>
      </c>
      <c r="L1101" t="s">
        <v>2694</v>
      </c>
      <c r="M1101" t="s">
        <v>36</v>
      </c>
      <c r="N1101" t="str">
        <f t="shared" si="17"/>
        <v>APINlaIfakoIjaiye</v>
      </c>
    </row>
    <row r="1102" spans="8:14" x14ac:dyDescent="0.35">
      <c r="H1102" t="s">
        <v>227</v>
      </c>
      <c r="I1102" t="s">
        <v>290</v>
      </c>
      <c r="J1102" t="s">
        <v>763</v>
      </c>
      <c r="K1102" s="80" t="s">
        <v>2695</v>
      </c>
      <c r="L1102" t="s">
        <v>2696</v>
      </c>
      <c r="M1102" t="s">
        <v>36</v>
      </c>
      <c r="N1102" t="str">
        <f t="shared" si="17"/>
        <v>APINlaIfakoIjaiye</v>
      </c>
    </row>
    <row r="1103" spans="8:14" x14ac:dyDescent="0.35">
      <c r="H1103" t="s">
        <v>227</v>
      </c>
      <c r="I1103" t="s">
        <v>290</v>
      </c>
      <c r="J1103" t="s">
        <v>763</v>
      </c>
      <c r="K1103" s="80" t="s">
        <v>2697</v>
      </c>
      <c r="L1103" t="s">
        <v>2698</v>
      </c>
      <c r="M1103" t="s">
        <v>36</v>
      </c>
      <c r="N1103" t="str">
        <f t="shared" si="17"/>
        <v>APINlaIfakoIjaiye</v>
      </c>
    </row>
    <row r="1104" spans="8:14" x14ac:dyDescent="0.35">
      <c r="H1104" t="s">
        <v>227</v>
      </c>
      <c r="I1104" t="s">
        <v>290</v>
      </c>
      <c r="J1104" t="s">
        <v>763</v>
      </c>
      <c r="K1104" s="80" t="s">
        <v>2699</v>
      </c>
      <c r="L1104" t="s">
        <v>2700</v>
      </c>
      <c r="M1104" t="s">
        <v>36</v>
      </c>
      <c r="N1104" t="str">
        <f t="shared" si="17"/>
        <v>APINlaIfakoIjaiye</v>
      </c>
    </row>
    <row r="1105" spans="8:14" x14ac:dyDescent="0.35">
      <c r="H1105" t="s">
        <v>227</v>
      </c>
      <c r="I1105" t="s">
        <v>290</v>
      </c>
      <c r="J1105" t="s">
        <v>763</v>
      </c>
      <c r="K1105" s="80" t="s">
        <v>2701</v>
      </c>
      <c r="L1105" t="s">
        <v>2702</v>
      </c>
      <c r="M1105" t="s">
        <v>36</v>
      </c>
      <c r="N1105" t="str">
        <f t="shared" si="17"/>
        <v>APINlaIfakoIjaiye</v>
      </c>
    </row>
    <row r="1106" spans="8:14" x14ac:dyDescent="0.35">
      <c r="H1106" t="s">
        <v>227</v>
      </c>
      <c r="I1106" t="s">
        <v>290</v>
      </c>
      <c r="J1106" t="s">
        <v>763</v>
      </c>
      <c r="K1106" s="80" t="s">
        <v>2703</v>
      </c>
      <c r="L1106" t="s">
        <v>2704</v>
      </c>
      <c r="M1106" t="s">
        <v>36</v>
      </c>
      <c r="N1106" t="str">
        <f t="shared" si="17"/>
        <v>APINlaIfakoIjaiye</v>
      </c>
    </row>
    <row r="1107" spans="8:14" x14ac:dyDescent="0.35">
      <c r="H1107" t="s">
        <v>227</v>
      </c>
      <c r="I1107" t="s">
        <v>290</v>
      </c>
      <c r="J1107" t="s">
        <v>766</v>
      </c>
      <c r="K1107" s="80" t="s">
        <v>2705</v>
      </c>
      <c r="L1107" t="s">
        <v>2706</v>
      </c>
      <c r="M1107" t="s">
        <v>36</v>
      </c>
      <c r="N1107" t="str">
        <f t="shared" si="17"/>
        <v>APINlaIkeja</v>
      </c>
    </row>
    <row r="1108" spans="8:14" x14ac:dyDescent="0.35">
      <c r="H1108" t="s">
        <v>227</v>
      </c>
      <c r="I1108" t="s">
        <v>290</v>
      </c>
      <c r="J1108" t="s">
        <v>766</v>
      </c>
      <c r="K1108" s="80" t="s">
        <v>2707</v>
      </c>
      <c r="L1108" t="s">
        <v>2708</v>
      </c>
      <c r="M1108" t="s">
        <v>36</v>
      </c>
      <c r="N1108" t="str">
        <f t="shared" si="17"/>
        <v>APINlaIkeja</v>
      </c>
    </row>
    <row r="1109" spans="8:14" x14ac:dyDescent="0.35">
      <c r="H1109" t="s">
        <v>227</v>
      </c>
      <c r="I1109" t="s">
        <v>290</v>
      </c>
      <c r="J1109" t="s">
        <v>766</v>
      </c>
      <c r="K1109" s="80" t="s">
        <v>2709</v>
      </c>
      <c r="L1109" t="s">
        <v>2710</v>
      </c>
      <c r="M1109" t="s">
        <v>36</v>
      </c>
      <c r="N1109" t="str">
        <f t="shared" si="17"/>
        <v>APINlaIkeja</v>
      </c>
    </row>
    <row r="1110" spans="8:14" x14ac:dyDescent="0.35">
      <c r="H1110" t="s">
        <v>227</v>
      </c>
      <c r="I1110" t="s">
        <v>290</v>
      </c>
      <c r="J1110" t="s">
        <v>766</v>
      </c>
      <c r="K1110" s="80" t="s">
        <v>2711</v>
      </c>
      <c r="L1110" t="s">
        <v>2712</v>
      </c>
      <c r="M1110" t="s">
        <v>36</v>
      </c>
      <c r="N1110" t="str">
        <f t="shared" si="17"/>
        <v>APINlaIkeja</v>
      </c>
    </row>
    <row r="1111" spans="8:14" x14ac:dyDescent="0.35">
      <c r="H1111" t="s">
        <v>227</v>
      </c>
      <c r="I1111" t="s">
        <v>290</v>
      </c>
      <c r="J1111" t="s">
        <v>766</v>
      </c>
      <c r="K1111" s="80" t="s">
        <v>2713</v>
      </c>
      <c r="L1111" t="s">
        <v>2714</v>
      </c>
      <c r="M1111" t="s">
        <v>36</v>
      </c>
      <c r="N1111" t="str">
        <f t="shared" si="17"/>
        <v>APINlaIkeja</v>
      </c>
    </row>
    <row r="1112" spans="8:14" x14ac:dyDescent="0.35">
      <c r="H1112" t="s">
        <v>227</v>
      </c>
      <c r="I1112" t="s">
        <v>290</v>
      </c>
      <c r="J1112" t="s">
        <v>766</v>
      </c>
      <c r="K1112" s="80" t="s">
        <v>2715</v>
      </c>
      <c r="L1112" t="s">
        <v>2716</v>
      </c>
      <c r="M1112" t="s">
        <v>36</v>
      </c>
      <c r="N1112" t="str">
        <f t="shared" si="17"/>
        <v>APINlaIkeja</v>
      </c>
    </row>
    <row r="1113" spans="8:14" x14ac:dyDescent="0.35">
      <c r="H1113" t="s">
        <v>227</v>
      </c>
      <c r="I1113" t="s">
        <v>290</v>
      </c>
      <c r="J1113" t="s">
        <v>766</v>
      </c>
      <c r="K1113" s="80" t="s">
        <v>2717</v>
      </c>
      <c r="L1113" t="s">
        <v>2718</v>
      </c>
      <c r="M1113" t="s">
        <v>36</v>
      </c>
      <c r="N1113" t="str">
        <f t="shared" si="17"/>
        <v>APINlaIkeja</v>
      </c>
    </row>
    <row r="1114" spans="8:14" x14ac:dyDescent="0.35">
      <c r="H1114" t="s">
        <v>227</v>
      </c>
      <c r="I1114" t="s">
        <v>290</v>
      </c>
      <c r="J1114" t="s">
        <v>766</v>
      </c>
      <c r="K1114" s="80" t="s">
        <v>2719</v>
      </c>
      <c r="L1114" t="s">
        <v>2720</v>
      </c>
      <c r="M1114" t="s">
        <v>36</v>
      </c>
      <c r="N1114" t="str">
        <f t="shared" si="17"/>
        <v>APINlaIkeja</v>
      </c>
    </row>
    <row r="1115" spans="8:14" x14ac:dyDescent="0.35">
      <c r="H1115" t="s">
        <v>227</v>
      </c>
      <c r="I1115" t="s">
        <v>290</v>
      </c>
      <c r="J1115" t="s">
        <v>766</v>
      </c>
      <c r="K1115" s="80" t="s">
        <v>2721</v>
      </c>
      <c r="L1115" t="s">
        <v>2722</v>
      </c>
      <c r="M1115" t="s">
        <v>36</v>
      </c>
      <c r="N1115" t="str">
        <f t="shared" si="17"/>
        <v>APINlaIkeja</v>
      </c>
    </row>
    <row r="1116" spans="8:14" x14ac:dyDescent="0.35">
      <c r="H1116" t="s">
        <v>227</v>
      </c>
      <c r="I1116" t="s">
        <v>290</v>
      </c>
      <c r="J1116" t="s">
        <v>766</v>
      </c>
      <c r="K1116" s="80" t="s">
        <v>2723</v>
      </c>
      <c r="L1116" t="s">
        <v>2724</v>
      </c>
      <c r="M1116" t="s">
        <v>36</v>
      </c>
      <c r="N1116" t="str">
        <f t="shared" si="17"/>
        <v>APINlaIkeja</v>
      </c>
    </row>
    <row r="1117" spans="8:14" x14ac:dyDescent="0.35">
      <c r="H1117" t="s">
        <v>227</v>
      </c>
      <c r="I1117" t="s">
        <v>290</v>
      </c>
      <c r="J1117" t="s">
        <v>766</v>
      </c>
      <c r="K1117" s="80" t="s">
        <v>2725</v>
      </c>
      <c r="L1117" t="s">
        <v>2726</v>
      </c>
      <c r="M1117" t="s">
        <v>36</v>
      </c>
      <c r="N1117" t="str">
        <f t="shared" si="17"/>
        <v>APINlaIkeja</v>
      </c>
    </row>
    <row r="1118" spans="8:14" x14ac:dyDescent="0.35">
      <c r="H1118" t="s">
        <v>227</v>
      </c>
      <c r="I1118" t="s">
        <v>290</v>
      </c>
      <c r="J1118" t="s">
        <v>766</v>
      </c>
      <c r="K1118" s="80" t="s">
        <v>2727</v>
      </c>
      <c r="L1118" t="s">
        <v>2728</v>
      </c>
      <c r="M1118" t="s">
        <v>36</v>
      </c>
      <c r="N1118" t="str">
        <f t="shared" si="17"/>
        <v>APINlaIkeja</v>
      </c>
    </row>
    <row r="1119" spans="8:14" x14ac:dyDescent="0.35">
      <c r="H1119" t="s">
        <v>227</v>
      </c>
      <c r="I1119" t="s">
        <v>290</v>
      </c>
      <c r="J1119" t="s">
        <v>766</v>
      </c>
      <c r="K1119" s="80" t="s">
        <v>2729</v>
      </c>
      <c r="L1119" t="s">
        <v>2730</v>
      </c>
      <c r="M1119" t="s">
        <v>36</v>
      </c>
      <c r="N1119" t="str">
        <f t="shared" si="17"/>
        <v>APINlaIkeja</v>
      </c>
    </row>
    <row r="1120" spans="8:14" x14ac:dyDescent="0.35">
      <c r="H1120" t="s">
        <v>227</v>
      </c>
      <c r="I1120" t="s">
        <v>290</v>
      </c>
      <c r="J1120" t="s">
        <v>766</v>
      </c>
      <c r="K1120" s="80" t="s">
        <v>2731</v>
      </c>
      <c r="L1120" t="s">
        <v>2732</v>
      </c>
      <c r="M1120" t="s">
        <v>36</v>
      </c>
      <c r="N1120" t="str">
        <f t="shared" si="17"/>
        <v>APINlaIkeja</v>
      </c>
    </row>
    <row r="1121" spans="8:14" x14ac:dyDescent="0.35">
      <c r="H1121" t="s">
        <v>227</v>
      </c>
      <c r="I1121" t="s">
        <v>290</v>
      </c>
      <c r="J1121" t="s">
        <v>766</v>
      </c>
      <c r="K1121" s="80" t="s">
        <v>2733</v>
      </c>
      <c r="L1121" t="s">
        <v>2734</v>
      </c>
      <c r="M1121" t="s">
        <v>36</v>
      </c>
      <c r="N1121" t="str">
        <f t="shared" si="17"/>
        <v>APINlaIkeja</v>
      </c>
    </row>
    <row r="1122" spans="8:14" x14ac:dyDescent="0.35">
      <c r="H1122" t="s">
        <v>227</v>
      </c>
      <c r="I1122" t="s">
        <v>290</v>
      </c>
      <c r="J1122" t="s">
        <v>766</v>
      </c>
      <c r="K1122" s="80" t="s">
        <v>2735</v>
      </c>
      <c r="L1122" t="s">
        <v>2736</v>
      </c>
      <c r="M1122" t="s">
        <v>36</v>
      </c>
      <c r="N1122" t="str">
        <f t="shared" si="17"/>
        <v>APINlaIkeja</v>
      </c>
    </row>
    <row r="1123" spans="8:14" x14ac:dyDescent="0.35">
      <c r="H1123" t="s">
        <v>227</v>
      </c>
      <c r="I1123" t="s">
        <v>290</v>
      </c>
      <c r="J1123" t="s">
        <v>766</v>
      </c>
      <c r="K1123" s="80" t="s">
        <v>2737</v>
      </c>
      <c r="L1123" t="s">
        <v>2738</v>
      </c>
      <c r="M1123" t="s">
        <v>36</v>
      </c>
      <c r="N1123" t="str">
        <f t="shared" si="17"/>
        <v>APINlaIkeja</v>
      </c>
    </row>
    <row r="1124" spans="8:14" x14ac:dyDescent="0.35">
      <c r="H1124" t="s">
        <v>227</v>
      </c>
      <c r="I1124" t="s">
        <v>290</v>
      </c>
      <c r="J1124" t="s">
        <v>766</v>
      </c>
      <c r="K1124" s="80" t="s">
        <v>2739</v>
      </c>
      <c r="L1124" t="s">
        <v>2740</v>
      </c>
      <c r="M1124" t="s">
        <v>36</v>
      </c>
      <c r="N1124" t="str">
        <f t="shared" si="17"/>
        <v>APINlaIkeja</v>
      </c>
    </row>
    <row r="1125" spans="8:14" x14ac:dyDescent="0.35">
      <c r="H1125" t="s">
        <v>227</v>
      </c>
      <c r="I1125" t="s">
        <v>290</v>
      </c>
      <c r="J1125" t="s">
        <v>769</v>
      </c>
      <c r="K1125" s="80" t="s">
        <v>2741</v>
      </c>
      <c r="L1125" t="s">
        <v>2742</v>
      </c>
      <c r="M1125" t="s">
        <v>36</v>
      </c>
      <c r="N1125" t="str">
        <f t="shared" si="17"/>
        <v>APINlaIkorodu</v>
      </c>
    </row>
    <row r="1126" spans="8:14" x14ac:dyDescent="0.35">
      <c r="H1126" t="s">
        <v>227</v>
      </c>
      <c r="I1126" t="s">
        <v>290</v>
      </c>
      <c r="J1126" t="s">
        <v>769</v>
      </c>
      <c r="K1126" s="80" t="s">
        <v>2743</v>
      </c>
      <c r="L1126" t="s">
        <v>2744</v>
      </c>
      <c r="M1126" t="s">
        <v>36</v>
      </c>
      <c r="N1126" t="str">
        <f t="shared" si="17"/>
        <v>APINlaIkorodu</v>
      </c>
    </row>
    <row r="1127" spans="8:14" x14ac:dyDescent="0.35">
      <c r="H1127" t="s">
        <v>227</v>
      </c>
      <c r="I1127" t="s">
        <v>290</v>
      </c>
      <c r="J1127" t="s">
        <v>769</v>
      </c>
      <c r="K1127" s="80" t="s">
        <v>2745</v>
      </c>
      <c r="L1127" t="s">
        <v>2746</v>
      </c>
      <c r="M1127" t="s">
        <v>36</v>
      </c>
      <c r="N1127" t="str">
        <f t="shared" si="17"/>
        <v>APINlaIkorodu</v>
      </c>
    </row>
    <row r="1128" spans="8:14" x14ac:dyDescent="0.35">
      <c r="H1128" t="s">
        <v>227</v>
      </c>
      <c r="I1128" t="s">
        <v>290</v>
      </c>
      <c r="J1128" t="s">
        <v>769</v>
      </c>
      <c r="K1128" s="80" t="s">
        <v>2747</v>
      </c>
      <c r="L1128" t="s">
        <v>2748</v>
      </c>
      <c r="M1128" t="s">
        <v>36</v>
      </c>
      <c r="N1128" t="str">
        <f t="shared" si="17"/>
        <v>APINlaIkorodu</v>
      </c>
    </row>
    <row r="1129" spans="8:14" x14ac:dyDescent="0.35">
      <c r="H1129" t="s">
        <v>227</v>
      </c>
      <c r="I1129" t="s">
        <v>290</v>
      </c>
      <c r="J1129" t="s">
        <v>769</v>
      </c>
      <c r="K1129" s="80" t="s">
        <v>2749</v>
      </c>
      <c r="L1129" t="s">
        <v>2750</v>
      </c>
      <c r="M1129" t="s">
        <v>36</v>
      </c>
      <c r="N1129" t="str">
        <f t="shared" si="17"/>
        <v>APINlaIkorodu</v>
      </c>
    </row>
    <row r="1130" spans="8:14" x14ac:dyDescent="0.35">
      <c r="H1130" t="s">
        <v>227</v>
      </c>
      <c r="I1130" t="s">
        <v>290</v>
      </c>
      <c r="J1130" t="s">
        <v>769</v>
      </c>
      <c r="K1130" s="80" t="s">
        <v>2751</v>
      </c>
      <c r="L1130" t="s">
        <v>2752</v>
      </c>
      <c r="M1130" t="s">
        <v>36</v>
      </c>
      <c r="N1130" s="80" t="str">
        <f t="shared" si="17"/>
        <v>APINlaIkorodu</v>
      </c>
    </row>
    <row r="1131" spans="8:14" x14ac:dyDescent="0.35">
      <c r="H1131" t="s">
        <v>227</v>
      </c>
      <c r="I1131" t="s">
        <v>290</v>
      </c>
      <c r="J1131" t="s">
        <v>769</v>
      </c>
      <c r="K1131" s="80" t="s">
        <v>2753</v>
      </c>
      <c r="L1131" t="s">
        <v>2754</v>
      </c>
      <c r="M1131" t="s">
        <v>36</v>
      </c>
      <c r="N1131" t="str">
        <f t="shared" si="17"/>
        <v>APINlaIkorodu</v>
      </c>
    </row>
    <row r="1132" spans="8:14" x14ac:dyDescent="0.35">
      <c r="H1132" t="s">
        <v>227</v>
      </c>
      <c r="I1132" t="s">
        <v>290</v>
      </c>
      <c r="J1132" t="s">
        <v>769</v>
      </c>
      <c r="K1132" s="80" t="s">
        <v>2755</v>
      </c>
      <c r="L1132" t="s">
        <v>2756</v>
      </c>
      <c r="M1132" t="s">
        <v>36</v>
      </c>
      <c r="N1132" t="str">
        <f t="shared" si="17"/>
        <v>APINlaIkorodu</v>
      </c>
    </row>
    <row r="1133" spans="8:14" x14ac:dyDescent="0.35">
      <c r="H1133" t="s">
        <v>227</v>
      </c>
      <c r="I1133" t="s">
        <v>290</v>
      </c>
      <c r="J1133" t="s">
        <v>769</v>
      </c>
      <c r="K1133" s="80" t="s">
        <v>2757</v>
      </c>
      <c r="L1133" t="s">
        <v>2758</v>
      </c>
      <c r="M1133" t="s">
        <v>36</v>
      </c>
      <c r="N1133" t="str">
        <f t="shared" si="17"/>
        <v>APINlaIkorodu</v>
      </c>
    </row>
    <row r="1134" spans="8:14" x14ac:dyDescent="0.35">
      <c r="H1134" t="s">
        <v>227</v>
      </c>
      <c r="I1134" t="s">
        <v>290</v>
      </c>
      <c r="J1134" t="s">
        <v>772</v>
      </c>
      <c r="K1134" s="80" t="s">
        <v>2759</v>
      </c>
      <c r="L1134" t="s">
        <v>2760</v>
      </c>
      <c r="M1134" t="s">
        <v>36</v>
      </c>
      <c r="N1134" t="str">
        <f t="shared" si="17"/>
        <v>APINlaMushin</v>
      </c>
    </row>
    <row r="1135" spans="8:14" x14ac:dyDescent="0.35">
      <c r="H1135" t="s">
        <v>227</v>
      </c>
      <c r="I1135" t="s">
        <v>290</v>
      </c>
      <c r="J1135" t="s">
        <v>772</v>
      </c>
      <c r="K1135" s="80" t="s">
        <v>2761</v>
      </c>
      <c r="L1135" t="s">
        <v>2762</v>
      </c>
      <c r="M1135" t="s">
        <v>36</v>
      </c>
      <c r="N1135" t="str">
        <f t="shared" si="17"/>
        <v>APINlaMushin</v>
      </c>
    </row>
    <row r="1136" spans="8:14" x14ac:dyDescent="0.35">
      <c r="H1136" t="s">
        <v>227</v>
      </c>
      <c r="I1136" t="s">
        <v>290</v>
      </c>
      <c r="J1136" t="s">
        <v>772</v>
      </c>
      <c r="K1136" s="80" t="s">
        <v>2763</v>
      </c>
      <c r="L1136" t="s">
        <v>2764</v>
      </c>
      <c r="M1136" t="s">
        <v>36</v>
      </c>
      <c r="N1136" t="str">
        <f t="shared" si="17"/>
        <v>APINlaMushin</v>
      </c>
    </row>
    <row r="1137" spans="8:14" x14ac:dyDescent="0.35">
      <c r="H1137" t="s">
        <v>227</v>
      </c>
      <c r="I1137" t="s">
        <v>290</v>
      </c>
      <c r="J1137" t="s">
        <v>772</v>
      </c>
      <c r="K1137" s="80" t="s">
        <v>2765</v>
      </c>
      <c r="L1137" t="s">
        <v>2766</v>
      </c>
      <c r="M1137" t="s">
        <v>36</v>
      </c>
      <c r="N1137" t="str">
        <f t="shared" si="17"/>
        <v>APINlaMushin</v>
      </c>
    </row>
    <row r="1138" spans="8:14" x14ac:dyDescent="0.35">
      <c r="H1138" t="s">
        <v>227</v>
      </c>
      <c r="I1138" t="s">
        <v>290</v>
      </c>
      <c r="J1138" t="s">
        <v>772</v>
      </c>
      <c r="K1138" s="80" t="s">
        <v>2767</v>
      </c>
      <c r="L1138" t="s">
        <v>2768</v>
      </c>
      <c r="M1138" t="s">
        <v>36</v>
      </c>
      <c r="N1138" t="str">
        <f t="shared" si="17"/>
        <v>APINlaMushin</v>
      </c>
    </row>
    <row r="1139" spans="8:14" x14ac:dyDescent="0.35">
      <c r="H1139" t="s">
        <v>227</v>
      </c>
      <c r="I1139" t="s">
        <v>290</v>
      </c>
      <c r="J1139" t="s">
        <v>772</v>
      </c>
      <c r="K1139" s="80" t="s">
        <v>2769</v>
      </c>
      <c r="L1139" t="s">
        <v>2770</v>
      </c>
      <c r="M1139" t="s">
        <v>36</v>
      </c>
      <c r="N1139" t="str">
        <f t="shared" si="17"/>
        <v>APINlaMushin</v>
      </c>
    </row>
    <row r="1140" spans="8:14" x14ac:dyDescent="0.35">
      <c r="H1140" t="s">
        <v>227</v>
      </c>
      <c r="I1140" t="s">
        <v>290</v>
      </c>
      <c r="J1140" t="s">
        <v>772</v>
      </c>
      <c r="K1140" s="80" t="s">
        <v>2771</v>
      </c>
      <c r="L1140" t="s">
        <v>2772</v>
      </c>
      <c r="M1140" t="s">
        <v>36</v>
      </c>
      <c r="N1140" t="str">
        <f t="shared" si="17"/>
        <v>APINlaMushin</v>
      </c>
    </row>
    <row r="1141" spans="8:14" x14ac:dyDescent="0.35">
      <c r="H1141" t="s">
        <v>227</v>
      </c>
      <c r="I1141" t="s">
        <v>290</v>
      </c>
      <c r="J1141" t="s">
        <v>772</v>
      </c>
      <c r="K1141" s="80" t="s">
        <v>2773</v>
      </c>
      <c r="L1141" t="s">
        <v>2774</v>
      </c>
      <c r="M1141" t="s">
        <v>36</v>
      </c>
      <c r="N1141" t="str">
        <f t="shared" si="17"/>
        <v>APINlaMushin</v>
      </c>
    </row>
    <row r="1142" spans="8:14" x14ac:dyDescent="0.35">
      <c r="H1142" t="s">
        <v>227</v>
      </c>
      <c r="I1142" t="s">
        <v>290</v>
      </c>
      <c r="J1142" t="s">
        <v>772</v>
      </c>
      <c r="K1142" s="80" t="s">
        <v>2775</v>
      </c>
      <c r="L1142" t="s">
        <v>2776</v>
      </c>
      <c r="M1142" t="s">
        <v>36</v>
      </c>
      <c r="N1142" t="str">
        <f t="shared" si="17"/>
        <v>APINlaMushin</v>
      </c>
    </row>
    <row r="1143" spans="8:14" x14ac:dyDescent="0.35">
      <c r="H1143" t="s">
        <v>227</v>
      </c>
      <c r="I1143" t="s">
        <v>290</v>
      </c>
      <c r="J1143" t="s">
        <v>772</v>
      </c>
      <c r="K1143" s="80" t="s">
        <v>2777</v>
      </c>
      <c r="L1143" t="s">
        <v>2778</v>
      </c>
      <c r="M1143" t="s">
        <v>36</v>
      </c>
      <c r="N1143" t="str">
        <f t="shared" si="17"/>
        <v>APINlaMushin</v>
      </c>
    </row>
    <row r="1144" spans="8:14" x14ac:dyDescent="0.35">
      <c r="H1144" t="s">
        <v>227</v>
      </c>
      <c r="I1144" t="s">
        <v>290</v>
      </c>
      <c r="J1144" t="s">
        <v>772</v>
      </c>
      <c r="K1144" s="80" t="s">
        <v>2779</v>
      </c>
      <c r="L1144" t="s">
        <v>2780</v>
      </c>
      <c r="M1144" t="s">
        <v>36</v>
      </c>
      <c r="N1144" t="str">
        <f t="shared" si="17"/>
        <v>APINlaMushin</v>
      </c>
    </row>
    <row r="1145" spans="8:14" x14ac:dyDescent="0.35">
      <c r="H1145" t="s">
        <v>227</v>
      </c>
      <c r="I1145" t="s">
        <v>290</v>
      </c>
      <c r="J1145" t="s">
        <v>772</v>
      </c>
      <c r="K1145" s="80" t="s">
        <v>2781</v>
      </c>
      <c r="L1145" t="s">
        <v>2782</v>
      </c>
      <c r="M1145" t="s">
        <v>36</v>
      </c>
      <c r="N1145" t="str">
        <f t="shared" si="17"/>
        <v>APINlaMushin</v>
      </c>
    </row>
    <row r="1146" spans="8:14" x14ac:dyDescent="0.35">
      <c r="H1146" t="s">
        <v>227</v>
      </c>
      <c r="I1146" t="s">
        <v>290</v>
      </c>
      <c r="J1146" t="s">
        <v>772</v>
      </c>
      <c r="K1146" s="80" t="s">
        <v>2783</v>
      </c>
      <c r="L1146" t="s">
        <v>2784</v>
      </c>
      <c r="M1146" t="s">
        <v>36</v>
      </c>
      <c r="N1146" t="str">
        <f t="shared" si="17"/>
        <v>APINlaMushin</v>
      </c>
    </row>
    <row r="1147" spans="8:14" x14ac:dyDescent="0.35">
      <c r="H1147" t="s">
        <v>227</v>
      </c>
      <c r="I1147" t="s">
        <v>290</v>
      </c>
      <c r="J1147" t="s">
        <v>772</v>
      </c>
      <c r="K1147" s="80" t="s">
        <v>2785</v>
      </c>
      <c r="L1147" t="s">
        <v>2786</v>
      </c>
      <c r="M1147" t="s">
        <v>36</v>
      </c>
      <c r="N1147" t="str">
        <f t="shared" si="17"/>
        <v>APINlaMushin</v>
      </c>
    </row>
    <row r="1148" spans="8:14" x14ac:dyDescent="0.35">
      <c r="H1148" t="s">
        <v>227</v>
      </c>
      <c r="I1148" t="s">
        <v>290</v>
      </c>
      <c r="J1148" t="s">
        <v>775</v>
      </c>
      <c r="K1148" s="80" t="s">
        <v>2787</v>
      </c>
      <c r="L1148" t="s">
        <v>2788</v>
      </c>
      <c r="M1148" t="s">
        <v>36</v>
      </c>
      <c r="N1148" t="str">
        <f t="shared" si="17"/>
        <v>APINlaOshodiIsolo</v>
      </c>
    </row>
    <row r="1149" spans="8:14" x14ac:dyDescent="0.35">
      <c r="H1149" t="s">
        <v>227</v>
      </c>
      <c r="I1149" t="s">
        <v>290</v>
      </c>
      <c r="J1149" t="s">
        <v>775</v>
      </c>
      <c r="K1149" s="80" t="s">
        <v>2789</v>
      </c>
      <c r="L1149" t="s">
        <v>2790</v>
      </c>
      <c r="M1149" t="s">
        <v>36</v>
      </c>
      <c r="N1149" t="str">
        <f t="shared" si="17"/>
        <v>APINlaOshodiIsolo</v>
      </c>
    </row>
    <row r="1150" spans="8:14" x14ac:dyDescent="0.35">
      <c r="H1150" t="s">
        <v>227</v>
      </c>
      <c r="I1150" t="s">
        <v>290</v>
      </c>
      <c r="J1150" t="s">
        <v>775</v>
      </c>
      <c r="K1150" s="80" t="s">
        <v>2791</v>
      </c>
      <c r="L1150" t="s">
        <v>2792</v>
      </c>
      <c r="M1150" t="s">
        <v>36</v>
      </c>
      <c r="N1150" t="str">
        <f t="shared" si="17"/>
        <v>APINlaOshodiIsolo</v>
      </c>
    </row>
    <row r="1151" spans="8:14" x14ac:dyDescent="0.35">
      <c r="H1151" t="s">
        <v>227</v>
      </c>
      <c r="I1151" t="s">
        <v>290</v>
      </c>
      <c r="J1151" t="s">
        <v>775</v>
      </c>
      <c r="K1151" s="80" t="s">
        <v>2793</v>
      </c>
      <c r="L1151" t="s">
        <v>2794</v>
      </c>
      <c r="M1151" t="s">
        <v>36</v>
      </c>
      <c r="N1151" t="str">
        <f t="shared" si="17"/>
        <v>APINlaOshodiIsolo</v>
      </c>
    </row>
    <row r="1152" spans="8:14" x14ac:dyDescent="0.35">
      <c r="H1152" t="s">
        <v>227</v>
      </c>
      <c r="I1152" t="s">
        <v>290</v>
      </c>
      <c r="J1152" t="s">
        <v>775</v>
      </c>
      <c r="K1152" s="80" t="s">
        <v>2795</v>
      </c>
      <c r="L1152" t="s">
        <v>2796</v>
      </c>
      <c r="M1152" t="s">
        <v>36</v>
      </c>
      <c r="N1152" t="str">
        <f t="shared" si="17"/>
        <v>APINlaOshodiIsolo</v>
      </c>
    </row>
    <row r="1153" spans="8:14" x14ac:dyDescent="0.35">
      <c r="H1153" t="s">
        <v>227</v>
      </c>
      <c r="I1153" t="s">
        <v>290</v>
      </c>
      <c r="J1153" t="s">
        <v>775</v>
      </c>
      <c r="K1153" s="80" t="s">
        <v>2797</v>
      </c>
      <c r="L1153" t="s">
        <v>2798</v>
      </c>
      <c r="M1153" t="s">
        <v>36</v>
      </c>
      <c r="N1153" t="str">
        <f t="shared" si="17"/>
        <v>APINlaOshodiIsolo</v>
      </c>
    </row>
    <row r="1154" spans="8:14" x14ac:dyDescent="0.35">
      <c r="H1154" t="s">
        <v>227</v>
      </c>
      <c r="I1154" t="s">
        <v>290</v>
      </c>
      <c r="J1154" t="s">
        <v>775</v>
      </c>
      <c r="K1154" s="80" t="s">
        <v>2799</v>
      </c>
      <c r="L1154" t="s">
        <v>2800</v>
      </c>
      <c r="M1154" t="s">
        <v>36</v>
      </c>
      <c r="N1154" t="str">
        <f t="shared" si="17"/>
        <v>APINlaOshodiIsolo</v>
      </c>
    </row>
    <row r="1155" spans="8:14" x14ac:dyDescent="0.35">
      <c r="H1155" t="s">
        <v>227</v>
      </c>
      <c r="I1155" t="s">
        <v>290</v>
      </c>
      <c r="J1155" t="s">
        <v>775</v>
      </c>
      <c r="K1155" s="80" t="s">
        <v>2801</v>
      </c>
      <c r="L1155" t="s">
        <v>2802</v>
      </c>
      <c r="M1155" t="s">
        <v>36</v>
      </c>
      <c r="N1155" t="str">
        <f t="shared" ref="N1155:N1218" si="18">SUBSTITUTE(SUBSTITUTE(M1155&amp;J1155," ",""),"-","")</f>
        <v>APINlaOshodiIsolo</v>
      </c>
    </row>
    <row r="1156" spans="8:14" x14ac:dyDescent="0.35">
      <c r="H1156" t="s">
        <v>227</v>
      </c>
      <c r="I1156" t="s">
        <v>290</v>
      </c>
      <c r="J1156" t="s">
        <v>775</v>
      </c>
      <c r="K1156" s="80" t="s">
        <v>2803</v>
      </c>
      <c r="L1156" t="s">
        <v>2804</v>
      </c>
      <c r="M1156" t="s">
        <v>36</v>
      </c>
      <c r="N1156" t="str">
        <f t="shared" si="18"/>
        <v>APINlaOshodiIsolo</v>
      </c>
    </row>
    <row r="1157" spans="8:14" x14ac:dyDescent="0.35">
      <c r="H1157" t="s">
        <v>227</v>
      </c>
      <c r="I1157" t="s">
        <v>290</v>
      </c>
      <c r="J1157" t="s">
        <v>775</v>
      </c>
      <c r="K1157" s="80" t="s">
        <v>2805</v>
      </c>
      <c r="L1157" t="s">
        <v>2806</v>
      </c>
      <c r="M1157" t="s">
        <v>36</v>
      </c>
      <c r="N1157" t="str">
        <f t="shared" si="18"/>
        <v>APINlaOshodiIsolo</v>
      </c>
    </row>
    <row r="1158" spans="8:14" x14ac:dyDescent="0.35">
      <c r="H1158" t="s">
        <v>227</v>
      </c>
      <c r="I1158" t="s">
        <v>290</v>
      </c>
      <c r="J1158" t="s">
        <v>775</v>
      </c>
      <c r="K1158" s="80" t="s">
        <v>2807</v>
      </c>
      <c r="L1158" t="s">
        <v>2808</v>
      </c>
      <c r="M1158" t="s">
        <v>36</v>
      </c>
      <c r="N1158" t="str">
        <f t="shared" si="18"/>
        <v>APINlaOshodiIsolo</v>
      </c>
    </row>
    <row r="1159" spans="8:14" x14ac:dyDescent="0.35">
      <c r="H1159" t="s">
        <v>227</v>
      </c>
      <c r="I1159" t="s">
        <v>290</v>
      </c>
      <c r="J1159" t="s">
        <v>775</v>
      </c>
      <c r="K1159" s="80" t="s">
        <v>2809</v>
      </c>
      <c r="L1159" t="s">
        <v>2810</v>
      </c>
      <c r="M1159" t="s">
        <v>36</v>
      </c>
      <c r="N1159" t="str">
        <f t="shared" si="18"/>
        <v>APINlaOshodiIsolo</v>
      </c>
    </row>
    <row r="1160" spans="8:14" x14ac:dyDescent="0.35">
      <c r="H1160" t="s">
        <v>227</v>
      </c>
      <c r="I1160" t="s">
        <v>290</v>
      </c>
      <c r="J1160" t="s">
        <v>775</v>
      </c>
      <c r="K1160" s="80" t="s">
        <v>2811</v>
      </c>
      <c r="L1160" t="s">
        <v>2812</v>
      </c>
      <c r="M1160" t="s">
        <v>36</v>
      </c>
      <c r="N1160" t="str">
        <f t="shared" si="18"/>
        <v>APINlaOshodiIsolo</v>
      </c>
    </row>
    <row r="1161" spans="8:14" x14ac:dyDescent="0.35">
      <c r="H1161" t="s">
        <v>227</v>
      </c>
      <c r="I1161" t="s">
        <v>290</v>
      </c>
      <c r="J1161" t="s">
        <v>775</v>
      </c>
      <c r="K1161" s="80" t="s">
        <v>2813</v>
      </c>
      <c r="L1161" t="s">
        <v>2814</v>
      </c>
      <c r="M1161" t="s">
        <v>36</v>
      </c>
      <c r="N1161" t="str">
        <f t="shared" si="18"/>
        <v>APINlaOshodiIsolo</v>
      </c>
    </row>
    <row r="1162" spans="8:14" x14ac:dyDescent="0.35">
      <c r="H1162" t="s">
        <v>227</v>
      </c>
      <c r="I1162" t="s">
        <v>234</v>
      </c>
      <c r="J1162" t="s">
        <v>261</v>
      </c>
      <c r="K1162" s="80" t="s">
        <v>2815</v>
      </c>
      <c r="L1162" t="s">
        <v>2816</v>
      </c>
      <c r="M1162" t="s">
        <v>245</v>
      </c>
      <c r="N1162" t="str">
        <f t="shared" si="18"/>
        <v>IHVNnaAkwanga</v>
      </c>
    </row>
    <row r="1163" spans="8:14" x14ac:dyDescent="0.35">
      <c r="H1163" t="s">
        <v>227</v>
      </c>
      <c r="I1163" t="s">
        <v>234</v>
      </c>
      <c r="J1163" t="s">
        <v>261</v>
      </c>
      <c r="K1163" s="80" t="s">
        <v>2817</v>
      </c>
      <c r="L1163" t="s">
        <v>2818</v>
      </c>
      <c r="M1163" t="s">
        <v>245</v>
      </c>
      <c r="N1163" t="str">
        <f t="shared" si="18"/>
        <v>IHVNnaAkwanga</v>
      </c>
    </row>
    <row r="1164" spans="8:14" x14ac:dyDescent="0.35">
      <c r="H1164" t="s">
        <v>227</v>
      </c>
      <c r="I1164" t="s">
        <v>234</v>
      </c>
      <c r="J1164" t="s">
        <v>261</v>
      </c>
      <c r="K1164" s="80" t="s">
        <v>2819</v>
      </c>
      <c r="L1164" t="s">
        <v>2820</v>
      </c>
      <c r="M1164" t="s">
        <v>245</v>
      </c>
      <c r="N1164" t="str">
        <f t="shared" si="18"/>
        <v>IHVNnaAkwanga</v>
      </c>
    </row>
    <row r="1165" spans="8:14" x14ac:dyDescent="0.35">
      <c r="H1165" t="s">
        <v>227</v>
      </c>
      <c r="I1165" t="s">
        <v>234</v>
      </c>
      <c r="J1165" t="s">
        <v>261</v>
      </c>
      <c r="K1165" s="80" t="s">
        <v>2821</v>
      </c>
      <c r="L1165" t="s">
        <v>2822</v>
      </c>
      <c r="M1165" t="s">
        <v>245</v>
      </c>
      <c r="N1165" t="str">
        <f t="shared" si="18"/>
        <v>IHVNnaAkwanga</v>
      </c>
    </row>
    <row r="1166" spans="8:14" x14ac:dyDescent="0.35">
      <c r="H1166" t="s">
        <v>227</v>
      </c>
      <c r="I1166" t="s">
        <v>234</v>
      </c>
      <c r="J1166" t="s">
        <v>261</v>
      </c>
      <c r="K1166" s="80" t="s">
        <v>2823</v>
      </c>
      <c r="L1166" t="s">
        <v>2824</v>
      </c>
      <c r="M1166" t="s">
        <v>245</v>
      </c>
      <c r="N1166" t="str">
        <f t="shared" si="18"/>
        <v>IHVNnaAkwanga</v>
      </c>
    </row>
    <row r="1167" spans="8:14" x14ac:dyDescent="0.35">
      <c r="H1167" t="s">
        <v>227</v>
      </c>
      <c r="I1167" t="s">
        <v>234</v>
      </c>
      <c r="J1167" t="s">
        <v>261</v>
      </c>
      <c r="K1167" s="80" t="s">
        <v>2825</v>
      </c>
      <c r="L1167" t="s">
        <v>2826</v>
      </c>
      <c r="M1167" t="s">
        <v>245</v>
      </c>
      <c r="N1167" t="str">
        <f t="shared" si="18"/>
        <v>IHVNnaAkwanga</v>
      </c>
    </row>
    <row r="1168" spans="8:14" x14ac:dyDescent="0.35">
      <c r="H1168" t="s">
        <v>227</v>
      </c>
      <c r="I1168" t="s">
        <v>234</v>
      </c>
      <c r="J1168" t="s">
        <v>261</v>
      </c>
      <c r="K1168" s="80" t="s">
        <v>2827</v>
      </c>
      <c r="L1168" t="s">
        <v>2828</v>
      </c>
      <c r="M1168" t="s">
        <v>245</v>
      </c>
      <c r="N1168" t="str">
        <f t="shared" si="18"/>
        <v>IHVNnaAkwanga</v>
      </c>
    </row>
    <row r="1169" spans="8:14" x14ac:dyDescent="0.35">
      <c r="H1169" t="s">
        <v>227</v>
      </c>
      <c r="I1169" t="s">
        <v>234</v>
      </c>
      <c r="J1169" t="s">
        <v>261</v>
      </c>
      <c r="K1169" s="80" t="s">
        <v>2829</v>
      </c>
      <c r="L1169" t="s">
        <v>2830</v>
      </c>
      <c r="M1169" t="s">
        <v>245</v>
      </c>
      <c r="N1169" t="str">
        <f t="shared" si="18"/>
        <v>IHVNnaAkwanga</v>
      </c>
    </row>
    <row r="1170" spans="8:14" x14ac:dyDescent="0.35">
      <c r="H1170" t="s">
        <v>227</v>
      </c>
      <c r="I1170" t="s">
        <v>234</v>
      </c>
      <c r="J1170" t="s">
        <v>261</v>
      </c>
      <c r="K1170" s="80" t="s">
        <v>2831</v>
      </c>
      <c r="L1170" t="s">
        <v>2832</v>
      </c>
      <c r="M1170" t="s">
        <v>245</v>
      </c>
      <c r="N1170" t="str">
        <f t="shared" si="18"/>
        <v>IHVNnaAkwanga</v>
      </c>
    </row>
    <row r="1171" spans="8:14" x14ac:dyDescent="0.35">
      <c r="H1171" t="s">
        <v>227</v>
      </c>
      <c r="I1171" t="s">
        <v>234</v>
      </c>
      <c r="J1171" t="s">
        <v>261</v>
      </c>
      <c r="K1171" s="80" t="s">
        <v>2833</v>
      </c>
      <c r="L1171" t="s">
        <v>2834</v>
      </c>
      <c r="M1171" t="s">
        <v>245</v>
      </c>
      <c r="N1171" t="str">
        <f t="shared" si="18"/>
        <v>IHVNnaAkwanga</v>
      </c>
    </row>
    <row r="1172" spans="8:14" x14ac:dyDescent="0.35">
      <c r="H1172" t="s">
        <v>227</v>
      </c>
      <c r="I1172" t="s">
        <v>234</v>
      </c>
      <c r="J1172" t="s">
        <v>267</v>
      </c>
      <c r="K1172" s="80" t="s">
        <v>2835</v>
      </c>
      <c r="L1172" t="s">
        <v>2836</v>
      </c>
      <c r="M1172" t="s">
        <v>245</v>
      </c>
      <c r="N1172" t="str">
        <f t="shared" si="18"/>
        <v>IHVNnaDoma</v>
      </c>
    </row>
    <row r="1173" spans="8:14" x14ac:dyDescent="0.35">
      <c r="H1173" t="s">
        <v>227</v>
      </c>
      <c r="I1173" t="s">
        <v>234</v>
      </c>
      <c r="J1173" t="s">
        <v>267</v>
      </c>
      <c r="K1173" s="80" t="s">
        <v>2837</v>
      </c>
      <c r="L1173" t="s">
        <v>2838</v>
      </c>
      <c r="M1173" t="s">
        <v>245</v>
      </c>
      <c r="N1173" t="str">
        <f t="shared" si="18"/>
        <v>IHVNnaDoma</v>
      </c>
    </row>
    <row r="1174" spans="8:14" x14ac:dyDescent="0.35">
      <c r="H1174" t="s">
        <v>227</v>
      </c>
      <c r="I1174" t="s">
        <v>234</v>
      </c>
      <c r="J1174" t="s">
        <v>267</v>
      </c>
      <c r="K1174" s="80" t="s">
        <v>2839</v>
      </c>
      <c r="L1174" t="s">
        <v>2840</v>
      </c>
      <c r="M1174" t="s">
        <v>245</v>
      </c>
      <c r="N1174" t="str">
        <f t="shared" si="18"/>
        <v>IHVNnaDoma</v>
      </c>
    </row>
    <row r="1175" spans="8:14" x14ac:dyDescent="0.35">
      <c r="H1175" t="s">
        <v>227</v>
      </c>
      <c r="I1175" t="s">
        <v>234</v>
      </c>
      <c r="J1175" t="s">
        <v>267</v>
      </c>
      <c r="K1175" s="80" t="s">
        <v>2841</v>
      </c>
      <c r="L1175" t="s">
        <v>2842</v>
      </c>
      <c r="M1175" t="s">
        <v>245</v>
      </c>
      <c r="N1175" t="str">
        <f t="shared" si="18"/>
        <v>IHVNnaDoma</v>
      </c>
    </row>
    <row r="1176" spans="8:14" x14ac:dyDescent="0.35">
      <c r="H1176" t="s">
        <v>227</v>
      </c>
      <c r="I1176" t="s">
        <v>234</v>
      </c>
      <c r="J1176" t="s">
        <v>267</v>
      </c>
      <c r="K1176" s="80" t="s">
        <v>2843</v>
      </c>
      <c r="L1176" t="s">
        <v>2844</v>
      </c>
      <c r="M1176" t="s">
        <v>245</v>
      </c>
      <c r="N1176" t="str">
        <f t="shared" si="18"/>
        <v>IHVNnaDoma</v>
      </c>
    </row>
    <row r="1177" spans="8:14" x14ac:dyDescent="0.35">
      <c r="H1177" t="s">
        <v>227</v>
      </c>
      <c r="I1177" t="s">
        <v>234</v>
      </c>
      <c r="J1177" t="s">
        <v>267</v>
      </c>
      <c r="K1177" s="80" t="s">
        <v>2845</v>
      </c>
      <c r="L1177" t="s">
        <v>2846</v>
      </c>
      <c r="M1177" t="s">
        <v>245</v>
      </c>
      <c r="N1177" t="str">
        <f t="shared" si="18"/>
        <v>IHVNnaDoma</v>
      </c>
    </row>
    <row r="1178" spans="8:14" x14ac:dyDescent="0.35">
      <c r="H1178" t="s">
        <v>227</v>
      </c>
      <c r="I1178" t="s">
        <v>234</v>
      </c>
      <c r="J1178" t="s">
        <v>267</v>
      </c>
      <c r="K1178" s="80" t="s">
        <v>2847</v>
      </c>
      <c r="L1178" t="s">
        <v>2848</v>
      </c>
      <c r="M1178" t="s">
        <v>245</v>
      </c>
      <c r="N1178" t="str">
        <f t="shared" si="18"/>
        <v>IHVNnaDoma</v>
      </c>
    </row>
    <row r="1179" spans="8:14" x14ac:dyDescent="0.35">
      <c r="H1179" t="s">
        <v>227</v>
      </c>
      <c r="I1179" t="s">
        <v>234</v>
      </c>
      <c r="J1179" t="s">
        <v>267</v>
      </c>
      <c r="K1179" s="80" t="s">
        <v>2849</v>
      </c>
      <c r="L1179" t="s">
        <v>2850</v>
      </c>
      <c r="M1179" t="s">
        <v>245</v>
      </c>
      <c r="N1179" t="str">
        <f t="shared" si="18"/>
        <v>IHVNnaDoma</v>
      </c>
    </row>
    <row r="1180" spans="8:14" x14ac:dyDescent="0.35">
      <c r="H1180" t="s">
        <v>227</v>
      </c>
      <c r="I1180" t="s">
        <v>234</v>
      </c>
      <c r="J1180" t="s">
        <v>267</v>
      </c>
      <c r="K1180" s="80" t="s">
        <v>2851</v>
      </c>
      <c r="L1180" t="s">
        <v>2852</v>
      </c>
      <c r="M1180" t="s">
        <v>245</v>
      </c>
      <c r="N1180" t="str">
        <f t="shared" si="18"/>
        <v>IHVNnaDoma</v>
      </c>
    </row>
    <row r="1181" spans="8:14" x14ac:dyDescent="0.35">
      <c r="H1181" t="s">
        <v>227</v>
      </c>
      <c r="I1181" t="s">
        <v>234</v>
      </c>
      <c r="J1181" t="s">
        <v>267</v>
      </c>
      <c r="K1181" s="80" t="s">
        <v>2853</v>
      </c>
      <c r="L1181" t="s">
        <v>2854</v>
      </c>
      <c r="M1181" t="s">
        <v>245</v>
      </c>
      <c r="N1181" t="str">
        <f t="shared" si="18"/>
        <v>IHVNnaDoma</v>
      </c>
    </row>
    <row r="1182" spans="8:14" x14ac:dyDescent="0.35">
      <c r="H1182" t="s">
        <v>227</v>
      </c>
      <c r="I1182" t="s">
        <v>234</v>
      </c>
      <c r="J1182" t="s">
        <v>267</v>
      </c>
      <c r="K1182" s="80" t="s">
        <v>2855</v>
      </c>
      <c r="L1182" t="s">
        <v>2856</v>
      </c>
      <c r="M1182" t="s">
        <v>245</v>
      </c>
      <c r="N1182" t="str">
        <f t="shared" si="18"/>
        <v>IHVNnaDoma</v>
      </c>
    </row>
    <row r="1183" spans="8:14" x14ac:dyDescent="0.35">
      <c r="H1183" t="s">
        <v>227</v>
      </c>
      <c r="I1183" t="s">
        <v>234</v>
      </c>
      <c r="J1183" t="s">
        <v>267</v>
      </c>
      <c r="K1183" s="80" t="s">
        <v>2857</v>
      </c>
      <c r="L1183" t="s">
        <v>2858</v>
      </c>
      <c r="M1183" t="s">
        <v>245</v>
      </c>
      <c r="N1183" t="str">
        <f t="shared" si="18"/>
        <v>IHVNnaDoma</v>
      </c>
    </row>
    <row r="1184" spans="8:14" x14ac:dyDescent="0.35">
      <c r="H1184" t="s">
        <v>227</v>
      </c>
      <c r="I1184" t="s">
        <v>234</v>
      </c>
      <c r="J1184" t="s">
        <v>267</v>
      </c>
      <c r="K1184" s="80" t="s">
        <v>2859</v>
      </c>
      <c r="L1184" t="s">
        <v>2860</v>
      </c>
      <c r="M1184" t="s">
        <v>245</v>
      </c>
      <c r="N1184" t="str">
        <f t="shared" si="18"/>
        <v>IHVNnaDoma</v>
      </c>
    </row>
    <row r="1185" spans="8:14" x14ac:dyDescent="0.35">
      <c r="H1185" t="s">
        <v>227</v>
      </c>
      <c r="I1185" t="s">
        <v>234</v>
      </c>
      <c r="J1185" t="s">
        <v>267</v>
      </c>
      <c r="K1185" s="80" t="s">
        <v>2861</v>
      </c>
      <c r="L1185" t="s">
        <v>2862</v>
      </c>
      <c r="M1185" t="s">
        <v>245</v>
      </c>
      <c r="N1185" t="str">
        <f t="shared" si="18"/>
        <v>IHVNnaDoma</v>
      </c>
    </row>
    <row r="1186" spans="8:14" x14ac:dyDescent="0.35">
      <c r="H1186" t="s">
        <v>227</v>
      </c>
      <c r="I1186" t="s">
        <v>234</v>
      </c>
      <c r="J1186" t="s">
        <v>267</v>
      </c>
      <c r="K1186" s="80" t="s">
        <v>2863</v>
      </c>
      <c r="L1186" t="s">
        <v>2864</v>
      </c>
      <c r="M1186" t="s">
        <v>245</v>
      </c>
      <c r="N1186" t="str">
        <f t="shared" si="18"/>
        <v>IHVNnaDoma</v>
      </c>
    </row>
    <row r="1187" spans="8:14" x14ac:dyDescent="0.35">
      <c r="H1187" t="s">
        <v>227</v>
      </c>
      <c r="I1187" t="s">
        <v>234</v>
      </c>
      <c r="J1187" t="s">
        <v>267</v>
      </c>
      <c r="K1187" s="80" t="s">
        <v>2865</v>
      </c>
      <c r="L1187" t="s">
        <v>2866</v>
      </c>
      <c r="M1187" t="s">
        <v>245</v>
      </c>
      <c r="N1187" t="str">
        <f t="shared" si="18"/>
        <v>IHVNnaDoma</v>
      </c>
    </row>
    <row r="1188" spans="8:14" x14ac:dyDescent="0.35">
      <c r="H1188" t="s">
        <v>227</v>
      </c>
      <c r="I1188" t="s">
        <v>234</v>
      </c>
      <c r="J1188" t="s">
        <v>267</v>
      </c>
      <c r="K1188" s="80" t="s">
        <v>2867</v>
      </c>
      <c r="L1188" t="s">
        <v>2868</v>
      </c>
      <c r="M1188" t="s">
        <v>245</v>
      </c>
      <c r="N1188" t="str">
        <f t="shared" si="18"/>
        <v>IHVNnaDoma</v>
      </c>
    </row>
    <row r="1189" spans="8:14" x14ac:dyDescent="0.35">
      <c r="H1189" t="s">
        <v>227</v>
      </c>
      <c r="I1189" t="s">
        <v>234</v>
      </c>
      <c r="J1189" t="s">
        <v>267</v>
      </c>
      <c r="K1189" s="80" t="s">
        <v>2869</v>
      </c>
      <c r="L1189" t="s">
        <v>2870</v>
      </c>
      <c r="M1189" t="s">
        <v>245</v>
      </c>
      <c r="N1189" t="str">
        <f t="shared" si="18"/>
        <v>IHVNnaDoma</v>
      </c>
    </row>
    <row r="1190" spans="8:14" x14ac:dyDescent="0.35">
      <c r="H1190" t="s">
        <v>227</v>
      </c>
      <c r="I1190" t="s">
        <v>234</v>
      </c>
      <c r="J1190" t="s">
        <v>267</v>
      </c>
      <c r="K1190" s="80" t="s">
        <v>2871</v>
      </c>
      <c r="L1190" t="s">
        <v>2872</v>
      </c>
      <c r="M1190" t="s">
        <v>245</v>
      </c>
      <c r="N1190" t="str">
        <f t="shared" si="18"/>
        <v>IHVNnaDoma</v>
      </c>
    </row>
    <row r="1191" spans="8:14" x14ac:dyDescent="0.35">
      <c r="H1191" t="s">
        <v>227</v>
      </c>
      <c r="I1191" t="s">
        <v>234</v>
      </c>
      <c r="J1191" t="s">
        <v>267</v>
      </c>
      <c r="K1191" s="80" t="s">
        <v>2873</v>
      </c>
      <c r="L1191" t="s">
        <v>2874</v>
      </c>
      <c r="M1191" t="s">
        <v>245</v>
      </c>
      <c r="N1191" t="str">
        <f t="shared" si="18"/>
        <v>IHVNnaDoma</v>
      </c>
    </row>
    <row r="1192" spans="8:14" x14ac:dyDescent="0.35">
      <c r="H1192" t="s">
        <v>227</v>
      </c>
      <c r="I1192" t="s">
        <v>234</v>
      </c>
      <c r="J1192" t="s">
        <v>267</v>
      </c>
      <c r="K1192" s="80" t="s">
        <v>2875</v>
      </c>
      <c r="L1192" t="s">
        <v>2876</v>
      </c>
      <c r="M1192" t="s">
        <v>245</v>
      </c>
      <c r="N1192" t="str">
        <f t="shared" si="18"/>
        <v>IHVNnaDoma</v>
      </c>
    </row>
    <row r="1193" spans="8:14" x14ac:dyDescent="0.35">
      <c r="H1193" t="s">
        <v>227</v>
      </c>
      <c r="I1193" t="s">
        <v>234</v>
      </c>
      <c r="J1193" t="s">
        <v>267</v>
      </c>
      <c r="K1193" s="80" t="s">
        <v>2877</v>
      </c>
      <c r="L1193" t="s">
        <v>2878</v>
      </c>
      <c r="M1193" t="s">
        <v>245</v>
      </c>
      <c r="N1193" t="str">
        <f t="shared" si="18"/>
        <v>IHVNnaDoma</v>
      </c>
    </row>
    <row r="1194" spans="8:14" x14ac:dyDescent="0.35">
      <c r="H1194" t="s">
        <v>227</v>
      </c>
      <c r="I1194" t="s">
        <v>234</v>
      </c>
      <c r="J1194" t="s">
        <v>271</v>
      </c>
      <c r="K1194" s="80" t="s">
        <v>2879</v>
      </c>
      <c r="L1194" t="s">
        <v>2880</v>
      </c>
      <c r="M1194" t="s">
        <v>245</v>
      </c>
      <c r="N1194" t="str">
        <f t="shared" si="18"/>
        <v>IHVNnaKaru</v>
      </c>
    </row>
    <row r="1195" spans="8:14" x14ac:dyDescent="0.35">
      <c r="H1195" t="s">
        <v>227</v>
      </c>
      <c r="I1195" t="s">
        <v>234</v>
      </c>
      <c r="J1195" t="s">
        <v>271</v>
      </c>
      <c r="K1195" s="80" t="s">
        <v>2881</v>
      </c>
      <c r="L1195" t="s">
        <v>2882</v>
      </c>
      <c r="M1195" t="s">
        <v>245</v>
      </c>
      <c r="N1195" t="str">
        <f t="shared" si="18"/>
        <v>IHVNnaKaru</v>
      </c>
    </row>
    <row r="1196" spans="8:14" x14ac:dyDescent="0.35">
      <c r="H1196" t="s">
        <v>227</v>
      </c>
      <c r="I1196" t="s">
        <v>234</v>
      </c>
      <c r="J1196" t="s">
        <v>271</v>
      </c>
      <c r="K1196" s="80" t="s">
        <v>2883</v>
      </c>
      <c r="L1196" t="s">
        <v>2884</v>
      </c>
      <c r="M1196" t="s">
        <v>245</v>
      </c>
      <c r="N1196" t="str">
        <f t="shared" si="18"/>
        <v>IHVNnaKaru</v>
      </c>
    </row>
    <row r="1197" spans="8:14" x14ac:dyDescent="0.35">
      <c r="H1197" t="s">
        <v>227</v>
      </c>
      <c r="I1197" t="s">
        <v>234</v>
      </c>
      <c r="J1197" t="s">
        <v>271</v>
      </c>
      <c r="K1197" s="80" t="s">
        <v>2885</v>
      </c>
      <c r="L1197" t="s">
        <v>2886</v>
      </c>
      <c r="M1197" t="s">
        <v>245</v>
      </c>
      <c r="N1197" t="str">
        <f t="shared" si="18"/>
        <v>IHVNnaKaru</v>
      </c>
    </row>
    <row r="1198" spans="8:14" x14ac:dyDescent="0.35">
      <c r="H1198" t="s">
        <v>227</v>
      </c>
      <c r="I1198" t="s">
        <v>234</v>
      </c>
      <c r="J1198" t="s">
        <v>271</v>
      </c>
      <c r="K1198" s="80" t="s">
        <v>2887</v>
      </c>
      <c r="L1198" t="s">
        <v>2888</v>
      </c>
      <c r="M1198" t="s">
        <v>245</v>
      </c>
      <c r="N1198" t="str">
        <f t="shared" si="18"/>
        <v>IHVNnaKaru</v>
      </c>
    </row>
    <row r="1199" spans="8:14" x14ac:dyDescent="0.35">
      <c r="H1199" t="s">
        <v>227</v>
      </c>
      <c r="I1199" t="s">
        <v>234</v>
      </c>
      <c r="J1199" t="s">
        <v>271</v>
      </c>
      <c r="K1199" s="80" t="s">
        <v>2889</v>
      </c>
      <c r="L1199" t="s">
        <v>2890</v>
      </c>
      <c r="M1199" t="s">
        <v>245</v>
      </c>
      <c r="N1199" t="str">
        <f t="shared" si="18"/>
        <v>IHVNnaKaru</v>
      </c>
    </row>
    <row r="1200" spans="8:14" x14ac:dyDescent="0.35">
      <c r="H1200" t="s">
        <v>227</v>
      </c>
      <c r="I1200" t="s">
        <v>234</v>
      </c>
      <c r="J1200" t="s">
        <v>271</v>
      </c>
      <c r="K1200" s="80" t="s">
        <v>2891</v>
      </c>
      <c r="L1200" t="s">
        <v>2892</v>
      </c>
      <c r="M1200" t="s">
        <v>245</v>
      </c>
      <c r="N1200" t="str">
        <f t="shared" si="18"/>
        <v>IHVNnaKaru</v>
      </c>
    </row>
    <row r="1201" spans="8:14" x14ac:dyDescent="0.35">
      <c r="H1201" t="s">
        <v>227</v>
      </c>
      <c r="I1201" t="s">
        <v>234</v>
      </c>
      <c r="J1201" t="s">
        <v>271</v>
      </c>
      <c r="K1201" s="80" t="s">
        <v>2893</v>
      </c>
      <c r="L1201" t="s">
        <v>2894</v>
      </c>
      <c r="M1201" t="s">
        <v>245</v>
      </c>
      <c r="N1201" t="str">
        <f t="shared" si="18"/>
        <v>IHVNnaKaru</v>
      </c>
    </row>
    <row r="1202" spans="8:14" x14ac:dyDescent="0.35">
      <c r="H1202" t="s">
        <v>227</v>
      </c>
      <c r="I1202" t="s">
        <v>234</v>
      </c>
      <c r="J1202" t="s">
        <v>271</v>
      </c>
      <c r="K1202" s="80" t="s">
        <v>2895</v>
      </c>
      <c r="L1202" t="s">
        <v>2896</v>
      </c>
      <c r="M1202" t="s">
        <v>245</v>
      </c>
      <c r="N1202" t="str">
        <f t="shared" si="18"/>
        <v>IHVNnaKaru</v>
      </c>
    </row>
    <row r="1203" spans="8:14" x14ac:dyDescent="0.35">
      <c r="H1203" t="s">
        <v>227</v>
      </c>
      <c r="I1203" t="s">
        <v>234</v>
      </c>
      <c r="J1203" t="s">
        <v>271</v>
      </c>
      <c r="K1203" s="80" t="s">
        <v>2897</v>
      </c>
      <c r="L1203" t="s">
        <v>2898</v>
      </c>
      <c r="M1203" t="s">
        <v>245</v>
      </c>
      <c r="N1203" t="str">
        <f t="shared" si="18"/>
        <v>IHVNnaKaru</v>
      </c>
    </row>
    <row r="1204" spans="8:14" x14ac:dyDescent="0.35">
      <c r="H1204" t="s">
        <v>227</v>
      </c>
      <c r="I1204" t="s">
        <v>234</v>
      </c>
      <c r="J1204" t="s">
        <v>271</v>
      </c>
      <c r="K1204" s="80" t="s">
        <v>2899</v>
      </c>
      <c r="L1204" t="s">
        <v>2900</v>
      </c>
      <c r="M1204" t="s">
        <v>245</v>
      </c>
      <c r="N1204" t="str">
        <f t="shared" si="18"/>
        <v>IHVNnaKaru</v>
      </c>
    </row>
    <row r="1205" spans="8:14" x14ac:dyDescent="0.35">
      <c r="H1205" t="s">
        <v>227</v>
      </c>
      <c r="I1205" t="s">
        <v>234</v>
      </c>
      <c r="J1205" t="s">
        <v>271</v>
      </c>
      <c r="K1205" s="80" t="s">
        <v>2901</v>
      </c>
      <c r="L1205" t="s">
        <v>2902</v>
      </c>
      <c r="M1205" t="s">
        <v>245</v>
      </c>
      <c r="N1205" t="str">
        <f t="shared" si="18"/>
        <v>IHVNnaKaru</v>
      </c>
    </row>
    <row r="1206" spans="8:14" x14ac:dyDescent="0.35">
      <c r="H1206" t="s">
        <v>227</v>
      </c>
      <c r="I1206" t="s">
        <v>234</v>
      </c>
      <c r="J1206" t="s">
        <v>271</v>
      </c>
      <c r="K1206" s="80" t="s">
        <v>2903</v>
      </c>
      <c r="L1206" t="s">
        <v>2904</v>
      </c>
      <c r="M1206" t="s">
        <v>245</v>
      </c>
      <c r="N1206" t="str">
        <f t="shared" si="18"/>
        <v>IHVNnaKaru</v>
      </c>
    </row>
    <row r="1207" spans="8:14" x14ac:dyDescent="0.35">
      <c r="H1207" t="s">
        <v>227</v>
      </c>
      <c r="I1207" t="s">
        <v>234</v>
      </c>
      <c r="J1207" t="s">
        <v>271</v>
      </c>
      <c r="K1207" s="80" t="s">
        <v>2905</v>
      </c>
      <c r="L1207" t="s">
        <v>2906</v>
      </c>
      <c r="M1207" t="s">
        <v>245</v>
      </c>
      <c r="N1207" t="str">
        <f t="shared" si="18"/>
        <v>IHVNnaKaru</v>
      </c>
    </row>
    <row r="1208" spans="8:14" x14ac:dyDescent="0.35">
      <c r="H1208" t="s">
        <v>227</v>
      </c>
      <c r="I1208" t="s">
        <v>234</v>
      </c>
      <c r="J1208" t="s">
        <v>271</v>
      </c>
      <c r="K1208" s="80" t="s">
        <v>2907</v>
      </c>
      <c r="L1208" t="s">
        <v>2908</v>
      </c>
      <c r="M1208" t="s">
        <v>245</v>
      </c>
      <c r="N1208" t="str">
        <f t="shared" si="18"/>
        <v>IHVNnaKaru</v>
      </c>
    </row>
    <row r="1209" spans="8:14" x14ac:dyDescent="0.35">
      <c r="H1209" t="s">
        <v>227</v>
      </c>
      <c r="I1209" t="s">
        <v>234</v>
      </c>
      <c r="J1209" t="s">
        <v>271</v>
      </c>
      <c r="K1209" s="80" t="s">
        <v>2909</v>
      </c>
      <c r="L1209" t="s">
        <v>2910</v>
      </c>
      <c r="M1209" t="s">
        <v>245</v>
      </c>
      <c r="N1209" t="str">
        <f t="shared" si="18"/>
        <v>IHVNnaKaru</v>
      </c>
    </row>
    <row r="1210" spans="8:14" x14ac:dyDescent="0.35">
      <c r="H1210" t="s">
        <v>227</v>
      </c>
      <c r="I1210" t="s">
        <v>234</v>
      </c>
      <c r="J1210" t="s">
        <v>271</v>
      </c>
      <c r="K1210" s="80" t="s">
        <v>2911</v>
      </c>
      <c r="L1210" t="s">
        <v>2912</v>
      </c>
      <c r="M1210" t="s">
        <v>245</v>
      </c>
      <c r="N1210" t="str">
        <f t="shared" si="18"/>
        <v>IHVNnaKaru</v>
      </c>
    </row>
    <row r="1211" spans="8:14" x14ac:dyDescent="0.35">
      <c r="H1211" t="s">
        <v>227</v>
      </c>
      <c r="I1211" t="s">
        <v>234</v>
      </c>
      <c r="J1211" t="s">
        <v>271</v>
      </c>
      <c r="K1211" s="80" t="s">
        <v>2913</v>
      </c>
      <c r="L1211" t="s">
        <v>2914</v>
      </c>
      <c r="M1211" t="s">
        <v>245</v>
      </c>
      <c r="N1211" t="str">
        <f t="shared" si="18"/>
        <v>IHVNnaKaru</v>
      </c>
    </row>
    <row r="1212" spans="8:14" x14ac:dyDescent="0.35">
      <c r="H1212" t="s">
        <v>227</v>
      </c>
      <c r="I1212" t="s">
        <v>234</v>
      </c>
      <c r="J1212" t="s">
        <v>271</v>
      </c>
      <c r="K1212" s="80" t="s">
        <v>2915</v>
      </c>
      <c r="L1212" t="s">
        <v>2916</v>
      </c>
      <c r="M1212" t="s">
        <v>245</v>
      </c>
      <c r="N1212" t="str">
        <f t="shared" si="18"/>
        <v>IHVNnaKaru</v>
      </c>
    </row>
    <row r="1213" spans="8:14" x14ac:dyDescent="0.35">
      <c r="H1213" t="s">
        <v>227</v>
      </c>
      <c r="I1213" t="s">
        <v>234</v>
      </c>
      <c r="J1213" t="s">
        <v>271</v>
      </c>
      <c r="K1213" s="80" t="s">
        <v>2917</v>
      </c>
      <c r="L1213" t="s">
        <v>2918</v>
      </c>
      <c r="M1213" t="s">
        <v>245</v>
      </c>
      <c r="N1213" t="str">
        <f t="shared" si="18"/>
        <v>IHVNnaKaru</v>
      </c>
    </row>
    <row r="1214" spans="8:14" x14ac:dyDescent="0.35">
      <c r="H1214" t="s">
        <v>227</v>
      </c>
      <c r="I1214" t="s">
        <v>234</v>
      </c>
      <c r="J1214" t="s">
        <v>271</v>
      </c>
      <c r="K1214" s="80" t="s">
        <v>2919</v>
      </c>
      <c r="L1214" t="s">
        <v>2920</v>
      </c>
      <c r="M1214" t="s">
        <v>245</v>
      </c>
      <c r="N1214" t="str">
        <f t="shared" si="18"/>
        <v>IHVNnaKaru</v>
      </c>
    </row>
    <row r="1215" spans="8:14" x14ac:dyDescent="0.35">
      <c r="H1215" t="s">
        <v>227</v>
      </c>
      <c r="I1215" t="s">
        <v>234</v>
      </c>
      <c r="J1215" t="s">
        <v>271</v>
      </c>
      <c r="K1215" s="80" t="s">
        <v>2921</v>
      </c>
      <c r="L1215" t="s">
        <v>2922</v>
      </c>
      <c r="M1215" t="s">
        <v>245</v>
      </c>
      <c r="N1215" t="str">
        <f t="shared" si="18"/>
        <v>IHVNnaKaru</v>
      </c>
    </row>
    <row r="1216" spans="8:14" x14ac:dyDescent="0.35">
      <c r="H1216" t="s">
        <v>227</v>
      </c>
      <c r="I1216" t="s">
        <v>234</v>
      </c>
      <c r="J1216" t="s">
        <v>271</v>
      </c>
      <c r="K1216" s="80" t="s">
        <v>1676</v>
      </c>
      <c r="L1216" t="s">
        <v>2923</v>
      </c>
      <c r="M1216" t="s">
        <v>245</v>
      </c>
      <c r="N1216" t="str">
        <f t="shared" si="18"/>
        <v>IHVNnaKaru</v>
      </c>
    </row>
    <row r="1217" spans="8:14" x14ac:dyDescent="0.35">
      <c r="H1217" t="s">
        <v>227</v>
      </c>
      <c r="I1217" t="s">
        <v>234</v>
      </c>
      <c r="J1217" t="s">
        <v>271</v>
      </c>
      <c r="K1217" s="80" t="s">
        <v>1678</v>
      </c>
      <c r="L1217" t="s">
        <v>2924</v>
      </c>
      <c r="M1217" t="s">
        <v>245</v>
      </c>
      <c r="N1217" t="str">
        <f t="shared" si="18"/>
        <v>IHVNnaKaru</v>
      </c>
    </row>
    <row r="1218" spans="8:14" x14ac:dyDescent="0.35">
      <c r="H1218" t="s">
        <v>227</v>
      </c>
      <c r="I1218" t="s">
        <v>234</v>
      </c>
      <c r="J1218" t="s">
        <v>271</v>
      </c>
      <c r="K1218" s="80" t="s">
        <v>2925</v>
      </c>
      <c r="L1218" t="s">
        <v>2926</v>
      </c>
      <c r="M1218" t="s">
        <v>245</v>
      </c>
      <c r="N1218" t="str">
        <f t="shared" si="18"/>
        <v>IHVNnaKaru</v>
      </c>
    </row>
    <row r="1219" spans="8:14" x14ac:dyDescent="0.35">
      <c r="H1219" t="s">
        <v>227</v>
      </c>
      <c r="I1219" t="s">
        <v>234</v>
      </c>
      <c r="J1219" t="s">
        <v>271</v>
      </c>
      <c r="K1219" s="80" t="s">
        <v>2927</v>
      </c>
      <c r="L1219" t="s">
        <v>2928</v>
      </c>
      <c r="M1219" t="s">
        <v>245</v>
      </c>
      <c r="N1219" t="str">
        <f t="shared" ref="N1219:N1282" si="19">SUBSTITUTE(SUBSTITUTE(M1219&amp;J1219," ",""),"-","")</f>
        <v>IHVNnaKaru</v>
      </c>
    </row>
    <row r="1220" spans="8:14" x14ac:dyDescent="0.35">
      <c r="H1220" t="s">
        <v>227</v>
      </c>
      <c r="I1220" t="s">
        <v>234</v>
      </c>
      <c r="J1220" t="s">
        <v>271</v>
      </c>
      <c r="K1220" s="80" t="s">
        <v>2929</v>
      </c>
      <c r="L1220" t="s">
        <v>2930</v>
      </c>
      <c r="M1220" t="s">
        <v>245</v>
      </c>
      <c r="N1220" t="str">
        <f t="shared" si="19"/>
        <v>IHVNnaKaru</v>
      </c>
    </row>
    <row r="1221" spans="8:14" x14ac:dyDescent="0.35">
      <c r="H1221" t="s">
        <v>227</v>
      </c>
      <c r="I1221" t="s">
        <v>234</v>
      </c>
      <c r="J1221" t="s">
        <v>271</v>
      </c>
      <c r="K1221" s="80" t="s">
        <v>2931</v>
      </c>
      <c r="L1221" t="s">
        <v>2932</v>
      </c>
      <c r="M1221" t="s">
        <v>245</v>
      </c>
      <c r="N1221" t="str">
        <f t="shared" si="19"/>
        <v>IHVNnaKaru</v>
      </c>
    </row>
    <row r="1222" spans="8:14" x14ac:dyDescent="0.35">
      <c r="H1222" t="s">
        <v>227</v>
      </c>
      <c r="I1222" t="s">
        <v>234</v>
      </c>
      <c r="J1222" t="s">
        <v>271</v>
      </c>
      <c r="K1222" s="80" t="s">
        <v>2933</v>
      </c>
      <c r="L1222" t="s">
        <v>2934</v>
      </c>
      <c r="M1222" t="s">
        <v>245</v>
      </c>
      <c r="N1222" t="str">
        <f t="shared" si="19"/>
        <v>IHVNnaKaru</v>
      </c>
    </row>
    <row r="1223" spans="8:14" x14ac:dyDescent="0.35">
      <c r="H1223" t="s">
        <v>227</v>
      </c>
      <c r="I1223" t="s">
        <v>234</v>
      </c>
      <c r="J1223" t="s">
        <v>271</v>
      </c>
      <c r="K1223" s="80" t="s">
        <v>2935</v>
      </c>
      <c r="L1223" t="s">
        <v>2936</v>
      </c>
      <c r="M1223" t="s">
        <v>245</v>
      </c>
      <c r="N1223" t="str">
        <f t="shared" si="19"/>
        <v>IHVNnaKaru</v>
      </c>
    </row>
    <row r="1224" spans="8:14" x14ac:dyDescent="0.35">
      <c r="H1224" t="s">
        <v>227</v>
      </c>
      <c r="I1224" t="s">
        <v>234</v>
      </c>
      <c r="J1224" t="s">
        <v>271</v>
      </c>
      <c r="K1224" s="80" t="s">
        <v>2937</v>
      </c>
      <c r="L1224" t="s">
        <v>2938</v>
      </c>
      <c r="M1224" t="s">
        <v>245</v>
      </c>
      <c r="N1224" t="str">
        <f t="shared" si="19"/>
        <v>IHVNnaKaru</v>
      </c>
    </row>
    <row r="1225" spans="8:14" x14ac:dyDescent="0.35">
      <c r="H1225" t="s">
        <v>227</v>
      </c>
      <c r="I1225" t="s">
        <v>234</v>
      </c>
      <c r="J1225" t="s">
        <v>271</v>
      </c>
      <c r="K1225" s="80" t="s">
        <v>2939</v>
      </c>
      <c r="L1225" t="s">
        <v>2940</v>
      </c>
      <c r="M1225" t="s">
        <v>245</v>
      </c>
      <c r="N1225" t="str">
        <f t="shared" si="19"/>
        <v>IHVNnaKaru</v>
      </c>
    </row>
    <row r="1226" spans="8:14" x14ac:dyDescent="0.35">
      <c r="H1226" t="s">
        <v>227</v>
      </c>
      <c r="I1226" t="s">
        <v>234</v>
      </c>
      <c r="J1226" t="s">
        <v>271</v>
      </c>
      <c r="K1226" s="80" t="s">
        <v>2941</v>
      </c>
      <c r="L1226" t="s">
        <v>2942</v>
      </c>
      <c r="M1226" t="s">
        <v>245</v>
      </c>
      <c r="N1226" t="str">
        <f t="shared" si="19"/>
        <v>IHVNnaKaru</v>
      </c>
    </row>
    <row r="1227" spans="8:14" x14ac:dyDescent="0.35">
      <c r="H1227" t="s">
        <v>227</v>
      </c>
      <c r="I1227" t="s">
        <v>234</v>
      </c>
      <c r="J1227" t="s">
        <v>271</v>
      </c>
      <c r="K1227" s="80" t="s">
        <v>2943</v>
      </c>
      <c r="L1227" t="s">
        <v>2944</v>
      </c>
      <c r="M1227" t="s">
        <v>245</v>
      </c>
      <c r="N1227" t="str">
        <f t="shared" si="19"/>
        <v>IHVNnaKaru</v>
      </c>
    </row>
    <row r="1228" spans="8:14" x14ac:dyDescent="0.35">
      <c r="H1228" t="s">
        <v>227</v>
      </c>
      <c r="I1228" t="s">
        <v>234</v>
      </c>
      <c r="J1228" t="s">
        <v>271</v>
      </c>
      <c r="K1228" s="80" t="s">
        <v>2945</v>
      </c>
      <c r="L1228" t="s">
        <v>2946</v>
      </c>
      <c r="M1228" t="s">
        <v>245</v>
      </c>
      <c r="N1228" t="str">
        <f t="shared" si="19"/>
        <v>IHVNnaKaru</v>
      </c>
    </row>
    <row r="1229" spans="8:14" x14ac:dyDescent="0.35">
      <c r="H1229" t="s">
        <v>227</v>
      </c>
      <c r="I1229" t="s">
        <v>234</v>
      </c>
      <c r="J1229" t="s">
        <v>271</v>
      </c>
      <c r="K1229" s="80" t="s">
        <v>2947</v>
      </c>
      <c r="L1229" t="s">
        <v>2948</v>
      </c>
      <c r="M1229" t="s">
        <v>245</v>
      </c>
      <c r="N1229" t="str">
        <f t="shared" si="19"/>
        <v>IHVNnaKaru</v>
      </c>
    </row>
    <row r="1230" spans="8:14" x14ac:dyDescent="0.35">
      <c r="H1230" t="s">
        <v>227</v>
      </c>
      <c r="I1230" t="s">
        <v>234</v>
      </c>
      <c r="J1230" t="s">
        <v>271</v>
      </c>
      <c r="K1230" s="80" t="s">
        <v>2949</v>
      </c>
      <c r="L1230" t="s">
        <v>2950</v>
      </c>
      <c r="M1230" t="s">
        <v>245</v>
      </c>
      <c r="N1230" t="str">
        <f t="shared" si="19"/>
        <v>IHVNnaKaru</v>
      </c>
    </row>
    <row r="1231" spans="8:14" x14ac:dyDescent="0.35">
      <c r="H1231" t="s">
        <v>227</v>
      </c>
      <c r="I1231" t="s">
        <v>234</v>
      </c>
      <c r="J1231" t="s">
        <v>271</v>
      </c>
      <c r="K1231" s="80" t="s">
        <v>2951</v>
      </c>
      <c r="L1231" t="s">
        <v>2952</v>
      </c>
      <c r="M1231" t="s">
        <v>245</v>
      </c>
      <c r="N1231" t="str">
        <f t="shared" si="19"/>
        <v>IHVNnaKaru</v>
      </c>
    </row>
    <row r="1232" spans="8:14" x14ac:dyDescent="0.35">
      <c r="H1232" t="s">
        <v>227</v>
      </c>
      <c r="I1232" t="s">
        <v>234</v>
      </c>
      <c r="J1232" t="s">
        <v>271</v>
      </c>
      <c r="K1232" s="80" t="s">
        <v>2953</v>
      </c>
      <c r="L1232" t="s">
        <v>2954</v>
      </c>
      <c r="M1232" t="s">
        <v>245</v>
      </c>
      <c r="N1232" t="str">
        <f t="shared" si="19"/>
        <v>IHVNnaKaru</v>
      </c>
    </row>
    <row r="1233" spans="8:14" x14ac:dyDescent="0.35">
      <c r="H1233" t="s">
        <v>227</v>
      </c>
      <c r="I1233" t="s">
        <v>234</v>
      </c>
      <c r="J1233" t="s">
        <v>271</v>
      </c>
      <c r="K1233" s="80" t="s">
        <v>2955</v>
      </c>
      <c r="L1233" t="s">
        <v>2956</v>
      </c>
      <c r="M1233" t="s">
        <v>245</v>
      </c>
      <c r="N1233" t="str">
        <f t="shared" si="19"/>
        <v>IHVNnaKaru</v>
      </c>
    </row>
    <row r="1234" spans="8:14" x14ac:dyDescent="0.35">
      <c r="H1234" t="s">
        <v>227</v>
      </c>
      <c r="I1234" t="s">
        <v>234</v>
      </c>
      <c r="J1234" t="s">
        <v>271</v>
      </c>
      <c r="K1234" s="80" t="s">
        <v>2957</v>
      </c>
      <c r="L1234" t="s">
        <v>2958</v>
      </c>
      <c r="M1234" t="s">
        <v>245</v>
      </c>
      <c r="N1234" t="str">
        <f t="shared" si="19"/>
        <v>IHVNnaKaru</v>
      </c>
    </row>
    <row r="1235" spans="8:14" x14ac:dyDescent="0.35">
      <c r="H1235" t="s">
        <v>227</v>
      </c>
      <c r="I1235" t="s">
        <v>234</v>
      </c>
      <c r="J1235" t="s">
        <v>271</v>
      </c>
      <c r="K1235" s="80" t="s">
        <v>2959</v>
      </c>
      <c r="L1235" t="s">
        <v>2960</v>
      </c>
      <c r="M1235" t="s">
        <v>245</v>
      </c>
      <c r="N1235" t="str">
        <f t="shared" si="19"/>
        <v>IHVNnaKaru</v>
      </c>
    </row>
    <row r="1236" spans="8:14" x14ac:dyDescent="0.35">
      <c r="H1236" t="s">
        <v>227</v>
      </c>
      <c r="I1236" t="s">
        <v>234</v>
      </c>
      <c r="J1236" t="s">
        <v>271</v>
      </c>
      <c r="K1236" s="80" t="s">
        <v>2961</v>
      </c>
      <c r="L1236" t="s">
        <v>2962</v>
      </c>
      <c r="M1236" t="s">
        <v>245</v>
      </c>
      <c r="N1236" t="str">
        <f t="shared" si="19"/>
        <v>IHVNnaKaru</v>
      </c>
    </row>
    <row r="1237" spans="8:14" x14ac:dyDescent="0.35">
      <c r="H1237" t="s">
        <v>227</v>
      </c>
      <c r="I1237" t="s">
        <v>234</v>
      </c>
      <c r="J1237" t="s">
        <v>271</v>
      </c>
      <c r="K1237" s="80" t="s">
        <v>743</v>
      </c>
      <c r="L1237" t="s">
        <v>2963</v>
      </c>
      <c r="M1237" t="s">
        <v>245</v>
      </c>
      <c r="N1237" t="str">
        <f t="shared" si="19"/>
        <v>IHVNnaKaru</v>
      </c>
    </row>
    <row r="1238" spans="8:14" x14ac:dyDescent="0.35">
      <c r="H1238" t="s">
        <v>227</v>
      </c>
      <c r="I1238" t="s">
        <v>234</v>
      </c>
      <c r="J1238" t="s">
        <v>271</v>
      </c>
      <c r="K1238" s="80" t="s">
        <v>2964</v>
      </c>
      <c r="L1238" t="s">
        <v>2965</v>
      </c>
      <c r="M1238" t="s">
        <v>245</v>
      </c>
      <c r="N1238" t="str">
        <f t="shared" si="19"/>
        <v>IHVNnaKaru</v>
      </c>
    </row>
    <row r="1239" spans="8:14" x14ac:dyDescent="0.35">
      <c r="H1239" t="s">
        <v>227</v>
      </c>
      <c r="I1239" t="s">
        <v>234</v>
      </c>
      <c r="J1239" t="s">
        <v>271</v>
      </c>
      <c r="K1239" s="80" t="s">
        <v>2966</v>
      </c>
      <c r="L1239" t="s">
        <v>2967</v>
      </c>
      <c r="M1239" t="s">
        <v>245</v>
      </c>
      <c r="N1239" t="str">
        <f t="shared" si="19"/>
        <v>IHVNnaKaru</v>
      </c>
    </row>
    <row r="1240" spans="8:14" x14ac:dyDescent="0.35">
      <c r="H1240" t="s">
        <v>227</v>
      </c>
      <c r="I1240" t="s">
        <v>234</v>
      </c>
      <c r="J1240" t="s">
        <v>275</v>
      </c>
      <c r="K1240" s="80" t="s">
        <v>2968</v>
      </c>
      <c r="L1240" t="s">
        <v>2969</v>
      </c>
      <c r="M1240" t="s">
        <v>245</v>
      </c>
      <c r="N1240" t="str">
        <f t="shared" si="19"/>
        <v>IHVNnaKeana</v>
      </c>
    </row>
    <row r="1241" spans="8:14" x14ac:dyDescent="0.35">
      <c r="H1241" t="s">
        <v>227</v>
      </c>
      <c r="I1241" t="s">
        <v>234</v>
      </c>
      <c r="J1241" t="s">
        <v>279</v>
      </c>
      <c r="K1241" s="80" t="s">
        <v>2970</v>
      </c>
      <c r="L1241" t="s">
        <v>2971</v>
      </c>
      <c r="M1241" t="s">
        <v>245</v>
      </c>
      <c r="N1241" t="str">
        <f t="shared" si="19"/>
        <v>IHVNnaKeffi</v>
      </c>
    </row>
    <row r="1242" spans="8:14" x14ac:dyDescent="0.35">
      <c r="H1242" t="s">
        <v>227</v>
      </c>
      <c r="I1242" t="s">
        <v>234</v>
      </c>
      <c r="J1242" t="s">
        <v>279</v>
      </c>
      <c r="K1242" s="80" t="s">
        <v>2972</v>
      </c>
      <c r="L1242" t="s">
        <v>2973</v>
      </c>
      <c r="M1242" t="s">
        <v>245</v>
      </c>
      <c r="N1242" t="str">
        <f t="shared" si="19"/>
        <v>IHVNnaKeffi</v>
      </c>
    </row>
    <row r="1243" spans="8:14" x14ac:dyDescent="0.35">
      <c r="H1243" t="s">
        <v>227</v>
      </c>
      <c r="I1243" t="s">
        <v>234</v>
      </c>
      <c r="J1243" t="s">
        <v>279</v>
      </c>
      <c r="K1243" s="80" t="s">
        <v>2974</v>
      </c>
      <c r="L1243" t="s">
        <v>2975</v>
      </c>
      <c r="M1243" t="s">
        <v>245</v>
      </c>
      <c r="N1243" t="str">
        <f t="shared" si="19"/>
        <v>IHVNnaKeffi</v>
      </c>
    </row>
    <row r="1244" spans="8:14" x14ac:dyDescent="0.35">
      <c r="H1244" t="s">
        <v>227</v>
      </c>
      <c r="I1244" t="s">
        <v>234</v>
      </c>
      <c r="J1244" t="s">
        <v>279</v>
      </c>
      <c r="K1244" s="80" t="s">
        <v>2976</v>
      </c>
      <c r="L1244" t="s">
        <v>2977</v>
      </c>
      <c r="M1244" t="s">
        <v>245</v>
      </c>
      <c r="N1244" t="str">
        <f t="shared" si="19"/>
        <v>IHVNnaKeffi</v>
      </c>
    </row>
    <row r="1245" spans="8:14" x14ac:dyDescent="0.35">
      <c r="H1245" t="s">
        <v>227</v>
      </c>
      <c r="I1245" t="s">
        <v>234</v>
      </c>
      <c r="J1245" t="s">
        <v>279</v>
      </c>
      <c r="K1245" s="80" t="s">
        <v>2978</v>
      </c>
      <c r="L1245" t="s">
        <v>2979</v>
      </c>
      <c r="M1245" t="s">
        <v>245</v>
      </c>
      <c r="N1245" t="str">
        <f t="shared" si="19"/>
        <v>IHVNnaKeffi</v>
      </c>
    </row>
    <row r="1246" spans="8:14" x14ac:dyDescent="0.35">
      <c r="H1246" t="s">
        <v>227</v>
      </c>
      <c r="I1246" t="s">
        <v>234</v>
      </c>
      <c r="J1246" t="s">
        <v>283</v>
      </c>
      <c r="K1246" s="80" t="s">
        <v>2980</v>
      </c>
      <c r="L1246" t="s">
        <v>2981</v>
      </c>
      <c r="M1246" t="s">
        <v>245</v>
      </c>
      <c r="N1246" t="str">
        <f t="shared" si="19"/>
        <v>IHVNnaKokona</v>
      </c>
    </row>
    <row r="1247" spans="8:14" x14ac:dyDescent="0.35">
      <c r="H1247" t="s">
        <v>227</v>
      </c>
      <c r="I1247" t="s">
        <v>234</v>
      </c>
      <c r="J1247" t="s">
        <v>287</v>
      </c>
      <c r="K1247" s="80" t="s">
        <v>2982</v>
      </c>
      <c r="L1247" t="s">
        <v>2983</v>
      </c>
      <c r="M1247" t="s">
        <v>245</v>
      </c>
      <c r="N1247" t="str">
        <f t="shared" si="19"/>
        <v>IHVNnaLafia</v>
      </c>
    </row>
    <row r="1248" spans="8:14" x14ac:dyDescent="0.35">
      <c r="H1248" t="s">
        <v>227</v>
      </c>
      <c r="I1248" t="s">
        <v>234</v>
      </c>
      <c r="J1248" t="s">
        <v>287</v>
      </c>
      <c r="K1248" s="80" t="s">
        <v>2984</v>
      </c>
      <c r="L1248" t="s">
        <v>2985</v>
      </c>
      <c r="M1248" t="s">
        <v>245</v>
      </c>
      <c r="N1248" t="str">
        <f t="shared" si="19"/>
        <v>IHVNnaLafia</v>
      </c>
    </row>
    <row r="1249" spans="8:14" x14ac:dyDescent="0.35">
      <c r="H1249" t="s">
        <v>227</v>
      </c>
      <c r="I1249" t="s">
        <v>234</v>
      </c>
      <c r="J1249" t="s">
        <v>287</v>
      </c>
      <c r="K1249" s="80" t="s">
        <v>2986</v>
      </c>
      <c r="L1249" t="s">
        <v>2987</v>
      </c>
      <c r="M1249" t="s">
        <v>245</v>
      </c>
      <c r="N1249" t="str">
        <f t="shared" si="19"/>
        <v>IHVNnaLafia</v>
      </c>
    </row>
    <row r="1250" spans="8:14" x14ac:dyDescent="0.35">
      <c r="H1250" t="s">
        <v>227</v>
      </c>
      <c r="I1250" t="s">
        <v>234</v>
      </c>
      <c r="J1250" t="s">
        <v>287</v>
      </c>
      <c r="K1250" s="80" t="s">
        <v>2988</v>
      </c>
      <c r="L1250" t="s">
        <v>2989</v>
      </c>
      <c r="M1250" t="s">
        <v>245</v>
      </c>
      <c r="N1250" t="str">
        <f t="shared" si="19"/>
        <v>IHVNnaLafia</v>
      </c>
    </row>
    <row r="1251" spans="8:14" x14ac:dyDescent="0.35">
      <c r="H1251" t="s">
        <v>227</v>
      </c>
      <c r="I1251" t="s">
        <v>234</v>
      </c>
      <c r="J1251" t="s">
        <v>287</v>
      </c>
      <c r="K1251" s="80" t="s">
        <v>2990</v>
      </c>
      <c r="L1251" t="s">
        <v>2991</v>
      </c>
      <c r="M1251" t="s">
        <v>245</v>
      </c>
      <c r="N1251" t="str">
        <f t="shared" si="19"/>
        <v>IHVNnaLafia</v>
      </c>
    </row>
    <row r="1252" spans="8:14" x14ac:dyDescent="0.35">
      <c r="H1252" t="s">
        <v>227</v>
      </c>
      <c r="I1252" t="s">
        <v>234</v>
      </c>
      <c r="J1252" t="s">
        <v>287</v>
      </c>
      <c r="K1252" s="80" t="s">
        <v>2992</v>
      </c>
      <c r="L1252" t="s">
        <v>2993</v>
      </c>
      <c r="M1252" t="s">
        <v>245</v>
      </c>
      <c r="N1252" t="str">
        <f t="shared" si="19"/>
        <v>IHVNnaLafia</v>
      </c>
    </row>
    <row r="1253" spans="8:14" x14ac:dyDescent="0.35">
      <c r="H1253" t="s">
        <v>227</v>
      </c>
      <c r="I1253" t="s">
        <v>234</v>
      </c>
      <c r="J1253" t="s">
        <v>287</v>
      </c>
      <c r="K1253" s="80" t="s">
        <v>2994</v>
      </c>
      <c r="L1253" t="s">
        <v>2995</v>
      </c>
      <c r="M1253" t="s">
        <v>245</v>
      </c>
      <c r="N1253" t="str">
        <f t="shared" si="19"/>
        <v>IHVNnaLafia</v>
      </c>
    </row>
    <row r="1254" spans="8:14" x14ac:dyDescent="0.35">
      <c r="H1254" t="s">
        <v>227</v>
      </c>
      <c r="I1254" t="s">
        <v>234</v>
      </c>
      <c r="J1254" t="s">
        <v>287</v>
      </c>
      <c r="K1254" s="80" t="s">
        <v>2996</v>
      </c>
      <c r="L1254" t="s">
        <v>2997</v>
      </c>
      <c r="M1254" t="s">
        <v>245</v>
      </c>
      <c r="N1254" t="str">
        <f t="shared" si="19"/>
        <v>IHVNnaLafia</v>
      </c>
    </row>
    <row r="1255" spans="8:14" x14ac:dyDescent="0.35">
      <c r="H1255" t="s">
        <v>227</v>
      </c>
      <c r="I1255" t="s">
        <v>234</v>
      </c>
      <c r="J1255" t="s">
        <v>287</v>
      </c>
      <c r="K1255" s="80" t="s">
        <v>2998</v>
      </c>
      <c r="L1255" t="s">
        <v>2999</v>
      </c>
      <c r="M1255" t="s">
        <v>245</v>
      </c>
      <c r="N1255" t="str">
        <f t="shared" si="19"/>
        <v>IHVNnaLafia</v>
      </c>
    </row>
    <row r="1256" spans="8:14" x14ac:dyDescent="0.35">
      <c r="H1256" t="s">
        <v>227</v>
      </c>
      <c r="I1256" t="s">
        <v>234</v>
      </c>
      <c r="J1256" t="s">
        <v>287</v>
      </c>
      <c r="K1256" s="80" t="s">
        <v>3000</v>
      </c>
      <c r="L1256" t="s">
        <v>3001</v>
      </c>
      <c r="M1256" t="s">
        <v>245</v>
      </c>
      <c r="N1256" t="str">
        <f t="shared" si="19"/>
        <v>IHVNnaLafia</v>
      </c>
    </row>
    <row r="1257" spans="8:14" x14ac:dyDescent="0.35">
      <c r="H1257" t="s">
        <v>227</v>
      </c>
      <c r="I1257" t="s">
        <v>234</v>
      </c>
      <c r="J1257" t="s">
        <v>287</v>
      </c>
      <c r="K1257" s="80" t="s">
        <v>3002</v>
      </c>
      <c r="L1257" t="s">
        <v>3003</v>
      </c>
      <c r="M1257" t="s">
        <v>245</v>
      </c>
      <c r="N1257" t="str">
        <f t="shared" si="19"/>
        <v>IHVNnaLafia</v>
      </c>
    </row>
    <row r="1258" spans="8:14" x14ac:dyDescent="0.35">
      <c r="H1258" t="s">
        <v>227</v>
      </c>
      <c r="I1258" t="s">
        <v>234</v>
      </c>
      <c r="J1258" t="s">
        <v>287</v>
      </c>
      <c r="K1258" s="80" t="s">
        <v>3004</v>
      </c>
      <c r="L1258" t="s">
        <v>3005</v>
      </c>
      <c r="M1258" t="s">
        <v>245</v>
      </c>
      <c r="N1258" t="str">
        <f t="shared" si="19"/>
        <v>IHVNnaLafia</v>
      </c>
    </row>
    <row r="1259" spans="8:14" x14ac:dyDescent="0.35">
      <c r="H1259" t="s">
        <v>227</v>
      </c>
      <c r="I1259" t="s">
        <v>234</v>
      </c>
      <c r="J1259" t="s">
        <v>287</v>
      </c>
      <c r="K1259" s="80" t="s">
        <v>3006</v>
      </c>
      <c r="L1259" t="s">
        <v>3007</v>
      </c>
      <c r="M1259" t="s">
        <v>245</v>
      </c>
      <c r="N1259" t="str">
        <f t="shared" si="19"/>
        <v>IHVNnaLafia</v>
      </c>
    </row>
    <row r="1260" spans="8:14" x14ac:dyDescent="0.35">
      <c r="H1260" t="s">
        <v>227</v>
      </c>
      <c r="I1260" t="s">
        <v>234</v>
      </c>
      <c r="J1260" t="s">
        <v>287</v>
      </c>
      <c r="K1260" s="80" t="s">
        <v>3008</v>
      </c>
      <c r="L1260" t="s">
        <v>3009</v>
      </c>
      <c r="M1260" t="s">
        <v>245</v>
      </c>
      <c r="N1260" t="str">
        <f t="shared" si="19"/>
        <v>IHVNnaLafia</v>
      </c>
    </row>
    <row r="1261" spans="8:14" x14ac:dyDescent="0.35">
      <c r="H1261" t="s">
        <v>227</v>
      </c>
      <c r="I1261" t="s">
        <v>234</v>
      </c>
      <c r="J1261" t="s">
        <v>287</v>
      </c>
      <c r="K1261" s="80" t="s">
        <v>3010</v>
      </c>
      <c r="L1261" t="s">
        <v>3011</v>
      </c>
      <c r="M1261" t="s">
        <v>245</v>
      </c>
      <c r="N1261" t="str">
        <f t="shared" si="19"/>
        <v>IHVNnaLafia</v>
      </c>
    </row>
    <row r="1262" spans="8:14" x14ac:dyDescent="0.35">
      <c r="H1262" t="s">
        <v>227</v>
      </c>
      <c r="I1262" t="s">
        <v>234</v>
      </c>
      <c r="J1262" t="s">
        <v>287</v>
      </c>
      <c r="K1262" s="80" t="s">
        <v>3012</v>
      </c>
      <c r="L1262" t="s">
        <v>3013</v>
      </c>
      <c r="M1262" t="s">
        <v>245</v>
      </c>
      <c r="N1262" t="str">
        <f t="shared" si="19"/>
        <v>IHVNnaLafia</v>
      </c>
    </row>
    <row r="1263" spans="8:14" x14ac:dyDescent="0.35">
      <c r="H1263" t="s">
        <v>227</v>
      </c>
      <c r="I1263" t="s">
        <v>234</v>
      </c>
      <c r="J1263" t="s">
        <v>287</v>
      </c>
      <c r="K1263" s="80" t="s">
        <v>3014</v>
      </c>
      <c r="L1263" t="s">
        <v>3015</v>
      </c>
      <c r="M1263" t="s">
        <v>245</v>
      </c>
      <c r="N1263" t="str">
        <f t="shared" si="19"/>
        <v>IHVNnaLafia</v>
      </c>
    </row>
    <row r="1264" spans="8:14" x14ac:dyDescent="0.35">
      <c r="H1264" t="s">
        <v>227</v>
      </c>
      <c r="I1264" t="s">
        <v>234</v>
      </c>
      <c r="J1264" t="s">
        <v>287</v>
      </c>
      <c r="K1264" s="80" t="s">
        <v>3016</v>
      </c>
      <c r="L1264" t="s">
        <v>3017</v>
      </c>
      <c r="M1264" t="s">
        <v>245</v>
      </c>
      <c r="N1264" t="str">
        <f t="shared" si="19"/>
        <v>IHVNnaLafia</v>
      </c>
    </row>
    <row r="1265" spans="8:14" x14ac:dyDescent="0.35">
      <c r="H1265" t="s">
        <v>227</v>
      </c>
      <c r="I1265" t="s">
        <v>234</v>
      </c>
      <c r="J1265" t="s">
        <v>287</v>
      </c>
      <c r="K1265" s="80" t="s">
        <v>3018</v>
      </c>
      <c r="L1265" t="s">
        <v>3019</v>
      </c>
      <c r="M1265" t="s">
        <v>245</v>
      </c>
      <c r="N1265" t="str">
        <f t="shared" si="19"/>
        <v>IHVNnaLafia</v>
      </c>
    </row>
    <row r="1266" spans="8:14" x14ac:dyDescent="0.35">
      <c r="H1266" t="s">
        <v>227</v>
      </c>
      <c r="I1266" t="s">
        <v>234</v>
      </c>
      <c r="J1266" t="s">
        <v>287</v>
      </c>
      <c r="K1266" s="80" t="s">
        <v>3020</v>
      </c>
      <c r="L1266" t="s">
        <v>3021</v>
      </c>
      <c r="M1266" t="s">
        <v>245</v>
      </c>
      <c r="N1266" t="str">
        <f t="shared" si="19"/>
        <v>IHVNnaLafia</v>
      </c>
    </row>
    <row r="1267" spans="8:14" x14ac:dyDescent="0.35">
      <c r="H1267" t="s">
        <v>227</v>
      </c>
      <c r="I1267" t="s">
        <v>234</v>
      </c>
      <c r="J1267" t="s">
        <v>287</v>
      </c>
      <c r="K1267" s="80" t="s">
        <v>3022</v>
      </c>
      <c r="L1267" t="s">
        <v>3023</v>
      </c>
      <c r="M1267" t="s">
        <v>245</v>
      </c>
      <c r="N1267" t="str">
        <f t="shared" si="19"/>
        <v>IHVNnaLafia</v>
      </c>
    </row>
    <row r="1268" spans="8:14" x14ac:dyDescent="0.35">
      <c r="H1268" t="s">
        <v>227</v>
      </c>
      <c r="I1268" t="s">
        <v>234</v>
      </c>
      <c r="J1268" t="s">
        <v>287</v>
      </c>
      <c r="K1268" s="80" t="s">
        <v>3024</v>
      </c>
      <c r="L1268" t="s">
        <v>3025</v>
      </c>
      <c r="M1268" t="s">
        <v>245</v>
      </c>
      <c r="N1268" t="str">
        <f t="shared" si="19"/>
        <v>IHVNnaLafia</v>
      </c>
    </row>
    <row r="1269" spans="8:14" x14ac:dyDescent="0.35">
      <c r="H1269" t="s">
        <v>227</v>
      </c>
      <c r="I1269" t="s">
        <v>234</v>
      </c>
      <c r="J1269" t="s">
        <v>287</v>
      </c>
      <c r="K1269" s="80" t="s">
        <v>3026</v>
      </c>
      <c r="L1269" t="s">
        <v>3027</v>
      </c>
      <c r="M1269" t="s">
        <v>245</v>
      </c>
      <c r="N1269" t="str">
        <f t="shared" si="19"/>
        <v>IHVNnaLafia</v>
      </c>
    </row>
    <row r="1270" spans="8:14" x14ac:dyDescent="0.35">
      <c r="H1270" t="s">
        <v>227</v>
      </c>
      <c r="I1270" t="s">
        <v>234</v>
      </c>
      <c r="J1270" t="s">
        <v>287</v>
      </c>
      <c r="K1270" s="80" t="s">
        <v>3028</v>
      </c>
      <c r="L1270" t="s">
        <v>3029</v>
      </c>
      <c r="M1270" t="s">
        <v>245</v>
      </c>
      <c r="N1270" t="str">
        <f t="shared" si="19"/>
        <v>IHVNnaLafia</v>
      </c>
    </row>
    <row r="1271" spans="8:14" x14ac:dyDescent="0.35">
      <c r="H1271" t="s">
        <v>227</v>
      </c>
      <c r="I1271" t="s">
        <v>234</v>
      </c>
      <c r="J1271" t="s">
        <v>287</v>
      </c>
      <c r="K1271" s="80" t="s">
        <v>3030</v>
      </c>
      <c r="L1271" t="s">
        <v>3031</v>
      </c>
      <c r="M1271" t="s">
        <v>245</v>
      </c>
      <c r="N1271" t="str">
        <f t="shared" si="19"/>
        <v>IHVNnaLafia</v>
      </c>
    </row>
    <row r="1272" spans="8:14" x14ac:dyDescent="0.35">
      <c r="H1272" t="s">
        <v>227</v>
      </c>
      <c r="I1272" t="s">
        <v>234</v>
      </c>
      <c r="J1272" t="s">
        <v>287</v>
      </c>
      <c r="K1272" s="80" t="s">
        <v>3032</v>
      </c>
      <c r="L1272" t="s">
        <v>3033</v>
      </c>
      <c r="M1272" t="s">
        <v>245</v>
      </c>
      <c r="N1272" t="str">
        <f t="shared" si="19"/>
        <v>IHVNnaLafia</v>
      </c>
    </row>
    <row r="1273" spans="8:14" x14ac:dyDescent="0.35">
      <c r="H1273" t="s">
        <v>227</v>
      </c>
      <c r="I1273" t="s">
        <v>234</v>
      </c>
      <c r="J1273" t="s">
        <v>287</v>
      </c>
      <c r="K1273" s="80" t="s">
        <v>3034</v>
      </c>
      <c r="L1273" t="s">
        <v>3035</v>
      </c>
      <c r="M1273" t="s">
        <v>245</v>
      </c>
      <c r="N1273" t="str">
        <f t="shared" si="19"/>
        <v>IHVNnaLafia</v>
      </c>
    </row>
    <row r="1274" spans="8:14" x14ac:dyDescent="0.35">
      <c r="H1274" t="s">
        <v>227</v>
      </c>
      <c r="I1274" t="s">
        <v>234</v>
      </c>
      <c r="J1274" t="s">
        <v>287</v>
      </c>
      <c r="K1274" s="80" t="s">
        <v>3036</v>
      </c>
      <c r="L1274" t="s">
        <v>3037</v>
      </c>
      <c r="M1274" t="s">
        <v>245</v>
      </c>
      <c r="N1274" t="str">
        <f t="shared" si="19"/>
        <v>IHVNnaLafia</v>
      </c>
    </row>
    <row r="1275" spans="8:14" x14ac:dyDescent="0.35">
      <c r="H1275" t="s">
        <v>227</v>
      </c>
      <c r="I1275" t="s">
        <v>234</v>
      </c>
      <c r="J1275" t="s">
        <v>287</v>
      </c>
      <c r="K1275" s="80" t="s">
        <v>3038</v>
      </c>
      <c r="L1275" t="s">
        <v>3039</v>
      </c>
      <c r="M1275" t="s">
        <v>245</v>
      </c>
      <c r="N1275" t="str">
        <f t="shared" si="19"/>
        <v>IHVNnaLafia</v>
      </c>
    </row>
    <row r="1276" spans="8:14" x14ac:dyDescent="0.35">
      <c r="H1276" t="s">
        <v>227</v>
      </c>
      <c r="I1276" t="s">
        <v>234</v>
      </c>
      <c r="J1276" t="s">
        <v>287</v>
      </c>
      <c r="K1276" s="80" t="s">
        <v>3040</v>
      </c>
      <c r="L1276" t="s">
        <v>3041</v>
      </c>
      <c r="M1276" t="s">
        <v>245</v>
      </c>
      <c r="N1276" t="str">
        <f t="shared" si="19"/>
        <v>IHVNnaLafia</v>
      </c>
    </row>
    <row r="1277" spans="8:14" x14ac:dyDescent="0.35">
      <c r="H1277" t="s">
        <v>227</v>
      </c>
      <c r="I1277" t="s">
        <v>234</v>
      </c>
      <c r="J1277" t="s">
        <v>287</v>
      </c>
      <c r="K1277" s="80" t="s">
        <v>3042</v>
      </c>
      <c r="L1277" t="s">
        <v>3043</v>
      </c>
      <c r="M1277" t="s">
        <v>245</v>
      </c>
      <c r="N1277" t="str">
        <f t="shared" si="19"/>
        <v>IHVNnaLafia</v>
      </c>
    </row>
    <row r="1278" spans="8:14" x14ac:dyDescent="0.35">
      <c r="H1278" t="s">
        <v>227</v>
      </c>
      <c r="I1278" t="s">
        <v>234</v>
      </c>
      <c r="J1278" t="s">
        <v>287</v>
      </c>
      <c r="K1278" s="80" t="s">
        <v>3044</v>
      </c>
      <c r="L1278" t="s">
        <v>3045</v>
      </c>
      <c r="M1278" t="s">
        <v>245</v>
      </c>
      <c r="N1278" t="str">
        <f t="shared" si="19"/>
        <v>IHVNnaLafia</v>
      </c>
    </row>
    <row r="1279" spans="8:14" x14ac:dyDescent="0.35">
      <c r="H1279" t="s">
        <v>227</v>
      </c>
      <c r="I1279" t="s">
        <v>234</v>
      </c>
      <c r="J1279" t="s">
        <v>287</v>
      </c>
      <c r="K1279" s="80" t="s">
        <v>3046</v>
      </c>
      <c r="L1279" t="s">
        <v>3047</v>
      </c>
      <c r="M1279" t="s">
        <v>245</v>
      </c>
      <c r="N1279" t="str">
        <f t="shared" si="19"/>
        <v>IHVNnaLafia</v>
      </c>
    </row>
    <row r="1280" spans="8:14" x14ac:dyDescent="0.35">
      <c r="H1280" t="s">
        <v>227</v>
      </c>
      <c r="I1280" t="s">
        <v>234</v>
      </c>
      <c r="J1280" t="s">
        <v>287</v>
      </c>
      <c r="K1280" s="80" t="s">
        <v>3048</v>
      </c>
      <c r="L1280" t="s">
        <v>3049</v>
      </c>
      <c r="M1280" t="s">
        <v>245</v>
      </c>
      <c r="N1280" t="str">
        <f t="shared" si="19"/>
        <v>IHVNnaLafia</v>
      </c>
    </row>
    <row r="1281" spans="8:14" x14ac:dyDescent="0.35">
      <c r="H1281" t="s">
        <v>227</v>
      </c>
      <c r="I1281" t="s">
        <v>234</v>
      </c>
      <c r="J1281" t="s">
        <v>287</v>
      </c>
      <c r="K1281" s="80" t="s">
        <v>3050</v>
      </c>
      <c r="L1281" t="s">
        <v>3051</v>
      </c>
      <c r="M1281" t="s">
        <v>245</v>
      </c>
      <c r="N1281" t="str">
        <f t="shared" si="19"/>
        <v>IHVNnaLafia</v>
      </c>
    </row>
    <row r="1282" spans="8:14" x14ac:dyDescent="0.35">
      <c r="H1282" t="s">
        <v>227</v>
      </c>
      <c r="I1282" t="s">
        <v>234</v>
      </c>
      <c r="J1282" t="s">
        <v>287</v>
      </c>
      <c r="K1282" s="80" t="s">
        <v>3052</v>
      </c>
      <c r="L1282" t="s">
        <v>3053</v>
      </c>
      <c r="M1282" t="s">
        <v>245</v>
      </c>
      <c r="N1282" t="str">
        <f t="shared" si="19"/>
        <v>IHVNnaLafia</v>
      </c>
    </row>
    <row r="1283" spans="8:14" x14ac:dyDescent="0.35">
      <c r="H1283" t="s">
        <v>227</v>
      </c>
      <c r="I1283" t="s">
        <v>234</v>
      </c>
      <c r="J1283" t="s">
        <v>287</v>
      </c>
      <c r="K1283" s="80" t="s">
        <v>3054</v>
      </c>
      <c r="L1283" t="s">
        <v>3055</v>
      </c>
      <c r="M1283" t="s">
        <v>245</v>
      </c>
      <c r="N1283" t="str">
        <f t="shared" ref="N1283:N1346" si="20">SUBSTITUTE(SUBSTITUTE(M1283&amp;J1283," ",""),"-","")</f>
        <v>IHVNnaLafia</v>
      </c>
    </row>
    <row r="1284" spans="8:14" x14ac:dyDescent="0.35">
      <c r="H1284" t="s">
        <v>227</v>
      </c>
      <c r="I1284" t="s">
        <v>234</v>
      </c>
      <c r="J1284" t="s">
        <v>287</v>
      </c>
      <c r="K1284" s="80" t="s">
        <v>3056</v>
      </c>
      <c r="L1284" t="s">
        <v>3057</v>
      </c>
      <c r="M1284" t="s">
        <v>245</v>
      </c>
      <c r="N1284" t="str">
        <f t="shared" si="20"/>
        <v>IHVNnaLafia</v>
      </c>
    </row>
    <row r="1285" spans="8:14" x14ac:dyDescent="0.35">
      <c r="H1285" t="s">
        <v>227</v>
      </c>
      <c r="I1285" t="s">
        <v>234</v>
      </c>
      <c r="J1285" t="s">
        <v>287</v>
      </c>
      <c r="K1285" s="80" t="s">
        <v>3058</v>
      </c>
      <c r="L1285" t="s">
        <v>3059</v>
      </c>
      <c r="M1285" t="s">
        <v>245</v>
      </c>
      <c r="N1285" t="str">
        <f t="shared" si="20"/>
        <v>IHVNnaLafia</v>
      </c>
    </row>
    <row r="1286" spans="8:14" x14ac:dyDescent="0.35">
      <c r="H1286" t="s">
        <v>227</v>
      </c>
      <c r="I1286" t="s">
        <v>234</v>
      </c>
      <c r="J1286" t="s">
        <v>287</v>
      </c>
      <c r="K1286" s="80" t="s">
        <v>3060</v>
      </c>
      <c r="L1286" t="s">
        <v>3061</v>
      </c>
      <c r="M1286" t="s">
        <v>245</v>
      </c>
      <c r="N1286" t="str">
        <f t="shared" si="20"/>
        <v>IHVNnaLafia</v>
      </c>
    </row>
    <row r="1287" spans="8:14" x14ac:dyDescent="0.35">
      <c r="H1287" t="s">
        <v>227</v>
      </c>
      <c r="I1287" t="s">
        <v>234</v>
      </c>
      <c r="J1287" t="s">
        <v>287</v>
      </c>
      <c r="K1287" s="80" t="s">
        <v>3062</v>
      </c>
      <c r="L1287" t="s">
        <v>3063</v>
      </c>
      <c r="M1287" t="s">
        <v>245</v>
      </c>
      <c r="N1287" t="str">
        <f t="shared" si="20"/>
        <v>IHVNnaLafia</v>
      </c>
    </row>
    <row r="1288" spans="8:14" x14ac:dyDescent="0.35">
      <c r="H1288" t="s">
        <v>227</v>
      </c>
      <c r="I1288" t="s">
        <v>234</v>
      </c>
      <c r="J1288" t="s">
        <v>291</v>
      </c>
      <c r="K1288" s="80" t="s">
        <v>3064</v>
      </c>
      <c r="L1288" t="s">
        <v>3065</v>
      </c>
      <c r="M1288" t="s">
        <v>245</v>
      </c>
      <c r="N1288" t="str">
        <f t="shared" si="20"/>
        <v>IHVNnaNasarawa</v>
      </c>
    </row>
    <row r="1289" spans="8:14" x14ac:dyDescent="0.35">
      <c r="H1289" t="s">
        <v>227</v>
      </c>
      <c r="I1289" t="s">
        <v>234</v>
      </c>
      <c r="J1289" t="s">
        <v>291</v>
      </c>
      <c r="K1289" s="80" t="s">
        <v>3066</v>
      </c>
      <c r="L1289" t="s">
        <v>3067</v>
      </c>
      <c r="M1289" t="s">
        <v>245</v>
      </c>
      <c r="N1289" t="str">
        <f t="shared" si="20"/>
        <v>IHVNnaNasarawa</v>
      </c>
    </row>
    <row r="1290" spans="8:14" x14ac:dyDescent="0.35">
      <c r="H1290" t="s">
        <v>227</v>
      </c>
      <c r="I1290" t="s">
        <v>234</v>
      </c>
      <c r="J1290" t="s">
        <v>291</v>
      </c>
      <c r="K1290" s="80" t="s">
        <v>3068</v>
      </c>
      <c r="L1290" t="s">
        <v>3069</v>
      </c>
      <c r="M1290" t="s">
        <v>245</v>
      </c>
      <c r="N1290" t="str">
        <f t="shared" si="20"/>
        <v>IHVNnaNasarawa</v>
      </c>
    </row>
    <row r="1291" spans="8:14" x14ac:dyDescent="0.35">
      <c r="H1291" t="s">
        <v>227</v>
      </c>
      <c r="I1291" t="s">
        <v>234</v>
      </c>
      <c r="J1291" t="s">
        <v>291</v>
      </c>
      <c r="K1291" s="80" t="s">
        <v>3070</v>
      </c>
      <c r="L1291" t="s">
        <v>3071</v>
      </c>
      <c r="M1291" t="s">
        <v>245</v>
      </c>
      <c r="N1291" t="str">
        <f t="shared" si="20"/>
        <v>IHVNnaNasarawa</v>
      </c>
    </row>
    <row r="1292" spans="8:14" x14ac:dyDescent="0.35">
      <c r="H1292" t="s">
        <v>227</v>
      </c>
      <c r="I1292" t="s">
        <v>234</v>
      </c>
      <c r="J1292" t="s">
        <v>291</v>
      </c>
      <c r="K1292" s="80" t="s">
        <v>3072</v>
      </c>
      <c r="L1292" t="s">
        <v>3073</v>
      </c>
      <c r="M1292" t="s">
        <v>245</v>
      </c>
      <c r="N1292" t="str">
        <f t="shared" si="20"/>
        <v>IHVNnaNasarawa</v>
      </c>
    </row>
    <row r="1293" spans="8:14" x14ac:dyDescent="0.35">
      <c r="H1293" t="s">
        <v>227</v>
      </c>
      <c r="I1293" t="s">
        <v>234</v>
      </c>
      <c r="J1293" t="s">
        <v>291</v>
      </c>
      <c r="K1293" s="80" t="s">
        <v>3074</v>
      </c>
      <c r="L1293" t="s">
        <v>3075</v>
      </c>
      <c r="M1293" t="s">
        <v>245</v>
      </c>
      <c r="N1293" t="str">
        <f t="shared" si="20"/>
        <v>IHVNnaNasarawa</v>
      </c>
    </row>
    <row r="1294" spans="8:14" x14ac:dyDescent="0.35">
      <c r="H1294" t="s">
        <v>227</v>
      </c>
      <c r="I1294" t="s">
        <v>234</v>
      </c>
      <c r="J1294" t="s">
        <v>291</v>
      </c>
      <c r="K1294" s="80" t="s">
        <v>3076</v>
      </c>
      <c r="L1294" t="s">
        <v>3077</v>
      </c>
      <c r="M1294" t="s">
        <v>245</v>
      </c>
      <c r="N1294" t="str">
        <f t="shared" si="20"/>
        <v>IHVNnaNasarawa</v>
      </c>
    </row>
    <row r="1295" spans="8:14" x14ac:dyDescent="0.35">
      <c r="H1295" t="s">
        <v>227</v>
      </c>
      <c r="I1295" t="s">
        <v>234</v>
      </c>
      <c r="J1295" t="s">
        <v>291</v>
      </c>
      <c r="K1295" s="80" t="s">
        <v>3078</v>
      </c>
      <c r="L1295" t="s">
        <v>3079</v>
      </c>
      <c r="M1295" t="s">
        <v>245</v>
      </c>
      <c r="N1295" t="str">
        <f t="shared" si="20"/>
        <v>IHVNnaNasarawa</v>
      </c>
    </row>
    <row r="1296" spans="8:14" x14ac:dyDescent="0.35">
      <c r="H1296" t="s">
        <v>227</v>
      </c>
      <c r="I1296" t="s">
        <v>234</v>
      </c>
      <c r="J1296" t="s">
        <v>291</v>
      </c>
      <c r="K1296" s="80" t="s">
        <v>3080</v>
      </c>
      <c r="L1296" t="s">
        <v>3081</v>
      </c>
      <c r="M1296" t="s">
        <v>245</v>
      </c>
      <c r="N1296" t="str">
        <f t="shared" si="20"/>
        <v>IHVNnaNasarawa</v>
      </c>
    </row>
    <row r="1297" spans="8:14" x14ac:dyDescent="0.35">
      <c r="H1297" t="s">
        <v>227</v>
      </c>
      <c r="I1297" t="s">
        <v>234</v>
      </c>
      <c r="J1297" t="s">
        <v>291</v>
      </c>
      <c r="K1297" s="80" t="s">
        <v>3082</v>
      </c>
      <c r="L1297" t="s">
        <v>3083</v>
      </c>
      <c r="M1297" t="s">
        <v>245</v>
      </c>
      <c r="N1297" t="str">
        <f t="shared" si="20"/>
        <v>IHVNnaNasarawa</v>
      </c>
    </row>
    <row r="1298" spans="8:14" x14ac:dyDescent="0.35">
      <c r="H1298" t="s">
        <v>227</v>
      </c>
      <c r="I1298" t="s">
        <v>234</v>
      </c>
      <c r="J1298" t="s">
        <v>291</v>
      </c>
      <c r="K1298" s="80" t="s">
        <v>3084</v>
      </c>
      <c r="L1298" t="s">
        <v>3085</v>
      </c>
      <c r="M1298" t="s">
        <v>245</v>
      </c>
      <c r="N1298" t="str">
        <f t="shared" si="20"/>
        <v>IHVNnaNasarawa</v>
      </c>
    </row>
    <row r="1299" spans="8:14" x14ac:dyDescent="0.35">
      <c r="H1299" t="s">
        <v>227</v>
      </c>
      <c r="I1299" t="s">
        <v>234</v>
      </c>
      <c r="J1299" t="s">
        <v>291</v>
      </c>
      <c r="K1299" s="80" t="s">
        <v>3086</v>
      </c>
      <c r="L1299" t="s">
        <v>3087</v>
      </c>
      <c r="M1299" t="s">
        <v>245</v>
      </c>
      <c r="N1299" t="str">
        <f t="shared" si="20"/>
        <v>IHVNnaNasarawa</v>
      </c>
    </row>
    <row r="1300" spans="8:14" x14ac:dyDescent="0.35">
      <c r="H1300" t="s">
        <v>227</v>
      </c>
      <c r="I1300" t="s">
        <v>234</v>
      </c>
      <c r="J1300" t="s">
        <v>291</v>
      </c>
      <c r="K1300" s="80" t="s">
        <v>3088</v>
      </c>
      <c r="L1300" t="s">
        <v>3089</v>
      </c>
      <c r="M1300" t="s">
        <v>245</v>
      </c>
      <c r="N1300" t="str">
        <f t="shared" si="20"/>
        <v>IHVNnaNasarawa</v>
      </c>
    </row>
    <row r="1301" spans="8:14" x14ac:dyDescent="0.35">
      <c r="H1301" t="s">
        <v>227</v>
      </c>
      <c r="I1301" t="s">
        <v>234</v>
      </c>
      <c r="J1301" t="s">
        <v>291</v>
      </c>
      <c r="K1301" s="80" t="s">
        <v>3090</v>
      </c>
      <c r="L1301" t="s">
        <v>3091</v>
      </c>
      <c r="M1301" t="s">
        <v>245</v>
      </c>
      <c r="N1301" t="str">
        <f t="shared" si="20"/>
        <v>IHVNnaNasarawa</v>
      </c>
    </row>
    <row r="1302" spans="8:14" x14ac:dyDescent="0.35">
      <c r="H1302" t="s">
        <v>227</v>
      </c>
      <c r="I1302" t="s">
        <v>234</v>
      </c>
      <c r="J1302" t="s">
        <v>291</v>
      </c>
      <c r="K1302" s="80" t="s">
        <v>3092</v>
      </c>
      <c r="L1302" t="s">
        <v>3093</v>
      </c>
      <c r="M1302" t="s">
        <v>245</v>
      </c>
      <c r="N1302" t="str">
        <f t="shared" si="20"/>
        <v>IHVNnaNasarawa</v>
      </c>
    </row>
    <row r="1303" spans="8:14" x14ac:dyDescent="0.35">
      <c r="H1303" t="s">
        <v>227</v>
      </c>
      <c r="I1303" t="s">
        <v>234</v>
      </c>
      <c r="J1303" t="s">
        <v>291</v>
      </c>
      <c r="K1303" s="80" t="s">
        <v>3094</v>
      </c>
      <c r="L1303" t="s">
        <v>3095</v>
      </c>
      <c r="M1303" t="s">
        <v>245</v>
      </c>
      <c r="N1303" t="str">
        <f t="shared" si="20"/>
        <v>IHVNnaNasarawa</v>
      </c>
    </row>
    <row r="1304" spans="8:14" x14ac:dyDescent="0.35">
      <c r="H1304" t="s">
        <v>227</v>
      </c>
      <c r="I1304" t="s">
        <v>234</v>
      </c>
      <c r="J1304" t="s">
        <v>291</v>
      </c>
      <c r="K1304" s="80" t="s">
        <v>3096</v>
      </c>
      <c r="L1304" t="s">
        <v>3097</v>
      </c>
      <c r="M1304" t="s">
        <v>245</v>
      </c>
      <c r="N1304" t="str">
        <f t="shared" si="20"/>
        <v>IHVNnaNasarawa</v>
      </c>
    </row>
    <row r="1305" spans="8:14" x14ac:dyDescent="0.35">
      <c r="H1305" t="s">
        <v>227</v>
      </c>
      <c r="I1305" t="s">
        <v>234</v>
      </c>
      <c r="J1305" t="s">
        <v>291</v>
      </c>
      <c r="K1305" s="80" t="s">
        <v>3098</v>
      </c>
      <c r="L1305" t="s">
        <v>3099</v>
      </c>
      <c r="M1305" t="s">
        <v>245</v>
      </c>
      <c r="N1305" t="str">
        <f t="shared" si="20"/>
        <v>IHVNnaNasarawa</v>
      </c>
    </row>
    <row r="1306" spans="8:14" x14ac:dyDescent="0.35">
      <c r="H1306" t="s">
        <v>227</v>
      </c>
      <c r="I1306" t="s">
        <v>234</v>
      </c>
      <c r="J1306" t="s">
        <v>291</v>
      </c>
      <c r="K1306" s="80" t="s">
        <v>3100</v>
      </c>
      <c r="L1306" t="s">
        <v>3101</v>
      </c>
      <c r="M1306" t="s">
        <v>245</v>
      </c>
      <c r="N1306" t="str">
        <f t="shared" si="20"/>
        <v>IHVNnaNasarawa</v>
      </c>
    </row>
    <row r="1307" spans="8:14" x14ac:dyDescent="0.35">
      <c r="H1307" t="s">
        <v>227</v>
      </c>
      <c r="I1307" t="s">
        <v>234</v>
      </c>
      <c r="J1307" t="s">
        <v>291</v>
      </c>
      <c r="K1307" s="80" t="s">
        <v>3102</v>
      </c>
      <c r="L1307" t="s">
        <v>3103</v>
      </c>
      <c r="M1307" t="s">
        <v>245</v>
      </c>
      <c r="N1307" t="str">
        <f t="shared" si="20"/>
        <v>IHVNnaNasarawa</v>
      </c>
    </row>
    <row r="1308" spans="8:14" x14ac:dyDescent="0.35">
      <c r="H1308" t="s">
        <v>227</v>
      </c>
      <c r="I1308" t="s">
        <v>234</v>
      </c>
      <c r="J1308" t="s">
        <v>291</v>
      </c>
      <c r="K1308" s="80" t="s">
        <v>3104</v>
      </c>
      <c r="L1308" t="s">
        <v>3105</v>
      </c>
      <c r="M1308" t="s">
        <v>245</v>
      </c>
      <c r="N1308" t="str">
        <f t="shared" si="20"/>
        <v>IHVNnaNasarawa</v>
      </c>
    </row>
    <row r="1309" spans="8:14" x14ac:dyDescent="0.35">
      <c r="H1309" t="s">
        <v>227</v>
      </c>
      <c r="I1309" t="s">
        <v>234</v>
      </c>
      <c r="J1309" t="s">
        <v>291</v>
      </c>
      <c r="K1309" s="80" t="s">
        <v>3106</v>
      </c>
      <c r="L1309" t="s">
        <v>3107</v>
      </c>
      <c r="M1309" t="s">
        <v>245</v>
      </c>
      <c r="N1309" t="str">
        <f t="shared" si="20"/>
        <v>IHVNnaNasarawa</v>
      </c>
    </row>
    <row r="1310" spans="8:14" x14ac:dyDescent="0.35">
      <c r="H1310" t="s">
        <v>227</v>
      </c>
      <c r="I1310" t="s">
        <v>234</v>
      </c>
      <c r="J1310" t="s">
        <v>291</v>
      </c>
      <c r="K1310" s="80" t="s">
        <v>3108</v>
      </c>
      <c r="L1310" t="s">
        <v>3109</v>
      </c>
      <c r="M1310" t="s">
        <v>245</v>
      </c>
      <c r="N1310" t="str">
        <f t="shared" si="20"/>
        <v>IHVNnaNasarawa</v>
      </c>
    </row>
    <row r="1311" spans="8:14" x14ac:dyDescent="0.35">
      <c r="H1311" t="s">
        <v>227</v>
      </c>
      <c r="I1311" t="s">
        <v>234</v>
      </c>
      <c r="J1311" t="s">
        <v>291</v>
      </c>
      <c r="K1311" s="80" t="s">
        <v>3110</v>
      </c>
      <c r="L1311" t="s">
        <v>3111</v>
      </c>
      <c r="M1311" t="s">
        <v>245</v>
      </c>
      <c r="N1311" t="str">
        <f t="shared" si="20"/>
        <v>IHVNnaNasarawa</v>
      </c>
    </row>
    <row r="1312" spans="8:14" x14ac:dyDescent="0.35">
      <c r="H1312" t="s">
        <v>227</v>
      </c>
      <c r="I1312" t="s">
        <v>234</v>
      </c>
      <c r="J1312" t="s">
        <v>291</v>
      </c>
      <c r="K1312" s="80" t="s">
        <v>3112</v>
      </c>
      <c r="L1312" t="s">
        <v>3113</v>
      </c>
      <c r="M1312" t="s">
        <v>245</v>
      </c>
      <c r="N1312" t="str">
        <f t="shared" si="20"/>
        <v>IHVNnaNasarawa</v>
      </c>
    </row>
    <row r="1313" spans="8:14" x14ac:dyDescent="0.35">
      <c r="H1313" t="s">
        <v>227</v>
      </c>
      <c r="I1313" t="s">
        <v>234</v>
      </c>
      <c r="J1313" t="s">
        <v>291</v>
      </c>
      <c r="K1313" s="80" t="s">
        <v>3114</v>
      </c>
      <c r="L1313" t="s">
        <v>3115</v>
      </c>
      <c r="M1313" t="s">
        <v>245</v>
      </c>
      <c r="N1313" t="str">
        <f t="shared" si="20"/>
        <v>IHVNnaNasarawa</v>
      </c>
    </row>
    <row r="1314" spans="8:14" x14ac:dyDescent="0.35">
      <c r="H1314" t="s">
        <v>227</v>
      </c>
      <c r="I1314" t="s">
        <v>234</v>
      </c>
      <c r="J1314" t="s">
        <v>291</v>
      </c>
      <c r="K1314" s="80" t="s">
        <v>3116</v>
      </c>
      <c r="L1314" t="s">
        <v>3117</v>
      </c>
      <c r="M1314" t="s">
        <v>245</v>
      </c>
      <c r="N1314" t="str">
        <f t="shared" si="20"/>
        <v>IHVNnaNasarawa</v>
      </c>
    </row>
    <row r="1315" spans="8:14" x14ac:dyDescent="0.35">
      <c r="H1315" t="s">
        <v>227</v>
      </c>
      <c r="I1315" t="s">
        <v>234</v>
      </c>
      <c r="J1315" t="s">
        <v>295</v>
      </c>
      <c r="K1315" s="80" t="s">
        <v>3118</v>
      </c>
      <c r="L1315" t="s">
        <v>3119</v>
      </c>
      <c r="M1315" t="s">
        <v>245</v>
      </c>
      <c r="N1315" t="str">
        <f t="shared" si="20"/>
        <v>IHVNnaNasarawaEggon</v>
      </c>
    </row>
    <row r="1316" spans="8:14" x14ac:dyDescent="0.35">
      <c r="H1316" t="s">
        <v>227</v>
      </c>
      <c r="I1316" t="s">
        <v>234</v>
      </c>
      <c r="J1316" t="s">
        <v>295</v>
      </c>
      <c r="K1316" s="80" t="s">
        <v>3120</v>
      </c>
      <c r="L1316" t="s">
        <v>3121</v>
      </c>
      <c r="M1316" t="s">
        <v>245</v>
      </c>
      <c r="N1316" t="str">
        <f t="shared" si="20"/>
        <v>IHVNnaNasarawaEggon</v>
      </c>
    </row>
    <row r="1317" spans="8:14" x14ac:dyDescent="0.35">
      <c r="H1317" t="s">
        <v>227</v>
      </c>
      <c r="I1317" t="s">
        <v>234</v>
      </c>
      <c r="J1317" t="s">
        <v>295</v>
      </c>
      <c r="K1317" s="80" t="s">
        <v>3122</v>
      </c>
      <c r="L1317" t="s">
        <v>3123</v>
      </c>
      <c r="M1317" t="s">
        <v>245</v>
      </c>
      <c r="N1317" t="str">
        <f t="shared" si="20"/>
        <v>IHVNnaNasarawaEggon</v>
      </c>
    </row>
    <row r="1318" spans="8:14" x14ac:dyDescent="0.35">
      <c r="H1318" t="s">
        <v>227</v>
      </c>
      <c r="I1318" t="s">
        <v>234</v>
      </c>
      <c r="J1318" t="s">
        <v>295</v>
      </c>
      <c r="K1318" s="80" t="s">
        <v>3124</v>
      </c>
      <c r="L1318" t="s">
        <v>3125</v>
      </c>
      <c r="M1318" t="s">
        <v>245</v>
      </c>
      <c r="N1318" t="str">
        <f t="shared" si="20"/>
        <v>IHVNnaNasarawaEggon</v>
      </c>
    </row>
    <row r="1319" spans="8:14" x14ac:dyDescent="0.35">
      <c r="H1319" t="s">
        <v>227</v>
      </c>
      <c r="I1319" t="s">
        <v>234</v>
      </c>
      <c r="J1319" t="s">
        <v>299</v>
      </c>
      <c r="K1319" s="80" t="s">
        <v>3126</v>
      </c>
      <c r="L1319" t="s">
        <v>3127</v>
      </c>
      <c r="M1319" t="s">
        <v>245</v>
      </c>
      <c r="N1319" t="str">
        <f t="shared" si="20"/>
        <v>IHVNnaObi</v>
      </c>
    </row>
    <row r="1320" spans="8:14" x14ac:dyDescent="0.35">
      <c r="H1320" t="s">
        <v>227</v>
      </c>
      <c r="I1320" t="s">
        <v>234</v>
      </c>
      <c r="J1320" t="s">
        <v>299</v>
      </c>
      <c r="K1320" s="80" t="s">
        <v>3128</v>
      </c>
      <c r="L1320" t="s">
        <v>3129</v>
      </c>
      <c r="M1320" t="s">
        <v>245</v>
      </c>
      <c r="N1320" t="str">
        <f t="shared" si="20"/>
        <v>IHVNnaObi</v>
      </c>
    </row>
    <row r="1321" spans="8:14" x14ac:dyDescent="0.35">
      <c r="H1321" t="s">
        <v>227</v>
      </c>
      <c r="I1321" t="s">
        <v>234</v>
      </c>
      <c r="J1321" t="s">
        <v>299</v>
      </c>
      <c r="K1321" s="80" t="s">
        <v>3130</v>
      </c>
      <c r="L1321" t="s">
        <v>3131</v>
      </c>
      <c r="M1321" t="s">
        <v>245</v>
      </c>
      <c r="N1321" t="str">
        <f t="shared" si="20"/>
        <v>IHVNnaObi</v>
      </c>
    </row>
    <row r="1322" spans="8:14" x14ac:dyDescent="0.35">
      <c r="H1322" t="s">
        <v>227</v>
      </c>
      <c r="I1322" t="s">
        <v>234</v>
      </c>
      <c r="J1322" t="s">
        <v>299</v>
      </c>
      <c r="K1322" s="80" t="s">
        <v>3132</v>
      </c>
      <c r="L1322" t="s">
        <v>3133</v>
      </c>
      <c r="M1322" t="s">
        <v>245</v>
      </c>
      <c r="N1322" t="str">
        <f t="shared" si="20"/>
        <v>IHVNnaObi</v>
      </c>
    </row>
    <row r="1323" spans="8:14" x14ac:dyDescent="0.35">
      <c r="H1323" t="s">
        <v>227</v>
      </c>
      <c r="I1323" t="s">
        <v>234</v>
      </c>
      <c r="J1323" t="s">
        <v>299</v>
      </c>
      <c r="K1323" s="80" t="s">
        <v>3134</v>
      </c>
      <c r="L1323" t="s">
        <v>3135</v>
      </c>
      <c r="M1323" t="s">
        <v>245</v>
      </c>
      <c r="N1323" t="str">
        <f t="shared" si="20"/>
        <v>IHVNnaObi</v>
      </c>
    </row>
    <row r="1324" spans="8:14" x14ac:dyDescent="0.35">
      <c r="H1324" t="s">
        <v>227</v>
      </c>
      <c r="I1324" t="s">
        <v>234</v>
      </c>
      <c r="J1324" t="s">
        <v>299</v>
      </c>
      <c r="K1324" s="80" t="s">
        <v>3136</v>
      </c>
      <c r="L1324" t="s">
        <v>3137</v>
      </c>
      <c r="M1324" t="s">
        <v>245</v>
      </c>
      <c r="N1324" t="str">
        <f t="shared" si="20"/>
        <v>IHVNnaObi</v>
      </c>
    </row>
    <row r="1325" spans="8:14" x14ac:dyDescent="0.35">
      <c r="H1325" t="s">
        <v>227</v>
      </c>
      <c r="I1325" t="s">
        <v>234</v>
      </c>
      <c r="J1325" t="s">
        <v>299</v>
      </c>
      <c r="K1325" s="80" t="s">
        <v>3138</v>
      </c>
      <c r="L1325" t="s">
        <v>3139</v>
      </c>
      <c r="M1325" t="s">
        <v>245</v>
      </c>
      <c r="N1325" t="str">
        <f t="shared" si="20"/>
        <v>IHVNnaObi</v>
      </c>
    </row>
    <row r="1326" spans="8:14" x14ac:dyDescent="0.35">
      <c r="H1326" t="s">
        <v>227</v>
      </c>
      <c r="I1326" t="s">
        <v>234</v>
      </c>
      <c r="J1326" t="s">
        <v>299</v>
      </c>
      <c r="K1326" s="80" t="s">
        <v>3140</v>
      </c>
      <c r="L1326" t="s">
        <v>3141</v>
      </c>
      <c r="M1326" t="s">
        <v>245</v>
      </c>
      <c r="N1326" t="str">
        <f t="shared" si="20"/>
        <v>IHVNnaObi</v>
      </c>
    </row>
    <row r="1327" spans="8:14" x14ac:dyDescent="0.35">
      <c r="H1327" t="s">
        <v>227</v>
      </c>
      <c r="I1327" t="s">
        <v>234</v>
      </c>
      <c r="J1327" t="s">
        <v>299</v>
      </c>
      <c r="K1327" s="80" t="s">
        <v>3142</v>
      </c>
      <c r="L1327" t="s">
        <v>3143</v>
      </c>
      <c r="M1327" t="s">
        <v>245</v>
      </c>
      <c r="N1327" t="str">
        <f t="shared" si="20"/>
        <v>IHVNnaObi</v>
      </c>
    </row>
    <row r="1328" spans="8:14" x14ac:dyDescent="0.35">
      <c r="H1328" t="s">
        <v>227</v>
      </c>
      <c r="I1328" t="s">
        <v>234</v>
      </c>
      <c r="J1328" t="s">
        <v>299</v>
      </c>
      <c r="K1328" s="80" t="s">
        <v>3144</v>
      </c>
      <c r="L1328" t="s">
        <v>3145</v>
      </c>
      <c r="M1328" t="s">
        <v>245</v>
      </c>
      <c r="N1328" t="str">
        <f t="shared" si="20"/>
        <v>IHVNnaObi</v>
      </c>
    </row>
    <row r="1329" spans="8:14" x14ac:dyDescent="0.35">
      <c r="H1329" t="s">
        <v>227</v>
      </c>
      <c r="I1329" t="s">
        <v>234</v>
      </c>
      <c r="J1329" t="s">
        <v>299</v>
      </c>
      <c r="K1329" s="80" t="s">
        <v>3146</v>
      </c>
      <c r="L1329" t="s">
        <v>3147</v>
      </c>
      <c r="M1329" t="s">
        <v>245</v>
      </c>
      <c r="N1329" t="str">
        <f t="shared" si="20"/>
        <v>IHVNnaObi</v>
      </c>
    </row>
    <row r="1330" spans="8:14" x14ac:dyDescent="0.35">
      <c r="H1330" t="s">
        <v>227</v>
      </c>
      <c r="I1330" t="s">
        <v>234</v>
      </c>
      <c r="J1330" t="s">
        <v>299</v>
      </c>
      <c r="K1330" s="80" t="s">
        <v>3148</v>
      </c>
      <c r="L1330" t="s">
        <v>3149</v>
      </c>
      <c r="M1330" t="s">
        <v>245</v>
      </c>
      <c r="N1330" t="str">
        <f t="shared" si="20"/>
        <v>IHVNnaObi</v>
      </c>
    </row>
    <row r="1331" spans="8:14" x14ac:dyDescent="0.35">
      <c r="H1331" t="s">
        <v>227</v>
      </c>
      <c r="I1331" t="s">
        <v>234</v>
      </c>
      <c r="J1331" t="s">
        <v>299</v>
      </c>
      <c r="K1331" s="80" t="s">
        <v>3150</v>
      </c>
      <c r="L1331" t="s">
        <v>3151</v>
      </c>
      <c r="M1331" t="s">
        <v>245</v>
      </c>
      <c r="N1331" t="str">
        <f t="shared" si="20"/>
        <v>IHVNnaObi</v>
      </c>
    </row>
    <row r="1332" spans="8:14" x14ac:dyDescent="0.35">
      <c r="H1332" t="s">
        <v>227</v>
      </c>
      <c r="I1332" t="s">
        <v>234</v>
      </c>
      <c r="J1332" t="s">
        <v>299</v>
      </c>
      <c r="K1332" s="80" t="s">
        <v>3152</v>
      </c>
      <c r="L1332" t="s">
        <v>3153</v>
      </c>
      <c r="M1332" t="s">
        <v>245</v>
      </c>
      <c r="N1332" t="str">
        <f t="shared" si="20"/>
        <v>IHVNnaObi</v>
      </c>
    </row>
    <row r="1333" spans="8:14" x14ac:dyDescent="0.35">
      <c r="H1333" t="s">
        <v>227</v>
      </c>
      <c r="I1333" t="s">
        <v>234</v>
      </c>
      <c r="J1333" t="s">
        <v>299</v>
      </c>
      <c r="K1333" s="80" t="s">
        <v>3154</v>
      </c>
      <c r="L1333" t="s">
        <v>3155</v>
      </c>
      <c r="M1333" t="s">
        <v>245</v>
      </c>
      <c r="N1333" t="str">
        <f t="shared" si="20"/>
        <v>IHVNnaObi</v>
      </c>
    </row>
    <row r="1334" spans="8:14" x14ac:dyDescent="0.35">
      <c r="H1334" t="s">
        <v>227</v>
      </c>
      <c r="I1334" t="s">
        <v>234</v>
      </c>
      <c r="J1334" t="s">
        <v>299</v>
      </c>
      <c r="K1334" s="80" t="s">
        <v>3156</v>
      </c>
      <c r="L1334" t="s">
        <v>3157</v>
      </c>
      <c r="M1334" t="s">
        <v>245</v>
      </c>
      <c r="N1334" t="str">
        <f t="shared" si="20"/>
        <v>IHVNnaObi</v>
      </c>
    </row>
    <row r="1335" spans="8:14" x14ac:dyDescent="0.35">
      <c r="H1335" t="s">
        <v>227</v>
      </c>
      <c r="I1335" t="s">
        <v>234</v>
      </c>
      <c r="J1335" t="s">
        <v>299</v>
      </c>
      <c r="K1335" s="80" t="s">
        <v>3158</v>
      </c>
      <c r="L1335" t="s">
        <v>3159</v>
      </c>
      <c r="M1335" t="s">
        <v>245</v>
      </c>
      <c r="N1335" t="str">
        <f t="shared" si="20"/>
        <v>IHVNnaObi</v>
      </c>
    </row>
    <row r="1336" spans="8:14" x14ac:dyDescent="0.35">
      <c r="H1336" t="s">
        <v>227</v>
      </c>
      <c r="I1336" t="s">
        <v>234</v>
      </c>
      <c r="J1336" t="s">
        <v>302</v>
      </c>
      <c r="K1336" s="80" t="s">
        <v>3160</v>
      </c>
      <c r="L1336" t="s">
        <v>3161</v>
      </c>
      <c r="M1336" t="s">
        <v>245</v>
      </c>
      <c r="N1336" t="str">
        <f t="shared" si="20"/>
        <v>IHVNnaToto</v>
      </c>
    </row>
    <row r="1337" spans="8:14" x14ac:dyDescent="0.35">
      <c r="H1337" t="s">
        <v>227</v>
      </c>
      <c r="I1337" t="s">
        <v>234</v>
      </c>
      <c r="J1337" t="s">
        <v>302</v>
      </c>
      <c r="K1337" s="80" t="s">
        <v>3162</v>
      </c>
      <c r="L1337" t="s">
        <v>3163</v>
      </c>
      <c r="M1337" t="s">
        <v>245</v>
      </c>
      <c r="N1337" t="str">
        <f t="shared" si="20"/>
        <v>IHVNnaToto</v>
      </c>
    </row>
    <row r="1338" spans="8:14" x14ac:dyDescent="0.35">
      <c r="H1338" t="s">
        <v>227</v>
      </c>
      <c r="I1338" t="s">
        <v>234</v>
      </c>
      <c r="J1338" t="s">
        <v>302</v>
      </c>
      <c r="K1338" s="80" t="s">
        <v>3164</v>
      </c>
      <c r="L1338" t="s">
        <v>3165</v>
      </c>
      <c r="M1338" t="s">
        <v>245</v>
      </c>
      <c r="N1338" t="str">
        <f t="shared" si="20"/>
        <v>IHVNnaToto</v>
      </c>
    </row>
    <row r="1339" spans="8:14" x14ac:dyDescent="0.35">
      <c r="H1339" t="s">
        <v>227</v>
      </c>
      <c r="I1339" t="s">
        <v>234</v>
      </c>
      <c r="J1339" t="s">
        <v>306</v>
      </c>
      <c r="K1339" s="80" t="s">
        <v>3166</v>
      </c>
      <c r="L1339" t="s">
        <v>3167</v>
      </c>
      <c r="M1339" t="s">
        <v>245</v>
      </c>
      <c r="N1339" t="str">
        <f t="shared" si="20"/>
        <v>IHVNnaWamba</v>
      </c>
    </row>
    <row r="1340" spans="8:14" x14ac:dyDescent="0.35">
      <c r="H1340" t="s">
        <v>227</v>
      </c>
      <c r="I1340" t="s">
        <v>234</v>
      </c>
      <c r="J1340" t="s">
        <v>306</v>
      </c>
      <c r="K1340" s="80" t="s">
        <v>3168</v>
      </c>
      <c r="L1340" t="s">
        <v>3169</v>
      </c>
      <c r="M1340" t="s">
        <v>245</v>
      </c>
      <c r="N1340" t="str">
        <f t="shared" si="20"/>
        <v>IHVNnaWamba</v>
      </c>
    </row>
    <row r="1341" spans="8:14" x14ac:dyDescent="0.35">
      <c r="H1341" t="s">
        <v>227</v>
      </c>
      <c r="I1341" t="s">
        <v>234</v>
      </c>
      <c r="J1341" t="s">
        <v>306</v>
      </c>
      <c r="K1341" s="80" t="s">
        <v>3170</v>
      </c>
      <c r="L1341" t="s">
        <v>3171</v>
      </c>
      <c r="M1341" t="s">
        <v>245</v>
      </c>
      <c r="N1341" t="str">
        <f t="shared" si="20"/>
        <v>IHVNnaWamba</v>
      </c>
    </row>
    <row r="1342" spans="8:14" x14ac:dyDescent="0.35">
      <c r="H1342" t="s">
        <v>227</v>
      </c>
      <c r="I1342" t="s">
        <v>234</v>
      </c>
      <c r="J1342" t="s">
        <v>306</v>
      </c>
      <c r="K1342" s="80" t="s">
        <v>3172</v>
      </c>
      <c r="L1342" t="s">
        <v>3173</v>
      </c>
      <c r="M1342" t="s">
        <v>245</v>
      </c>
      <c r="N1342" t="str">
        <f t="shared" si="20"/>
        <v>IHVNnaWamba</v>
      </c>
    </row>
    <row r="1343" spans="8:14" x14ac:dyDescent="0.35">
      <c r="H1343" t="s">
        <v>227</v>
      </c>
      <c r="I1343" t="s">
        <v>234</v>
      </c>
      <c r="J1343" t="s">
        <v>306</v>
      </c>
      <c r="K1343" s="80" t="s">
        <v>3174</v>
      </c>
      <c r="L1343" t="s">
        <v>3175</v>
      </c>
      <c r="M1343" t="s">
        <v>245</v>
      </c>
      <c r="N1343" t="str">
        <f t="shared" si="20"/>
        <v>IHVNnaWamba</v>
      </c>
    </row>
    <row r="1344" spans="8:14" x14ac:dyDescent="0.35">
      <c r="H1344" t="s">
        <v>227</v>
      </c>
      <c r="I1344" t="s">
        <v>234</v>
      </c>
      <c r="J1344" t="s">
        <v>306</v>
      </c>
      <c r="K1344" s="80" t="s">
        <v>3176</v>
      </c>
      <c r="L1344" t="s">
        <v>3177</v>
      </c>
      <c r="M1344" t="s">
        <v>245</v>
      </c>
      <c r="N1344" t="str">
        <f t="shared" si="20"/>
        <v>IHVNnaWamba</v>
      </c>
    </row>
    <row r="1345" spans="8:14" x14ac:dyDescent="0.35">
      <c r="H1345" t="s">
        <v>227</v>
      </c>
      <c r="I1345" t="s">
        <v>294</v>
      </c>
      <c r="J1345" t="s">
        <v>778</v>
      </c>
      <c r="K1345" s="80" t="s">
        <v>3178</v>
      </c>
      <c r="L1345" t="s">
        <v>3179</v>
      </c>
      <c r="M1345" t="s">
        <v>36</v>
      </c>
      <c r="N1345" t="str">
        <f t="shared" si="20"/>
        <v>APINogAbeokutaNorth</v>
      </c>
    </row>
    <row r="1346" spans="8:14" x14ac:dyDescent="0.35">
      <c r="H1346" t="s">
        <v>227</v>
      </c>
      <c r="I1346" t="s">
        <v>294</v>
      </c>
      <c r="J1346" t="s">
        <v>781</v>
      </c>
      <c r="K1346" s="80" t="s">
        <v>3180</v>
      </c>
      <c r="L1346" t="s">
        <v>3181</v>
      </c>
      <c r="M1346" t="s">
        <v>36</v>
      </c>
      <c r="N1346" t="str">
        <f t="shared" si="20"/>
        <v>APINogAbeokutaSouth</v>
      </c>
    </row>
    <row r="1347" spans="8:14" x14ac:dyDescent="0.35">
      <c r="H1347" t="s">
        <v>227</v>
      </c>
      <c r="I1347" t="s">
        <v>294</v>
      </c>
      <c r="J1347" t="s">
        <v>781</v>
      </c>
      <c r="K1347" s="80" t="s">
        <v>3182</v>
      </c>
      <c r="L1347" t="s">
        <v>3183</v>
      </c>
      <c r="M1347" t="s">
        <v>36</v>
      </c>
      <c r="N1347" t="str">
        <f t="shared" ref="N1347:N1410" si="21">SUBSTITUTE(SUBSTITUTE(M1347&amp;J1347," ",""),"-","")</f>
        <v>APINogAbeokutaSouth</v>
      </c>
    </row>
    <row r="1348" spans="8:14" x14ac:dyDescent="0.35">
      <c r="H1348" t="s">
        <v>227</v>
      </c>
      <c r="I1348" t="s">
        <v>294</v>
      </c>
      <c r="J1348" t="s">
        <v>784</v>
      </c>
      <c r="K1348" s="80" t="s">
        <v>3184</v>
      </c>
      <c r="L1348" t="s">
        <v>3185</v>
      </c>
      <c r="M1348" t="s">
        <v>36</v>
      </c>
      <c r="N1348" t="str">
        <f t="shared" si="21"/>
        <v>APINogAdoOdoOta</v>
      </c>
    </row>
    <row r="1349" spans="8:14" x14ac:dyDescent="0.35">
      <c r="H1349" t="s">
        <v>227</v>
      </c>
      <c r="I1349" t="s">
        <v>294</v>
      </c>
      <c r="J1349" t="s">
        <v>784</v>
      </c>
      <c r="K1349" s="80" t="s">
        <v>3186</v>
      </c>
      <c r="L1349" t="s">
        <v>3187</v>
      </c>
      <c r="M1349" t="s">
        <v>36</v>
      </c>
      <c r="N1349" t="str">
        <f t="shared" si="21"/>
        <v>APINogAdoOdoOta</v>
      </c>
    </row>
    <row r="1350" spans="8:14" x14ac:dyDescent="0.35">
      <c r="H1350" t="s">
        <v>227</v>
      </c>
      <c r="I1350" t="s">
        <v>294</v>
      </c>
      <c r="J1350" t="s">
        <v>784</v>
      </c>
      <c r="K1350" s="80" t="s">
        <v>3188</v>
      </c>
      <c r="L1350" t="s">
        <v>3189</v>
      </c>
      <c r="M1350" t="s">
        <v>36</v>
      </c>
      <c r="N1350" t="str">
        <f t="shared" si="21"/>
        <v>APINogAdoOdoOta</v>
      </c>
    </row>
    <row r="1351" spans="8:14" x14ac:dyDescent="0.35">
      <c r="H1351" t="s">
        <v>227</v>
      </c>
      <c r="I1351" t="s">
        <v>294</v>
      </c>
      <c r="J1351" t="s">
        <v>787</v>
      </c>
      <c r="K1351" s="80" t="s">
        <v>3190</v>
      </c>
      <c r="L1351" t="s">
        <v>3191</v>
      </c>
      <c r="M1351" t="s">
        <v>36</v>
      </c>
      <c r="N1351" t="str">
        <f t="shared" si="21"/>
        <v>APINogIfo</v>
      </c>
    </row>
    <row r="1352" spans="8:14" x14ac:dyDescent="0.35">
      <c r="H1352" t="s">
        <v>227</v>
      </c>
      <c r="I1352" t="s">
        <v>294</v>
      </c>
      <c r="J1352" t="s">
        <v>787</v>
      </c>
      <c r="K1352" s="80" t="s">
        <v>3192</v>
      </c>
      <c r="L1352" t="s">
        <v>3193</v>
      </c>
      <c r="M1352" t="s">
        <v>36</v>
      </c>
      <c r="N1352" t="str">
        <f t="shared" si="21"/>
        <v>APINogIfo</v>
      </c>
    </row>
    <row r="1353" spans="8:14" x14ac:dyDescent="0.35">
      <c r="H1353" t="s">
        <v>227</v>
      </c>
      <c r="I1353" t="s">
        <v>294</v>
      </c>
      <c r="J1353" t="s">
        <v>787</v>
      </c>
      <c r="K1353" s="80" t="s">
        <v>3194</v>
      </c>
      <c r="L1353" t="s">
        <v>3195</v>
      </c>
      <c r="M1353" t="s">
        <v>36</v>
      </c>
      <c r="N1353" t="str">
        <f t="shared" si="21"/>
        <v>APINogIfo</v>
      </c>
    </row>
    <row r="1354" spans="8:14" x14ac:dyDescent="0.35">
      <c r="H1354" t="s">
        <v>227</v>
      </c>
      <c r="I1354" t="s">
        <v>294</v>
      </c>
      <c r="J1354" t="s">
        <v>790</v>
      </c>
      <c r="K1354" s="80" t="s">
        <v>3196</v>
      </c>
      <c r="L1354" t="s">
        <v>3197</v>
      </c>
      <c r="M1354" t="s">
        <v>36</v>
      </c>
      <c r="N1354" t="str">
        <f t="shared" si="21"/>
        <v>APINogIjebuOde</v>
      </c>
    </row>
    <row r="1355" spans="8:14" x14ac:dyDescent="0.35">
      <c r="H1355" t="s">
        <v>227</v>
      </c>
      <c r="I1355" t="s">
        <v>294</v>
      </c>
      <c r="J1355" t="s">
        <v>790</v>
      </c>
      <c r="K1355" s="80" t="s">
        <v>3198</v>
      </c>
      <c r="L1355" t="s">
        <v>3199</v>
      </c>
      <c r="M1355" t="s">
        <v>36</v>
      </c>
      <c r="N1355" t="str">
        <f t="shared" si="21"/>
        <v>APINogIjebuOde</v>
      </c>
    </row>
    <row r="1356" spans="8:14" x14ac:dyDescent="0.35">
      <c r="H1356" t="s">
        <v>227</v>
      </c>
      <c r="I1356" t="s">
        <v>294</v>
      </c>
      <c r="J1356" t="s">
        <v>793</v>
      </c>
      <c r="K1356" s="80" t="s">
        <v>3200</v>
      </c>
      <c r="L1356" t="s">
        <v>3201</v>
      </c>
      <c r="M1356" t="s">
        <v>36</v>
      </c>
      <c r="N1356" t="str">
        <f t="shared" si="21"/>
        <v>APINogIpokia</v>
      </c>
    </row>
    <row r="1357" spans="8:14" x14ac:dyDescent="0.35">
      <c r="H1357" t="s">
        <v>227</v>
      </c>
      <c r="I1357" t="s">
        <v>294</v>
      </c>
      <c r="J1357" t="s">
        <v>793</v>
      </c>
      <c r="K1357" s="80" t="s">
        <v>3202</v>
      </c>
      <c r="L1357" t="s">
        <v>3203</v>
      </c>
      <c r="M1357" t="s">
        <v>36</v>
      </c>
      <c r="N1357" t="str">
        <f t="shared" si="21"/>
        <v>APINogIpokia</v>
      </c>
    </row>
    <row r="1358" spans="8:14" x14ac:dyDescent="0.35">
      <c r="H1358" t="s">
        <v>227</v>
      </c>
      <c r="I1358" t="s">
        <v>294</v>
      </c>
      <c r="J1358" t="s">
        <v>796</v>
      </c>
      <c r="K1358" s="80" t="s">
        <v>3204</v>
      </c>
      <c r="L1358" t="s">
        <v>3205</v>
      </c>
      <c r="M1358" t="s">
        <v>36</v>
      </c>
      <c r="N1358" t="str">
        <f t="shared" si="21"/>
        <v>APINogSagamu</v>
      </c>
    </row>
    <row r="1359" spans="8:14" x14ac:dyDescent="0.35">
      <c r="H1359" t="s">
        <v>227</v>
      </c>
      <c r="I1359" t="s">
        <v>294</v>
      </c>
      <c r="J1359" t="s">
        <v>796</v>
      </c>
      <c r="K1359" s="80" t="s">
        <v>3206</v>
      </c>
      <c r="L1359" t="s">
        <v>3207</v>
      </c>
      <c r="M1359" t="s">
        <v>36</v>
      </c>
      <c r="N1359" t="str">
        <f t="shared" si="21"/>
        <v>APINogSagamu</v>
      </c>
    </row>
    <row r="1360" spans="8:14" x14ac:dyDescent="0.35">
      <c r="H1360" t="s">
        <v>227</v>
      </c>
      <c r="I1360" t="s">
        <v>294</v>
      </c>
      <c r="J1360" t="s">
        <v>799</v>
      </c>
      <c r="K1360" s="80" t="s">
        <v>3208</v>
      </c>
      <c r="L1360" t="s">
        <v>3209</v>
      </c>
      <c r="M1360" t="s">
        <v>36</v>
      </c>
      <c r="N1360" t="str">
        <f t="shared" si="21"/>
        <v>APINogYewaNorth</v>
      </c>
    </row>
    <row r="1361" spans="8:14" x14ac:dyDescent="0.35">
      <c r="H1361" t="s">
        <v>227</v>
      </c>
      <c r="I1361" t="s">
        <v>294</v>
      </c>
      <c r="J1361" t="s">
        <v>799</v>
      </c>
      <c r="K1361" s="80" t="s">
        <v>3210</v>
      </c>
      <c r="L1361" t="s">
        <v>3211</v>
      </c>
      <c r="M1361" t="s">
        <v>36</v>
      </c>
      <c r="N1361" t="str">
        <f t="shared" si="21"/>
        <v>APINogYewaNorth</v>
      </c>
    </row>
    <row r="1362" spans="8:14" x14ac:dyDescent="0.35">
      <c r="H1362" t="s">
        <v>227</v>
      </c>
      <c r="I1362" t="s">
        <v>294</v>
      </c>
      <c r="J1362" t="s">
        <v>799</v>
      </c>
      <c r="K1362" s="80" t="s">
        <v>3212</v>
      </c>
      <c r="L1362" t="s">
        <v>3213</v>
      </c>
      <c r="M1362" t="s">
        <v>36</v>
      </c>
      <c r="N1362" t="str">
        <f t="shared" si="21"/>
        <v>APINogYewaNorth</v>
      </c>
    </row>
    <row r="1363" spans="8:14" x14ac:dyDescent="0.35">
      <c r="H1363" t="s">
        <v>227</v>
      </c>
      <c r="I1363" t="s">
        <v>294</v>
      </c>
      <c r="J1363" t="s">
        <v>802</v>
      </c>
      <c r="K1363" s="80" t="s">
        <v>3214</v>
      </c>
      <c r="L1363" t="s">
        <v>3215</v>
      </c>
      <c r="M1363" t="s">
        <v>36</v>
      </c>
      <c r="N1363" t="str">
        <f t="shared" si="21"/>
        <v>APINogYewaSouth</v>
      </c>
    </row>
    <row r="1364" spans="8:14" x14ac:dyDescent="0.35">
      <c r="H1364" t="s">
        <v>227</v>
      </c>
      <c r="I1364" t="s">
        <v>294</v>
      </c>
      <c r="J1364" t="s">
        <v>802</v>
      </c>
      <c r="K1364" s="80" t="s">
        <v>3216</v>
      </c>
      <c r="L1364" t="s">
        <v>3217</v>
      </c>
      <c r="M1364" t="s">
        <v>36</v>
      </c>
      <c r="N1364" t="str">
        <f t="shared" si="21"/>
        <v>APINogYewaSouth</v>
      </c>
    </row>
    <row r="1365" spans="8:14" x14ac:dyDescent="0.35">
      <c r="H1365" t="s">
        <v>227</v>
      </c>
      <c r="I1365" t="s">
        <v>298</v>
      </c>
      <c r="J1365" t="s">
        <v>805</v>
      </c>
      <c r="K1365" s="80" t="s">
        <v>3218</v>
      </c>
      <c r="L1365" t="s">
        <v>3219</v>
      </c>
      <c r="M1365" t="s">
        <v>36</v>
      </c>
      <c r="N1365" t="str">
        <f t="shared" si="21"/>
        <v>APINonAkokoNorthEast</v>
      </c>
    </row>
    <row r="1366" spans="8:14" x14ac:dyDescent="0.35">
      <c r="H1366" t="s">
        <v>227</v>
      </c>
      <c r="I1366" t="s">
        <v>298</v>
      </c>
      <c r="J1366" t="s">
        <v>808</v>
      </c>
      <c r="K1366" s="80" t="s">
        <v>3220</v>
      </c>
      <c r="L1366" t="s">
        <v>3221</v>
      </c>
      <c r="M1366" t="s">
        <v>36</v>
      </c>
      <c r="N1366" t="str">
        <f t="shared" si="21"/>
        <v>APINonAkokoSouthWest</v>
      </c>
    </row>
    <row r="1367" spans="8:14" x14ac:dyDescent="0.35">
      <c r="H1367" t="s">
        <v>227</v>
      </c>
      <c r="I1367" t="s">
        <v>298</v>
      </c>
      <c r="J1367" t="s">
        <v>808</v>
      </c>
      <c r="K1367" s="80" t="s">
        <v>3222</v>
      </c>
      <c r="L1367" t="s">
        <v>3223</v>
      </c>
      <c r="M1367" t="s">
        <v>36</v>
      </c>
      <c r="N1367" t="str">
        <f t="shared" si="21"/>
        <v>APINonAkokoSouthWest</v>
      </c>
    </row>
    <row r="1368" spans="8:14" x14ac:dyDescent="0.35">
      <c r="H1368" t="s">
        <v>227</v>
      </c>
      <c r="I1368" t="s">
        <v>298</v>
      </c>
      <c r="J1368" t="s">
        <v>811</v>
      </c>
      <c r="K1368" s="80" t="s">
        <v>3224</v>
      </c>
      <c r="L1368" t="s">
        <v>3225</v>
      </c>
      <c r="M1368" t="s">
        <v>36</v>
      </c>
      <c r="N1368" t="str">
        <f t="shared" si="21"/>
        <v>APINonAkureSouth</v>
      </c>
    </row>
    <row r="1369" spans="8:14" x14ac:dyDescent="0.35">
      <c r="H1369" t="s">
        <v>227</v>
      </c>
      <c r="I1369" t="s">
        <v>298</v>
      </c>
      <c r="J1369" t="s">
        <v>811</v>
      </c>
      <c r="K1369" s="80" t="s">
        <v>3226</v>
      </c>
      <c r="L1369" t="s">
        <v>3227</v>
      </c>
      <c r="M1369" t="s">
        <v>36</v>
      </c>
      <c r="N1369" t="str">
        <f t="shared" si="21"/>
        <v>APINonAkureSouth</v>
      </c>
    </row>
    <row r="1370" spans="8:14" x14ac:dyDescent="0.35">
      <c r="H1370" t="s">
        <v>227</v>
      </c>
      <c r="I1370" t="s">
        <v>298</v>
      </c>
      <c r="J1370" t="s">
        <v>811</v>
      </c>
      <c r="K1370" s="80" t="s">
        <v>3228</v>
      </c>
      <c r="L1370" t="s">
        <v>3229</v>
      </c>
      <c r="M1370" t="s">
        <v>36</v>
      </c>
      <c r="N1370" t="str">
        <f t="shared" si="21"/>
        <v>APINonAkureSouth</v>
      </c>
    </row>
    <row r="1371" spans="8:14" x14ac:dyDescent="0.35">
      <c r="H1371" t="s">
        <v>227</v>
      </c>
      <c r="I1371" t="s">
        <v>298</v>
      </c>
      <c r="J1371" t="s">
        <v>814</v>
      </c>
      <c r="K1371" s="80" t="s">
        <v>3230</v>
      </c>
      <c r="L1371" t="s">
        <v>3231</v>
      </c>
      <c r="M1371" t="s">
        <v>36</v>
      </c>
      <c r="N1371" t="str">
        <f t="shared" si="21"/>
        <v>APINonEseOdo</v>
      </c>
    </row>
    <row r="1372" spans="8:14" x14ac:dyDescent="0.35">
      <c r="H1372" t="s">
        <v>227</v>
      </c>
      <c r="I1372" t="s">
        <v>298</v>
      </c>
      <c r="J1372" t="s">
        <v>817</v>
      </c>
      <c r="K1372" s="80" t="s">
        <v>3232</v>
      </c>
      <c r="L1372" t="s">
        <v>3233</v>
      </c>
      <c r="M1372" t="s">
        <v>36</v>
      </c>
      <c r="N1372" t="str">
        <f t="shared" si="21"/>
        <v>APINonOdigbo</v>
      </c>
    </row>
    <row r="1373" spans="8:14" x14ac:dyDescent="0.35">
      <c r="H1373" t="s">
        <v>227</v>
      </c>
      <c r="I1373" t="s">
        <v>298</v>
      </c>
      <c r="J1373" t="s">
        <v>820</v>
      </c>
      <c r="K1373" s="80" t="s">
        <v>3234</v>
      </c>
      <c r="L1373" t="s">
        <v>3235</v>
      </c>
      <c r="M1373" t="s">
        <v>36</v>
      </c>
      <c r="N1373" t="str">
        <f t="shared" si="21"/>
        <v>APINonOndoWest</v>
      </c>
    </row>
    <row r="1374" spans="8:14" x14ac:dyDescent="0.35">
      <c r="H1374" t="s">
        <v>227</v>
      </c>
      <c r="I1374" t="s">
        <v>298</v>
      </c>
      <c r="J1374" t="s">
        <v>820</v>
      </c>
      <c r="K1374" s="80" t="s">
        <v>3236</v>
      </c>
      <c r="L1374" t="s">
        <v>3237</v>
      </c>
      <c r="M1374" t="s">
        <v>36</v>
      </c>
      <c r="N1374" t="str">
        <f t="shared" si="21"/>
        <v>APINonOndoWest</v>
      </c>
    </row>
    <row r="1375" spans="8:14" x14ac:dyDescent="0.35">
      <c r="H1375" t="s">
        <v>227</v>
      </c>
      <c r="I1375" t="s">
        <v>298</v>
      </c>
      <c r="J1375" t="s">
        <v>823</v>
      </c>
      <c r="K1375" s="80" t="s">
        <v>3238</v>
      </c>
      <c r="L1375" t="s">
        <v>3239</v>
      </c>
      <c r="M1375" t="s">
        <v>36</v>
      </c>
      <c r="N1375" t="str">
        <f t="shared" si="21"/>
        <v>APINonOwo</v>
      </c>
    </row>
    <row r="1376" spans="8:14" x14ac:dyDescent="0.35">
      <c r="H1376" t="s">
        <v>227</v>
      </c>
      <c r="I1376" t="s">
        <v>298</v>
      </c>
      <c r="J1376" t="s">
        <v>823</v>
      </c>
      <c r="K1376" s="80" t="s">
        <v>3240</v>
      </c>
      <c r="L1376" t="s">
        <v>3241</v>
      </c>
      <c r="M1376" t="s">
        <v>36</v>
      </c>
      <c r="N1376" t="str">
        <f t="shared" si="21"/>
        <v>APINonOwo</v>
      </c>
    </row>
    <row r="1377" spans="8:14" x14ac:dyDescent="0.35">
      <c r="H1377" t="s">
        <v>227</v>
      </c>
      <c r="I1377" t="s">
        <v>38</v>
      </c>
      <c r="J1377" t="s">
        <v>826</v>
      </c>
      <c r="K1377" s="80" t="s">
        <v>3242</v>
      </c>
      <c r="L1377" t="s">
        <v>3243</v>
      </c>
      <c r="M1377" t="s">
        <v>36</v>
      </c>
      <c r="N1377" t="str">
        <f t="shared" si="21"/>
        <v>APINosEdeSouth</v>
      </c>
    </row>
    <row r="1378" spans="8:14" x14ac:dyDescent="0.35">
      <c r="H1378" t="s">
        <v>227</v>
      </c>
      <c r="I1378" t="s">
        <v>38</v>
      </c>
      <c r="J1378" t="s">
        <v>829</v>
      </c>
      <c r="K1378" s="80" t="s">
        <v>3244</v>
      </c>
      <c r="L1378" t="s">
        <v>3245</v>
      </c>
      <c r="M1378" t="s">
        <v>36</v>
      </c>
      <c r="N1378" t="str">
        <f t="shared" si="21"/>
        <v>APINosIfeCentral</v>
      </c>
    </row>
    <row r="1379" spans="8:14" x14ac:dyDescent="0.35">
      <c r="H1379" t="s">
        <v>227</v>
      </c>
      <c r="I1379" t="s">
        <v>38</v>
      </c>
      <c r="J1379" t="s">
        <v>829</v>
      </c>
      <c r="K1379" s="80" t="s">
        <v>3246</v>
      </c>
      <c r="L1379" t="s">
        <v>3247</v>
      </c>
      <c r="M1379" t="s">
        <v>36</v>
      </c>
      <c r="N1379" t="str">
        <f t="shared" si="21"/>
        <v>APINosIfeCentral</v>
      </c>
    </row>
    <row r="1380" spans="8:14" x14ac:dyDescent="0.35">
      <c r="H1380" t="s">
        <v>227</v>
      </c>
      <c r="I1380" t="s">
        <v>38</v>
      </c>
      <c r="J1380" t="s">
        <v>832</v>
      </c>
      <c r="K1380" s="80" t="s">
        <v>3248</v>
      </c>
      <c r="L1380" t="s">
        <v>3249</v>
      </c>
      <c r="M1380" t="s">
        <v>36</v>
      </c>
      <c r="N1380" t="str">
        <f t="shared" si="21"/>
        <v>APINosIfeNorth</v>
      </c>
    </row>
    <row r="1381" spans="8:14" x14ac:dyDescent="0.35">
      <c r="H1381" t="s">
        <v>227</v>
      </c>
      <c r="I1381" t="s">
        <v>38</v>
      </c>
      <c r="J1381" t="s">
        <v>835</v>
      </c>
      <c r="K1381" s="80" t="s">
        <v>3250</v>
      </c>
      <c r="L1381" t="s">
        <v>3251</v>
      </c>
      <c r="M1381" t="s">
        <v>36</v>
      </c>
      <c r="N1381" t="str">
        <f t="shared" si="21"/>
        <v>APINosIla</v>
      </c>
    </row>
    <row r="1382" spans="8:14" x14ac:dyDescent="0.35">
      <c r="H1382" t="s">
        <v>227</v>
      </c>
      <c r="I1382" t="s">
        <v>38</v>
      </c>
      <c r="J1382" t="s">
        <v>835</v>
      </c>
      <c r="K1382" s="80" t="s">
        <v>3252</v>
      </c>
      <c r="L1382" t="s">
        <v>3253</v>
      </c>
      <c r="M1382" t="s">
        <v>36</v>
      </c>
      <c r="N1382" t="str">
        <f t="shared" si="21"/>
        <v>APINosIla</v>
      </c>
    </row>
    <row r="1383" spans="8:14" x14ac:dyDescent="0.35">
      <c r="H1383" t="s">
        <v>227</v>
      </c>
      <c r="I1383" t="s">
        <v>38</v>
      </c>
      <c r="J1383" t="s">
        <v>838</v>
      </c>
      <c r="K1383" s="80" t="s">
        <v>3254</v>
      </c>
      <c r="L1383" t="s">
        <v>3255</v>
      </c>
      <c r="M1383" t="s">
        <v>36</v>
      </c>
      <c r="N1383" t="str">
        <f t="shared" si="21"/>
        <v>APINosIleshaEast</v>
      </c>
    </row>
    <row r="1384" spans="8:14" x14ac:dyDescent="0.35">
      <c r="H1384" t="s">
        <v>227</v>
      </c>
      <c r="I1384" t="s">
        <v>38</v>
      </c>
      <c r="J1384" t="s">
        <v>841</v>
      </c>
      <c r="K1384" s="80" t="s">
        <v>3256</v>
      </c>
      <c r="L1384" t="s">
        <v>3257</v>
      </c>
      <c r="M1384" t="s">
        <v>36</v>
      </c>
      <c r="N1384" t="str">
        <f t="shared" si="21"/>
        <v>APINosIrewole</v>
      </c>
    </row>
    <row r="1385" spans="8:14" x14ac:dyDescent="0.35">
      <c r="H1385" t="s">
        <v>227</v>
      </c>
      <c r="I1385" t="s">
        <v>38</v>
      </c>
      <c r="J1385" t="s">
        <v>841</v>
      </c>
      <c r="K1385" s="80" t="s">
        <v>3258</v>
      </c>
      <c r="L1385" t="s">
        <v>3259</v>
      </c>
      <c r="M1385" t="s">
        <v>36</v>
      </c>
      <c r="N1385" t="str">
        <f t="shared" si="21"/>
        <v>APINosIrewole</v>
      </c>
    </row>
    <row r="1386" spans="8:14" x14ac:dyDescent="0.35">
      <c r="H1386" t="s">
        <v>227</v>
      </c>
      <c r="I1386" t="s">
        <v>38</v>
      </c>
      <c r="J1386" t="s">
        <v>844</v>
      </c>
      <c r="K1386" s="80" t="s">
        <v>3260</v>
      </c>
      <c r="L1386" t="s">
        <v>3261</v>
      </c>
      <c r="M1386" t="s">
        <v>36</v>
      </c>
      <c r="N1386" t="str">
        <f t="shared" si="21"/>
        <v>APINosIsokan</v>
      </c>
    </row>
    <row r="1387" spans="8:14" x14ac:dyDescent="0.35">
      <c r="H1387" t="s">
        <v>227</v>
      </c>
      <c r="I1387" t="s">
        <v>38</v>
      </c>
      <c r="J1387" t="s">
        <v>847</v>
      </c>
      <c r="K1387" s="80" t="s">
        <v>42</v>
      </c>
      <c r="L1387" t="s">
        <v>46</v>
      </c>
      <c r="M1387" t="s">
        <v>36</v>
      </c>
      <c r="N1387" t="str">
        <f t="shared" si="21"/>
        <v>APINosIwo</v>
      </c>
    </row>
    <row r="1388" spans="8:14" x14ac:dyDescent="0.35">
      <c r="H1388" t="s">
        <v>227</v>
      </c>
      <c r="I1388" t="s">
        <v>38</v>
      </c>
      <c r="J1388" t="s">
        <v>847</v>
      </c>
      <c r="K1388" s="80" t="s">
        <v>3262</v>
      </c>
      <c r="L1388" t="s">
        <v>3263</v>
      </c>
      <c r="M1388" t="s">
        <v>36</v>
      </c>
      <c r="N1388" t="str">
        <f t="shared" si="21"/>
        <v>APINosIwo</v>
      </c>
    </row>
    <row r="1389" spans="8:14" x14ac:dyDescent="0.35">
      <c r="H1389" t="s">
        <v>227</v>
      </c>
      <c r="I1389" t="s">
        <v>38</v>
      </c>
      <c r="J1389" t="s">
        <v>850</v>
      </c>
      <c r="K1389" s="80" t="s">
        <v>3264</v>
      </c>
      <c r="L1389" t="s">
        <v>3265</v>
      </c>
      <c r="M1389" t="s">
        <v>36</v>
      </c>
      <c r="N1389" t="str">
        <f t="shared" si="21"/>
        <v>APINosOsogbo</v>
      </c>
    </row>
    <row r="1390" spans="8:14" x14ac:dyDescent="0.35">
      <c r="H1390" t="s">
        <v>227</v>
      </c>
      <c r="I1390" t="s">
        <v>305</v>
      </c>
      <c r="J1390" t="s">
        <v>853</v>
      </c>
      <c r="K1390" s="80" t="s">
        <v>3266</v>
      </c>
      <c r="L1390" t="s">
        <v>3267</v>
      </c>
      <c r="M1390" t="s">
        <v>36</v>
      </c>
      <c r="N1390" t="str">
        <f t="shared" si="21"/>
        <v>APINoyAfijio</v>
      </c>
    </row>
    <row r="1391" spans="8:14" x14ac:dyDescent="0.35">
      <c r="H1391" t="s">
        <v>227</v>
      </c>
      <c r="I1391" t="s">
        <v>305</v>
      </c>
      <c r="J1391" t="s">
        <v>856</v>
      </c>
      <c r="K1391" s="80" t="s">
        <v>3268</v>
      </c>
      <c r="L1391" t="s">
        <v>3269</v>
      </c>
      <c r="M1391" t="s">
        <v>36</v>
      </c>
      <c r="N1391" t="str">
        <f t="shared" si="21"/>
        <v>APINoyAkinyele</v>
      </c>
    </row>
    <row r="1392" spans="8:14" x14ac:dyDescent="0.35">
      <c r="H1392" t="s">
        <v>227</v>
      </c>
      <c r="I1392" t="s">
        <v>305</v>
      </c>
      <c r="J1392" t="s">
        <v>859</v>
      </c>
      <c r="K1392" s="80" t="s">
        <v>3270</v>
      </c>
      <c r="L1392" t="s">
        <v>3271</v>
      </c>
      <c r="M1392" t="s">
        <v>36</v>
      </c>
      <c r="N1392" t="str">
        <f t="shared" si="21"/>
        <v>APINoyAtiba</v>
      </c>
    </row>
    <row r="1393" spans="8:14" x14ac:dyDescent="0.35">
      <c r="H1393" t="s">
        <v>227</v>
      </c>
      <c r="I1393" t="s">
        <v>305</v>
      </c>
      <c r="J1393" t="s">
        <v>862</v>
      </c>
      <c r="K1393" s="80" t="s">
        <v>3272</v>
      </c>
      <c r="L1393" t="s">
        <v>3273</v>
      </c>
      <c r="M1393" t="s">
        <v>36</v>
      </c>
      <c r="N1393" t="str">
        <f t="shared" si="21"/>
        <v>APINoyAtisbo</v>
      </c>
    </row>
    <row r="1394" spans="8:14" x14ac:dyDescent="0.35">
      <c r="H1394" t="s">
        <v>227</v>
      </c>
      <c r="I1394" t="s">
        <v>305</v>
      </c>
      <c r="J1394" t="s">
        <v>862</v>
      </c>
      <c r="K1394" s="80" t="s">
        <v>3274</v>
      </c>
      <c r="L1394" t="s">
        <v>3275</v>
      </c>
      <c r="M1394" t="s">
        <v>36</v>
      </c>
      <c r="N1394" t="str">
        <f t="shared" si="21"/>
        <v>APINoyAtisbo</v>
      </c>
    </row>
    <row r="1395" spans="8:14" x14ac:dyDescent="0.35">
      <c r="H1395" t="s">
        <v>227</v>
      </c>
      <c r="I1395" t="s">
        <v>305</v>
      </c>
      <c r="J1395" t="s">
        <v>862</v>
      </c>
      <c r="K1395" s="80" t="s">
        <v>3276</v>
      </c>
      <c r="L1395" t="s">
        <v>3277</v>
      </c>
      <c r="M1395" t="s">
        <v>36</v>
      </c>
      <c r="N1395" t="str">
        <f t="shared" si="21"/>
        <v>APINoyAtisbo</v>
      </c>
    </row>
    <row r="1396" spans="8:14" x14ac:dyDescent="0.35">
      <c r="H1396" t="s">
        <v>227</v>
      </c>
      <c r="I1396" t="s">
        <v>305</v>
      </c>
      <c r="J1396" t="s">
        <v>862</v>
      </c>
      <c r="K1396" s="80" t="s">
        <v>3278</v>
      </c>
      <c r="L1396" t="s">
        <v>3279</v>
      </c>
      <c r="M1396" t="s">
        <v>36</v>
      </c>
      <c r="N1396" t="str">
        <f t="shared" si="21"/>
        <v>APINoyAtisbo</v>
      </c>
    </row>
    <row r="1397" spans="8:14" x14ac:dyDescent="0.35">
      <c r="H1397" t="s">
        <v>227</v>
      </c>
      <c r="I1397" t="s">
        <v>305</v>
      </c>
      <c r="J1397" t="s">
        <v>862</v>
      </c>
      <c r="K1397" s="80" t="s">
        <v>3280</v>
      </c>
      <c r="L1397" t="s">
        <v>3281</v>
      </c>
      <c r="M1397" t="s">
        <v>36</v>
      </c>
      <c r="N1397" t="str">
        <f t="shared" si="21"/>
        <v>APINoyAtisbo</v>
      </c>
    </row>
    <row r="1398" spans="8:14" x14ac:dyDescent="0.35">
      <c r="H1398" t="s">
        <v>227</v>
      </c>
      <c r="I1398" t="s">
        <v>305</v>
      </c>
      <c r="J1398" t="s">
        <v>862</v>
      </c>
      <c r="K1398" s="80" t="s">
        <v>3282</v>
      </c>
      <c r="L1398" t="s">
        <v>3283</v>
      </c>
      <c r="M1398" t="s">
        <v>36</v>
      </c>
      <c r="N1398" t="str">
        <f t="shared" si="21"/>
        <v>APINoyAtisbo</v>
      </c>
    </row>
    <row r="1399" spans="8:14" x14ac:dyDescent="0.35">
      <c r="H1399" t="s">
        <v>227</v>
      </c>
      <c r="I1399" t="s">
        <v>305</v>
      </c>
      <c r="J1399" t="s">
        <v>865</v>
      </c>
      <c r="K1399" s="80" t="s">
        <v>3284</v>
      </c>
      <c r="L1399" t="s">
        <v>3285</v>
      </c>
      <c r="M1399" t="s">
        <v>36</v>
      </c>
      <c r="N1399" t="str">
        <f t="shared" si="21"/>
        <v>APINoyEgbeda</v>
      </c>
    </row>
    <row r="1400" spans="8:14" x14ac:dyDescent="0.35">
      <c r="H1400" t="s">
        <v>227</v>
      </c>
      <c r="I1400" t="s">
        <v>305</v>
      </c>
      <c r="J1400" t="s">
        <v>868</v>
      </c>
      <c r="K1400" s="80" t="s">
        <v>3286</v>
      </c>
      <c r="L1400" t="s">
        <v>3287</v>
      </c>
      <c r="M1400" t="s">
        <v>36</v>
      </c>
      <c r="N1400" t="str">
        <f t="shared" si="21"/>
        <v>APINoyIbadanNorth</v>
      </c>
    </row>
    <row r="1401" spans="8:14" x14ac:dyDescent="0.35">
      <c r="H1401" t="s">
        <v>227</v>
      </c>
      <c r="I1401" t="s">
        <v>305</v>
      </c>
      <c r="J1401" t="s">
        <v>868</v>
      </c>
      <c r="K1401" s="80" t="s">
        <v>3288</v>
      </c>
      <c r="L1401" t="s">
        <v>3289</v>
      </c>
      <c r="M1401" t="s">
        <v>36</v>
      </c>
      <c r="N1401" t="str">
        <f t="shared" si="21"/>
        <v>APINoyIbadanNorth</v>
      </c>
    </row>
    <row r="1402" spans="8:14" x14ac:dyDescent="0.35">
      <c r="H1402" t="s">
        <v>227</v>
      </c>
      <c r="I1402" t="s">
        <v>305</v>
      </c>
      <c r="J1402" t="s">
        <v>868</v>
      </c>
      <c r="K1402" s="80" t="s">
        <v>3290</v>
      </c>
      <c r="L1402" t="s">
        <v>3291</v>
      </c>
      <c r="M1402" t="s">
        <v>36</v>
      </c>
      <c r="N1402" t="str">
        <f t="shared" si="21"/>
        <v>APINoyIbadanNorth</v>
      </c>
    </row>
    <row r="1403" spans="8:14" x14ac:dyDescent="0.35">
      <c r="H1403" t="s">
        <v>227</v>
      </c>
      <c r="I1403" t="s">
        <v>305</v>
      </c>
      <c r="J1403" t="s">
        <v>868</v>
      </c>
      <c r="K1403" s="80" t="s">
        <v>3292</v>
      </c>
      <c r="L1403" t="s">
        <v>3293</v>
      </c>
      <c r="M1403" t="s">
        <v>36</v>
      </c>
      <c r="N1403" t="str">
        <f t="shared" si="21"/>
        <v>APINoyIbadanNorth</v>
      </c>
    </row>
    <row r="1404" spans="8:14" x14ac:dyDescent="0.35">
      <c r="H1404" t="s">
        <v>227</v>
      </c>
      <c r="I1404" t="s">
        <v>305</v>
      </c>
      <c r="J1404" t="s">
        <v>868</v>
      </c>
      <c r="K1404" s="80" t="s">
        <v>3294</v>
      </c>
      <c r="L1404" t="s">
        <v>3295</v>
      </c>
      <c r="M1404" t="s">
        <v>36</v>
      </c>
      <c r="N1404" t="str">
        <f t="shared" si="21"/>
        <v>APINoyIbadanNorth</v>
      </c>
    </row>
    <row r="1405" spans="8:14" x14ac:dyDescent="0.35">
      <c r="H1405" t="s">
        <v>227</v>
      </c>
      <c r="I1405" t="s">
        <v>305</v>
      </c>
      <c r="J1405" t="s">
        <v>871</v>
      </c>
      <c r="K1405" s="80" t="s">
        <v>3296</v>
      </c>
      <c r="L1405" t="s">
        <v>3297</v>
      </c>
      <c r="M1405" t="s">
        <v>36</v>
      </c>
      <c r="N1405" t="str">
        <f t="shared" si="21"/>
        <v>APINoyIbadanNorthEast</v>
      </c>
    </row>
    <row r="1406" spans="8:14" x14ac:dyDescent="0.35">
      <c r="H1406" t="s">
        <v>227</v>
      </c>
      <c r="I1406" t="s">
        <v>305</v>
      </c>
      <c r="J1406" t="s">
        <v>871</v>
      </c>
      <c r="K1406" s="80" t="s">
        <v>3298</v>
      </c>
      <c r="L1406" t="s">
        <v>3299</v>
      </c>
      <c r="M1406" t="s">
        <v>36</v>
      </c>
      <c r="N1406" t="str">
        <f t="shared" si="21"/>
        <v>APINoyIbadanNorthEast</v>
      </c>
    </row>
    <row r="1407" spans="8:14" x14ac:dyDescent="0.35">
      <c r="H1407" t="s">
        <v>227</v>
      </c>
      <c r="I1407" t="s">
        <v>305</v>
      </c>
      <c r="J1407" t="s">
        <v>874</v>
      </c>
      <c r="K1407" s="80" t="s">
        <v>3300</v>
      </c>
      <c r="L1407" t="s">
        <v>3301</v>
      </c>
      <c r="M1407" t="s">
        <v>36</v>
      </c>
      <c r="N1407" t="str">
        <f t="shared" si="21"/>
        <v>APINoyIbadanNorthWest</v>
      </c>
    </row>
    <row r="1408" spans="8:14" x14ac:dyDescent="0.35">
      <c r="H1408" t="s">
        <v>227</v>
      </c>
      <c r="I1408" t="s">
        <v>305</v>
      </c>
      <c r="J1408" t="s">
        <v>874</v>
      </c>
      <c r="K1408" s="80" t="s">
        <v>3302</v>
      </c>
      <c r="L1408" t="s">
        <v>3303</v>
      </c>
      <c r="M1408" t="s">
        <v>36</v>
      </c>
      <c r="N1408" t="str">
        <f t="shared" si="21"/>
        <v>APINoyIbadanNorthWest</v>
      </c>
    </row>
    <row r="1409" spans="8:14" x14ac:dyDescent="0.35">
      <c r="H1409" t="s">
        <v>227</v>
      </c>
      <c r="I1409" t="s">
        <v>305</v>
      </c>
      <c r="J1409" t="s">
        <v>877</v>
      </c>
      <c r="K1409" s="80" t="s">
        <v>3304</v>
      </c>
      <c r="L1409" t="s">
        <v>3305</v>
      </c>
      <c r="M1409" t="s">
        <v>36</v>
      </c>
      <c r="N1409" t="str">
        <f t="shared" si="21"/>
        <v>APINoyIbadanSouthEast</v>
      </c>
    </row>
    <row r="1410" spans="8:14" x14ac:dyDescent="0.35">
      <c r="H1410" t="s">
        <v>227</v>
      </c>
      <c r="I1410" t="s">
        <v>305</v>
      </c>
      <c r="J1410" t="s">
        <v>877</v>
      </c>
      <c r="K1410" s="80" t="s">
        <v>3306</v>
      </c>
      <c r="L1410" t="s">
        <v>3307</v>
      </c>
      <c r="M1410" t="s">
        <v>36</v>
      </c>
      <c r="N1410" t="str">
        <f t="shared" si="21"/>
        <v>APINoyIbadanSouthEast</v>
      </c>
    </row>
    <row r="1411" spans="8:14" x14ac:dyDescent="0.35">
      <c r="H1411" t="s">
        <v>227</v>
      </c>
      <c r="I1411" t="s">
        <v>305</v>
      </c>
      <c r="J1411" t="s">
        <v>877</v>
      </c>
      <c r="K1411" s="80" t="s">
        <v>3308</v>
      </c>
      <c r="L1411" t="s">
        <v>3309</v>
      </c>
      <c r="M1411" t="s">
        <v>36</v>
      </c>
      <c r="N1411" t="str">
        <f t="shared" ref="N1411:N1474" si="22">SUBSTITUTE(SUBSTITUTE(M1411&amp;J1411," ",""),"-","")</f>
        <v>APINoyIbadanSouthEast</v>
      </c>
    </row>
    <row r="1412" spans="8:14" x14ac:dyDescent="0.35">
      <c r="H1412" t="s">
        <v>227</v>
      </c>
      <c r="I1412" t="s">
        <v>305</v>
      </c>
      <c r="J1412" t="s">
        <v>877</v>
      </c>
      <c r="K1412" s="80" t="s">
        <v>3310</v>
      </c>
      <c r="L1412" t="s">
        <v>3311</v>
      </c>
      <c r="M1412" t="s">
        <v>36</v>
      </c>
      <c r="N1412" t="str">
        <f t="shared" si="22"/>
        <v>APINoyIbadanSouthEast</v>
      </c>
    </row>
    <row r="1413" spans="8:14" x14ac:dyDescent="0.35">
      <c r="H1413" t="s">
        <v>227</v>
      </c>
      <c r="I1413" t="s">
        <v>305</v>
      </c>
      <c r="J1413" t="s">
        <v>877</v>
      </c>
      <c r="K1413" s="80" t="s">
        <v>3312</v>
      </c>
      <c r="L1413" t="s">
        <v>3313</v>
      </c>
      <c r="M1413" t="s">
        <v>36</v>
      </c>
      <c r="N1413" t="str">
        <f t="shared" si="22"/>
        <v>APINoyIbadanSouthEast</v>
      </c>
    </row>
    <row r="1414" spans="8:14" x14ac:dyDescent="0.35">
      <c r="H1414" t="s">
        <v>227</v>
      </c>
      <c r="I1414" t="s">
        <v>305</v>
      </c>
      <c r="J1414" t="s">
        <v>877</v>
      </c>
      <c r="K1414" s="80" t="s">
        <v>3314</v>
      </c>
      <c r="L1414" t="s">
        <v>3315</v>
      </c>
      <c r="M1414" t="s">
        <v>36</v>
      </c>
      <c r="N1414" t="str">
        <f t="shared" si="22"/>
        <v>APINoyIbadanSouthEast</v>
      </c>
    </row>
    <row r="1415" spans="8:14" x14ac:dyDescent="0.35">
      <c r="H1415" t="s">
        <v>227</v>
      </c>
      <c r="I1415" t="s">
        <v>305</v>
      </c>
      <c r="J1415" t="s">
        <v>880</v>
      </c>
      <c r="K1415" s="80" t="s">
        <v>3316</v>
      </c>
      <c r="L1415" t="s">
        <v>3317</v>
      </c>
      <c r="M1415" t="s">
        <v>36</v>
      </c>
      <c r="N1415" t="str">
        <f t="shared" si="22"/>
        <v>APINoyIbadanSouthWest</v>
      </c>
    </row>
    <row r="1416" spans="8:14" x14ac:dyDescent="0.35">
      <c r="H1416" t="s">
        <v>227</v>
      </c>
      <c r="I1416" t="s">
        <v>305</v>
      </c>
      <c r="J1416" t="s">
        <v>880</v>
      </c>
      <c r="K1416" s="80" t="s">
        <v>3318</v>
      </c>
      <c r="L1416" t="s">
        <v>3319</v>
      </c>
      <c r="M1416" t="s">
        <v>36</v>
      </c>
      <c r="N1416" t="str">
        <f t="shared" si="22"/>
        <v>APINoyIbadanSouthWest</v>
      </c>
    </row>
    <row r="1417" spans="8:14" x14ac:dyDescent="0.35">
      <c r="H1417" t="s">
        <v>227</v>
      </c>
      <c r="I1417" t="s">
        <v>305</v>
      </c>
      <c r="J1417" t="s">
        <v>883</v>
      </c>
      <c r="K1417" s="80" t="s">
        <v>3320</v>
      </c>
      <c r="L1417" t="s">
        <v>3321</v>
      </c>
      <c r="M1417" t="s">
        <v>36</v>
      </c>
      <c r="N1417" t="str">
        <f t="shared" si="22"/>
        <v>APINoyIbarapaCentral</v>
      </c>
    </row>
    <row r="1418" spans="8:14" x14ac:dyDescent="0.35">
      <c r="H1418" t="s">
        <v>227</v>
      </c>
      <c r="I1418" t="s">
        <v>305</v>
      </c>
      <c r="J1418" t="s">
        <v>886</v>
      </c>
      <c r="K1418" s="80" t="s">
        <v>3322</v>
      </c>
      <c r="L1418" t="s">
        <v>3323</v>
      </c>
      <c r="M1418" t="s">
        <v>36</v>
      </c>
      <c r="N1418" t="str">
        <f t="shared" si="22"/>
        <v>APINoyIdo</v>
      </c>
    </row>
    <row r="1419" spans="8:14" x14ac:dyDescent="0.35">
      <c r="H1419" t="s">
        <v>227</v>
      </c>
      <c r="I1419" t="s">
        <v>305</v>
      </c>
      <c r="J1419" t="s">
        <v>889</v>
      </c>
      <c r="K1419" s="80" t="s">
        <v>3324</v>
      </c>
      <c r="L1419" t="s">
        <v>3325</v>
      </c>
      <c r="M1419" t="s">
        <v>36</v>
      </c>
      <c r="N1419" t="str">
        <f t="shared" si="22"/>
        <v>APINoyIrepo</v>
      </c>
    </row>
    <row r="1420" spans="8:14" x14ac:dyDescent="0.35">
      <c r="H1420" t="s">
        <v>227</v>
      </c>
      <c r="I1420" t="s">
        <v>305</v>
      </c>
      <c r="J1420" t="s">
        <v>889</v>
      </c>
      <c r="K1420" s="80" t="s">
        <v>3326</v>
      </c>
      <c r="L1420" t="s">
        <v>3327</v>
      </c>
      <c r="M1420" t="s">
        <v>36</v>
      </c>
      <c r="N1420" t="str">
        <f t="shared" si="22"/>
        <v>APINoyIrepo</v>
      </c>
    </row>
    <row r="1421" spans="8:14" x14ac:dyDescent="0.35">
      <c r="H1421" t="s">
        <v>227</v>
      </c>
      <c r="I1421" t="s">
        <v>305</v>
      </c>
      <c r="J1421" t="s">
        <v>889</v>
      </c>
      <c r="K1421" s="80" t="s">
        <v>3328</v>
      </c>
      <c r="L1421" t="s">
        <v>3329</v>
      </c>
      <c r="M1421" t="s">
        <v>36</v>
      </c>
      <c r="N1421" t="str">
        <f t="shared" si="22"/>
        <v>APINoyIrepo</v>
      </c>
    </row>
    <row r="1422" spans="8:14" x14ac:dyDescent="0.35">
      <c r="H1422" t="s">
        <v>227</v>
      </c>
      <c r="I1422" t="s">
        <v>305</v>
      </c>
      <c r="J1422" t="s">
        <v>889</v>
      </c>
      <c r="K1422" s="80" t="s">
        <v>3330</v>
      </c>
      <c r="L1422" t="s">
        <v>3331</v>
      </c>
      <c r="M1422" t="s">
        <v>36</v>
      </c>
      <c r="N1422" t="str">
        <f t="shared" si="22"/>
        <v>APINoyIrepo</v>
      </c>
    </row>
    <row r="1423" spans="8:14" x14ac:dyDescent="0.35">
      <c r="H1423" t="s">
        <v>227</v>
      </c>
      <c r="I1423" t="s">
        <v>305</v>
      </c>
      <c r="J1423" t="s">
        <v>892</v>
      </c>
      <c r="K1423" s="80" t="s">
        <v>3332</v>
      </c>
      <c r="L1423" t="s">
        <v>3333</v>
      </c>
      <c r="M1423" t="s">
        <v>36</v>
      </c>
      <c r="N1423" t="str">
        <f t="shared" si="22"/>
        <v>APINoyIseyin</v>
      </c>
    </row>
    <row r="1424" spans="8:14" x14ac:dyDescent="0.35">
      <c r="H1424" t="s">
        <v>227</v>
      </c>
      <c r="I1424" t="s">
        <v>305</v>
      </c>
      <c r="J1424" t="s">
        <v>892</v>
      </c>
      <c r="K1424" s="80" t="s">
        <v>3334</v>
      </c>
      <c r="L1424" t="s">
        <v>3335</v>
      </c>
      <c r="M1424" t="s">
        <v>36</v>
      </c>
      <c r="N1424" t="str">
        <f t="shared" si="22"/>
        <v>APINoyIseyin</v>
      </c>
    </row>
    <row r="1425" spans="8:14" x14ac:dyDescent="0.35">
      <c r="H1425" t="s">
        <v>227</v>
      </c>
      <c r="I1425" t="s">
        <v>305</v>
      </c>
      <c r="J1425" t="s">
        <v>892</v>
      </c>
      <c r="K1425" s="80" t="s">
        <v>3336</v>
      </c>
      <c r="L1425" t="s">
        <v>3337</v>
      </c>
      <c r="M1425" t="s">
        <v>36</v>
      </c>
      <c r="N1425" t="str">
        <f t="shared" si="22"/>
        <v>APINoyIseyin</v>
      </c>
    </row>
    <row r="1426" spans="8:14" x14ac:dyDescent="0.35">
      <c r="H1426" t="s">
        <v>227</v>
      </c>
      <c r="I1426" t="s">
        <v>305</v>
      </c>
      <c r="J1426" t="s">
        <v>892</v>
      </c>
      <c r="K1426" s="80" t="s">
        <v>3338</v>
      </c>
      <c r="L1426" t="s">
        <v>3339</v>
      </c>
      <c r="M1426" t="s">
        <v>36</v>
      </c>
      <c r="N1426" t="str">
        <f t="shared" si="22"/>
        <v>APINoyIseyin</v>
      </c>
    </row>
    <row r="1427" spans="8:14" x14ac:dyDescent="0.35">
      <c r="H1427" t="s">
        <v>227</v>
      </c>
      <c r="I1427" t="s">
        <v>305</v>
      </c>
      <c r="J1427" t="s">
        <v>892</v>
      </c>
      <c r="K1427" s="80" t="s">
        <v>3340</v>
      </c>
      <c r="L1427" t="s">
        <v>3341</v>
      </c>
      <c r="M1427" t="s">
        <v>36</v>
      </c>
      <c r="N1427" t="str">
        <f t="shared" si="22"/>
        <v>APINoyIseyin</v>
      </c>
    </row>
    <row r="1428" spans="8:14" x14ac:dyDescent="0.35">
      <c r="H1428" t="s">
        <v>227</v>
      </c>
      <c r="I1428" t="s">
        <v>305</v>
      </c>
      <c r="J1428" t="s">
        <v>892</v>
      </c>
      <c r="K1428" s="80" t="s">
        <v>3342</v>
      </c>
      <c r="L1428" t="s">
        <v>3343</v>
      </c>
      <c r="M1428" t="s">
        <v>36</v>
      </c>
      <c r="N1428" t="str">
        <f t="shared" si="22"/>
        <v>APINoyIseyin</v>
      </c>
    </row>
    <row r="1429" spans="8:14" x14ac:dyDescent="0.35">
      <c r="H1429" t="s">
        <v>227</v>
      </c>
      <c r="I1429" t="s">
        <v>305</v>
      </c>
      <c r="J1429" t="s">
        <v>895</v>
      </c>
      <c r="K1429" s="80" t="s">
        <v>3344</v>
      </c>
      <c r="L1429" t="s">
        <v>3345</v>
      </c>
      <c r="M1429" t="s">
        <v>36</v>
      </c>
      <c r="N1429" t="str">
        <f t="shared" si="22"/>
        <v>APINoyItesiwaju</v>
      </c>
    </row>
    <row r="1430" spans="8:14" x14ac:dyDescent="0.35">
      <c r="H1430" t="s">
        <v>227</v>
      </c>
      <c r="I1430" t="s">
        <v>305</v>
      </c>
      <c r="J1430" t="s">
        <v>895</v>
      </c>
      <c r="K1430" s="80" t="s">
        <v>3346</v>
      </c>
      <c r="L1430" t="s">
        <v>3347</v>
      </c>
      <c r="M1430" t="s">
        <v>36</v>
      </c>
      <c r="N1430" t="str">
        <f t="shared" si="22"/>
        <v>APINoyItesiwaju</v>
      </c>
    </row>
    <row r="1431" spans="8:14" x14ac:dyDescent="0.35">
      <c r="H1431" t="s">
        <v>227</v>
      </c>
      <c r="I1431" t="s">
        <v>305</v>
      </c>
      <c r="J1431" t="s">
        <v>898</v>
      </c>
      <c r="K1431" s="80" t="s">
        <v>3348</v>
      </c>
      <c r="L1431" t="s">
        <v>3349</v>
      </c>
      <c r="M1431" t="s">
        <v>36</v>
      </c>
      <c r="N1431" t="str">
        <f t="shared" si="22"/>
        <v>APINoyIwajowa</v>
      </c>
    </row>
    <row r="1432" spans="8:14" x14ac:dyDescent="0.35">
      <c r="H1432" t="s">
        <v>227</v>
      </c>
      <c r="I1432" t="s">
        <v>305</v>
      </c>
      <c r="J1432" t="s">
        <v>898</v>
      </c>
      <c r="K1432" s="80" t="s">
        <v>3350</v>
      </c>
      <c r="L1432" t="s">
        <v>3351</v>
      </c>
      <c r="M1432" t="s">
        <v>36</v>
      </c>
      <c r="N1432" t="str">
        <f t="shared" si="22"/>
        <v>APINoyIwajowa</v>
      </c>
    </row>
    <row r="1433" spans="8:14" x14ac:dyDescent="0.35">
      <c r="H1433" t="s">
        <v>227</v>
      </c>
      <c r="I1433" t="s">
        <v>305</v>
      </c>
      <c r="J1433" t="s">
        <v>898</v>
      </c>
      <c r="K1433" s="80" t="s">
        <v>3352</v>
      </c>
      <c r="L1433" t="s">
        <v>3353</v>
      </c>
      <c r="M1433" t="s">
        <v>36</v>
      </c>
      <c r="N1433" t="str">
        <f t="shared" si="22"/>
        <v>APINoyIwajowa</v>
      </c>
    </row>
    <row r="1434" spans="8:14" x14ac:dyDescent="0.35">
      <c r="H1434" t="s">
        <v>227</v>
      </c>
      <c r="I1434" t="s">
        <v>305</v>
      </c>
      <c r="J1434" t="s">
        <v>901</v>
      </c>
      <c r="K1434" s="80" t="s">
        <v>3354</v>
      </c>
      <c r="L1434" t="s">
        <v>3355</v>
      </c>
      <c r="M1434" t="s">
        <v>36</v>
      </c>
      <c r="N1434" t="str">
        <f t="shared" si="22"/>
        <v>APINoyKajola</v>
      </c>
    </row>
    <row r="1435" spans="8:14" x14ac:dyDescent="0.35">
      <c r="H1435" t="s">
        <v>227</v>
      </c>
      <c r="I1435" t="s">
        <v>305</v>
      </c>
      <c r="J1435" t="s">
        <v>901</v>
      </c>
      <c r="K1435" s="80" t="s">
        <v>3356</v>
      </c>
      <c r="L1435" t="s">
        <v>3357</v>
      </c>
      <c r="M1435" t="s">
        <v>36</v>
      </c>
      <c r="N1435" t="str">
        <f t="shared" si="22"/>
        <v>APINoyKajola</v>
      </c>
    </row>
    <row r="1436" spans="8:14" x14ac:dyDescent="0.35">
      <c r="H1436" t="s">
        <v>227</v>
      </c>
      <c r="I1436" t="s">
        <v>305</v>
      </c>
      <c r="J1436" t="s">
        <v>901</v>
      </c>
      <c r="K1436" s="80" t="s">
        <v>3358</v>
      </c>
      <c r="L1436" t="s">
        <v>3359</v>
      </c>
      <c r="M1436" t="s">
        <v>36</v>
      </c>
      <c r="N1436" t="str">
        <f t="shared" si="22"/>
        <v>APINoyKajola</v>
      </c>
    </row>
    <row r="1437" spans="8:14" x14ac:dyDescent="0.35">
      <c r="H1437" t="s">
        <v>227</v>
      </c>
      <c r="I1437" t="s">
        <v>305</v>
      </c>
      <c r="J1437" t="s">
        <v>901</v>
      </c>
      <c r="K1437" s="80" t="s">
        <v>3360</v>
      </c>
      <c r="L1437" t="s">
        <v>3361</v>
      </c>
      <c r="M1437" t="s">
        <v>36</v>
      </c>
      <c r="N1437" t="str">
        <f t="shared" si="22"/>
        <v>APINoyKajola</v>
      </c>
    </row>
    <row r="1438" spans="8:14" x14ac:dyDescent="0.35">
      <c r="H1438" t="s">
        <v>227</v>
      </c>
      <c r="I1438" t="s">
        <v>305</v>
      </c>
      <c r="J1438" t="s">
        <v>901</v>
      </c>
      <c r="K1438" s="80" t="s">
        <v>3362</v>
      </c>
      <c r="L1438" t="s">
        <v>3363</v>
      </c>
      <c r="M1438" t="s">
        <v>36</v>
      </c>
      <c r="N1438" t="str">
        <f t="shared" si="22"/>
        <v>APINoyKajola</v>
      </c>
    </row>
    <row r="1439" spans="8:14" x14ac:dyDescent="0.35">
      <c r="H1439" t="s">
        <v>227</v>
      </c>
      <c r="I1439" t="s">
        <v>305</v>
      </c>
      <c r="J1439" t="s">
        <v>904</v>
      </c>
      <c r="K1439" s="80" t="s">
        <v>3364</v>
      </c>
      <c r="L1439" t="s">
        <v>3365</v>
      </c>
      <c r="M1439" t="s">
        <v>36</v>
      </c>
      <c r="N1439" t="str">
        <f t="shared" si="22"/>
        <v>APINoyLagelu</v>
      </c>
    </row>
    <row r="1440" spans="8:14" x14ac:dyDescent="0.35">
      <c r="H1440" t="s">
        <v>227</v>
      </c>
      <c r="I1440" t="s">
        <v>305</v>
      </c>
      <c r="J1440" t="s">
        <v>904</v>
      </c>
      <c r="K1440" s="80" t="s">
        <v>3366</v>
      </c>
      <c r="L1440" t="s">
        <v>3367</v>
      </c>
      <c r="M1440" t="s">
        <v>36</v>
      </c>
      <c r="N1440" t="str">
        <f t="shared" si="22"/>
        <v>APINoyLagelu</v>
      </c>
    </row>
    <row r="1441" spans="8:14" x14ac:dyDescent="0.35">
      <c r="H1441" t="s">
        <v>227</v>
      </c>
      <c r="I1441" t="s">
        <v>305</v>
      </c>
      <c r="J1441" t="s">
        <v>907</v>
      </c>
      <c r="K1441" s="80" t="s">
        <v>3368</v>
      </c>
      <c r="L1441" t="s">
        <v>3369</v>
      </c>
      <c r="M1441" t="s">
        <v>36</v>
      </c>
      <c r="N1441" t="str">
        <f t="shared" si="22"/>
        <v>APINoyOgbomosoNorth</v>
      </c>
    </row>
    <row r="1442" spans="8:14" x14ac:dyDescent="0.35">
      <c r="H1442" t="s">
        <v>227</v>
      </c>
      <c r="I1442" t="s">
        <v>305</v>
      </c>
      <c r="J1442" t="s">
        <v>907</v>
      </c>
      <c r="K1442" s="80" t="s">
        <v>3370</v>
      </c>
      <c r="L1442" t="s">
        <v>3371</v>
      </c>
      <c r="M1442" t="s">
        <v>36</v>
      </c>
      <c r="N1442" t="str">
        <f t="shared" si="22"/>
        <v>APINoyOgbomosoNorth</v>
      </c>
    </row>
    <row r="1443" spans="8:14" x14ac:dyDescent="0.35">
      <c r="H1443" t="s">
        <v>227</v>
      </c>
      <c r="I1443" t="s">
        <v>305</v>
      </c>
      <c r="J1443" t="s">
        <v>910</v>
      </c>
      <c r="K1443" s="80" t="s">
        <v>3372</v>
      </c>
      <c r="L1443" t="s">
        <v>3373</v>
      </c>
      <c r="M1443" t="s">
        <v>36</v>
      </c>
      <c r="N1443" t="str">
        <f t="shared" si="22"/>
        <v>APINoyOgbomosoSouth</v>
      </c>
    </row>
    <row r="1444" spans="8:14" x14ac:dyDescent="0.35">
      <c r="H1444" t="s">
        <v>227</v>
      </c>
      <c r="I1444" t="s">
        <v>305</v>
      </c>
      <c r="J1444" t="s">
        <v>913</v>
      </c>
      <c r="K1444" s="80" t="s">
        <v>3374</v>
      </c>
      <c r="L1444" t="s">
        <v>3375</v>
      </c>
      <c r="M1444" t="s">
        <v>36</v>
      </c>
      <c r="N1444" t="str">
        <f t="shared" si="22"/>
        <v>APINoyOgoOluwa</v>
      </c>
    </row>
    <row r="1445" spans="8:14" x14ac:dyDescent="0.35">
      <c r="H1445" t="s">
        <v>227</v>
      </c>
      <c r="I1445" t="s">
        <v>305</v>
      </c>
      <c r="J1445" t="s">
        <v>913</v>
      </c>
      <c r="K1445" s="80" t="s">
        <v>3376</v>
      </c>
      <c r="L1445" t="s">
        <v>3377</v>
      </c>
      <c r="M1445" t="s">
        <v>36</v>
      </c>
      <c r="N1445" t="str">
        <f t="shared" si="22"/>
        <v>APINoyOgoOluwa</v>
      </c>
    </row>
    <row r="1446" spans="8:14" x14ac:dyDescent="0.35">
      <c r="H1446" t="s">
        <v>227</v>
      </c>
      <c r="I1446" t="s">
        <v>305</v>
      </c>
      <c r="J1446" t="s">
        <v>916</v>
      </c>
      <c r="K1446" s="80" t="s">
        <v>3378</v>
      </c>
      <c r="L1446" t="s">
        <v>3379</v>
      </c>
      <c r="M1446" t="s">
        <v>36</v>
      </c>
      <c r="N1446" t="str">
        <f t="shared" si="22"/>
        <v>APINoyOlorunsogo</v>
      </c>
    </row>
    <row r="1447" spans="8:14" x14ac:dyDescent="0.35">
      <c r="H1447" t="s">
        <v>227</v>
      </c>
      <c r="I1447" t="s">
        <v>305</v>
      </c>
      <c r="J1447" t="s">
        <v>916</v>
      </c>
      <c r="K1447" s="80" t="s">
        <v>3380</v>
      </c>
      <c r="L1447" t="s">
        <v>3381</v>
      </c>
      <c r="M1447" t="s">
        <v>36</v>
      </c>
      <c r="N1447" t="str">
        <f t="shared" si="22"/>
        <v>APINoyOlorunsogo</v>
      </c>
    </row>
    <row r="1448" spans="8:14" x14ac:dyDescent="0.35">
      <c r="H1448" t="s">
        <v>227</v>
      </c>
      <c r="I1448" t="s">
        <v>305</v>
      </c>
      <c r="J1448" t="s">
        <v>919</v>
      </c>
      <c r="K1448" s="80" t="s">
        <v>3382</v>
      </c>
      <c r="L1448" t="s">
        <v>3383</v>
      </c>
      <c r="M1448" t="s">
        <v>36</v>
      </c>
      <c r="N1448" t="str">
        <f t="shared" si="22"/>
        <v>APINoyOluyole</v>
      </c>
    </row>
    <row r="1449" spans="8:14" x14ac:dyDescent="0.35">
      <c r="H1449" t="s">
        <v>227</v>
      </c>
      <c r="I1449" t="s">
        <v>305</v>
      </c>
      <c r="J1449" t="s">
        <v>922</v>
      </c>
      <c r="K1449" s="80" t="s">
        <v>3384</v>
      </c>
      <c r="L1449" t="s">
        <v>3385</v>
      </c>
      <c r="M1449" t="s">
        <v>36</v>
      </c>
      <c r="N1449" t="str">
        <f t="shared" si="22"/>
        <v>APINoyOnaAra</v>
      </c>
    </row>
    <row r="1450" spans="8:14" x14ac:dyDescent="0.35">
      <c r="H1450" t="s">
        <v>227</v>
      </c>
      <c r="I1450" t="s">
        <v>305</v>
      </c>
      <c r="J1450" t="s">
        <v>922</v>
      </c>
      <c r="K1450" s="80" t="s">
        <v>3386</v>
      </c>
      <c r="L1450" t="s">
        <v>3387</v>
      </c>
      <c r="M1450" t="s">
        <v>36</v>
      </c>
      <c r="N1450" t="str">
        <f t="shared" si="22"/>
        <v>APINoyOnaAra</v>
      </c>
    </row>
    <row r="1451" spans="8:14" x14ac:dyDescent="0.35">
      <c r="H1451" t="s">
        <v>227</v>
      </c>
      <c r="I1451" t="s">
        <v>305</v>
      </c>
      <c r="J1451" t="s">
        <v>925</v>
      </c>
      <c r="K1451" s="80" t="s">
        <v>3388</v>
      </c>
      <c r="L1451" t="s">
        <v>3389</v>
      </c>
      <c r="M1451" t="s">
        <v>36</v>
      </c>
      <c r="N1451" t="str">
        <f t="shared" si="22"/>
        <v>APINoyOrelope</v>
      </c>
    </row>
    <row r="1452" spans="8:14" x14ac:dyDescent="0.35">
      <c r="H1452" t="s">
        <v>227</v>
      </c>
      <c r="I1452" t="s">
        <v>305</v>
      </c>
      <c r="J1452" t="s">
        <v>925</v>
      </c>
      <c r="K1452" s="80" t="s">
        <v>3390</v>
      </c>
      <c r="L1452" t="s">
        <v>3391</v>
      </c>
      <c r="M1452" t="s">
        <v>36</v>
      </c>
      <c r="N1452" t="str">
        <f t="shared" si="22"/>
        <v>APINoyOrelope</v>
      </c>
    </row>
    <row r="1453" spans="8:14" x14ac:dyDescent="0.35">
      <c r="H1453" t="s">
        <v>227</v>
      </c>
      <c r="I1453" t="s">
        <v>305</v>
      </c>
      <c r="J1453" t="s">
        <v>928</v>
      </c>
      <c r="K1453" s="80" t="s">
        <v>3392</v>
      </c>
      <c r="L1453" t="s">
        <v>3393</v>
      </c>
      <c r="M1453" t="s">
        <v>36</v>
      </c>
      <c r="N1453" t="str">
        <f t="shared" si="22"/>
        <v>APINoyOriIre</v>
      </c>
    </row>
    <row r="1454" spans="8:14" x14ac:dyDescent="0.35">
      <c r="H1454" t="s">
        <v>227</v>
      </c>
      <c r="I1454" t="s">
        <v>305</v>
      </c>
      <c r="J1454" t="s">
        <v>931</v>
      </c>
      <c r="K1454" s="80" t="s">
        <v>3394</v>
      </c>
      <c r="L1454" t="s">
        <v>3395</v>
      </c>
      <c r="M1454" t="s">
        <v>36</v>
      </c>
      <c r="N1454" t="str">
        <f t="shared" si="22"/>
        <v>APINoyOyoEast</v>
      </c>
    </row>
    <row r="1455" spans="8:14" x14ac:dyDescent="0.35">
      <c r="H1455" t="s">
        <v>227</v>
      </c>
      <c r="I1455" t="s">
        <v>305</v>
      </c>
      <c r="J1455" t="s">
        <v>934</v>
      </c>
      <c r="K1455" s="80" t="s">
        <v>3396</v>
      </c>
      <c r="L1455" t="s">
        <v>3397</v>
      </c>
      <c r="M1455" t="s">
        <v>36</v>
      </c>
      <c r="N1455" t="str">
        <f t="shared" si="22"/>
        <v>APINoyOyoWest</v>
      </c>
    </row>
    <row r="1456" spans="8:14" x14ac:dyDescent="0.35">
      <c r="H1456" t="s">
        <v>227</v>
      </c>
      <c r="I1456" t="s">
        <v>305</v>
      </c>
      <c r="J1456" t="s">
        <v>937</v>
      </c>
      <c r="K1456" s="80" t="s">
        <v>3398</v>
      </c>
      <c r="L1456" t="s">
        <v>3399</v>
      </c>
      <c r="M1456" t="s">
        <v>36</v>
      </c>
      <c r="N1456" t="str">
        <f t="shared" si="22"/>
        <v>APINoySakiEast</v>
      </c>
    </row>
    <row r="1457" spans="8:14" x14ac:dyDescent="0.35">
      <c r="H1457" t="s">
        <v>227</v>
      </c>
      <c r="I1457" t="s">
        <v>305</v>
      </c>
      <c r="J1457" t="s">
        <v>937</v>
      </c>
      <c r="K1457" s="80" t="s">
        <v>3400</v>
      </c>
      <c r="L1457" t="s">
        <v>3401</v>
      </c>
      <c r="M1457" t="s">
        <v>36</v>
      </c>
      <c r="N1457" t="str">
        <f t="shared" si="22"/>
        <v>APINoySakiEast</v>
      </c>
    </row>
    <row r="1458" spans="8:14" x14ac:dyDescent="0.35">
      <c r="H1458" t="s">
        <v>227</v>
      </c>
      <c r="I1458" t="s">
        <v>305</v>
      </c>
      <c r="J1458" t="s">
        <v>937</v>
      </c>
      <c r="K1458" s="80" t="s">
        <v>3402</v>
      </c>
      <c r="L1458" t="s">
        <v>3403</v>
      </c>
      <c r="M1458" t="s">
        <v>36</v>
      </c>
      <c r="N1458" t="str">
        <f t="shared" si="22"/>
        <v>APINoySakiEast</v>
      </c>
    </row>
    <row r="1459" spans="8:14" x14ac:dyDescent="0.35">
      <c r="H1459" t="s">
        <v>227</v>
      </c>
      <c r="I1459" t="s">
        <v>305</v>
      </c>
      <c r="J1459" t="s">
        <v>940</v>
      </c>
      <c r="K1459" s="80" t="s">
        <v>3404</v>
      </c>
      <c r="L1459" t="s">
        <v>3405</v>
      </c>
      <c r="M1459" t="s">
        <v>36</v>
      </c>
      <c r="N1459" t="str">
        <f t="shared" si="22"/>
        <v>APINoySakiWest</v>
      </c>
    </row>
    <row r="1460" spans="8:14" x14ac:dyDescent="0.35">
      <c r="H1460" t="s">
        <v>227</v>
      </c>
      <c r="I1460" t="s">
        <v>305</v>
      </c>
      <c r="J1460" t="s">
        <v>943</v>
      </c>
      <c r="K1460" s="80" t="s">
        <v>3406</v>
      </c>
      <c r="L1460" t="s">
        <v>3407</v>
      </c>
      <c r="M1460" t="s">
        <v>36</v>
      </c>
      <c r="N1460" t="str">
        <f t="shared" si="22"/>
        <v>APINoySurulere</v>
      </c>
    </row>
    <row r="1461" spans="8:14" x14ac:dyDescent="0.35">
      <c r="H1461" t="s">
        <v>227</v>
      </c>
      <c r="I1461" t="s">
        <v>309</v>
      </c>
      <c r="J1461" t="s">
        <v>946</v>
      </c>
      <c r="K1461" s="80" t="s">
        <v>3408</v>
      </c>
      <c r="L1461" t="s">
        <v>3409</v>
      </c>
      <c r="M1461" t="s">
        <v>36</v>
      </c>
      <c r="N1461" t="str">
        <f t="shared" si="22"/>
        <v>APINplBarkinLadi</v>
      </c>
    </row>
    <row r="1462" spans="8:14" x14ac:dyDescent="0.35">
      <c r="H1462" t="s">
        <v>227</v>
      </c>
      <c r="I1462" t="s">
        <v>309</v>
      </c>
      <c r="J1462" t="s">
        <v>949</v>
      </c>
      <c r="K1462" s="80" t="s">
        <v>3410</v>
      </c>
      <c r="L1462" t="s">
        <v>3411</v>
      </c>
      <c r="M1462" t="s">
        <v>36</v>
      </c>
      <c r="N1462" t="str">
        <f t="shared" si="22"/>
        <v>APINplBassa</v>
      </c>
    </row>
    <row r="1463" spans="8:14" x14ac:dyDescent="0.35">
      <c r="H1463" t="s">
        <v>227</v>
      </c>
      <c r="I1463" t="s">
        <v>309</v>
      </c>
      <c r="J1463" t="s">
        <v>949</v>
      </c>
      <c r="K1463" s="80" t="s">
        <v>3412</v>
      </c>
      <c r="L1463" t="s">
        <v>3413</v>
      </c>
      <c r="M1463" t="s">
        <v>36</v>
      </c>
      <c r="N1463" t="str">
        <f t="shared" si="22"/>
        <v>APINplBassa</v>
      </c>
    </row>
    <row r="1464" spans="8:14" x14ac:dyDescent="0.35">
      <c r="H1464" t="s">
        <v>227</v>
      </c>
      <c r="I1464" t="s">
        <v>309</v>
      </c>
      <c r="J1464" t="s">
        <v>949</v>
      </c>
      <c r="K1464" s="80" t="s">
        <v>3414</v>
      </c>
      <c r="L1464" t="s">
        <v>3415</v>
      </c>
      <c r="M1464" t="s">
        <v>36</v>
      </c>
      <c r="N1464" t="str">
        <f t="shared" si="22"/>
        <v>APINplBassa</v>
      </c>
    </row>
    <row r="1465" spans="8:14" x14ac:dyDescent="0.35">
      <c r="H1465" t="s">
        <v>227</v>
      </c>
      <c r="I1465" t="s">
        <v>309</v>
      </c>
      <c r="J1465" t="s">
        <v>952</v>
      </c>
      <c r="K1465" s="80" t="s">
        <v>3416</v>
      </c>
      <c r="L1465" t="s">
        <v>3417</v>
      </c>
      <c r="M1465" t="s">
        <v>36</v>
      </c>
      <c r="N1465" t="str">
        <f t="shared" si="22"/>
        <v>APINplBokkos</v>
      </c>
    </row>
    <row r="1466" spans="8:14" x14ac:dyDescent="0.35">
      <c r="H1466" t="s">
        <v>227</v>
      </c>
      <c r="I1466" t="s">
        <v>309</v>
      </c>
      <c r="J1466" t="s">
        <v>952</v>
      </c>
      <c r="K1466" s="80" t="s">
        <v>3418</v>
      </c>
      <c r="L1466" t="s">
        <v>3419</v>
      </c>
      <c r="M1466" t="s">
        <v>36</v>
      </c>
      <c r="N1466" t="str">
        <f t="shared" si="22"/>
        <v>APINplBokkos</v>
      </c>
    </row>
    <row r="1467" spans="8:14" x14ac:dyDescent="0.35">
      <c r="H1467" t="s">
        <v>227</v>
      </c>
      <c r="I1467" t="s">
        <v>309</v>
      </c>
      <c r="J1467" t="s">
        <v>955</v>
      </c>
      <c r="K1467" s="80" t="s">
        <v>3420</v>
      </c>
      <c r="L1467" t="s">
        <v>3421</v>
      </c>
      <c r="M1467" t="s">
        <v>36</v>
      </c>
      <c r="N1467" t="str">
        <f t="shared" si="22"/>
        <v>APINplJosEast</v>
      </c>
    </row>
    <row r="1468" spans="8:14" x14ac:dyDescent="0.35">
      <c r="H1468" t="s">
        <v>227</v>
      </c>
      <c r="I1468" t="s">
        <v>309</v>
      </c>
      <c r="J1468" t="s">
        <v>955</v>
      </c>
      <c r="K1468" s="80" t="s">
        <v>3422</v>
      </c>
      <c r="L1468" t="s">
        <v>3423</v>
      </c>
      <c r="M1468" t="s">
        <v>36</v>
      </c>
      <c r="N1468" t="str">
        <f t="shared" si="22"/>
        <v>APINplJosEast</v>
      </c>
    </row>
    <row r="1469" spans="8:14" x14ac:dyDescent="0.35">
      <c r="H1469" t="s">
        <v>227</v>
      </c>
      <c r="I1469" t="s">
        <v>309</v>
      </c>
      <c r="J1469" t="s">
        <v>958</v>
      </c>
      <c r="K1469" s="80" t="s">
        <v>3424</v>
      </c>
      <c r="L1469" t="s">
        <v>3425</v>
      </c>
      <c r="M1469" t="s">
        <v>36</v>
      </c>
      <c r="N1469" t="str">
        <f t="shared" si="22"/>
        <v>APINplJosNorth</v>
      </c>
    </row>
    <row r="1470" spans="8:14" x14ac:dyDescent="0.35">
      <c r="H1470" t="s">
        <v>227</v>
      </c>
      <c r="I1470" t="s">
        <v>309</v>
      </c>
      <c r="J1470" t="s">
        <v>958</v>
      </c>
      <c r="K1470" s="80" t="s">
        <v>3426</v>
      </c>
      <c r="L1470" t="s">
        <v>3427</v>
      </c>
      <c r="M1470" t="s">
        <v>36</v>
      </c>
      <c r="N1470" t="str">
        <f t="shared" si="22"/>
        <v>APINplJosNorth</v>
      </c>
    </row>
    <row r="1471" spans="8:14" x14ac:dyDescent="0.35">
      <c r="H1471" t="s">
        <v>227</v>
      </c>
      <c r="I1471" t="s">
        <v>309</v>
      </c>
      <c r="J1471" t="s">
        <v>958</v>
      </c>
      <c r="K1471" s="80" t="s">
        <v>3428</v>
      </c>
      <c r="L1471" t="s">
        <v>3429</v>
      </c>
      <c r="M1471" t="s">
        <v>36</v>
      </c>
      <c r="N1471" t="str">
        <f t="shared" si="22"/>
        <v>APINplJosNorth</v>
      </c>
    </row>
    <row r="1472" spans="8:14" x14ac:dyDescent="0.35">
      <c r="H1472" t="s">
        <v>227</v>
      </c>
      <c r="I1472" t="s">
        <v>309</v>
      </c>
      <c r="J1472" t="s">
        <v>958</v>
      </c>
      <c r="K1472" s="80" t="s">
        <v>3430</v>
      </c>
      <c r="L1472" t="s">
        <v>3431</v>
      </c>
      <c r="M1472" t="s">
        <v>36</v>
      </c>
      <c r="N1472" t="str">
        <f t="shared" si="22"/>
        <v>APINplJosNorth</v>
      </c>
    </row>
    <row r="1473" spans="8:14" x14ac:dyDescent="0.35">
      <c r="H1473" t="s">
        <v>227</v>
      </c>
      <c r="I1473" t="s">
        <v>309</v>
      </c>
      <c r="J1473" t="s">
        <v>958</v>
      </c>
      <c r="K1473" s="80" t="s">
        <v>3432</v>
      </c>
      <c r="L1473" t="s">
        <v>3433</v>
      </c>
      <c r="M1473" t="s">
        <v>36</v>
      </c>
      <c r="N1473" t="str">
        <f t="shared" si="22"/>
        <v>APINplJosNorth</v>
      </c>
    </row>
    <row r="1474" spans="8:14" x14ac:dyDescent="0.35">
      <c r="H1474" t="s">
        <v>227</v>
      </c>
      <c r="I1474" t="s">
        <v>309</v>
      </c>
      <c r="J1474" t="s">
        <v>958</v>
      </c>
      <c r="K1474" s="80" t="s">
        <v>3434</v>
      </c>
      <c r="L1474" t="s">
        <v>3435</v>
      </c>
      <c r="M1474" t="s">
        <v>36</v>
      </c>
      <c r="N1474" t="str">
        <f t="shared" si="22"/>
        <v>APINplJosNorth</v>
      </c>
    </row>
    <row r="1475" spans="8:14" x14ac:dyDescent="0.35">
      <c r="H1475" t="s">
        <v>227</v>
      </c>
      <c r="I1475" t="s">
        <v>309</v>
      </c>
      <c r="J1475" t="s">
        <v>958</v>
      </c>
      <c r="K1475" s="80" t="s">
        <v>3436</v>
      </c>
      <c r="L1475" t="s">
        <v>3437</v>
      </c>
      <c r="M1475" t="s">
        <v>36</v>
      </c>
      <c r="N1475" t="str">
        <f t="shared" ref="N1475:N1504" si="23">SUBSTITUTE(SUBSTITUTE(M1475&amp;J1475," ",""),"-","")</f>
        <v>APINplJosNorth</v>
      </c>
    </row>
    <row r="1476" spans="8:14" x14ac:dyDescent="0.35">
      <c r="H1476" t="s">
        <v>227</v>
      </c>
      <c r="I1476" t="s">
        <v>309</v>
      </c>
      <c r="J1476" t="s">
        <v>958</v>
      </c>
      <c r="K1476" s="80" t="s">
        <v>3438</v>
      </c>
      <c r="L1476" t="s">
        <v>3439</v>
      </c>
      <c r="M1476" t="s">
        <v>36</v>
      </c>
      <c r="N1476" t="str">
        <f t="shared" si="23"/>
        <v>APINplJosNorth</v>
      </c>
    </row>
    <row r="1477" spans="8:14" x14ac:dyDescent="0.35">
      <c r="H1477" t="s">
        <v>227</v>
      </c>
      <c r="I1477" t="s">
        <v>309</v>
      </c>
      <c r="J1477" t="s">
        <v>958</v>
      </c>
      <c r="K1477" s="80" t="s">
        <v>3440</v>
      </c>
      <c r="L1477" t="s">
        <v>3441</v>
      </c>
      <c r="M1477" t="s">
        <v>36</v>
      </c>
      <c r="N1477" t="str">
        <f t="shared" si="23"/>
        <v>APINplJosNorth</v>
      </c>
    </row>
    <row r="1478" spans="8:14" x14ac:dyDescent="0.35">
      <c r="H1478" t="s">
        <v>227</v>
      </c>
      <c r="I1478" t="s">
        <v>309</v>
      </c>
      <c r="J1478" t="s">
        <v>961</v>
      </c>
      <c r="K1478" s="80" t="s">
        <v>3442</v>
      </c>
      <c r="L1478" t="s">
        <v>3443</v>
      </c>
      <c r="M1478" t="s">
        <v>36</v>
      </c>
      <c r="N1478" t="str">
        <f t="shared" si="23"/>
        <v>APINplJosSouth</v>
      </c>
    </row>
    <row r="1479" spans="8:14" x14ac:dyDescent="0.35">
      <c r="H1479" t="s">
        <v>227</v>
      </c>
      <c r="I1479" t="s">
        <v>309</v>
      </c>
      <c r="J1479" t="s">
        <v>961</v>
      </c>
      <c r="K1479" s="80" t="s">
        <v>3444</v>
      </c>
      <c r="L1479" t="s">
        <v>3445</v>
      </c>
      <c r="M1479" t="s">
        <v>36</v>
      </c>
      <c r="N1479" t="str">
        <f t="shared" si="23"/>
        <v>APINplJosSouth</v>
      </c>
    </row>
    <row r="1480" spans="8:14" x14ac:dyDescent="0.35">
      <c r="H1480" t="s">
        <v>227</v>
      </c>
      <c r="I1480" t="s">
        <v>309</v>
      </c>
      <c r="J1480" t="s">
        <v>961</v>
      </c>
      <c r="K1480" s="80" t="s">
        <v>3446</v>
      </c>
      <c r="L1480" t="s">
        <v>3447</v>
      </c>
      <c r="M1480" t="s">
        <v>36</v>
      </c>
      <c r="N1480" t="str">
        <f t="shared" si="23"/>
        <v>APINplJosSouth</v>
      </c>
    </row>
    <row r="1481" spans="8:14" x14ac:dyDescent="0.35">
      <c r="H1481" t="s">
        <v>227</v>
      </c>
      <c r="I1481" t="s">
        <v>309</v>
      </c>
      <c r="J1481" t="s">
        <v>961</v>
      </c>
      <c r="K1481" s="80" t="s">
        <v>3448</v>
      </c>
      <c r="L1481" t="s">
        <v>3449</v>
      </c>
      <c r="M1481" t="s">
        <v>36</v>
      </c>
      <c r="N1481" t="str">
        <f t="shared" si="23"/>
        <v>APINplJosSouth</v>
      </c>
    </row>
    <row r="1482" spans="8:14" x14ac:dyDescent="0.35">
      <c r="H1482" t="s">
        <v>227</v>
      </c>
      <c r="I1482" t="s">
        <v>309</v>
      </c>
      <c r="J1482" t="s">
        <v>961</v>
      </c>
      <c r="K1482" s="80" t="s">
        <v>3450</v>
      </c>
      <c r="L1482" t="s">
        <v>3451</v>
      </c>
      <c r="M1482" t="s">
        <v>36</v>
      </c>
      <c r="N1482" t="str">
        <f t="shared" si="23"/>
        <v>APINplJosSouth</v>
      </c>
    </row>
    <row r="1483" spans="8:14" x14ac:dyDescent="0.35">
      <c r="H1483" t="s">
        <v>227</v>
      </c>
      <c r="I1483" t="s">
        <v>309</v>
      </c>
      <c r="J1483" t="s">
        <v>961</v>
      </c>
      <c r="K1483" s="80" t="s">
        <v>3452</v>
      </c>
      <c r="L1483" t="s">
        <v>3453</v>
      </c>
      <c r="M1483" t="s">
        <v>36</v>
      </c>
      <c r="N1483" t="str">
        <f t="shared" si="23"/>
        <v>APINplJosSouth</v>
      </c>
    </row>
    <row r="1484" spans="8:14" x14ac:dyDescent="0.35">
      <c r="H1484" t="s">
        <v>227</v>
      </c>
      <c r="I1484" t="s">
        <v>309</v>
      </c>
      <c r="J1484" t="s">
        <v>964</v>
      </c>
      <c r="K1484" s="80" t="s">
        <v>3454</v>
      </c>
      <c r="L1484" t="s">
        <v>3455</v>
      </c>
      <c r="M1484" t="s">
        <v>36</v>
      </c>
      <c r="N1484" t="str">
        <f t="shared" si="23"/>
        <v>APINplKanam</v>
      </c>
    </row>
    <row r="1485" spans="8:14" x14ac:dyDescent="0.35">
      <c r="H1485" t="s">
        <v>227</v>
      </c>
      <c r="I1485" t="s">
        <v>309</v>
      </c>
      <c r="J1485" t="s">
        <v>964</v>
      </c>
      <c r="K1485" s="80" t="s">
        <v>3456</v>
      </c>
      <c r="L1485" t="s">
        <v>3457</v>
      </c>
      <c r="M1485" t="s">
        <v>36</v>
      </c>
      <c r="N1485" t="str">
        <f t="shared" si="23"/>
        <v>APINplKanam</v>
      </c>
    </row>
    <row r="1486" spans="8:14" x14ac:dyDescent="0.35">
      <c r="H1486" t="s">
        <v>227</v>
      </c>
      <c r="I1486" t="s">
        <v>309</v>
      </c>
      <c r="J1486" t="s">
        <v>964</v>
      </c>
      <c r="K1486" s="80" t="s">
        <v>3458</v>
      </c>
      <c r="L1486" t="s">
        <v>3459</v>
      </c>
      <c r="M1486" t="s">
        <v>36</v>
      </c>
      <c r="N1486" t="str">
        <f t="shared" si="23"/>
        <v>APINplKanam</v>
      </c>
    </row>
    <row r="1487" spans="8:14" x14ac:dyDescent="0.35">
      <c r="H1487" t="s">
        <v>227</v>
      </c>
      <c r="I1487" t="s">
        <v>309</v>
      </c>
      <c r="J1487" t="s">
        <v>967</v>
      </c>
      <c r="K1487" s="80" t="s">
        <v>3460</v>
      </c>
      <c r="L1487" t="s">
        <v>3461</v>
      </c>
      <c r="M1487" t="s">
        <v>36</v>
      </c>
      <c r="N1487" t="str">
        <f t="shared" si="23"/>
        <v>APINplKanke</v>
      </c>
    </row>
    <row r="1488" spans="8:14" x14ac:dyDescent="0.35">
      <c r="H1488" t="s">
        <v>227</v>
      </c>
      <c r="I1488" t="s">
        <v>309</v>
      </c>
      <c r="J1488" t="s">
        <v>967</v>
      </c>
      <c r="K1488" s="80" t="s">
        <v>3462</v>
      </c>
      <c r="L1488" t="s">
        <v>3463</v>
      </c>
      <c r="M1488" t="s">
        <v>36</v>
      </c>
      <c r="N1488" t="str">
        <f t="shared" si="23"/>
        <v>APINplKanke</v>
      </c>
    </row>
    <row r="1489" spans="8:14" x14ac:dyDescent="0.35">
      <c r="H1489" t="s">
        <v>227</v>
      </c>
      <c r="I1489" t="s">
        <v>309</v>
      </c>
      <c r="J1489" t="s">
        <v>970</v>
      </c>
      <c r="K1489" s="80" t="s">
        <v>3464</v>
      </c>
      <c r="L1489" t="s">
        <v>3465</v>
      </c>
      <c r="M1489" t="s">
        <v>36</v>
      </c>
      <c r="N1489" t="str">
        <f t="shared" si="23"/>
        <v>APINplLangtangNorth</v>
      </c>
    </row>
    <row r="1490" spans="8:14" x14ac:dyDescent="0.35">
      <c r="H1490" t="s">
        <v>227</v>
      </c>
      <c r="I1490" t="s">
        <v>309</v>
      </c>
      <c r="J1490" t="s">
        <v>973</v>
      </c>
      <c r="K1490" s="80" t="s">
        <v>3466</v>
      </c>
      <c r="L1490" t="s">
        <v>3467</v>
      </c>
      <c r="M1490" t="s">
        <v>36</v>
      </c>
      <c r="N1490" t="str">
        <f t="shared" si="23"/>
        <v>APINplLangtangSouth</v>
      </c>
    </row>
    <row r="1491" spans="8:14" x14ac:dyDescent="0.35">
      <c r="H1491" t="s">
        <v>227</v>
      </c>
      <c r="I1491" t="s">
        <v>309</v>
      </c>
      <c r="J1491" t="s">
        <v>973</v>
      </c>
      <c r="K1491" s="80" t="s">
        <v>3468</v>
      </c>
      <c r="L1491" t="s">
        <v>3469</v>
      </c>
      <c r="M1491" t="s">
        <v>36</v>
      </c>
      <c r="N1491" t="str">
        <f t="shared" si="23"/>
        <v>APINplLangtangSouth</v>
      </c>
    </row>
    <row r="1492" spans="8:14" x14ac:dyDescent="0.35">
      <c r="H1492" t="s">
        <v>227</v>
      </c>
      <c r="I1492" t="s">
        <v>309</v>
      </c>
      <c r="J1492" t="s">
        <v>976</v>
      </c>
      <c r="K1492" s="80" t="s">
        <v>3470</v>
      </c>
      <c r="L1492" t="s">
        <v>3471</v>
      </c>
      <c r="M1492" t="s">
        <v>36</v>
      </c>
      <c r="N1492" t="str">
        <f t="shared" si="23"/>
        <v>APINplMangu</v>
      </c>
    </row>
    <row r="1493" spans="8:14" x14ac:dyDescent="0.35">
      <c r="H1493" t="s">
        <v>227</v>
      </c>
      <c r="I1493" t="s">
        <v>309</v>
      </c>
      <c r="J1493" t="s">
        <v>976</v>
      </c>
      <c r="K1493" s="80" t="s">
        <v>3472</v>
      </c>
      <c r="L1493" t="s">
        <v>3473</v>
      </c>
      <c r="M1493" t="s">
        <v>36</v>
      </c>
      <c r="N1493" t="str">
        <f t="shared" si="23"/>
        <v>APINplMangu</v>
      </c>
    </row>
    <row r="1494" spans="8:14" x14ac:dyDescent="0.35">
      <c r="H1494" t="s">
        <v>227</v>
      </c>
      <c r="I1494" t="s">
        <v>309</v>
      </c>
      <c r="J1494" t="s">
        <v>976</v>
      </c>
      <c r="K1494" s="80" t="s">
        <v>3474</v>
      </c>
      <c r="L1494" t="s">
        <v>3475</v>
      </c>
      <c r="M1494" t="s">
        <v>36</v>
      </c>
      <c r="N1494" t="str">
        <f t="shared" si="23"/>
        <v>APINplMangu</v>
      </c>
    </row>
    <row r="1495" spans="8:14" x14ac:dyDescent="0.35">
      <c r="H1495" t="s">
        <v>227</v>
      </c>
      <c r="I1495" t="s">
        <v>309</v>
      </c>
      <c r="J1495" t="s">
        <v>979</v>
      </c>
      <c r="K1495" s="80" t="s">
        <v>3476</v>
      </c>
      <c r="L1495" t="s">
        <v>3477</v>
      </c>
      <c r="M1495" t="s">
        <v>36</v>
      </c>
      <c r="N1495" t="str">
        <f t="shared" si="23"/>
        <v>APINplMikang</v>
      </c>
    </row>
    <row r="1496" spans="8:14" x14ac:dyDescent="0.35">
      <c r="H1496" t="s">
        <v>227</v>
      </c>
      <c r="I1496" t="s">
        <v>309</v>
      </c>
      <c r="J1496" t="s">
        <v>979</v>
      </c>
      <c r="K1496" s="80" t="s">
        <v>3478</v>
      </c>
      <c r="L1496" t="s">
        <v>3479</v>
      </c>
      <c r="M1496" t="s">
        <v>36</v>
      </c>
      <c r="N1496" t="str">
        <f t="shared" si="23"/>
        <v>APINplMikang</v>
      </c>
    </row>
    <row r="1497" spans="8:14" x14ac:dyDescent="0.35">
      <c r="H1497" t="s">
        <v>227</v>
      </c>
      <c r="I1497" t="s">
        <v>309</v>
      </c>
      <c r="J1497" t="s">
        <v>982</v>
      </c>
      <c r="K1497" s="80" t="s">
        <v>3480</v>
      </c>
      <c r="L1497" t="s">
        <v>3481</v>
      </c>
      <c r="M1497" t="s">
        <v>36</v>
      </c>
      <c r="N1497" t="str">
        <f t="shared" si="23"/>
        <v>APINplPankshin</v>
      </c>
    </row>
    <row r="1498" spans="8:14" x14ac:dyDescent="0.35">
      <c r="H1498" t="s">
        <v>227</v>
      </c>
      <c r="I1498" t="s">
        <v>309</v>
      </c>
      <c r="J1498" t="s">
        <v>982</v>
      </c>
      <c r="K1498" s="80" t="s">
        <v>3482</v>
      </c>
      <c r="L1498" t="s">
        <v>3483</v>
      </c>
      <c r="M1498" t="s">
        <v>36</v>
      </c>
      <c r="N1498" t="str">
        <f t="shared" si="23"/>
        <v>APINplPankshin</v>
      </c>
    </row>
    <row r="1499" spans="8:14" x14ac:dyDescent="0.35">
      <c r="H1499" t="s">
        <v>227</v>
      </c>
      <c r="I1499" t="s">
        <v>309</v>
      </c>
      <c r="J1499" t="s">
        <v>3484</v>
      </c>
      <c r="K1499" s="80" t="s">
        <v>3485</v>
      </c>
      <c r="L1499" t="s">
        <v>3486</v>
      </c>
      <c r="M1499" t="s">
        <v>36</v>
      </c>
      <c r="N1499" t="str">
        <f t="shared" si="23"/>
        <v>APINplQuaanPan</v>
      </c>
    </row>
    <row r="1500" spans="8:14" x14ac:dyDescent="0.35">
      <c r="H1500" t="s">
        <v>227</v>
      </c>
      <c r="I1500" t="s">
        <v>309</v>
      </c>
      <c r="J1500" t="s">
        <v>3484</v>
      </c>
      <c r="K1500" s="80" t="s">
        <v>3487</v>
      </c>
      <c r="L1500" t="s">
        <v>3488</v>
      </c>
      <c r="M1500" t="s">
        <v>36</v>
      </c>
      <c r="N1500" t="str">
        <f t="shared" si="23"/>
        <v>APINplQuaanPan</v>
      </c>
    </row>
    <row r="1501" spans="8:14" x14ac:dyDescent="0.35">
      <c r="H1501" t="s">
        <v>227</v>
      </c>
      <c r="I1501" t="s">
        <v>309</v>
      </c>
      <c r="J1501" t="s">
        <v>988</v>
      </c>
      <c r="K1501" s="80" t="s">
        <v>3489</v>
      </c>
      <c r="L1501" t="s">
        <v>3490</v>
      </c>
      <c r="M1501" t="s">
        <v>36</v>
      </c>
      <c r="N1501" t="str">
        <f t="shared" si="23"/>
        <v>APINplShendam</v>
      </c>
    </row>
    <row r="1502" spans="8:14" x14ac:dyDescent="0.35">
      <c r="H1502" t="s">
        <v>227</v>
      </c>
      <c r="I1502" t="s">
        <v>309</v>
      </c>
      <c r="J1502" t="s">
        <v>988</v>
      </c>
      <c r="K1502" s="80" t="s">
        <v>3491</v>
      </c>
      <c r="L1502" t="s">
        <v>3492</v>
      </c>
      <c r="M1502" t="s">
        <v>36</v>
      </c>
      <c r="N1502" t="str">
        <f t="shared" si="23"/>
        <v>APINplShendam</v>
      </c>
    </row>
    <row r="1503" spans="8:14" x14ac:dyDescent="0.35">
      <c r="H1503" t="s">
        <v>227</v>
      </c>
      <c r="I1503" t="s">
        <v>309</v>
      </c>
      <c r="J1503" t="s">
        <v>988</v>
      </c>
      <c r="K1503" s="80" t="s">
        <v>3493</v>
      </c>
      <c r="L1503" t="s">
        <v>3494</v>
      </c>
      <c r="M1503" t="s">
        <v>36</v>
      </c>
      <c r="N1503" t="str">
        <f t="shared" si="23"/>
        <v>APINplShendam</v>
      </c>
    </row>
    <row r="1504" spans="8:14" x14ac:dyDescent="0.35">
      <c r="H1504" t="s">
        <v>227</v>
      </c>
      <c r="I1504" t="s">
        <v>309</v>
      </c>
      <c r="J1504" t="s">
        <v>988</v>
      </c>
      <c r="K1504" s="80" t="s">
        <v>3495</v>
      </c>
      <c r="L1504" t="s">
        <v>3496</v>
      </c>
      <c r="M1504" t="s">
        <v>36</v>
      </c>
      <c r="N1504" t="str">
        <f t="shared" si="23"/>
        <v>APINplShendam</v>
      </c>
    </row>
  </sheetData>
  <autoFilter ref="A1:N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TX_CURR</vt:lpstr>
      <vt:lpstr>TX_RET</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akintayo muse</cp:lastModifiedBy>
  <cp:lastPrinted>2017-01-11T15:12:50Z</cp:lastPrinted>
  <dcterms:created xsi:type="dcterms:W3CDTF">2017-01-08T13:42:03Z</dcterms:created>
  <dcterms:modified xsi:type="dcterms:W3CDTF">2018-03-12T17:26:21Z</dcterms:modified>
</cp:coreProperties>
</file>