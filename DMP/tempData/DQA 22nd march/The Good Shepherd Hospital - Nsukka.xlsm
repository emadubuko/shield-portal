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<sst xmlns="http://schemas.openxmlformats.org/spreadsheetml/2006/main" count="4056" uniqueCount="4056">
  <si>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</si>
  <si>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</si>
  <si>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</si>
  <si>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</si>
  <si>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</si>
  <si>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</si>
  <si>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</si>
  <si>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</si>
  <si>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</si>
  <si>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</si>
  <si>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</si>
  <si>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</si>
  <si>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</si>
  <si>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</si>
  <si>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</si>
  <si>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</si>
  <si>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</si>
  <si>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</si>
  <si>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</si>
  <si>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</si>
  <si>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</si>
  <si>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</si>
  <si>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</si>
  <si>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</si>
  <si>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</si>
  <si>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</si>
  <si>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</si>
  <si>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</si>
  <si>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</si>
  <si>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</si>
  <si>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</si>
  <si>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</si>
  <si>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</si>
  <si>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</si>
  <si>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</si>
  <si>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</si>
  <si>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</si>
  <si>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</si>
  <si>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</si>
  <si>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</si>
  <si>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</si>
  <si>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</si>
  <si>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</si>
  <si>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</si>
  <si>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</si>
  <si>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</si>
  <si>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</si>
  <si>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</si>
  <si>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</si>
  <si>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</si>
  <si>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</si>
  <si>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</si>
  <si>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</si>
  <si>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</si>
  <si>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</si>
  <si>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</si>
  <si>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</si>
  <si>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</si>
  <si>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</si>
  <si>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</si>
  <si>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</si>
  <si>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</si>
  <si>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</si>
  <si>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</si>
  <si>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</si>
  <si>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</si>
  <si>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</si>
  <si>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</si>
  <si>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</si>
  <si>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</si>
  <si>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</si>
  <si>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</si>
  <si>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</si>
  <si>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</si>
  <si>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</si>
  <si>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</si>
  <si>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</si>
  <si>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</si>
  <si>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</si>
  <si>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</si>
  <si>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</si>
  <si>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</si>
  <si>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</si>
  <si>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</si>
  <si>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</si>
  <si>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</si>
  <si>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</si>
  <si>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</si>
  <si>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</si>
  <si>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</si>
  <si>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</si>
  <si>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</si>
  <si>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</si>
  <si>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</si>
  <si>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</si>
  <si>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</si>
  <si>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</si>
  <si>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</si>
  <si>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</si>
  <si>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</si>
  <si>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</si>
  <si>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</si>
  <si>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</si>
  <si>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</si>
  <si>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</si>
  <si>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</si>
  <si>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</si>
  <si>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</si>
  <si>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</si>
  <si>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</si>
  <si>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</si>
  <si>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</si>
  <si>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</si>
  <si>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</si>
  <si>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</si>
  <si>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</si>
  <si>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</si>
  <si>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</si>
  <si>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</si>
  <si>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</si>
  <si>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</si>
  <si>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</si>
  <si>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</si>
  <si>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</si>
  <si>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</si>
  <si>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</si>
  <si>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</si>
  <si>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</si>
  <si>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</si>
  <si>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</si>
  <si>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</si>
  <si>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</si>
  <si>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</si>
  <si>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</si>
  <si>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</si>
  <si>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</si>
  <si>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</si>
  <si>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</si>
  <si>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</si>
  <si>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</si>
  <si>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</si>
  <si>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</si>
  <si>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</si>
  <si>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</si>
  <si>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</si>
  <si>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</si>
  <si>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</si>
  <si>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</si>
  <si>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</si>
  <si>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</si>
  <si>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</si>
  <si>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</si>
  <si>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</si>
  <si>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</si>
  <si>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</si>
  <si>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</si>
  <si>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</si>
  <si>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</si>
  <si>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</si>
  <si>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</si>
  <si>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</si>
  <si>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</si>
  <si>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</si>
  <si>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</si>
  <si>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</si>
  <si>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</si>
  <si>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</si>
  <si>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</si>
  <si>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</si>
  <si>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</si>
  <si>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</si>
  <si>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</si>
  <si>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</si>
  <si>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</si>
  <si>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</si>
  <si>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</si>
  <si>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</si>
  <si>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</si>
  <si>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</si>
  <si>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</si>
  <si>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</si>
  <si>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</si>
  <si>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</si>
  <si>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</si>
  <si>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</si>
  <si>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</si>
  <si>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</si>
  <si>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</si>
  <si>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</si>
  <si>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</si>
  <si>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</si>
  <si>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</si>
  <si>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</si>
  <si>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</si>
  <si>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</si>
  <si>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</si>
  <si>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</si>
  <si>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</si>
  <si>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</si>
  <si>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</si>
  <si>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</si>
  <si>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</si>
  <si>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</si>
  <si>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</si>
  <si>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</si>
  <si>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</si>
  <si>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</si>
  <si>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</si>
  <si>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</si>
  <si>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</si>
  <si>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</si>
  <si>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</si>
  <si>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</si>
  <si>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</si>
  <si>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</si>
  <si>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</si>
  <si>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</si>
  <si>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</si>
  <si>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</si>
  <si>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</si>
  <si>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</si>
  <si>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</si>
  <si>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</si>
  <si>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</si>
  <si>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</si>
  <si>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</si>
  <si>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</si>
  <si>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</si>
  <si>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</si>
  <si>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</si>
  <si>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</si>
  <si>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</si>
  <si>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</si>
  <si>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</si>
  <si>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</si>
  <si>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</si>
  <si>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</si>
  <si>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</si>
  <si>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</si>
  <si>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</si>
  <si>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</si>
  <si>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</si>
  <si>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</si>
  <si>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</si>
  <si>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</si>
  <si>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</si>
  <si>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</si>
  <si>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</si>
  <si>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</si>
  <si>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</si>
  <si>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</si>
  <si>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</si>
  <si>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</si>
  <si>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</si>
  <si>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</si>
  <si>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</si>
  <si>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</si>
  <si>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</si>
  <si>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</si>
  <si>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</si>
  <si>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</si>
  <si>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</si>
  <si>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</si>
  <si>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</si>
  <si>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</si>
  <si>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</si>
  <si>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</si>
  <si>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</si>
  <si>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</si>
  <si>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</si>
  <si>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</si>
  <si>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</si>
  <si>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</si>
  <si>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</si>
  <si>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</si>
  <si>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</si>
  <si>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</si>
  <si>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</si>
  <si>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</si>
  <si>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</si>
  <si>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</si>
  <si>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</si>
  <si>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</si>
  <si>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</si>
  <si>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</si>
  <si>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</si>
  <si>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</si>
  <si>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Nsukka</t>
  </si>
  <si>
    <t>Facility Name:</t>
  </si>
  <si>
    <t>The Good Shepherd Hospital - Nsukka</t>
  </si>
  <si>
    <t>Reporting Period:</t>
  </si>
  <si>
    <t>Q1(Oct - Dec)</t>
  </si>
  <si>
    <t>Facility Code:</t>
  </si>
  <si>
    <t>nD3KsCJ7cA7</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</si>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</sst>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26</v>
      </c>
      <c r="G8" s="155">
        <f>ROUND(SUM('All Questions'!D31:D35)/5+G12,0)</f>
        <v>62</v>
      </c>
      <c r="H8" s="156">
        <f>ROUND(SUM('All Questions'!D37,'All Questions'!D40)/2+'All Questions'!D26+H12,0)</f>
        <v>111</v>
      </c>
      <c r="I8" s="157">
        <f>ROUND((SUM('All Questions'!E11:E14)/4)+I12,0)</f>
        <v>0</v>
      </c>
      <c r="J8" s="155">
        <f>ROUND(SUM('All Questions'!E15:E21)/7+J12,0)</f>
        <v>0</v>
      </c>
      <c r="K8" s="155">
        <f>ROUND(SUM('All Questions'!E23:E30)/4+K12,0)</f>
        <v>36</v>
      </c>
      <c r="L8" s="155">
        <f>ROUND(SUM('All Questions'!E31:E35)/5+L12,0)</f>
        <v>71</v>
      </c>
      <c r="M8" s="156">
        <f>ROUND(('All Questions'!E37+'All Questions'!E40)/2+'All Questions'!E26+M12,0)</f>
        <v>137</v>
      </c>
      <c r="N8" s="157">
        <f>ROUND((SUM('All Questions'!F11:F14)/4)+N12,0)</f>
        <v>0</v>
      </c>
      <c r="O8" s="155">
        <f>ROUND(SUM('All Questions'!F15:F21)/7+O12,0)</f>
        <v>0</v>
      </c>
      <c r="P8" s="155">
        <f>ROUND(SUM('All Questions'!F23:F30)/4+P12,0)</f>
        <v>26</v>
      </c>
      <c r="Q8" s="155">
        <f>ROUND(SUM('All Questions'!F31:F35)/5+Q12,0)</f>
        <v>48</v>
      </c>
      <c r="R8" s="156">
        <f>ROUND(('All Questions'!F37+'All Questions'!F40)/2+'All Questions'!F26+R12,0)</f>
        <v>98</v>
      </c>
      <c r="S8" s="141">
        <f>'All Questions'!F2</f>
        <v>0</v>
      </c>
      <c r="T8" s="142" t="e">
        <f>(AVERAGE(F8:H8)+AVERAGE(K8:M8)+AVERAGE(P8:R8))/S8</f>
        <v>#DIV/0!</v>
      </c>
      <c r="V8" s="309">
        <f>AVERAGE(F8:H8)+AVERAGE(K8:M8)+AVERAGE(P8:R8)</f>
        <v>205</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17</v>
      </c>
      <c r="G10" s="159">
        <f>ROUND(SUM('All Questions'!D31:D35)/5,0)</f>
        <v>27</v>
      </c>
      <c r="H10" s="162">
        <f>ROUND(('All Questions'!D37+'All Questions'!D40)/2+'All Questions'!D26,0)</f>
        <v>69</v>
      </c>
      <c r="I10" s="163">
        <f>ROUND((SUM('All Questions'!E11:E14)/4),0)</f>
        <v>0</v>
      </c>
      <c r="J10" s="164">
        <f>ROUND(SUM('All Questions'!E15:E21)/7,0)</f>
        <v>0</v>
      </c>
      <c r="K10" s="164">
        <f>ROUND(SUM('All Questions'!E23:E30)/4,0)</f>
        <v>22</v>
      </c>
      <c r="L10" s="164">
        <f>ROUND(SUM('All Questions'!E31:E35)/5,0)</f>
        <v>34</v>
      </c>
      <c r="M10" s="165">
        <f>ROUND(('All Questions'!E37+'All Questions'!E40)/2+'All Questions'!E26,0)</f>
        <v>89</v>
      </c>
      <c r="N10" s="166">
        <f>ROUND((SUM('All Questions'!F11:F14)/4),0)</f>
        <v>0</v>
      </c>
      <c r="O10" s="164">
        <f>ROUND(SUM('All Questions'!F15:F21)/7,0)</f>
        <v>0</v>
      </c>
      <c r="P10" s="164">
        <f>ROUND(SUM('All Questions'!F23:F30)/4,0)</f>
        <v>20</v>
      </c>
      <c r="Q10" s="164">
        <f>ROUND(SUM('All Questions'!F31:F35)/5,0)</f>
        <v>34</v>
      </c>
      <c r="R10" s="165">
        <f>ROUND(('All Questions'!F37+'All Questions'!F40)/2+'All Questions'!F26,0)</f>
        <v>88</v>
      </c>
      <c r="S10" s="141">
        <f>'All Questions'!F4</f>
        <v>0</v>
      </c>
      <c r="T10" s="143" t="e">
        <f>(AVERAGE(F10:H10)+AVERAGE(K10:M10)+AVERAGE(P10:R10))/S10</f>
        <v>#DIV/0!</v>
      </c>
      <c r="V10" s="309">
        <f>AVERAGE(F10:H10)+AVERAGE(K10:M10)+AVERAGE(P10:R10)</f>
        <v>133.33333333333334</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9</v>
      </c>
      <c r="G12" s="173">
        <f>ROUND(SUM('All Questions'!D73:D80)/4,0)</f>
        <v>35</v>
      </c>
      <c r="H12" s="174">
        <f>ROUND(SUM('All Questions'!D82:D83)/2,0)</f>
        <v>42</v>
      </c>
      <c r="I12" s="175">
        <f>ROUND(SUM('All Questions'!E54:E58)+'All Questions'!E71/4,0)</f>
        <v>0</v>
      </c>
      <c r="J12" s="176">
        <f>ROUND(SUM('All Questions'!E60:E63)/4,0)</f>
        <v>0</v>
      </c>
      <c r="K12" s="176">
        <f>ROUND(SUM('All Questions'!E67:E72)/3,0)</f>
        <v>14</v>
      </c>
      <c r="L12" s="176">
        <f>ROUND(SUM('All Questions'!E73:E80)/4,0)</f>
        <v>37</v>
      </c>
      <c r="M12" s="177">
        <f>ROUND(SUM('All Questions'!E82:E83)/2,0)</f>
        <v>48</v>
      </c>
      <c r="N12" s="178">
        <f>ROUND(SUM('All Questions'!F54:F58)+'All Questions'!F71/4,0)</f>
        <v>0</v>
      </c>
      <c r="O12" s="176">
        <f>ROUND(SUM('All Questions'!F60:F63)/4,0)</f>
        <v>0</v>
      </c>
      <c r="P12" s="176">
        <f>ROUND(SUM('All Questions'!F67:F72)/3,0)</f>
        <v>6</v>
      </c>
      <c r="Q12" s="176">
        <f>ROUND(SUM('All Questions'!F73:F80)/4,0)</f>
        <v>14</v>
      </c>
      <c r="R12" s="177">
        <f>ROUND(SUM('All Questions'!F82:F83)/2,0)</f>
        <v>10</v>
      </c>
      <c r="S12" s="145">
        <f>'All Questions'!F46</f>
        <v>0</v>
      </c>
      <c r="T12" s="146" t="e">
        <f ref="T12:T15" t="shared" si="1">(AVERAGE(F12:H12)+AVERAGE(K12:M12)+AVERAGE(P12:R12))/S12</f>
        <v>#DIV/0!</v>
      </c>
      <c r="V12" s="309">
        <f>AVERAGE(F12:H12)+AVERAGE(K12:M12)+AVERAGE(P12:R12)</f>
        <v>71.666666666666671</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319</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4</v>
      </c>
      <c r="E10" s="301">
        <v>5</v>
      </c>
      <c r="F10" s="301">
        <v>5</v>
      </c>
      <c r="G10" s="207" t="s">
        <v>67</v>
      </c>
    </row>
    <row r="11" hidden="1" ht="45" customHeight="1">
      <c r="A11" s="226"/>
      <c r="B11" s="238">
        <v>1114</v>
      </c>
      <c r="C11" s="243" t="s">
        <v>84</v>
      </c>
      <c r="D11" s="301">
        <v>69</v>
      </c>
      <c r="E11" s="301">
        <v>89</v>
      </c>
      <c r="F11" s="301">
        <v>81</v>
      </c>
      <c r="G11" s="207" t="s">
        <v>67</v>
      </c>
    </row>
    <row r="12" hidden="1" ht="45" customHeight="1">
      <c r="A12" s="226"/>
      <c r="B12" s="238">
        <v>1115</v>
      </c>
      <c r="C12" s="242" t="s">
        <v>85</v>
      </c>
      <c r="D12" s="301">
        <v>69</v>
      </c>
      <c r="E12" s="301">
        <v>89</v>
      </c>
      <c r="F12" s="301">
        <v>81</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63</v>
      </c>
      <c r="E25" s="301">
        <v>86</v>
      </c>
      <c r="F25" s="301">
        <v>74</v>
      </c>
      <c r="G25" s="207" t="s">
        <v>67</v>
      </c>
    </row>
    <row r="26" hidden="1" ht="45" customHeight="1">
      <c r="A26" s="226"/>
      <c r="B26" s="238">
        <v>1134</v>
      </c>
      <c r="C26" s="242" t="s">
        <v>99</v>
      </c>
      <c r="D26" s="301">
        <v>6</v>
      </c>
      <c r="E26" s="301">
        <v>3</v>
      </c>
      <c r="F26" s="301">
        <v>7</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69</v>
      </c>
      <c r="E33" s="301">
        <v>89</v>
      </c>
      <c r="F33" s="301">
        <v>81</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65</v>
      </c>
      <c r="E35" s="301">
        <v>82</v>
      </c>
      <c r="F35" s="301">
        <v>88</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63</v>
      </c>
      <c r="E37" s="301">
        <v>86</v>
      </c>
      <c r="F37" s="301">
        <v>74</v>
      </c>
      <c r="G37" s="207" t="s">
        <v>67</v>
      </c>
    </row>
    <row r="38" hidden="1" ht="45" customHeight="1">
      <c r="A38" s="226"/>
      <c r="B38" s="238">
        <v>1153</v>
      </c>
      <c r="C38" s="242" t="s">
        <v>111</v>
      </c>
      <c r="D38" s="301">
        <v>63</v>
      </c>
      <c r="E38" s="301">
        <v>81</v>
      </c>
      <c r="F38" s="301">
        <v>81</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63</v>
      </c>
      <c r="E40" s="301">
        <v>86</v>
      </c>
      <c r="F40" s="301">
        <v>88</v>
      </c>
      <c r="G40" s="207" t="s">
        <v>67</v>
      </c>
    </row>
    <row r="41" hidden="1" ht="45" customHeight="1">
      <c r="A41" s="226"/>
      <c r="B41" s="238">
        <v>1156</v>
      </c>
      <c r="C41" s="242" t="s">
        <v>113</v>
      </c>
      <c r="D41" s="301">
        <v>63</v>
      </c>
      <c r="E41" s="301">
        <v>81</v>
      </c>
      <c r="F41" s="301">
        <v>81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3</v>
      </c>
      <c r="E43" s="301">
        <v>5</v>
      </c>
      <c r="F43" s="301">
        <v>4</v>
      </c>
      <c r="G43" s="207" t="s">
        <v>67</v>
      </c>
    </row>
    <row r="44" hidden="1" ht="45" customHeight="1" s="250" customFormat="1">
      <c r="A44" s="226"/>
      <c r="B44" s="238">
        <v>1159</v>
      </c>
      <c r="C44" s="242" t="s">
        <v>116</v>
      </c>
      <c r="D44" s="301">
        <v>65</v>
      </c>
      <c r="E44" s="301">
        <v>82</v>
      </c>
      <c r="F44" s="301">
        <v>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96</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0</v>
      </c>
      <c r="G51" s="207" t="s">
        <v>117</v>
      </c>
    </row>
    <row r="52" hidden="1" ht="45" customHeight="1">
      <c r="A52" s="263" t="s">
        <v>129</v>
      </c>
      <c r="B52" s="238">
        <v>1212</v>
      </c>
      <c r="C52" s="242" t="s">
        <v>130</v>
      </c>
      <c r="D52" s="301">
        <v>1</v>
      </c>
      <c r="E52" s="301">
        <v>1</v>
      </c>
      <c r="F52" s="301">
        <v>0</v>
      </c>
      <c r="G52" s="207" t="s">
        <v>117</v>
      </c>
    </row>
    <row r="53" hidden="1" ht="45" customHeight="1">
      <c r="A53" s="226"/>
      <c r="B53" s="238">
        <v>1213</v>
      </c>
      <c r="C53" s="242" t="s">
        <v>131</v>
      </c>
      <c r="D53" s="301">
        <v>3</v>
      </c>
      <c r="E53" s="301">
        <v>3</v>
      </c>
      <c r="F53" s="301">
        <v>2</v>
      </c>
      <c r="G53" s="207" t="s">
        <v>117</v>
      </c>
    </row>
    <row r="54" hidden="1" ht="45" customHeight="1">
      <c r="A54" s="226"/>
      <c r="B54" s="238">
        <v>1214</v>
      </c>
      <c r="C54" s="264" t="s">
        <v>132</v>
      </c>
      <c r="D54" s="301">
        <v>57</v>
      </c>
      <c r="E54" s="301">
        <v>53</v>
      </c>
      <c r="F54" s="301">
        <v>36</v>
      </c>
      <c r="G54" s="207" t="s">
        <v>117</v>
      </c>
    </row>
    <row r="55" hidden="1" ht="45" customHeight="1">
      <c r="A55" s="226"/>
      <c r="B55" s="238">
        <v>1215</v>
      </c>
      <c r="C55" s="242" t="s">
        <v>133</v>
      </c>
      <c r="D55" s="301">
        <v>2</v>
      </c>
      <c r="E55" s="301">
        <v>2</v>
      </c>
      <c r="F55" s="301">
        <v>1</v>
      </c>
      <c r="G55" s="207" t="s">
        <v>117</v>
      </c>
    </row>
    <row r="56" hidden="1" ht="45" customHeight="1">
      <c r="A56" s="226"/>
      <c r="B56" s="238">
        <v>1216</v>
      </c>
      <c r="C56" s="243" t="s">
        <v>134</v>
      </c>
      <c r="D56" s="301">
        <v>27</v>
      </c>
      <c r="E56" s="301">
        <v>42</v>
      </c>
      <c r="F56" s="301">
        <v>19</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57</v>
      </c>
      <c r="E59" s="301">
        <v>53</v>
      </c>
      <c r="F59" s="301">
        <v>36</v>
      </c>
      <c r="G59" s="207" t="s">
        <v>117</v>
      </c>
    </row>
    <row r="60" hidden="1" ht="45" customHeight="1">
      <c r="A60" s="226"/>
      <c r="B60" s="238">
        <v>1222</v>
      </c>
      <c r="C60" s="264" t="s">
        <v>138</v>
      </c>
      <c r="D60" s="301">
        <v>27</v>
      </c>
      <c r="E60" s="301">
        <v>42</v>
      </c>
      <c r="F60" s="301">
        <v>19</v>
      </c>
      <c r="G60" s="207" t="s">
        <v>117</v>
      </c>
    </row>
    <row r="61" hidden="1" ht="45" customHeight="1">
      <c r="A61" s="226"/>
      <c r="B61" s="238">
        <v>1223</v>
      </c>
      <c r="C61" s="264" t="s">
        <v>139</v>
      </c>
      <c r="D61" s="301">
        <v>27</v>
      </c>
      <c r="E61" s="301">
        <v>42</v>
      </c>
      <c r="F61" s="301">
        <v>19</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27</v>
      </c>
      <c r="E67" s="301">
        <v>42</v>
      </c>
      <c r="F67" s="301">
        <v>19</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57</v>
      </c>
      <c r="E73" s="301">
        <v>53</v>
      </c>
      <c r="F73" s="301">
        <v>36</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27</v>
      </c>
      <c r="E75" s="301">
        <v>42</v>
      </c>
      <c r="F75" s="301">
        <v>19</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56</v>
      </c>
      <c r="E79" s="301">
        <v>53</v>
      </c>
      <c r="F79" s="301">
        <v>0</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27</v>
      </c>
      <c r="E82" s="301">
        <v>42</v>
      </c>
      <c r="F82" s="301">
        <v>19</v>
      </c>
      <c r="G82" s="207" t="s">
        <v>117</v>
      </c>
    </row>
    <row r="83" hidden="1" ht="45" customHeight="1">
      <c r="A83" s="226"/>
      <c r="B83" s="238">
        <v>1253</v>
      </c>
      <c r="C83" s="242" t="s">
        <v>161</v>
      </c>
      <c r="D83" s="301">
        <v>56</v>
      </c>
      <c r="E83" s="301">
        <v>53</v>
      </c>
      <c r="F83" s="301">
        <v>0</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1682</v>
      </c>
      <c r="AZ313" s="0" t="s">
        <v>1683</v>
      </c>
      <c r="BA313" s="0" t="s">
        <v>285</v>
      </c>
      <c r="BB313" s="0" t="str">
        <f t="shared" si="4"/>
        <v>CCCRNenIgboEzeNorth</v>
      </c>
    </row>
    <row r="314">
      <c r="AV314" s="0" t="s">
        <v>471</v>
      </c>
      <c r="AW314" s="0" t="s">
        <v>286</v>
      </c>
      <c r="AX314" s="0" t="s">
        <v>609</v>
      </c>
      <c r="AY314" s="0" t="s">
        <v>1684</v>
      </c>
      <c r="AZ314" s="0" t="s">
        <v>1685</v>
      </c>
      <c r="BA314" s="0" t="s">
        <v>285</v>
      </c>
      <c r="BB314" s="0" t="str">
        <f t="shared" si="4"/>
        <v>CCCRNenIgboEzeNorth</v>
      </c>
    </row>
    <row r="315">
      <c r="AV315" s="0" t="s">
        <v>471</v>
      </c>
      <c r="AW315" s="0" t="s">
        <v>286</v>
      </c>
      <c r="AX315" s="0" t="s">
        <v>609</v>
      </c>
      <c r="AY315" s="0" t="s">
        <v>1686</v>
      </c>
      <c r="AZ315" s="0" t="s">
        <v>1687</v>
      </c>
      <c r="BA315" s="0" t="s">
        <v>285</v>
      </c>
      <c r="BB315" s="0" t="str">
        <f t="shared" si="4"/>
        <v>CCCRNenIgboEzeNorth</v>
      </c>
    </row>
    <row r="316">
      <c r="AV316" s="0" t="s">
        <v>471</v>
      </c>
      <c r="AW316" s="0" t="s">
        <v>286</v>
      </c>
      <c r="AX316" s="0" t="s">
        <v>648</v>
      </c>
      <c r="AY316" s="0" t="s">
        <v>1688</v>
      </c>
      <c r="AZ316" s="0" t="s">
        <v>1689</v>
      </c>
      <c r="BA316" s="0" t="s">
        <v>285</v>
      </c>
      <c r="BB316" s="0" t="str">
        <f t="shared" si="4"/>
        <v>CCCRNenIgboEzeSouth</v>
      </c>
    </row>
    <row r="317">
      <c r="AV317" s="0" t="s">
        <v>471</v>
      </c>
      <c r="AW317" s="0" t="s">
        <v>286</v>
      </c>
      <c r="AX317" s="0" t="s">
        <v>648</v>
      </c>
      <c r="AY317" s="0" t="s">
        <v>1690</v>
      </c>
      <c r="AZ317" s="0" t="s">
        <v>1691</v>
      </c>
      <c r="BA317" s="0" t="s">
        <v>285</v>
      </c>
      <c r="BB317" s="0" t="str">
        <f t="shared" si="4"/>
        <v>CCCRNenIgboEzeSouth</v>
      </c>
    </row>
    <row r="318">
      <c r="AV318" s="0" t="s">
        <v>471</v>
      </c>
      <c r="AW318" s="0" t="s">
        <v>286</v>
      </c>
      <c r="AX318" s="0" t="s">
        <v>648</v>
      </c>
      <c r="AY318" s="0" t="s">
        <v>1692</v>
      </c>
      <c r="AZ318" s="0" t="s">
        <v>1693</v>
      </c>
      <c r="BA318" s="0" t="s">
        <v>285</v>
      </c>
      <c r="BB318" s="0" t="str">
        <f t="shared" si="4"/>
        <v>CCCRNenIgboEzeSouth</v>
      </c>
    </row>
    <row r="319">
      <c r="AV319" s="0" t="s">
        <v>471</v>
      </c>
      <c r="AW319" s="0" t="s">
        <v>286</v>
      </c>
      <c r="AX319" s="0" t="s">
        <v>685</v>
      </c>
      <c r="AY319" s="0" t="s">
        <v>1694</v>
      </c>
      <c r="AZ319" s="0" t="s">
        <v>1695</v>
      </c>
      <c r="BA319" s="0" t="s">
        <v>285</v>
      </c>
      <c r="BB319" s="0" t="str">
        <f t="shared" si="4"/>
        <v>CCCRNenIsiuzo</v>
      </c>
    </row>
    <row r="320">
      <c r="AV320" s="0" t="s">
        <v>471</v>
      </c>
      <c r="AW320" s="0" t="s">
        <v>286</v>
      </c>
      <c r="AX320" s="0" t="s">
        <v>685</v>
      </c>
      <c r="AY320" s="0" t="s">
        <v>1696</v>
      </c>
      <c r="AZ320" s="0" t="s">
        <v>1697</v>
      </c>
      <c r="BA320" s="0" t="s">
        <v>285</v>
      </c>
      <c r="BB320" s="0" t="str">
        <f t="shared" si="4"/>
        <v>CCCRNenIsiuzo</v>
      </c>
    </row>
    <row r="321">
      <c r="AV321" s="0" t="s">
        <v>471</v>
      </c>
      <c r="AW321" s="0" t="s">
        <v>286</v>
      </c>
      <c r="AX321" s="0" t="s">
        <v>685</v>
      </c>
      <c r="AY321" s="0" t="s">
        <v>1698</v>
      </c>
      <c r="AZ321" s="0" t="s">
        <v>1699</v>
      </c>
      <c r="BA321" s="0" t="s">
        <v>285</v>
      </c>
      <c r="BB321" s="0" t="str">
        <f t="shared" si="4"/>
        <v>CCCRNenIsiuzo</v>
      </c>
    </row>
    <row r="322">
      <c r="AV322" s="0" t="s">
        <v>471</v>
      </c>
      <c r="AW322" s="0" t="s">
        <v>286</v>
      </c>
      <c r="AX322" s="0" t="s">
        <v>685</v>
      </c>
      <c r="AY322" s="0" t="s">
        <v>1700</v>
      </c>
      <c r="AZ322" s="0" t="s">
        <v>1701</v>
      </c>
      <c r="BA322" s="0" t="s">
        <v>285</v>
      </c>
      <c r="BB322" s="0" t="str">
        <f t="shared" si="4"/>
        <v>CCCRNenIsiuzo</v>
      </c>
    </row>
    <row r="323">
      <c r="AV323" s="0" t="s">
        <v>471</v>
      </c>
      <c r="AW323" s="0" t="s">
        <v>286</v>
      </c>
      <c r="AX323" s="0" t="s">
        <v>685</v>
      </c>
      <c r="AY323" s="0" t="s">
        <v>1702</v>
      </c>
      <c r="AZ323" s="0" t="s">
        <v>1703</v>
      </c>
      <c r="BA323" s="0" t="s">
        <v>285</v>
      </c>
      <c r="BB323" s="0" t="str">
        <f ref="BB323:BB386" t="shared" si="5">SUBSTITUTE(SUBSTITUTE(BA323&amp;AX323," ",""),"-","")</f>
        <v>CCCRNenIsiuzo</v>
      </c>
    </row>
    <row r="324">
      <c r="AV324" s="0" t="s">
        <v>471</v>
      </c>
      <c r="AW324" s="0" t="s">
        <v>286</v>
      </c>
      <c r="AX324" s="0" t="s">
        <v>720</v>
      </c>
      <c r="AY324" s="0" t="s">
        <v>1704</v>
      </c>
      <c r="AZ324" s="0" t="s">
        <v>1705</v>
      </c>
      <c r="BA324" s="0" t="s">
        <v>285</v>
      </c>
      <c r="BB324" s="0" t="str">
        <f t="shared" si="5"/>
        <v>CCCRNenNkanuEast</v>
      </c>
    </row>
    <row r="325">
      <c r="AV325" s="0" t="s">
        <v>471</v>
      </c>
      <c r="AW325" s="0" t="s">
        <v>286</v>
      </c>
      <c r="AX325" s="0" t="s">
        <v>753</v>
      </c>
      <c r="AY325" s="0" t="s">
        <v>1706</v>
      </c>
      <c r="AZ325" s="0" t="s">
        <v>1707</v>
      </c>
      <c r="BA325" s="0" t="s">
        <v>285</v>
      </c>
      <c r="BB325" s="0" t="str">
        <f t="shared" si="5"/>
        <v>CCCRNenNkanuWest</v>
      </c>
    </row>
    <row r="326">
      <c r="AV326" s="0" t="s">
        <v>471</v>
      </c>
      <c r="AW326" s="0" t="s">
        <v>286</v>
      </c>
      <c r="AX326" s="0" t="s">
        <v>753</v>
      </c>
      <c r="AY326" s="0" t="s">
        <v>1708</v>
      </c>
      <c r="AZ326" s="0" t="s">
        <v>1709</v>
      </c>
      <c r="BA326" s="0" t="s">
        <v>285</v>
      </c>
      <c r="BB326" s="0" t="str">
        <f t="shared" si="5"/>
        <v>CCCRNenNkanuWest</v>
      </c>
    </row>
    <row r="327">
      <c r="AV327" s="0" t="s">
        <v>471</v>
      </c>
      <c r="AW327" s="0" t="s">
        <v>286</v>
      </c>
      <c r="AX327" s="0" t="s">
        <v>753</v>
      </c>
      <c r="AY327" s="0" t="s">
        <v>1710</v>
      </c>
      <c r="AZ327" s="0" t="s">
        <v>1711</v>
      </c>
      <c r="BA327" s="0" t="s">
        <v>285</v>
      </c>
      <c r="BB327" s="0" t="str">
        <f t="shared" si="5"/>
        <v>CCCRNenNkanuWest</v>
      </c>
    </row>
    <row r="328">
      <c r="AV328" s="0" t="s">
        <v>471</v>
      </c>
      <c r="AW328" s="0" t="s">
        <v>286</v>
      </c>
      <c r="AX328" s="0" t="s">
        <v>785</v>
      </c>
      <c r="AY328" s="0" t="s">
        <v>1712</v>
      </c>
      <c r="AZ328" s="0" t="s">
        <v>1713</v>
      </c>
      <c r="BA328" s="0" t="s">
        <v>285</v>
      </c>
      <c r="BB328" s="0" t="str">
        <f t="shared" si="5"/>
        <v>CCCRNenNsukka</v>
      </c>
    </row>
    <row r="329">
      <c r="AV329" s="0" t="s">
        <v>471</v>
      </c>
      <c r="AW329" s="0" t="s">
        <v>286</v>
      </c>
      <c r="AX329" s="0" t="s">
        <v>785</v>
      </c>
      <c r="AY329" s="0" t="s">
        <v>1714</v>
      </c>
      <c r="AZ329" s="0" t="s">
        <v>1715</v>
      </c>
      <c r="BA329" s="0" t="s">
        <v>285</v>
      </c>
      <c r="BB329" s="0" t="str">
        <f t="shared" si="5"/>
        <v>CCCRNenNsukka</v>
      </c>
    </row>
    <row r="330">
      <c r="AV330" s="0" t="s">
        <v>471</v>
      </c>
      <c r="AW330" s="0" t="s">
        <v>286</v>
      </c>
      <c r="AX330" s="0" t="s">
        <v>785</v>
      </c>
      <c r="AY330" s="0" t="s">
        <v>1716</v>
      </c>
      <c r="AZ330" s="0" t="s">
        <v>1717</v>
      </c>
      <c r="BA330" s="0" t="s">
        <v>285</v>
      </c>
      <c r="BB330" s="0" t="str">
        <f t="shared" si="5"/>
        <v>CCCRNenNsukka</v>
      </c>
    </row>
    <row r="331">
      <c r="AV331" s="0" t="s">
        <v>471</v>
      </c>
      <c r="AW331" s="0" t="s">
        <v>286</v>
      </c>
      <c r="AX331" s="0" t="s">
        <v>785</v>
      </c>
      <c r="AY331" s="0" t="s">
        <v>1718</v>
      </c>
      <c r="AZ331" s="0" t="s">
        <v>1719</v>
      </c>
      <c r="BA331" s="0" t="s">
        <v>285</v>
      </c>
      <c r="BB331" s="0" t="str">
        <f t="shared" si="5"/>
        <v>CCCRNenNsukka</v>
      </c>
    </row>
    <row r="332">
      <c r="AV332" s="0" t="s">
        <v>471</v>
      </c>
      <c r="AW332" s="0" t="s">
        <v>286</v>
      </c>
      <c r="AX332" s="0" t="s">
        <v>785</v>
      </c>
      <c r="AY332" s="0" t="s">
        <v>1720</v>
      </c>
      <c r="AZ332" s="0" t="s">
        <v>1721</v>
      </c>
      <c r="BA332" s="0" t="s">
        <v>285</v>
      </c>
      <c r="BB332" s="0" t="str">
        <f t="shared" si="5"/>
        <v>CCCRNenNsukka</v>
      </c>
    </row>
    <row r="333">
      <c r="AV333" s="0" t="s">
        <v>471</v>
      </c>
      <c r="AW333" s="0" t="s">
        <v>286</v>
      </c>
      <c r="AX333" s="0" t="s">
        <v>785</v>
      </c>
      <c r="AY333" s="0" t="s">
        <v>1722</v>
      </c>
      <c r="AZ333" s="0" t="s">
        <v>1723</v>
      </c>
      <c r="BA333" s="0" t="s">
        <v>285</v>
      </c>
      <c r="BB333" s="0" t="str">
        <f t="shared" si="5"/>
        <v>CCCRNenNsukka</v>
      </c>
    </row>
    <row r="334">
      <c r="AV334" s="0" t="s">
        <v>471</v>
      </c>
      <c r="AW334" s="0" t="s">
        <v>286</v>
      </c>
      <c r="AX334" s="0" t="s">
        <v>785</v>
      </c>
      <c r="AY334" s="0" t="s">
        <v>1724</v>
      </c>
      <c r="AZ334" s="0" t="s">
        <v>1725</v>
      </c>
      <c r="BA334" s="0" t="s">
        <v>285</v>
      </c>
      <c r="BB334" s="0" t="str">
        <f t="shared" si="5"/>
        <v>CCCRNenNsukka</v>
      </c>
    </row>
    <row r="335">
      <c r="AV335" s="0" t="s">
        <v>471</v>
      </c>
      <c r="AW335" s="0" t="s">
        <v>286</v>
      </c>
      <c r="AX335" s="0" t="s">
        <v>785</v>
      </c>
      <c r="AY335" s="0" t="s">
        <v>1726</v>
      </c>
      <c r="AZ335" s="0" t="s">
        <v>1727</v>
      </c>
      <c r="BA335" s="0" t="s">
        <v>285</v>
      </c>
      <c r="BB335" s="0" t="str">
        <f t="shared" si="5"/>
        <v>CCCRNenNsukka</v>
      </c>
    </row>
    <row r="336">
      <c r="AV336" s="0" t="s">
        <v>471</v>
      </c>
      <c r="AW336" s="0" t="s">
        <v>286</v>
      </c>
      <c r="AX336" s="0" t="s">
        <v>785</v>
      </c>
      <c r="AY336" s="0" t="s">
        <v>1728</v>
      </c>
      <c r="AZ336" s="0" t="s">
        <v>1729</v>
      </c>
      <c r="BA336" s="0" t="s">
        <v>285</v>
      </c>
      <c r="BB336" s="0" t="str">
        <f t="shared" si="5"/>
        <v>CCCRNenNsukka</v>
      </c>
    </row>
    <row r="337">
      <c r="AV337" s="0" t="s">
        <v>471</v>
      </c>
      <c r="AW337" s="0" t="s">
        <v>286</v>
      </c>
      <c r="AX337" s="0" t="s">
        <v>785</v>
      </c>
      <c r="AY337" s="0" t="s">
        <v>289</v>
      </c>
      <c r="AZ337" s="0" t="s">
        <v>293</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