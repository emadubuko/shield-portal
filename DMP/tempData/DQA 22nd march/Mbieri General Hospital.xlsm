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<sst xmlns="http://schemas.openxmlformats.org/spreadsheetml/2006/main" count="4056" uniqueCount="4056">
  <si>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</si>
  <si>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</si>
  <si>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</si>
  <si>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</si>
  <si>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</si>
  <si>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</si>
  <si>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</si>
  <si>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</si>
  <si>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</si>
  <si>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</si>
  <si>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</si>
  <si>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</si>
  <si>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</si>
  <si>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</si>
  <si>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</si>
  <si>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</si>
  <si>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</si>
  <si>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</si>
  <si>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</si>
  <si>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</si>
  <si>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</si>
  <si>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</si>
  <si>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</si>
  <si>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</si>
  <si>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</si>
  <si>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</si>
  <si>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</si>
  <si>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</si>
  <si>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</si>
  <si>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</si>
  <si>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</si>
  <si>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</si>
  <si>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</si>
  <si>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</si>
  <si>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</si>
  <si>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</si>
  <si>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</si>
  <si>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</si>
  <si>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</si>
  <si>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</si>
  <si>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</si>
  <si>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</si>
  <si>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</si>
  <si>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</si>
  <si>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</si>
  <si>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</si>
  <si>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</si>
  <si>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</si>
  <si>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</si>
  <si>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</si>
  <si>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</si>
  <si>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</si>
  <si>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</si>
  <si>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</si>
  <si>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</si>
  <si>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</si>
  <si>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</si>
  <si>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</si>
  <si>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</si>
  <si>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</si>
  <si>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</si>
  <si>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</si>
  <si>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</si>
  <si>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</si>
  <si>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</si>
  <si>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</si>
  <si>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</si>
  <si>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</si>
  <si>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</si>
  <si>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</si>
  <si>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</si>
  <si>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</si>
  <si>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</si>
  <si>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</si>
  <si>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</si>
  <si>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</si>
  <si>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</si>
  <si>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</si>
  <si>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</si>
  <si>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</si>
  <si>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</si>
  <si>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</si>
  <si>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</si>
  <si>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</si>
  <si>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</si>
  <si>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</si>
  <si>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</si>
  <si>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</si>
  <si>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</si>
  <si>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</si>
  <si>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</si>
  <si>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</si>
  <si>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</si>
  <si>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</si>
  <si>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</si>
  <si>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</si>
  <si>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</si>
  <si>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</si>
  <si>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</si>
  <si>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</si>
  <si>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</si>
  <si>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</si>
  <si>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</si>
  <si>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</si>
  <si>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</si>
  <si>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</si>
  <si>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</si>
  <si>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</si>
  <si>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</si>
  <si>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</si>
  <si>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</si>
  <si>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</si>
  <si>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</si>
  <si>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</si>
  <si>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</si>
  <si>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</si>
  <si>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</si>
  <si>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</si>
  <si>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</si>
  <si>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</si>
  <si>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</si>
  <si>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</si>
  <si>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</si>
  <si>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</si>
  <si>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</si>
  <si>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</si>
  <si>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</si>
  <si>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</si>
  <si>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</si>
  <si>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</si>
  <si>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</si>
  <si>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</si>
  <si>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</si>
  <si>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</si>
  <si>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</si>
  <si>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</si>
  <si>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</si>
  <si>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</si>
  <si>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</si>
  <si>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</si>
  <si>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</si>
  <si>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</si>
  <si>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</si>
  <si>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</si>
  <si>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</si>
  <si>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</si>
  <si>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</si>
  <si>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</si>
  <si>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</si>
  <si>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</si>
  <si>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</si>
  <si>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</si>
  <si>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</si>
  <si>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</si>
  <si>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</si>
  <si>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</si>
  <si>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</si>
  <si>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</si>
  <si>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</si>
  <si>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</si>
  <si>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</si>
  <si>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</si>
  <si>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</si>
  <si>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</si>
  <si>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</si>
  <si>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</si>
  <si>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</si>
  <si>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</si>
  <si>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</si>
  <si>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</si>
  <si>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</si>
  <si>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</si>
  <si>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</si>
  <si>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</si>
  <si>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</si>
  <si>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</si>
  <si>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</si>
  <si>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</si>
  <si>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</si>
  <si>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</si>
  <si>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</si>
  <si>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</si>
  <si>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</si>
  <si>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</si>
  <si>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</si>
  <si>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</si>
  <si>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</si>
  <si>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</si>
  <si>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</si>
  <si>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</si>
  <si>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</si>
  <si>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</si>
  <si>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</si>
  <si>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</si>
  <si>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</si>
  <si>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</si>
  <si>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</si>
  <si>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</si>
  <si>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</si>
  <si>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</si>
  <si>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</si>
  <si>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</si>
  <si>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</si>
  <si>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</si>
  <si>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</si>
  <si>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</si>
  <si>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</si>
  <si>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</si>
  <si>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</si>
  <si>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</si>
  <si>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</si>
  <si>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</si>
  <si>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</si>
  <si>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</si>
  <si>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</si>
  <si>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</si>
  <si>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</si>
  <si>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</si>
  <si>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</si>
  <si>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</si>
  <si>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</si>
  <si>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</si>
  <si>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</si>
  <si>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</si>
  <si>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</si>
  <si>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</si>
  <si>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</si>
  <si>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</si>
  <si>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</si>
  <si>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</si>
  <si>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</si>
  <si>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</si>
  <si>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</si>
  <si>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</si>
  <si>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</si>
  <si>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</si>
  <si>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</si>
  <si>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</si>
  <si>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</si>
  <si>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</si>
  <si>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</si>
  <si>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</si>
  <si>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</si>
  <si>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</si>
  <si>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</si>
  <si>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</si>
  <si>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</si>
  <si>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</si>
  <si>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</si>
  <si>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</si>
  <si>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</si>
  <si>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</si>
  <si>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</si>
  <si>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</si>
  <si>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</si>
  <si>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</si>
  <si>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</si>
  <si>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</si>
  <si>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</si>
  <si>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</si>
  <si>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</si>
  <si>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</si>
  <si>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</si>
  <si>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</si>
  <si>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</si>
  <si>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</si>
  <si>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</si>
  <si>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</si>
  <si>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</si>
  <si>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</si>
  <si>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</si>
  <si>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</si>
  <si>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</si>
  <si>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</si>
  <si>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</si>
  <si>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</si>
  <si>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</si>
  <si>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</si>
  <si>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</si>
  <si>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</si>
  <si>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</si>
  <si>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</si>
  <si>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</si>
  <si>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</si>
  <si>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</si>
  <si>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</si>
  <si>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</si>
  <si>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Mbatoli</t>
  </si>
  <si>
    <t>Facility Name:</t>
  </si>
  <si>
    <t>Mbieri General Hospital</t>
  </si>
  <si>
    <t>Reporting Period:</t>
  </si>
  <si>
    <t>Q1(Oct - Dec)</t>
  </si>
  <si>
    <t>Facility Code:</t>
  </si>
  <si>
    <t>aMKXrfGkE1q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</si>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</sst>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6</v>
      </c>
      <c r="G8" s="155">
        <f>ROUND(SUM('All Questions'!D31:D35)/5+G12,0)</f>
        <v>16</v>
      </c>
      <c r="H8" s="156">
        <f>ROUND(SUM('All Questions'!D37,'All Questions'!D40)/2+'All Questions'!D26+H12,0)</f>
        <v>8</v>
      </c>
      <c r="I8" s="157">
        <f>ROUND((SUM('All Questions'!E11:E14)/4)+I12,0)</f>
        <v>0</v>
      </c>
      <c r="J8" s="155">
        <f>ROUND(SUM('All Questions'!E15:E21)/7+J12,0)</f>
        <v>0</v>
      </c>
      <c r="K8" s="155">
        <f>ROUND(SUM('All Questions'!E23:E30)/4+K12,0)</f>
        <v>2</v>
      </c>
      <c r="L8" s="155">
        <f>ROUND(SUM('All Questions'!E31:E35)/5+L12,0)</f>
        <v>15</v>
      </c>
      <c r="M8" s="156">
        <f>ROUND(('All Questions'!E37+'All Questions'!E40)/2+'All Questions'!E26+M12,0)</f>
        <v>2</v>
      </c>
      <c r="N8" s="157">
        <f>ROUND((SUM('All Questions'!F11:F14)/4)+N12,0)</f>
        <v>0</v>
      </c>
      <c r="O8" s="155">
        <f>ROUND(SUM('All Questions'!F15:F21)/7+O12,0)</f>
        <v>0</v>
      </c>
      <c r="P8" s="155">
        <f>ROUND(SUM('All Questions'!F23:F30)/4+P12,0)</f>
        <v>0</v>
      </c>
      <c r="Q8" s="155">
        <f>ROUND(SUM('All Questions'!F31:F35)/5+Q12,0)</f>
        <v>11</v>
      </c>
      <c r="R8" s="156">
        <f>ROUND(('All Questions'!F37+'All Questions'!F40)/2+'All Questions'!F26+R12,0)</f>
        <v>4</v>
      </c>
      <c r="S8" s="141">
        <f>'All Questions'!F2</f>
        <v>0</v>
      </c>
      <c r="T8" s="142" t="e">
        <f>(AVERAGE(F8:H8)+AVERAGE(K8:M8)+AVERAGE(P8:R8))/S8</f>
        <v>#DIV/0!</v>
      </c>
      <c r="V8" s="309">
        <f>AVERAGE(F8:H8)+AVERAGE(K8:M8)+AVERAGE(P8:R8)</f>
        <v>21.333333333333332</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5</v>
      </c>
      <c r="H10" s="162">
        <f>ROUND(('All Questions'!D37+'All Questions'!D40)/2+'All Questions'!D26,0)</f>
        <v>0</v>
      </c>
      <c r="I10" s="163">
        <f>ROUND((SUM('All Questions'!E11:E14)/4),0)</f>
        <v>0</v>
      </c>
      <c r="J10" s="164">
        <f>ROUND(SUM('All Questions'!E15:E21)/7,0)</f>
        <v>0</v>
      </c>
      <c r="K10" s="164">
        <f>ROUND(SUM('All Questions'!E23:E30)/4,0)</f>
        <v>0</v>
      </c>
      <c r="L10" s="164">
        <f>ROUND(SUM('All Questions'!E31:E35)/5,0)</f>
        <v>11</v>
      </c>
      <c r="M10" s="165">
        <f>ROUND(('All Questions'!E37+'All Questions'!E40)/2+'All Questions'!E26,0)</f>
        <v>0</v>
      </c>
      <c r="N10" s="166">
        <f>ROUND((SUM('All Questions'!F11:F14)/4),0)</f>
        <v>0</v>
      </c>
      <c r="O10" s="164">
        <f>ROUND(SUM('All Questions'!F15:F21)/7,0)</f>
        <v>0</v>
      </c>
      <c r="P10" s="164">
        <f>ROUND(SUM('All Questions'!F23:F30)/4,0)</f>
        <v>0</v>
      </c>
      <c r="Q10" s="164">
        <f>ROUND(SUM('All Questions'!F31:F35)/5,0)</f>
        <v>5</v>
      </c>
      <c r="R10" s="165">
        <f>ROUND(('All Questions'!F37+'All Questions'!F40)/2+'All Questions'!F26,0)</f>
        <v>0</v>
      </c>
      <c r="S10" s="141">
        <f>'All Questions'!F4</f>
        <v>0</v>
      </c>
      <c r="T10" s="143" t="e">
        <f>(AVERAGE(F10:H10)+AVERAGE(K10:M10)+AVERAGE(P10:R10))/S10</f>
        <v>#DIV/0!</v>
      </c>
      <c r="V10" s="309">
        <f>AVERAGE(F10:H10)+AVERAGE(K10:M10)+AVERAGE(P10:R10)</f>
        <v>7</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6</v>
      </c>
      <c r="G12" s="173">
        <f>ROUND(SUM('All Questions'!D73:D80)/4,0)</f>
        <v>11</v>
      </c>
      <c r="H12" s="174">
        <f>ROUND(SUM('All Questions'!D82:D83)/2,0)</f>
        <v>8</v>
      </c>
      <c r="I12" s="175">
        <f>ROUND(SUM('All Questions'!E54:E58)+'All Questions'!E71/4,0)</f>
        <v>0</v>
      </c>
      <c r="J12" s="176">
        <f>ROUND(SUM('All Questions'!E60:E63)/4,0)</f>
        <v>0</v>
      </c>
      <c r="K12" s="176">
        <f>ROUND(SUM('All Questions'!E67:E72)/3,0)</f>
        <v>2</v>
      </c>
      <c r="L12" s="176">
        <f>ROUND(SUM('All Questions'!E73:E80)/4,0)</f>
        <v>4</v>
      </c>
      <c r="M12" s="177">
        <f>ROUND(SUM('All Questions'!E82:E83)/2,0)</f>
        <v>2</v>
      </c>
      <c r="N12" s="178">
        <f>ROUND(SUM('All Questions'!F54:F58)+'All Questions'!F71/4,0)</f>
        <v>0</v>
      </c>
      <c r="O12" s="176">
        <f>ROUND(SUM('All Questions'!F60:F63)/4,0)</f>
        <v>0</v>
      </c>
      <c r="P12" s="176">
        <f>ROUND(SUM('All Questions'!F67:F72)/3,0)</f>
        <v>0</v>
      </c>
      <c r="Q12" s="176">
        <f>ROUND(SUM('All Questions'!F73:F80)/4,0)</f>
        <v>6</v>
      </c>
      <c r="R12" s="177">
        <f>ROUND(SUM('All Questions'!F82:F83)/2,0)</f>
        <v>4</v>
      </c>
      <c r="S12" s="145">
        <f>'All Questions'!F46</f>
        <v>0</v>
      </c>
      <c r="T12" s="146" t="e">
        <f ref="T12:T15" t="shared" si="1">(AVERAGE(F12:H12)+AVERAGE(K12:M12)+AVERAGE(P12:R12))/S12</f>
        <v>#DIV/0!</v>
      </c>
      <c r="V12" s="309">
        <f>AVERAGE(F12:H12)+AVERAGE(K12:M12)+AVERAGE(P12:R12)</f>
        <v>14.333333333333334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2</v>
      </c>
      <c r="G14" s="179">
        <f>ROUND(SUM('All Questions'!D74,'All Questions'!D76,'All Questions'!D78,'All Questions'!D80)/4,0)</f>
        <v>2</v>
      </c>
      <c r="H14" s="180">
        <f>ROUND(SUM('All Questions'!D88:D89)/2,0)</f>
        <v>1</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1.6666666666666667</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1</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1</v>
      </c>
      <c r="R15" s="165">
        <f>ROUND(SUM('All Questions'!F135,'All Questions'!F138),0)</f>
        <v>0</v>
      </c>
      <c r="S15" s="148">
        <f>'All Questions'!F117</f>
        <v>0</v>
      </c>
      <c r="T15" s="147" t="e">
        <f t="shared" si="1"/>
        <v>#DIV/0!</v>
      </c>
      <c r="V15" s="309">
        <f ref="V15:V17" t="shared" si="2">AVERAGE(F15:H15)+AVERAGE(K15:M15)+AVERAGE(P15:R15)</f>
        <v>0.66666666666666663</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3</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1</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9</v>
      </c>
      <c r="G17" s="155">
        <f>ROUND(SUM('All Questions'!D155:D158)/4,0)</f>
        <v>8</v>
      </c>
      <c r="H17" s="197">
        <f>ROUND(SUM('All Questions'!D160,'All Questions'!D163)/2,0)</f>
        <v>9</v>
      </c>
      <c r="I17" s="198">
        <f>ROUND(SUM('All Questions'!E145:E146)/2,0)</f>
        <v>0</v>
      </c>
      <c r="J17" s="199">
        <f>ROUND(SUM('All Questions'!E147:E150)/4,0)</f>
        <v>0</v>
      </c>
      <c r="K17" s="199">
        <f>ROUND(SUM('All Questions'!E151:E154)/2,0)</f>
        <v>9</v>
      </c>
      <c r="L17" s="199">
        <f>ROUND(SUM('All Questions'!E155:E158)/4,0)</f>
        <v>9</v>
      </c>
      <c r="M17" s="197">
        <f>ROUND(SUM('All Questions'!E160,'All Questions'!E163)/2,0)</f>
        <v>9</v>
      </c>
      <c r="N17" s="200">
        <f>ROUND(SUM('All Questions'!F145:F146)/2,0)</f>
        <v>0</v>
      </c>
      <c r="O17" s="199">
        <f>ROUND(SUM('All Questions'!F147:F150)/4,0)</f>
        <v>0</v>
      </c>
      <c r="P17" s="199">
        <f>ROUND(SUM('All Questions'!F151:F154)/2,0)</f>
        <v>8</v>
      </c>
      <c r="Q17" s="199">
        <f>ROUND(SUM('All Questions'!F155:F158)/4,0)</f>
        <v>8</v>
      </c>
      <c r="R17" s="199">
        <f>ROUND(SUM('All Questions'!F160,'All Questions'!F163)/2,0)</f>
        <v>8</v>
      </c>
      <c r="S17" s="151">
        <f>'All Questions'!F141</f>
        <v>0</v>
      </c>
      <c r="T17" s="142" t="e">
        <f>(AVERAGE(F17:H17)+AVERAGE(K17:M17)+AVERAGE(P17:R17))/S17</f>
        <v>#DIV/0!</v>
      </c>
      <c r="V17" s="309">
        <f t="shared" si="2"/>
        <v>25.666666666666664</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155</v>
      </c>
      <c r="Q18" s="204">
        <f>ROUND(SUM('All Questions'!F186:F189)/4,0)</f>
        <v>78</v>
      </c>
      <c r="R18" s="303">
        <f>ROUND(('All Questions'!F191-('All Questions'!F194+'All Questions'!F197+'All Questions'!F200)),0)</f>
        <v>323</v>
      </c>
      <c r="S18" s="152">
        <f>'All Questions'!F166</f>
        <v>0</v>
      </c>
      <c r="T18" s="144" t="e">
        <f>AVERAGE(P18:R18)/S18</f>
        <v>#DIV/0!</v>
      </c>
      <c r="V18" s="309">
        <f>AVERAGE(P18:R18)</f>
        <v>185.33333333333334</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19</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23</v>
      </c>
      <c r="E35" s="301">
        <v>53</v>
      </c>
      <c r="F35" s="301">
        <v>27</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0</v>
      </c>
      <c r="G37" s="207" t="s">
        <v>67</v>
      </c>
    </row>
    <row r="38" hidden="1" ht="45" customHeight="1">
      <c r="A38" s="226"/>
      <c r="B38" s="238">
        <v>1153</v>
      </c>
      <c r="C38" s="242" t="s">
        <v>111</v>
      </c>
      <c r="D38" s="301">
        <v>23</v>
      </c>
      <c r="E38" s="301">
        <v>51</v>
      </c>
      <c r="F38" s="301">
        <v>27</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15</v>
      </c>
      <c r="E44" s="301">
        <v>6</v>
      </c>
      <c r="F44" s="301">
        <v>7</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21</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115</v>
      </c>
      <c r="E53" s="301">
        <v>16</v>
      </c>
      <c r="F53" s="301">
        <v>116</v>
      </c>
      <c r="G53" s="207" t="s">
        <v>117</v>
      </c>
    </row>
    <row r="54" hidden="1" ht="45" customHeight="1">
      <c r="A54" s="226"/>
      <c r="B54" s="238">
        <v>1214</v>
      </c>
      <c r="C54" s="264" t="s">
        <v>132</v>
      </c>
      <c r="D54" s="301">
        <v>15</v>
      </c>
      <c r="E54" s="301">
        <v>6</v>
      </c>
      <c r="F54" s="301">
        <v>16</v>
      </c>
      <c r="G54" s="207" t="s">
        <v>117</v>
      </c>
    </row>
    <row r="55" hidden="1" ht="45" customHeight="1">
      <c r="A55" s="226"/>
      <c r="B55" s="238">
        <v>1215</v>
      </c>
      <c r="C55" s="242" t="s">
        <v>133</v>
      </c>
      <c r="D55" s="301">
        <v>115</v>
      </c>
      <c r="E55" s="301">
        <v>16</v>
      </c>
      <c r="F55" s="301">
        <v>116</v>
      </c>
      <c r="G55" s="207" t="s">
        <v>117</v>
      </c>
    </row>
    <row r="56" hidden="1" ht="45" customHeight="1">
      <c r="A56" s="226"/>
      <c r="B56" s="238">
        <v>1216</v>
      </c>
      <c r="C56" s="243" t="s">
        <v>134</v>
      </c>
      <c r="D56" s="301">
        <v>15</v>
      </c>
      <c r="E56" s="301">
        <v>6</v>
      </c>
      <c r="F56" s="301">
        <v>16</v>
      </c>
      <c r="G56" s="207" t="s">
        <v>117</v>
      </c>
    </row>
    <row r="57" hidden="1" ht="45" customHeight="1">
      <c r="A57" s="226"/>
      <c r="B57" s="238">
        <v>1217</v>
      </c>
      <c r="C57" s="243" t="s">
        <v>135</v>
      </c>
      <c r="D57" s="301">
        <v>2</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15</v>
      </c>
      <c r="E59" s="301">
        <v>6</v>
      </c>
      <c r="F59" s="301">
        <v>16</v>
      </c>
      <c r="G59" s="207" t="s">
        <v>117</v>
      </c>
    </row>
    <row r="60" hidden="1" ht="45" customHeight="1">
      <c r="A60" s="226"/>
      <c r="B60" s="238">
        <v>1222</v>
      </c>
      <c r="C60" s="264" t="s">
        <v>138</v>
      </c>
      <c r="D60" s="301">
        <v>2</v>
      </c>
      <c r="E60" s="301">
        <v>0</v>
      </c>
      <c r="F60" s="301">
        <v>0</v>
      </c>
      <c r="G60" s="207" t="s">
        <v>117</v>
      </c>
    </row>
    <row r="61" hidden="1" ht="45" customHeight="1">
      <c r="A61" s="226"/>
      <c r="B61" s="238">
        <v>1223</v>
      </c>
      <c r="C61" s="264" t="s">
        <v>139</v>
      </c>
      <c r="D61" s="301">
        <v>13</v>
      </c>
      <c r="E61" s="301">
        <v>6</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2</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15</v>
      </c>
      <c r="E67" s="301">
        <v>6</v>
      </c>
      <c r="F67" s="301">
        <v>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2</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13</v>
      </c>
      <c r="E73" s="301">
        <v>6</v>
      </c>
      <c r="F73" s="301">
        <v>16</v>
      </c>
      <c r="G73" s="207" t="s">
        <v>117</v>
      </c>
    </row>
    <row r="74" hidden="1" ht="45" customHeight="1">
      <c r="A74" s="226"/>
      <c r="B74" s="238">
        <v>1242</v>
      </c>
      <c r="C74" s="242" t="s">
        <v>152</v>
      </c>
      <c r="D74" s="301">
        <v>2</v>
      </c>
      <c r="E74" s="301">
        <v>0</v>
      </c>
      <c r="F74" s="301">
        <v>0</v>
      </c>
      <c r="G74" s="207" t="s">
        <v>117</v>
      </c>
    </row>
    <row r="75" hidden="1" ht="45" customHeight="1">
      <c r="A75" s="226"/>
      <c r="B75" s="238">
        <v>1243</v>
      </c>
      <c r="C75" s="243" t="s">
        <v>153</v>
      </c>
      <c r="D75" s="301">
        <v>13</v>
      </c>
      <c r="E75" s="301">
        <v>6</v>
      </c>
      <c r="F75" s="301">
        <v>0</v>
      </c>
      <c r="G75" s="207" t="s">
        <v>117</v>
      </c>
    </row>
    <row r="76" hidden="1" ht="45" customHeight="1">
      <c r="A76" s="226"/>
      <c r="B76" s="238">
        <v>1244</v>
      </c>
      <c r="C76" s="243" t="s">
        <v>154</v>
      </c>
      <c r="D76" s="301">
        <v>2</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13</v>
      </c>
      <c r="E79" s="301">
        <v>4</v>
      </c>
      <c r="F79" s="301">
        <v>7</v>
      </c>
      <c r="G79" s="207" t="s">
        <v>117</v>
      </c>
    </row>
    <row r="80" hidden="1" ht="45" customHeight="1">
      <c r="A80" s="226"/>
      <c r="B80" s="238">
        <v>1248</v>
      </c>
      <c r="C80" s="242" t="s">
        <v>158</v>
      </c>
      <c r="D80" s="301">
        <v>2</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8</v>
      </c>
      <c r="E82" s="301">
        <v>0</v>
      </c>
      <c r="F82" s="301">
        <v>0</v>
      </c>
      <c r="G82" s="207" t="s">
        <v>117</v>
      </c>
    </row>
    <row r="83" hidden="1" ht="45" customHeight="1">
      <c r="A83" s="226"/>
      <c r="B83" s="238">
        <v>1253</v>
      </c>
      <c r="C83" s="242" t="s">
        <v>161</v>
      </c>
      <c r="D83" s="301">
        <v>8</v>
      </c>
      <c r="E83" s="301">
        <v>4</v>
      </c>
      <c r="F83" s="301">
        <v>7</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2</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2</v>
      </c>
      <c r="E97" s="301">
        <v>0</v>
      </c>
      <c r="F97" s="301">
        <v>0</v>
      </c>
      <c r="G97" s="266" t="s">
        <v>168</v>
      </c>
    </row>
    <row r="98" ht="45" customHeight="1" s="270" customFormat="1">
      <c r="A98" s="226"/>
      <c r="B98" s="238">
        <v>1322</v>
      </c>
      <c r="C98" s="242" t="s">
        <v>177</v>
      </c>
      <c r="D98" s="301">
        <v>2</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2</v>
      </c>
      <c r="E101" s="301">
        <v>0</v>
      </c>
      <c r="F101" s="301">
        <v>0</v>
      </c>
      <c r="G101" s="266" t="s">
        <v>168</v>
      </c>
    </row>
    <row r="102" ht="45" customHeight="1" s="270" customFormat="1">
      <c r="A102" s="226"/>
      <c r="B102" s="238">
        <v>1332</v>
      </c>
      <c r="C102" s="242" t="s">
        <v>181</v>
      </c>
      <c r="D102" s="301">
        <v>2</v>
      </c>
      <c r="E102" s="301">
        <v>0</v>
      </c>
      <c r="F102" s="301">
        <v>0</v>
      </c>
      <c r="G102" s="266" t="s">
        <v>168</v>
      </c>
    </row>
    <row r="103" ht="45" customHeight="1" s="270" customFormat="1">
      <c r="A103" s="226"/>
      <c r="B103" s="238">
        <v>1333</v>
      </c>
      <c r="C103" s="242" t="s">
        <v>182</v>
      </c>
      <c r="D103" s="301">
        <v>2</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1</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1</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1</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2</v>
      </c>
      <c r="F120" s="301">
        <v>3</v>
      </c>
      <c r="G120" s="207" t="s">
        <v>194</v>
      </c>
    </row>
    <row r="121" hidden="1" ht="45" customHeight="1" s="270" customFormat="1">
      <c r="A121" s="226"/>
      <c r="B121" s="238">
        <v>1422</v>
      </c>
      <c r="C121" s="242" t="s">
        <v>199</v>
      </c>
      <c r="D121" s="301">
        <v>0</v>
      </c>
      <c r="E121" s="301">
        <v>2</v>
      </c>
      <c r="F121" s="301">
        <v>3</v>
      </c>
      <c r="G121" s="207" t="s">
        <v>194</v>
      </c>
    </row>
    <row r="122" hidden="1" ht="45" customHeight="1" s="270" customFormat="1">
      <c r="A122" s="226"/>
      <c r="B122" s="238">
        <v>1423</v>
      </c>
      <c r="C122" s="242" t="s">
        <v>200</v>
      </c>
      <c r="D122" s="301">
        <v>0</v>
      </c>
      <c r="E122" s="301">
        <v>2</v>
      </c>
      <c r="F122" s="301">
        <v>3</v>
      </c>
      <c r="G122" s="207" t="s">
        <v>194</v>
      </c>
    </row>
    <row r="123" hidden="1" ht="45" customHeight="1" s="270" customFormat="1">
      <c r="A123" s="226"/>
      <c r="B123" s="238">
        <v>1424</v>
      </c>
      <c r="C123" s="242" t="s">
        <v>201</v>
      </c>
      <c r="D123" s="301">
        <v>0</v>
      </c>
      <c r="E123" s="301">
        <v>2</v>
      </c>
      <c r="F123" s="301">
        <v>2</v>
      </c>
      <c r="G123" s="207" t="s">
        <v>194</v>
      </c>
    </row>
    <row r="124" hidden="1" ht="45" customHeight="1" s="270" customFormat="1">
      <c r="A124" s="226"/>
      <c r="B124" s="238">
        <v>1425</v>
      </c>
      <c r="C124" s="242" t="s">
        <v>202</v>
      </c>
      <c r="D124" s="301">
        <v>0</v>
      </c>
      <c r="E124" s="301">
        <v>0</v>
      </c>
      <c r="F124" s="301">
        <v>2</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1</v>
      </c>
      <c r="G129" s="207" t="s">
        <v>194</v>
      </c>
    </row>
    <row r="130" hidden="1" ht="45" customHeight="1" s="270" customFormat="1">
      <c r="A130" s="226"/>
      <c r="B130" s="238">
        <v>1435</v>
      </c>
      <c r="C130" s="242" t="s">
        <v>209</v>
      </c>
      <c r="D130" s="301">
        <v>0</v>
      </c>
      <c r="E130" s="301">
        <v>0</v>
      </c>
      <c r="F130" s="301">
        <v>2</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2</v>
      </c>
      <c r="F132" s="271">
        <f>F120</f>
        <v>3</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29</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210</v>
      </c>
      <c r="E144" s="301">
        <v>111</v>
      </c>
      <c r="F144" s="301">
        <v>18</v>
      </c>
      <c r="G144" s="207" t="s">
        <v>219</v>
      </c>
    </row>
    <row r="145" hidden="1" ht="45" customHeight="1">
      <c r="A145" s="226"/>
      <c r="B145" s="238">
        <v>1514</v>
      </c>
      <c r="C145" s="264" t="s">
        <v>225</v>
      </c>
      <c r="D145" s="301">
        <v>7</v>
      </c>
      <c r="E145" s="301">
        <v>5</v>
      </c>
      <c r="F145" s="301">
        <v>6</v>
      </c>
      <c r="G145" s="207" t="s">
        <v>219</v>
      </c>
    </row>
    <row r="146" hidden="1" ht="45" customHeight="1">
      <c r="A146" s="226">
        <v>1541</v>
      </c>
      <c r="B146" s="238">
        <v>1515</v>
      </c>
      <c r="C146" s="264" t="s">
        <v>226</v>
      </c>
      <c r="D146" s="301">
        <v>8</v>
      </c>
      <c r="E146" s="301">
        <v>6</v>
      </c>
      <c r="F146" s="301">
        <v>6</v>
      </c>
      <c r="G146" s="207" t="s">
        <v>219</v>
      </c>
    </row>
    <row r="147" hidden="1" ht="45" customHeight="1">
      <c r="A147" s="226"/>
      <c r="B147" s="238">
        <v>1521</v>
      </c>
      <c r="C147" s="264" t="s">
        <v>227</v>
      </c>
      <c r="D147" s="301">
        <v>8</v>
      </c>
      <c r="E147" s="301">
        <v>6</v>
      </c>
      <c r="F147" s="301">
        <v>6</v>
      </c>
      <c r="G147" s="207" t="s">
        <v>219</v>
      </c>
    </row>
    <row r="148" hidden="1" ht="45" customHeight="1">
      <c r="A148" s="226"/>
      <c r="B148" s="238">
        <v>1522</v>
      </c>
      <c r="C148" s="264" t="s">
        <v>228</v>
      </c>
      <c r="D148" s="301">
        <v>8</v>
      </c>
      <c r="E148" s="301">
        <v>6</v>
      </c>
      <c r="F148" s="301">
        <v>6</v>
      </c>
      <c r="G148" s="207" t="s">
        <v>219</v>
      </c>
    </row>
    <row r="149" hidden="1" ht="45" customHeight="1">
      <c r="A149" s="226"/>
      <c r="B149" s="238">
        <v>1523</v>
      </c>
      <c r="C149" s="264" t="s">
        <v>229</v>
      </c>
      <c r="D149" s="301">
        <v>7</v>
      </c>
      <c r="E149" s="301">
        <v>3</v>
      </c>
      <c r="F149" s="301">
        <v>6</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1</v>
      </c>
      <c r="E151" s="301">
        <v>4</v>
      </c>
      <c r="F151" s="301">
        <v>3</v>
      </c>
      <c r="G151" s="207" t="s">
        <v>219</v>
      </c>
    </row>
    <row r="152" hidden="1" ht="45" customHeight="1">
      <c r="A152" s="226"/>
      <c r="B152" s="238">
        <v>1532</v>
      </c>
      <c r="C152" s="242" t="s">
        <v>232</v>
      </c>
      <c r="D152" s="301">
        <v>9</v>
      </c>
      <c r="E152" s="301">
        <v>7</v>
      </c>
      <c r="F152" s="301">
        <v>5</v>
      </c>
      <c r="G152" s="207" t="s">
        <v>219</v>
      </c>
    </row>
    <row r="153" hidden="1" ht="45" customHeight="1">
      <c r="A153" s="226"/>
      <c r="B153" s="238">
        <v>1533</v>
      </c>
      <c r="C153" s="242" t="s">
        <v>233</v>
      </c>
      <c r="D153" s="301">
        <v>8</v>
      </c>
      <c r="E153" s="301">
        <v>7</v>
      </c>
      <c r="F153" s="301">
        <v>8</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7</v>
      </c>
      <c r="E155" s="301">
        <v>7</v>
      </c>
      <c r="F155" s="301">
        <v>6</v>
      </c>
      <c r="G155" s="207" t="s">
        <v>219</v>
      </c>
    </row>
    <row r="156" hidden="1" ht="45" customHeight="1">
      <c r="A156" s="226"/>
      <c r="B156" s="238">
        <v>1542</v>
      </c>
      <c r="C156" s="264" t="s">
        <v>236</v>
      </c>
      <c r="D156" s="301">
        <v>10</v>
      </c>
      <c r="E156" s="301">
        <v>11</v>
      </c>
      <c r="F156" s="301">
        <v>8</v>
      </c>
      <c r="G156" s="207" t="s">
        <v>219</v>
      </c>
    </row>
    <row r="157" hidden="1" ht="45" customHeight="1">
      <c r="A157" s="226"/>
      <c r="B157" s="238">
        <v>1543</v>
      </c>
      <c r="C157" s="264" t="s">
        <v>237</v>
      </c>
      <c r="D157" s="301">
        <v>8</v>
      </c>
      <c r="E157" s="301">
        <v>7</v>
      </c>
      <c r="F157" s="301">
        <v>8</v>
      </c>
      <c r="G157" s="207" t="s">
        <v>219</v>
      </c>
    </row>
    <row r="158" hidden="1" ht="45" customHeight="1">
      <c r="A158" s="226"/>
      <c r="B158" s="238">
        <v>1544</v>
      </c>
      <c r="C158" s="242" t="s">
        <v>238</v>
      </c>
      <c r="D158" s="301">
        <v>6</v>
      </c>
      <c r="E158" s="301">
        <v>10</v>
      </c>
      <c r="F158" s="301">
        <v>9</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8</v>
      </c>
      <c r="E160" s="301">
        <v>7</v>
      </c>
      <c r="F160" s="301">
        <v>8</v>
      </c>
      <c r="G160" s="207" t="s">
        <v>219</v>
      </c>
    </row>
    <row r="161" hidden="1" ht="45" customHeight="1">
      <c r="A161" s="226"/>
      <c r="B161" s="238">
        <v>1553</v>
      </c>
      <c r="C161" s="242" t="s">
        <v>241</v>
      </c>
      <c r="D161" s="301">
        <v>6</v>
      </c>
      <c r="E161" s="301">
        <v>10</v>
      </c>
      <c r="F161" s="301">
        <v>9</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10</v>
      </c>
      <c r="E163" s="301">
        <v>11</v>
      </c>
      <c r="F163" s="301">
        <v>8</v>
      </c>
      <c r="G163" s="207" t="s">
        <v>219</v>
      </c>
    </row>
    <row r="164" hidden="1" ht="45" customHeight="1">
      <c r="A164" s="226"/>
      <c r="B164" s="238">
        <v>1556</v>
      </c>
      <c r="C164" s="242" t="s">
        <v>241</v>
      </c>
      <c r="D164" s="301">
        <v>6</v>
      </c>
      <c r="E164" s="301">
        <v>10</v>
      </c>
      <c r="F164" s="301">
        <v>9</v>
      </c>
      <c r="G164" s="207" t="s">
        <v>219</v>
      </c>
    </row>
    <row r="165" hidden="1" ht="45" customHeight="1">
      <c r="A165" s="226"/>
      <c r="C165" s="278"/>
      <c r="D165" s="279"/>
      <c r="G165" s="207"/>
    </row>
    <row r="166" hidden="1" ht="45" customHeight="1">
      <c r="A166" s="226"/>
      <c r="B166" s="281" t="s">
        <v>244</v>
      </c>
      <c r="C166" s="260" t="s">
        <v>245</v>
      </c>
      <c r="D166" s="228"/>
      <c r="E166" s="231"/>
      <c r="F166" s="300">
        <v>382</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210</v>
      </c>
      <c r="E171" s="301">
        <v>111</v>
      </c>
      <c r="F171" s="301">
        <v>18</v>
      </c>
      <c r="G171" s="207" t="s">
        <v>244</v>
      </c>
    </row>
    <row r="172" hidden="1" ht="45" customHeight="1">
      <c r="A172" s="226"/>
      <c r="B172" s="238">
        <v>1614</v>
      </c>
      <c r="C172" s="283" t="s">
        <v>251</v>
      </c>
      <c r="D172" s="301">
        <v>6</v>
      </c>
      <c r="E172" s="301">
        <v>8</v>
      </c>
      <c r="F172" s="301">
        <v>5</v>
      </c>
      <c r="G172" s="207" t="s">
        <v>244</v>
      </c>
    </row>
    <row r="173" hidden="1" ht="45" customHeight="1">
      <c r="A173" s="226"/>
      <c r="B173" s="238">
        <v>1615</v>
      </c>
      <c r="C173" s="242" t="s">
        <v>252</v>
      </c>
      <c r="D173" s="301">
        <v>14154</v>
      </c>
      <c r="E173" s="301">
        <v>16182</v>
      </c>
      <c r="F173" s="301">
        <v>10122</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154</v>
      </c>
      <c r="E175" s="301">
        <v>182</v>
      </c>
      <c r="F175" s="301">
        <v>122</v>
      </c>
      <c r="G175" s="207" t="s">
        <v>244</v>
      </c>
    </row>
    <row r="176" hidden="1" ht="45" customHeight="1">
      <c r="A176" s="226"/>
      <c r="B176" s="238">
        <v>1622</v>
      </c>
      <c r="C176" s="242" t="s">
        <v>255</v>
      </c>
      <c r="D176" s="301">
        <v>91</v>
      </c>
      <c r="E176" s="301">
        <v>146</v>
      </c>
      <c r="F176" s="301">
        <v>142</v>
      </c>
      <c r="G176" s="207" t="s">
        <v>244</v>
      </c>
    </row>
    <row r="177" hidden="1" ht="45" customHeight="1">
      <c r="A177" s="226"/>
      <c r="B177" s="238">
        <v>1623</v>
      </c>
      <c r="C177" s="242" t="s">
        <v>256</v>
      </c>
      <c r="D177" s="301">
        <v>150</v>
      </c>
      <c r="E177" s="301">
        <v>177</v>
      </c>
      <c r="F177" s="301">
        <v>167</v>
      </c>
      <c r="G177" s="207" t="s">
        <v>244</v>
      </c>
    </row>
    <row r="178" hidden="1" ht="45" customHeight="1">
      <c r="A178" s="226"/>
      <c r="B178" s="238">
        <v>1624</v>
      </c>
      <c r="C178" s="242" t="s">
        <v>257</v>
      </c>
      <c r="D178" s="301">
        <v>6</v>
      </c>
      <c r="E178" s="301">
        <v>8</v>
      </c>
      <c r="F178" s="301">
        <v>5</v>
      </c>
      <c r="G178" s="207" t="s">
        <v>244</v>
      </c>
    </row>
    <row r="179" hidden="1" ht="45" customHeight="1">
      <c r="A179" s="226"/>
      <c r="B179" s="238">
        <v>1625</v>
      </c>
      <c r="C179" s="242" t="s">
        <v>258</v>
      </c>
      <c r="D179" s="301">
        <v>363</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351</v>
      </c>
      <c r="E183" s="301">
        <v>237</v>
      </c>
      <c r="F183" s="301">
        <v>351</v>
      </c>
      <c r="G183" s="207" t="s">
        <v>244</v>
      </c>
    </row>
    <row r="184" hidden="1" ht="45" customHeight="1">
      <c r="A184" s="226"/>
      <c r="B184" s="238">
        <v>1634</v>
      </c>
      <c r="C184" s="242" t="s">
        <v>263</v>
      </c>
      <c r="D184" s="301">
        <v>12</v>
      </c>
      <c r="E184" s="301">
        <v>10</v>
      </c>
      <c r="F184" s="301">
        <v>8</v>
      </c>
      <c r="G184" s="207" t="s">
        <v>244</v>
      </c>
    </row>
    <row r="185" hidden="1" ht="45" customHeight="1">
      <c r="A185" s="226"/>
      <c r="B185" s="238">
        <v>1635</v>
      </c>
      <c r="C185" s="242" t="s">
        <v>264</v>
      </c>
      <c r="D185" s="301">
        <v>143</v>
      </c>
      <c r="E185" s="301">
        <v>171</v>
      </c>
      <c r="F185" s="301">
        <v>107</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143</v>
      </c>
      <c r="E187" s="301">
        <v>171</v>
      </c>
      <c r="F187" s="301">
        <v>107</v>
      </c>
      <c r="G187" s="207" t="s">
        <v>244</v>
      </c>
    </row>
    <row r="188" hidden="1" ht="45" customHeight="1">
      <c r="A188" s="226"/>
      <c r="B188" s="238">
        <v>1643</v>
      </c>
      <c r="C188" s="242" t="s">
        <v>266</v>
      </c>
      <c r="D188" s="301">
        <v>143</v>
      </c>
      <c r="E188" s="301">
        <v>171</v>
      </c>
      <c r="F188" s="301">
        <v>107</v>
      </c>
      <c r="G188" s="207" t="s">
        <v>244</v>
      </c>
    </row>
    <row r="189" hidden="1" ht="45" customHeight="1">
      <c r="A189" s="226"/>
      <c r="B189" s="238">
        <v>1644</v>
      </c>
      <c r="C189" s="242" t="s">
        <v>267</v>
      </c>
      <c r="D189" s="301">
        <v>142</v>
      </c>
      <c r="E189" s="301">
        <v>187</v>
      </c>
      <c r="F189" s="301">
        <v>98</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311</v>
      </c>
      <c r="E191" s="301">
        <v>318</v>
      </c>
      <c r="F191" s="301">
        <v>323</v>
      </c>
      <c r="G191" s="207" t="s">
        <v>244</v>
      </c>
    </row>
    <row r="192" hidden="1" ht="45" customHeight="1">
      <c r="A192" s="226"/>
      <c r="B192" s="238">
        <v>1653</v>
      </c>
      <c r="C192" s="242" t="s">
        <v>270</v>
      </c>
      <c r="D192" s="301">
        <v>482</v>
      </c>
      <c r="E192" s="301">
        <v>657</v>
      </c>
      <c r="F192" s="301">
        <v>728</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1</v>
      </c>
      <c r="F195" s="301">
        <v>1</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2</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286</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401</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286</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401</v>
      </c>
      <c r="AX282" s="0" t="s">
        <v>447</v>
      </c>
      <c r="AY282" s="0" t="s">
        <v>1620</v>
      </c>
      <c r="AZ282" s="0" t="s">
        <v>1621</v>
      </c>
      <c r="BA282" s="0" t="s">
        <v>285</v>
      </c>
      <c r="BB282" s="0" t="str">
        <f t="shared" si="4"/>
        <v>CCCRNenEnuguEast</v>
      </c>
    </row>
    <row r="283">
      <c r="E283" s="0" t="s">
        <v>661</v>
      </c>
      <c r="AV283" s="0" t="s">
        <v>471</v>
      </c>
      <c r="AW283" s="0" t="s">
        <v>401</v>
      </c>
      <c r="AX283" s="0" t="s">
        <v>447</v>
      </c>
      <c r="AY283" s="0" t="s">
        <v>1622</v>
      </c>
      <c r="AZ283" s="0" t="s">
        <v>1623</v>
      </c>
      <c r="BA283" s="0" t="s">
        <v>285</v>
      </c>
      <c r="BB283" s="0" t="str">
        <f t="shared" si="4"/>
        <v>CCCRNenEnuguEast</v>
      </c>
    </row>
    <row r="284">
      <c r="E284" s="0" t="s">
        <v>697</v>
      </c>
      <c r="AV284" s="0" t="s">
        <v>471</v>
      </c>
      <c r="AW284" s="0" t="s">
        <v>401</v>
      </c>
      <c r="AX284" s="0" t="s">
        <v>447</v>
      </c>
      <c r="AY284" s="0" t="s">
        <v>1624</v>
      </c>
      <c r="AZ284" s="0" t="s">
        <v>1625</v>
      </c>
      <c r="BA284" s="0" t="s">
        <v>285</v>
      </c>
      <c r="BB284" s="0" t="str">
        <f t="shared" si="4"/>
        <v>CCCRNenEnuguEast</v>
      </c>
    </row>
    <row r="285">
      <c r="E285" s="0" t="s">
        <v>545</v>
      </c>
      <c r="AV285" s="0" t="s">
        <v>471</v>
      </c>
      <c r="AW285" s="0" t="s">
        <v>401</v>
      </c>
      <c r="AX285" s="0" t="s">
        <v>447</v>
      </c>
      <c r="AY285" s="0" t="s">
        <v>1626</v>
      </c>
      <c r="AZ285" s="0" t="s">
        <v>1627</v>
      </c>
      <c r="BA285" s="0" t="s">
        <v>285</v>
      </c>
      <c r="BB285" s="0" t="str">
        <f t="shared" si="4"/>
        <v>CCCRNenEnuguEast</v>
      </c>
    </row>
    <row r="286">
      <c r="E286" s="0" t="s">
        <v>584</v>
      </c>
      <c r="AV286" s="0" t="s">
        <v>471</v>
      </c>
      <c r="AW286" s="0" t="s">
        <v>401</v>
      </c>
      <c r="AX286" s="0" t="s">
        <v>447</v>
      </c>
      <c r="AY286" s="0" t="s">
        <v>1628</v>
      </c>
      <c r="AZ286" s="0" t="s">
        <v>1629</v>
      </c>
      <c r="BA286" s="0" t="s">
        <v>285</v>
      </c>
      <c r="BB286" s="0" t="str">
        <f t="shared" si="4"/>
        <v>CCCRNenEnuguEast</v>
      </c>
    </row>
    <row r="287">
      <c r="E287" s="0" t="s">
        <v>585</v>
      </c>
      <c r="AV287" s="0" t="s">
        <v>471</v>
      </c>
      <c r="AW287" s="0" t="s">
        <v>401</v>
      </c>
      <c r="AX287" s="0" t="s">
        <v>447</v>
      </c>
      <c r="AY287" s="0" t="s">
        <v>1630</v>
      </c>
      <c r="AZ287" s="0" t="s">
        <v>1631</v>
      </c>
      <c r="BA287" s="0" t="s">
        <v>285</v>
      </c>
      <c r="BB287" s="0" t="str">
        <f t="shared" si="4"/>
        <v>CCCRNenEnuguEast</v>
      </c>
    </row>
    <row r="288">
      <c r="E288" s="0" t="s">
        <v>624</v>
      </c>
      <c r="AV288" s="0" t="s">
        <v>471</v>
      </c>
      <c r="AW288" s="0" t="s">
        <v>401</v>
      </c>
      <c r="AX288" s="0" t="s">
        <v>447</v>
      </c>
      <c r="AY288" s="0" t="s">
        <v>1632</v>
      </c>
      <c r="AZ288" s="0" t="s">
        <v>1633</v>
      </c>
      <c r="BA288" s="0" t="s">
        <v>285</v>
      </c>
      <c r="BB288" s="0" t="str">
        <f t="shared" si="4"/>
        <v>CCCRNenEnuguEast</v>
      </c>
    </row>
    <row r="289">
      <c r="E289" s="0" t="s">
        <v>662</v>
      </c>
      <c r="AV289" s="0" t="s">
        <v>471</v>
      </c>
      <c r="AW289" s="0" t="s">
        <v>401</v>
      </c>
      <c r="AX289" s="0" t="s">
        <v>447</v>
      </c>
      <c r="AY289" s="0" t="s">
        <v>1634</v>
      </c>
      <c r="AZ289" s="0" t="s">
        <v>1635</v>
      </c>
      <c r="BA289" s="0" t="s">
        <v>285</v>
      </c>
      <c r="BB289" s="0" t="str">
        <f t="shared" si="4"/>
        <v>CCCRNenEnuguEast</v>
      </c>
    </row>
    <row r="290">
      <c r="E290" s="0" t="s">
        <v>698</v>
      </c>
      <c r="AV290" s="0" t="s">
        <v>471</v>
      </c>
      <c r="AW290" s="0" t="s">
        <v>401</v>
      </c>
      <c r="AX290" s="0" t="s">
        <v>447</v>
      </c>
      <c r="AY290" s="0" t="s">
        <v>1636</v>
      </c>
      <c r="AZ290" s="0" t="s">
        <v>1637</v>
      </c>
      <c r="BA290" s="0" t="s">
        <v>285</v>
      </c>
      <c r="BB290" s="0" t="str">
        <f t="shared" si="4"/>
        <v>CCCRNenEnuguEast</v>
      </c>
    </row>
    <row r="291">
      <c r="E291" s="0" t="s">
        <v>732</v>
      </c>
      <c r="AV291" s="0" t="s">
        <v>471</v>
      </c>
      <c r="AW291" s="0" t="s">
        <v>401</v>
      </c>
      <c r="AX291" s="0" t="s">
        <v>447</v>
      </c>
      <c r="AY291" s="0" t="s">
        <v>1638</v>
      </c>
      <c r="AZ291" s="0" t="s">
        <v>1639</v>
      </c>
      <c r="BA291" s="0" t="s">
        <v>285</v>
      </c>
      <c r="BB291" s="0" t="str">
        <f t="shared" si="4"/>
        <v>CCCRNenEnuguEast</v>
      </c>
    </row>
    <row r="292">
      <c r="E292" s="0" t="s">
        <v>546</v>
      </c>
      <c r="AV292" s="0" t="s">
        <v>471</v>
      </c>
      <c r="AW292" s="0" t="s">
        <v>401</v>
      </c>
      <c r="AX292" s="0" t="s">
        <v>490</v>
      </c>
      <c r="AY292" s="0" t="s">
        <v>1640</v>
      </c>
      <c r="AZ292" s="0" t="s">
        <v>1641</v>
      </c>
      <c r="BA292" s="0" t="s">
        <v>285</v>
      </c>
      <c r="BB292" s="0" t="str">
        <f t="shared" si="4"/>
        <v>CCCRNenEnuguNorth</v>
      </c>
    </row>
    <row r="293">
      <c r="E293" s="0" t="s">
        <v>765</v>
      </c>
      <c r="AV293" s="0" t="s">
        <v>471</v>
      </c>
      <c r="AW293" s="0" t="s">
        <v>401</v>
      </c>
      <c r="AX293" s="0" t="s">
        <v>490</v>
      </c>
      <c r="AY293" s="0" t="s">
        <v>1642</v>
      </c>
      <c r="AZ293" s="0" t="s">
        <v>1643</v>
      </c>
      <c r="BA293" s="0" t="s">
        <v>285</v>
      </c>
      <c r="BB293" s="0" t="str">
        <f t="shared" si="4"/>
        <v>CCCRNenEnuguNorth</v>
      </c>
    </row>
    <row r="294">
      <c r="E294" s="0" t="s">
        <v>649</v>
      </c>
      <c r="AV294" s="0" t="s">
        <v>471</v>
      </c>
      <c r="AW294" s="0" t="s">
        <v>401</v>
      </c>
      <c r="AX294" s="0" t="s">
        <v>490</v>
      </c>
      <c r="AY294" s="0" t="s">
        <v>1644</v>
      </c>
      <c r="AZ294" s="0" t="s">
        <v>1645</v>
      </c>
      <c r="BA294" s="0" t="s">
        <v>285</v>
      </c>
      <c r="BB294" s="0" t="str">
        <f t="shared" si="4"/>
        <v>CCCRNenEnuguNorth</v>
      </c>
    </row>
    <row r="295">
      <c r="E295" s="0" t="s">
        <v>459</v>
      </c>
      <c r="AV295" s="0" t="s">
        <v>471</v>
      </c>
      <c r="AW295" s="0" t="s">
        <v>401</v>
      </c>
      <c r="AX295" s="0" t="s">
        <v>490</v>
      </c>
      <c r="AY295" s="0" t="s">
        <v>1646</v>
      </c>
      <c r="AZ295" s="0" t="s">
        <v>1647</v>
      </c>
      <c r="BA295" s="0" t="s">
        <v>285</v>
      </c>
      <c r="BB295" s="0" t="str">
        <f t="shared" si="4"/>
        <v>CCCRNenEnuguNorth</v>
      </c>
    </row>
    <row r="296">
      <c r="E296" s="0" t="s">
        <v>794</v>
      </c>
      <c r="AV296" s="0" t="s">
        <v>471</v>
      </c>
      <c r="AW296" s="0" t="s">
        <v>401</v>
      </c>
      <c r="AX296" s="0" t="s">
        <v>490</v>
      </c>
      <c r="AY296" s="0" t="s">
        <v>1648</v>
      </c>
      <c r="AZ296" s="0" t="s">
        <v>1649</v>
      </c>
      <c r="BA296" s="0" t="s">
        <v>285</v>
      </c>
      <c r="BB296" s="0" t="str">
        <f t="shared" si="4"/>
        <v>CCCRNenEnuguNorth</v>
      </c>
    </row>
    <row r="297">
      <c r="E297" s="0" t="s">
        <v>851</v>
      </c>
      <c r="AV297" s="0" t="s">
        <v>471</v>
      </c>
      <c r="AW297" s="0" t="s">
        <v>401</v>
      </c>
      <c r="AX297" s="0" t="s">
        <v>490</v>
      </c>
      <c r="AY297" s="0" t="s">
        <v>1650</v>
      </c>
      <c r="AZ297" s="0" t="s">
        <v>1651</v>
      </c>
      <c r="BA297" s="0" t="s">
        <v>285</v>
      </c>
      <c r="BB297" s="0" t="str">
        <f t="shared" si="4"/>
        <v>CCCRNenEnuguNorth</v>
      </c>
    </row>
    <row r="298">
      <c r="E298" s="0" t="s">
        <v>854</v>
      </c>
      <c r="AV298" s="0" t="s">
        <v>471</v>
      </c>
      <c r="AW298" s="0" t="s">
        <v>401</v>
      </c>
      <c r="AX298" s="0" t="s">
        <v>531</v>
      </c>
      <c r="AY298" s="0" t="s">
        <v>1652</v>
      </c>
      <c r="AZ298" s="0" t="s">
        <v>1653</v>
      </c>
      <c r="BA298" s="0" t="s">
        <v>285</v>
      </c>
      <c r="BB298" s="0" t="str">
        <f t="shared" si="4"/>
        <v>CCCRNenEnuguSouth</v>
      </c>
    </row>
    <row r="299">
      <c r="E299" s="0" t="s">
        <v>880</v>
      </c>
      <c r="AV299" s="0" t="s">
        <v>471</v>
      </c>
      <c r="AW299" s="0" t="s">
        <v>401</v>
      </c>
      <c r="AX299" s="0" t="s">
        <v>531</v>
      </c>
      <c r="AY299" s="0" t="s">
        <v>1654</v>
      </c>
      <c r="AZ299" s="0" t="s">
        <v>1655</v>
      </c>
      <c r="BA299" s="0" t="s">
        <v>285</v>
      </c>
      <c r="BB299" s="0" t="str">
        <f t="shared" si="4"/>
        <v>CCCRNenEnuguSouth</v>
      </c>
    </row>
    <row r="300">
      <c r="E300" s="0" t="s">
        <v>905</v>
      </c>
      <c r="AV300" s="0" t="s">
        <v>471</v>
      </c>
      <c r="AW300" s="0" t="s">
        <v>401</v>
      </c>
      <c r="AX300" s="0" t="s">
        <v>531</v>
      </c>
      <c r="AY300" s="0" t="s">
        <v>1656</v>
      </c>
      <c r="AZ300" s="0" t="s">
        <v>1657</v>
      </c>
      <c r="BA300" s="0" t="s">
        <v>285</v>
      </c>
      <c r="BB300" s="0" t="str">
        <f t="shared" si="4"/>
        <v>CCCRNenEnuguSouth</v>
      </c>
    </row>
    <row r="301">
      <c r="E301" s="0" t="s">
        <v>930</v>
      </c>
      <c r="AV301" s="0" t="s">
        <v>471</v>
      </c>
      <c r="AW301" s="0" t="s">
        <v>401</v>
      </c>
      <c r="AX301" s="0" t="s">
        <v>531</v>
      </c>
      <c r="AY301" s="0" t="s">
        <v>1658</v>
      </c>
      <c r="AZ301" s="0" t="s">
        <v>1659</v>
      </c>
      <c r="BA301" s="0" t="s">
        <v>285</v>
      </c>
      <c r="BB301" s="0" t="str">
        <f t="shared" si="4"/>
        <v>CCCRNenEnuguSouth</v>
      </c>
    </row>
    <row r="302">
      <c r="AV302" s="0" t="s">
        <v>471</v>
      </c>
      <c r="AW302" s="0" t="s">
        <v>401</v>
      </c>
      <c r="AX302" s="0" t="s">
        <v>531</v>
      </c>
      <c r="AY302" s="0" t="s">
        <v>1660</v>
      </c>
      <c r="AZ302" s="0" t="s">
        <v>1661</v>
      </c>
      <c r="BA302" s="0" t="s">
        <v>285</v>
      </c>
      <c r="BB302" s="0" t="str">
        <f t="shared" si="4"/>
        <v>CCCRNenEnuguSouth</v>
      </c>
    </row>
    <row r="303">
      <c r="AV303" s="0" t="s">
        <v>471</v>
      </c>
      <c r="AW303" s="0" t="s">
        <v>401</v>
      </c>
      <c r="AX303" s="0" t="s">
        <v>531</v>
      </c>
      <c r="AY303" s="0" t="s">
        <v>1662</v>
      </c>
      <c r="AZ303" s="0" t="s">
        <v>1663</v>
      </c>
      <c r="BA303" s="0" t="s">
        <v>285</v>
      </c>
      <c r="BB303" s="0" t="str">
        <f t="shared" si="4"/>
        <v>CCCRNenEnuguSouth</v>
      </c>
    </row>
    <row r="304">
      <c r="AV304" s="0" t="s">
        <v>471</v>
      </c>
      <c r="AW304" s="0" t="s">
        <v>401</v>
      </c>
      <c r="AX304" s="0" t="s">
        <v>571</v>
      </c>
      <c r="AY304" s="0" t="s">
        <v>1664</v>
      </c>
      <c r="AZ304" s="0" t="s">
        <v>1665</v>
      </c>
      <c r="BA304" s="0" t="s">
        <v>285</v>
      </c>
      <c r="BB304" s="0" t="str">
        <f t="shared" si="4"/>
        <v>CCCRNenIgboEtiti</v>
      </c>
    </row>
    <row r="305">
      <c r="AV305" s="0" t="s">
        <v>471</v>
      </c>
      <c r="AW305" s="0" t="s">
        <v>401</v>
      </c>
      <c r="AX305" s="0" t="s">
        <v>571</v>
      </c>
      <c r="AY305" s="0" t="s">
        <v>1666</v>
      </c>
      <c r="AZ305" s="0" t="s">
        <v>1667</v>
      </c>
      <c r="BA305" s="0" t="s">
        <v>285</v>
      </c>
      <c r="BB305" s="0" t="str">
        <f t="shared" si="4"/>
        <v>CCCRNenIgboEtiti</v>
      </c>
    </row>
    <row r="306">
      <c r="AV306" s="0" t="s">
        <v>471</v>
      </c>
      <c r="AW306" s="0" t="s">
        <v>401</v>
      </c>
      <c r="AX306" s="0" t="s">
        <v>571</v>
      </c>
      <c r="AY306" s="0" t="s">
        <v>1668</v>
      </c>
      <c r="AZ306" s="0" t="s">
        <v>1669</v>
      </c>
      <c r="BA306" s="0" t="s">
        <v>285</v>
      </c>
      <c r="BB306" s="0" t="str">
        <f t="shared" si="4"/>
        <v>CCCRNenIgboEtiti</v>
      </c>
    </row>
    <row r="307">
      <c r="AV307" s="0" t="s">
        <v>471</v>
      </c>
      <c r="AW307" s="0" t="s">
        <v>401</v>
      </c>
      <c r="AX307" s="0" t="s">
        <v>571</v>
      </c>
      <c r="AY307" s="0" t="s">
        <v>1670</v>
      </c>
      <c r="AZ307" s="0" t="s">
        <v>1671</v>
      </c>
      <c r="BA307" s="0" t="s">
        <v>285</v>
      </c>
      <c r="BB307" s="0" t="str">
        <f t="shared" si="4"/>
        <v>CCCRNenIgboEtiti</v>
      </c>
    </row>
    <row r="308">
      <c r="AV308" s="0" t="s">
        <v>471</v>
      </c>
      <c r="AW308" s="0" t="s">
        <v>401</v>
      </c>
      <c r="AX308" s="0" t="s">
        <v>571</v>
      </c>
      <c r="AY308" s="0" t="s">
        <v>1672</v>
      </c>
      <c r="AZ308" s="0" t="s">
        <v>1673</v>
      </c>
      <c r="BA308" s="0" t="s">
        <v>285</v>
      </c>
      <c r="BB308" s="0" t="str">
        <f t="shared" si="4"/>
        <v>CCCRNenIgboEtiti</v>
      </c>
    </row>
    <row r="309">
      <c r="AV309" s="0" t="s">
        <v>471</v>
      </c>
      <c r="AW309" s="0" t="s">
        <v>401</v>
      </c>
      <c r="AX309" s="0" t="s">
        <v>609</v>
      </c>
      <c r="AY309" s="0" t="s">
        <v>1674</v>
      </c>
      <c r="AZ309" s="0" t="s">
        <v>1675</v>
      </c>
      <c r="BA309" s="0" t="s">
        <v>285</v>
      </c>
      <c r="BB309" s="0" t="str">
        <f t="shared" si="4"/>
        <v>CCCRNenIgboEzeNorth</v>
      </c>
    </row>
    <row r="310">
      <c r="AV310" s="0" t="s">
        <v>471</v>
      </c>
      <c r="AW310" s="0" t="s">
        <v>401</v>
      </c>
      <c r="AX310" s="0" t="s">
        <v>609</v>
      </c>
      <c r="AY310" s="0" t="s">
        <v>1676</v>
      </c>
      <c r="AZ310" s="0" t="s">
        <v>1677</v>
      </c>
      <c r="BA310" s="0" t="s">
        <v>285</v>
      </c>
      <c r="BB310" s="0" t="str">
        <f t="shared" si="4"/>
        <v>CCCRNenIgboEzeNorth</v>
      </c>
    </row>
    <row r="311">
      <c r="AV311" s="0" t="s">
        <v>471</v>
      </c>
      <c r="AW311" s="0" t="s">
        <v>401</v>
      </c>
      <c r="AX311" s="0" t="s">
        <v>609</v>
      </c>
      <c r="AY311" s="0" t="s">
        <v>1678</v>
      </c>
      <c r="AZ311" s="0" t="s">
        <v>1679</v>
      </c>
      <c r="BA311" s="0" t="s">
        <v>285</v>
      </c>
      <c r="BB311" s="0" t="str">
        <f t="shared" si="4"/>
        <v>CCCRNenIgboEzeNorth</v>
      </c>
    </row>
    <row r="312">
      <c r="AV312" s="0" t="s">
        <v>471</v>
      </c>
      <c r="AW312" s="0" t="s">
        <v>401</v>
      </c>
      <c r="AX312" s="0" t="s">
        <v>609</v>
      </c>
      <c r="AY312" s="0" t="s">
        <v>1680</v>
      </c>
      <c r="AZ312" s="0" t="s">
        <v>1681</v>
      </c>
      <c r="BA312" s="0" t="s">
        <v>285</v>
      </c>
      <c r="BB312" s="0" t="str">
        <f t="shared" si="4"/>
        <v>CCCRNenIgboEzeNorth</v>
      </c>
    </row>
    <row r="313">
      <c r="AV313" s="0" t="s">
        <v>471</v>
      </c>
      <c r="AW313" s="0" t="s">
        <v>401</v>
      </c>
      <c r="AX313" s="0" t="s">
        <v>609</v>
      </c>
      <c r="AY313" s="0" t="s">
        <v>1682</v>
      </c>
      <c r="AZ313" s="0" t="s">
        <v>1683</v>
      </c>
      <c r="BA313" s="0" t="s">
        <v>285</v>
      </c>
      <c r="BB313" s="0" t="str">
        <f t="shared" si="4"/>
        <v>CCCRNenIgboEzeNorth</v>
      </c>
    </row>
    <row r="314">
      <c r="AV314" s="0" t="s">
        <v>471</v>
      </c>
      <c r="AW314" s="0" t="s">
        <v>401</v>
      </c>
      <c r="AX314" s="0" t="s">
        <v>609</v>
      </c>
      <c r="AY314" s="0" t="s">
        <v>1684</v>
      </c>
      <c r="AZ314" s="0" t="s">
        <v>1685</v>
      </c>
      <c r="BA314" s="0" t="s">
        <v>285</v>
      </c>
      <c r="BB314" s="0" t="str">
        <f t="shared" si="4"/>
        <v>CCCRNenIgboEzeNorth</v>
      </c>
    </row>
    <row r="315">
      <c r="AV315" s="0" t="s">
        <v>471</v>
      </c>
      <c r="AW315" s="0" t="s">
        <v>401</v>
      </c>
      <c r="AX315" s="0" t="s">
        <v>609</v>
      </c>
      <c r="AY315" s="0" t="s">
        <v>1686</v>
      </c>
      <c r="AZ315" s="0" t="s">
        <v>1687</v>
      </c>
      <c r="BA315" s="0" t="s">
        <v>285</v>
      </c>
      <c r="BB315" s="0" t="str">
        <f t="shared" si="4"/>
        <v>CCCRNenIgboEzeNorth</v>
      </c>
    </row>
    <row r="316">
      <c r="AV316" s="0" t="s">
        <v>471</v>
      </c>
      <c r="AW316" s="0" t="s">
        <v>401</v>
      </c>
      <c r="AX316" s="0" t="s">
        <v>648</v>
      </c>
      <c r="AY316" s="0" t="s">
        <v>1688</v>
      </c>
      <c r="AZ316" s="0" t="s">
        <v>1689</v>
      </c>
      <c r="BA316" s="0" t="s">
        <v>285</v>
      </c>
      <c r="BB316" s="0" t="str">
        <f t="shared" si="4"/>
        <v>CCCRNenIgboEzeSouth</v>
      </c>
    </row>
    <row r="317">
      <c r="AV317" s="0" t="s">
        <v>471</v>
      </c>
      <c r="AW317" s="0" t="s">
        <v>401</v>
      </c>
      <c r="AX317" s="0" t="s">
        <v>648</v>
      </c>
      <c r="AY317" s="0" t="s">
        <v>1690</v>
      </c>
      <c r="AZ317" s="0" t="s">
        <v>1691</v>
      </c>
      <c r="BA317" s="0" t="s">
        <v>285</v>
      </c>
      <c r="BB317" s="0" t="str">
        <f t="shared" si="4"/>
        <v>CCCRNenIgboEzeSouth</v>
      </c>
    </row>
    <row r="318">
      <c r="AV318" s="0" t="s">
        <v>471</v>
      </c>
      <c r="AW318" s="0" t="s">
        <v>401</v>
      </c>
      <c r="AX318" s="0" t="s">
        <v>648</v>
      </c>
      <c r="AY318" s="0" t="s">
        <v>1692</v>
      </c>
      <c r="AZ318" s="0" t="s">
        <v>1693</v>
      </c>
      <c r="BA318" s="0" t="s">
        <v>285</v>
      </c>
      <c r="BB318" s="0" t="str">
        <f t="shared" si="4"/>
        <v>CCCRNenIgboEzeSouth</v>
      </c>
    </row>
    <row r="319">
      <c r="AV319" s="0" t="s">
        <v>471</v>
      </c>
      <c r="AW319" s="0" t="s">
        <v>401</v>
      </c>
      <c r="AX319" s="0" t="s">
        <v>685</v>
      </c>
      <c r="AY319" s="0" t="s">
        <v>1694</v>
      </c>
      <c r="AZ319" s="0" t="s">
        <v>1695</v>
      </c>
      <c r="BA319" s="0" t="s">
        <v>285</v>
      </c>
      <c r="BB319" s="0" t="str">
        <f t="shared" si="4"/>
        <v>CCCRNenIsiuzo</v>
      </c>
    </row>
    <row r="320">
      <c r="AV320" s="0" t="s">
        <v>471</v>
      </c>
      <c r="AW320" s="0" t="s">
        <v>401</v>
      </c>
      <c r="AX320" s="0" t="s">
        <v>685</v>
      </c>
      <c r="AY320" s="0" t="s">
        <v>1696</v>
      </c>
      <c r="AZ320" s="0" t="s">
        <v>1697</v>
      </c>
      <c r="BA320" s="0" t="s">
        <v>285</v>
      </c>
      <c r="BB320" s="0" t="str">
        <f t="shared" si="4"/>
        <v>CCCRNenIsiuzo</v>
      </c>
    </row>
    <row r="321">
      <c r="AV321" s="0" t="s">
        <v>471</v>
      </c>
      <c r="AW321" s="0" t="s">
        <v>401</v>
      </c>
      <c r="AX321" s="0" t="s">
        <v>685</v>
      </c>
      <c r="AY321" s="0" t="s">
        <v>1698</v>
      </c>
      <c r="AZ321" s="0" t="s">
        <v>1699</v>
      </c>
      <c r="BA321" s="0" t="s">
        <v>285</v>
      </c>
      <c r="BB321" s="0" t="str">
        <f t="shared" si="4"/>
        <v>CCCRNenIsiuzo</v>
      </c>
    </row>
    <row r="322">
      <c r="AV322" s="0" t="s">
        <v>471</v>
      </c>
      <c r="AW322" s="0" t="s">
        <v>401</v>
      </c>
      <c r="AX322" s="0" t="s">
        <v>685</v>
      </c>
      <c r="AY322" s="0" t="s">
        <v>1700</v>
      </c>
      <c r="AZ322" s="0" t="s">
        <v>1701</v>
      </c>
      <c r="BA322" s="0" t="s">
        <v>285</v>
      </c>
      <c r="BB322" s="0" t="str">
        <f t="shared" si="4"/>
        <v>CCCRNenIsiuzo</v>
      </c>
    </row>
    <row r="323">
      <c r="AV323" s="0" t="s">
        <v>471</v>
      </c>
      <c r="AW323" s="0" t="s">
        <v>401</v>
      </c>
      <c r="AX323" s="0" t="s">
        <v>685</v>
      </c>
      <c r="AY323" s="0" t="s">
        <v>1702</v>
      </c>
      <c r="AZ323" s="0" t="s">
        <v>1703</v>
      </c>
      <c r="BA323" s="0" t="s">
        <v>285</v>
      </c>
      <c r="BB323" s="0" t="str">
        <f ref="BB323:BB386" t="shared" si="5">SUBSTITUTE(SUBSTITUTE(BA323&amp;AX323," ",""),"-","")</f>
        <v>CCCRNenIsiuzo</v>
      </c>
    </row>
    <row r="324">
      <c r="AV324" s="0" t="s">
        <v>471</v>
      </c>
      <c r="AW324" s="0" t="s">
        <v>401</v>
      </c>
      <c r="AX324" s="0" t="s">
        <v>720</v>
      </c>
      <c r="AY324" s="0" t="s">
        <v>1704</v>
      </c>
      <c r="AZ324" s="0" t="s">
        <v>1705</v>
      </c>
      <c r="BA324" s="0" t="s">
        <v>285</v>
      </c>
      <c r="BB324" s="0" t="str">
        <f t="shared" si="5"/>
        <v>CCCRNenNkanuEast</v>
      </c>
    </row>
    <row r="325">
      <c r="AV325" s="0" t="s">
        <v>471</v>
      </c>
      <c r="AW325" s="0" t="s">
        <v>401</v>
      </c>
      <c r="AX325" s="0" t="s">
        <v>753</v>
      </c>
      <c r="AY325" s="0" t="s">
        <v>1706</v>
      </c>
      <c r="AZ325" s="0" t="s">
        <v>1707</v>
      </c>
      <c r="BA325" s="0" t="s">
        <v>285</v>
      </c>
      <c r="BB325" s="0" t="str">
        <f t="shared" si="5"/>
        <v>CCCRNenNkanuWest</v>
      </c>
    </row>
    <row r="326">
      <c r="AV326" s="0" t="s">
        <v>471</v>
      </c>
      <c r="AW326" s="0" t="s">
        <v>401</v>
      </c>
      <c r="AX326" s="0" t="s">
        <v>753</v>
      </c>
      <c r="AY326" s="0" t="s">
        <v>1708</v>
      </c>
      <c r="AZ326" s="0" t="s">
        <v>1709</v>
      </c>
      <c r="BA326" s="0" t="s">
        <v>285</v>
      </c>
      <c r="BB326" s="0" t="str">
        <f t="shared" si="5"/>
        <v>CCCRNenNkanuWest</v>
      </c>
    </row>
    <row r="327">
      <c r="AV327" s="0" t="s">
        <v>471</v>
      </c>
      <c r="AW327" s="0" t="s">
        <v>401</v>
      </c>
      <c r="AX327" s="0" t="s">
        <v>753</v>
      </c>
      <c r="AY327" s="0" t="s">
        <v>1710</v>
      </c>
      <c r="AZ327" s="0" t="s">
        <v>1711</v>
      </c>
      <c r="BA327" s="0" t="s">
        <v>285</v>
      </c>
      <c r="BB327" s="0" t="str">
        <f t="shared" si="5"/>
        <v>CCCRNenNkanuWest</v>
      </c>
    </row>
    <row r="328">
      <c r="AV328" s="0" t="s">
        <v>471</v>
      </c>
      <c r="AW328" s="0" t="s">
        <v>401</v>
      </c>
      <c r="AX328" s="0" t="s">
        <v>785</v>
      </c>
      <c r="AY328" s="0" t="s">
        <v>1712</v>
      </c>
      <c r="AZ328" s="0" t="s">
        <v>1713</v>
      </c>
      <c r="BA328" s="0" t="s">
        <v>285</v>
      </c>
      <c r="BB328" s="0" t="str">
        <f t="shared" si="5"/>
        <v>CCCRNenNsukka</v>
      </c>
    </row>
    <row r="329">
      <c r="AV329" s="0" t="s">
        <v>471</v>
      </c>
      <c r="AW329" s="0" t="s">
        <v>401</v>
      </c>
      <c r="AX329" s="0" t="s">
        <v>785</v>
      </c>
      <c r="AY329" s="0" t="s">
        <v>1714</v>
      </c>
      <c r="AZ329" s="0" t="s">
        <v>1715</v>
      </c>
      <c r="BA329" s="0" t="s">
        <v>285</v>
      </c>
      <c r="BB329" s="0" t="str">
        <f t="shared" si="5"/>
        <v>CCCRNenNsukka</v>
      </c>
    </row>
    <row r="330">
      <c r="AV330" s="0" t="s">
        <v>471</v>
      </c>
      <c r="AW330" s="0" t="s">
        <v>401</v>
      </c>
      <c r="AX330" s="0" t="s">
        <v>785</v>
      </c>
      <c r="AY330" s="0" t="s">
        <v>1716</v>
      </c>
      <c r="AZ330" s="0" t="s">
        <v>1717</v>
      </c>
      <c r="BA330" s="0" t="s">
        <v>285</v>
      </c>
      <c r="BB330" s="0" t="str">
        <f t="shared" si="5"/>
        <v>CCCRNenNsukka</v>
      </c>
    </row>
    <row r="331">
      <c r="AV331" s="0" t="s">
        <v>471</v>
      </c>
      <c r="AW331" s="0" t="s">
        <v>401</v>
      </c>
      <c r="AX331" s="0" t="s">
        <v>785</v>
      </c>
      <c r="AY331" s="0" t="s">
        <v>1718</v>
      </c>
      <c r="AZ331" s="0" t="s">
        <v>1719</v>
      </c>
      <c r="BA331" s="0" t="s">
        <v>285</v>
      </c>
      <c r="BB331" s="0" t="str">
        <f t="shared" si="5"/>
        <v>CCCRNenNsukka</v>
      </c>
    </row>
    <row r="332">
      <c r="AV332" s="0" t="s">
        <v>471</v>
      </c>
      <c r="AW332" s="0" t="s">
        <v>401</v>
      </c>
      <c r="AX332" s="0" t="s">
        <v>785</v>
      </c>
      <c r="AY332" s="0" t="s">
        <v>1720</v>
      </c>
      <c r="AZ332" s="0" t="s">
        <v>1721</v>
      </c>
      <c r="BA332" s="0" t="s">
        <v>285</v>
      </c>
      <c r="BB332" s="0" t="str">
        <f t="shared" si="5"/>
        <v>CCCRNenNsukka</v>
      </c>
    </row>
    <row r="333">
      <c r="AV333" s="0" t="s">
        <v>471</v>
      </c>
      <c r="AW333" s="0" t="s">
        <v>401</v>
      </c>
      <c r="AX333" s="0" t="s">
        <v>785</v>
      </c>
      <c r="AY333" s="0" t="s">
        <v>1722</v>
      </c>
      <c r="AZ333" s="0" t="s">
        <v>1723</v>
      </c>
      <c r="BA333" s="0" t="s">
        <v>285</v>
      </c>
      <c r="BB333" s="0" t="str">
        <f t="shared" si="5"/>
        <v>CCCRNenNsukka</v>
      </c>
    </row>
    <row r="334">
      <c r="AV334" s="0" t="s">
        <v>471</v>
      </c>
      <c r="AW334" s="0" t="s">
        <v>401</v>
      </c>
      <c r="AX334" s="0" t="s">
        <v>785</v>
      </c>
      <c r="AY334" s="0" t="s">
        <v>1724</v>
      </c>
      <c r="AZ334" s="0" t="s">
        <v>1725</v>
      </c>
      <c r="BA334" s="0" t="s">
        <v>285</v>
      </c>
      <c r="BB334" s="0" t="str">
        <f t="shared" si="5"/>
        <v>CCCRNenNsukka</v>
      </c>
    </row>
    <row r="335">
      <c r="AV335" s="0" t="s">
        <v>471</v>
      </c>
      <c r="AW335" s="0" t="s">
        <v>401</v>
      </c>
      <c r="AX335" s="0" t="s">
        <v>785</v>
      </c>
      <c r="AY335" s="0" t="s">
        <v>1726</v>
      </c>
      <c r="AZ335" s="0" t="s">
        <v>1727</v>
      </c>
      <c r="BA335" s="0" t="s">
        <v>285</v>
      </c>
      <c r="BB335" s="0" t="str">
        <f t="shared" si="5"/>
        <v>CCCRNenNsukka</v>
      </c>
    </row>
    <row r="336">
      <c r="AV336" s="0" t="s">
        <v>471</v>
      </c>
      <c r="AW336" s="0" t="s">
        <v>401</v>
      </c>
      <c r="AX336" s="0" t="s">
        <v>785</v>
      </c>
      <c r="AY336" s="0" t="s">
        <v>1728</v>
      </c>
      <c r="AZ336" s="0" t="s">
        <v>1729</v>
      </c>
      <c r="BA336" s="0" t="s">
        <v>285</v>
      </c>
      <c r="BB336" s="0" t="str">
        <f t="shared" si="5"/>
        <v>CCCRNenNsukka</v>
      </c>
    </row>
    <row r="337">
      <c r="AV337" s="0" t="s">
        <v>471</v>
      </c>
      <c r="AW337" s="0" t="s">
        <v>401</v>
      </c>
      <c r="AX337" s="0" t="s">
        <v>785</v>
      </c>
      <c r="AY337" s="0" t="s">
        <v>1730</v>
      </c>
      <c r="AZ337" s="0" t="s">
        <v>1731</v>
      </c>
      <c r="BA337" s="0" t="s">
        <v>285</v>
      </c>
      <c r="BB337" s="0" t="str">
        <f t="shared" si="5"/>
        <v>CCCRNenNsukka</v>
      </c>
    </row>
    <row r="338">
      <c r="AV338" s="0" t="s">
        <v>471</v>
      </c>
      <c r="AW338" s="0" t="s">
        <v>401</v>
      </c>
      <c r="AX338" s="0" t="s">
        <v>815</v>
      </c>
      <c r="AY338" s="0" t="s">
        <v>1732</v>
      </c>
      <c r="AZ338" s="0" t="s">
        <v>1733</v>
      </c>
      <c r="BA338" s="0" t="s">
        <v>285</v>
      </c>
      <c r="BB338" s="0" t="str">
        <f t="shared" si="5"/>
        <v>CCCRNenUdenu</v>
      </c>
    </row>
    <row r="339">
      <c r="AV339" s="0" t="s">
        <v>471</v>
      </c>
      <c r="AW339" s="0" t="s">
        <v>401</v>
      </c>
      <c r="AX339" s="0" t="s">
        <v>815</v>
      </c>
      <c r="AY339" s="0" t="s">
        <v>1734</v>
      </c>
      <c r="AZ339" s="0" t="s">
        <v>1735</v>
      </c>
      <c r="BA339" s="0" t="s">
        <v>285</v>
      </c>
      <c r="BB339" s="0" t="str">
        <f t="shared" si="5"/>
        <v>CCCRNenUdenu</v>
      </c>
    </row>
    <row r="340">
      <c r="AV340" s="0" t="s">
        <v>471</v>
      </c>
      <c r="AW340" s="0" t="s">
        <v>401</v>
      </c>
      <c r="AX340" s="0" t="s">
        <v>815</v>
      </c>
      <c r="AY340" s="0" t="s">
        <v>1736</v>
      </c>
      <c r="AZ340" s="0" t="s">
        <v>1737</v>
      </c>
      <c r="BA340" s="0" t="s">
        <v>285</v>
      </c>
      <c r="BB340" s="0" t="str">
        <f t="shared" si="5"/>
        <v>CCCRNenUdenu</v>
      </c>
    </row>
    <row r="341">
      <c r="AV341" s="0" t="s">
        <v>471</v>
      </c>
      <c r="AW341" s="0" t="s">
        <v>401</v>
      </c>
      <c r="AX341" s="0" t="s">
        <v>815</v>
      </c>
      <c r="AY341" s="0" t="s">
        <v>1738</v>
      </c>
      <c r="AZ341" s="0" t="s">
        <v>1739</v>
      </c>
      <c r="BA341" s="0" t="s">
        <v>285</v>
      </c>
      <c r="BB341" s="0" t="str">
        <f t="shared" si="5"/>
        <v>CCCRNenUdenu</v>
      </c>
    </row>
    <row r="342">
      <c r="AV342" s="0" t="s">
        <v>471</v>
      </c>
      <c r="AW342" s="0" t="s">
        <v>401</v>
      </c>
      <c r="AX342" s="0" t="s">
        <v>815</v>
      </c>
      <c r="AY342" s="0" t="s">
        <v>1740</v>
      </c>
      <c r="AZ342" s="0" t="s">
        <v>1741</v>
      </c>
      <c r="BA342" s="0" t="s">
        <v>285</v>
      </c>
      <c r="BB342" s="0" t="str">
        <f t="shared" si="5"/>
        <v>CCCRNenUdenu</v>
      </c>
    </row>
    <row r="343">
      <c r="AV343" s="0" t="s">
        <v>471</v>
      </c>
      <c r="AW343" s="0" t="s">
        <v>401</v>
      </c>
      <c r="AX343" s="0" t="s">
        <v>815</v>
      </c>
      <c r="AY343" s="0" t="s">
        <v>1742</v>
      </c>
      <c r="AZ343" s="0" t="s">
        <v>1743</v>
      </c>
      <c r="BA343" s="0" t="s">
        <v>285</v>
      </c>
      <c r="BB343" s="0" t="str">
        <f t="shared" si="5"/>
        <v>CCCRNenUdenu</v>
      </c>
    </row>
    <row r="344">
      <c r="AV344" s="0" t="s">
        <v>471</v>
      </c>
      <c r="AW344" s="0" t="s">
        <v>401</v>
      </c>
      <c r="AX344" s="0" t="s">
        <v>815</v>
      </c>
      <c r="AY344" s="0" t="s">
        <v>1744</v>
      </c>
      <c r="AZ344" s="0" t="s">
        <v>1745</v>
      </c>
      <c r="BA344" s="0" t="s">
        <v>285</v>
      </c>
      <c r="BB344" s="0" t="str">
        <f t="shared" si="5"/>
        <v>CCCRNenUdenu</v>
      </c>
    </row>
    <row r="345">
      <c r="AV345" s="0" t="s">
        <v>471</v>
      </c>
      <c r="AW345" s="0" t="s">
        <v>401</v>
      </c>
      <c r="AX345" s="0" t="s">
        <v>815</v>
      </c>
      <c r="AY345" s="0" t="s">
        <v>1746</v>
      </c>
      <c r="AZ345" s="0" t="s">
        <v>1747</v>
      </c>
      <c r="BA345" s="0" t="s">
        <v>285</v>
      </c>
      <c r="BB345" s="0" t="str">
        <f t="shared" si="5"/>
        <v>CCCRNenUdenu</v>
      </c>
    </row>
    <row r="346">
      <c r="AV346" s="0" t="s">
        <v>471</v>
      </c>
      <c r="AW346" s="0" t="s">
        <v>401</v>
      </c>
      <c r="AX346" s="0" t="s">
        <v>815</v>
      </c>
      <c r="AY346" s="0" t="s">
        <v>1748</v>
      </c>
      <c r="AZ346" s="0" t="s">
        <v>1749</v>
      </c>
      <c r="BA346" s="0" t="s">
        <v>285</v>
      </c>
      <c r="BB346" s="0" t="str">
        <f t="shared" si="5"/>
        <v>CCCRNenUdenu</v>
      </c>
    </row>
    <row r="347">
      <c r="AV347" s="0" t="s">
        <v>471</v>
      </c>
      <c r="AW347" s="0" t="s">
        <v>286</v>
      </c>
      <c r="AX347" s="0" t="s">
        <v>450</v>
      </c>
      <c r="AY347" s="0" t="s">
        <v>1750</v>
      </c>
      <c r="AZ347" s="0" t="s">
        <v>1751</v>
      </c>
      <c r="BA347" s="0" t="s">
        <v>285</v>
      </c>
      <c r="BB347" s="0" t="str">
        <f t="shared" si="5"/>
        <v>CCCRNimAbohMbaise</v>
      </c>
    </row>
    <row r="348">
      <c r="AV348" s="0" t="s">
        <v>471</v>
      </c>
      <c r="AW348" s="0" t="s">
        <v>286</v>
      </c>
      <c r="AX348" s="0" t="s">
        <v>450</v>
      </c>
      <c r="AY348" s="0" t="s">
        <v>1752</v>
      </c>
      <c r="AZ348" s="0" t="s">
        <v>1753</v>
      </c>
      <c r="BA348" s="0" t="s">
        <v>285</v>
      </c>
      <c r="BB348" s="0" t="str">
        <f t="shared" si="5"/>
        <v>CCCRNimAbohMbaise</v>
      </c>
    </row>
    <row r="349">
      <c r="AV349" s="0" t="s">
        <v>471</v>
      </c>
      <c r="AW349" s="0" t="s">
        <v>286</v>
      </c>
      <c r="AX349" s="0" t="s">
        <v>450</v>
      </c>
      <c r="AY349" s="0" t="s">
        <v>1754</v>
      </c>
      <c r="AZ349" s="0" t="s">
        <v>1755</v>
      </c>
      <c r="BA349" s="0" t="s">
        <v>285</v>
      </c>
      <c r="BB349" s="0" t="str">
        <f t="shared" si="5"/>
        <v>CCCRNimAbohMbaise</v>
      </c>
    </row>
    <row r="350">
      <c r="AV350" s="0" t="s">
        <v>471</v>
      </c>
      <c r="AW350" s="0" t="s">
        <v>286</v>
      </c>
      <c r="AX350" s="0" t="s">
        <v>450</v>
      </c>
      <c r="AY350" s="0" t="s">
        <v>1756</v>
      </c>
      <c r="AZ350" s="0" t="s">
        <v>1757</v>
      </c>
      <c r="BA350" s="0" t="s">
        <v>285</v>
      </c>
      <c r="BB350" s="0" t="str">
        <f t="shared" si="5"/>
        <v>CCCRNimAbohMbaise</v>
      </c>
    </row>
    <row r="351">
      <c r="AV351" s="0" t="s">
        <v>471</v>
      </c>
      <c r="AW351" s="0" t="s">
        <v>286</v>
      </c>
      <c r="AX351" s="0" t="s">
        <v>450</v>
      </c>
      <c r="AY351" s="0" t="s">
        <v>1758</v>
      </c>
      <c r="AZ351" s="0" t="s">
        <v>1759</v>
      </c>
      <c r="BA351" s="0" t="s">
        <v>285</v>
      </c>
      <c r="BB351" s="0" t="str">
        <f t="shared" si="5"/>
        <v>CCCRNimAbohMbaise</v>
      </c>
    </row>
    <row r="352">
      <c r="AV352" s="0" t="s">
        <v>471</v>
      </c>
      <c r="AW352" s="0" t="s">
        <v>286</v>
      </c>
      <c r="AX352" s="0" t="s">
        <v>493</v>
      </c>
      <c r="AY352" s="0" t="s">
        <v>1760</v>
      </c>
      <c r="AZ352" s="0" t="s">
        <v>1761</v>
      </c>
      <c r="BA352" s="0" t="s">
        <v>285</v>
      </c>
      <c r="BB352" s="0" t="str">
        <f t="shared" si="5"/>
        <v>CCCRNimAhiazuMbaise</v>
      </c>
    </row>
    <row r="353">
      <c r="AV353" s="0" t="s">
        <v>471</v>
      </c>
      <c r="AW353" s="0" t="s">
        <v>286</v>
      </c>
      <c r="AX353" s="0" t="s">
        <v>493</v>
      </c>
      <c r="AY353" s="0" t="s">
        <v>1762</v>
      </c>
      <c r="AZ353" s="0" t="s">
        <v>1763</v>
      </c>
      <c r="BA353" s="0" t="s">
        <v>285</v>
      </c>
      <c r="BB353" s="0" t="str">
        <f t="shared" si="5"/>
        <v>CCCRNimAhiazuMbaise</v>
      </c>
    </row>
    <row r="354">
      <c r="AV354" s="0" t="s">
        <v>471</v>
      </c>
      <c r="AW354" s="0" t="s">
        <v>286</v>
      </c>
      <c r="AX354" s="0" t="s">
        <v>493</v>
      </c>
      <c r="AY354" s="0" t="s">
        <v>1764</v>
      </c>
      <c r="AZ354" s="0" t="s">
        <v>1765</v>
      </c>
      <c r="BA354" s="0" t="s">
        <v>285</v>
      </c>
      <c r="BB354" s="0" t="str">
        <f t="shared" si="5"/>
        <v>CCCRNimAhiazuMbaise</v>
      </c>
    </row>
    <row r="355">
      <c r="AV355" s="0" t="s">
        <v>471</v>
      </c>
      <c r="AW355" s="0" t="s">
        <v>286</v>
      </c>
      <c r="AX355" s="0" t="s">
        <v>534</v>
      </c>
      <c r="AY355" s="0" t="s">
        <v>1766</v>
      </c>
      <c r="AZ355" s="0" t="s">
        <v>1767</v>
      </c>
      <c r="BA355" s="0" t="s">
        <v>285</v>
      </c>
      <c r="BB355" s="0" t="str">
        <f t="shared" si="5"/>
        <v>CCCRNimEzinihitte</v>
      </c>
    </row>
    <row r="356">
      <c r="AV356" s="0" t="s">
        <v>471</v>
      </c>
      <c r="AW356" s="0" t="s">
        <v>286</v>
      </c>
      <c r="AX356" s="0" t="s">
        <v>534</v>
      </c>
      <c r="AY356" s="0" t="s">
        <v>1768</v>
      </c>
      <c r="AZ356" s="0" t="s">
        <v>1769</v>
      </c>
      <c r="BA356" s="0" t="s">
        <v>285</v>
      </c>
      <c r="BB356" s="0" t="str">
        <f t="shared" si="5"/>
        <v>CCCRNimEzinihitte</v>
      </c>
    </row>
    <row r="357">
      <c r="AV357" s="0" t="s">
        <v>471</v>
      </c>
      <c r="AW357" s="0" t="s">
        <v>286</v>
      </c>
      <c r="AX357" s="0" t="s">
        <v>534</v>
      </c>
      <c r="AY357" s="0" t="s">
        <v>1770</v>
      </c>
      <c r="AZ357" s="0" t="s">
        <v>1771</v>
      </c>
      <c r="BA357" s="0" t="s">
        <v>285</v>
      </c>
      <c r="BB357" s="0" t="str">
        <f t="shared" si="5"/>
        <v>CCCRNimEzinihitte</v>
      </c>
    </row>
    <row r="358">
      <c r="AV358" s="0" t="s">
        <v>471</v>
      </c>
      <c r="AW358" s="0" t="s">
        <v>286</v>
      </c>
      <c r="AX358" s="0" t="s">
        <v>574</v>
      </c>
      <c r="AY358" s="0" t="s">
        <v>1772</v>
      </c>
      <c r="AZ358" s="0" t="s">
        <v>1773</v>
      </c>
      <c r="BA358" s="0" t="s">
        <v>285</v>
      </c>
      <c r="BB358" s="0" t="str">
        <f t="shared" si="5"/>
        <v>CCCRNimIdeatoNorth</v>
      </c>
    </row>
    <row r="359">
      <c r="AV359" s="0" t="s">
        <v>471</v>
      </c>
      <c r="AW359" s="0" t="s">
        <v>286</v>
      </c>
      <c r="AX359" s="0" t="s">
        <v>574</v>
      </c>
      <c r="AY359" s="0" t="s">
        <v>1774</v>
      </c>
      <c r="AZ359" s="0" t="s">
        <v>1775</v>
      </c>
      <c r="BA359" s="0" t="s">
        <v>285</v>
      </c>
      <c r="BB359" s="0" t="str">
        <f t="shared" si="5"/>
        <v>CCCRNimIdeatoNorth</v>
      </c>
    </row>
    <row r="360">
      <c r="AV360" s="0" t="s">
        <v>471</v>
      </c>
      <c r="AW360" s="0" t="s">
        <v>286</v>
      </c>
      <c r="AX360" s="0" t="s">
        <v>574</v>
      </c>
      <c r="AY360" s="0" t="s">
        <v>1776</v>
      </c>
      <c r="AZ360" s="0" t="s">
        <v>1777</v>
      </c>
      <c r="BA360" s="0" t="s">
        <v>285</v>
      </c>
      <c r="BB360" s="0" t="str">
        <f t="shared" si="5"/>
        <v>CCCRNimIdeatoNorth</v>
      </c>
    </row>
    <row r="361">
      <c r="AV361" s="0" t="s">
        <v>471</v>
      </c>
      <c r="AW361" s="0" t="s">
        <v>286</v>
      </c>
      <c r="AX361" s="0" t="s">
        <v>574</v>
      </c>
      <c r="AY361" s="0" t="s">
        <v>1778</v>
      </c>
      <c r="AZ361" s="0" t="s">
        <v>1779</v>
      </c>
      <c r="BA361" s="0" t="s">
        <v>285</v>
      </c>
      <c r="BB361" s="0" t="str">
        <f t="shared" si="5"/>
        <v>CCCRNimIdeatoNorth</v>
      </c>
    </row>
    <row r="362">
      <c r="AV362" s="0" t="s">
        <v>471</v>
      </c>
      <c r="AW362" s="0" t="s">
        <v>286</v>
      </c>
      <c r="AX362" s="0" t="s">
        <v>574</v>
      </c>
      <c r="AY362" s="0" t="s">
        <v>1780</v>
      </c>
      <c r="AZ362" s="0" t="s">
        <v>1781</v>
      </c>
      <c r="BA362" s="0" t="s">
        <v>285</v>
      </c>
      <c r="BB362" s="0" t="str">
        <f t="shared" si="5"/>
        <v>CCCRNimIdeatoNorth</v>
      </c>
    </row>
    <row r="363">
      <c r="AV363" s="0" t="s">
        <v>471</v>
      </c>
      <c r="AW363" s="0" t="s">
        <v>286</v>
      </c>
      <c r="AX363" s="0" t="s">
        <v>612</v>
      </c>
      <c r="AY363" s="0" t="s">
        <v>1782</v>
      </c>
      <c r="AZ363" s="0" t="s">
        <v>1783</v>
      </c>
      <c r="BA363" s="0" t="s">
        <v>285</v>
      </c>
      <c r="BB363" s="0" t="str">
        <f t="shared" si="5"/>
        <v>CCCRNimIdeatoSouth</v>
      </c>
    </row>
    <row r="364">
      <c r="AV364" s="0" t="s">
        <v>471</v>
      </c>
      <c r="AW364" s="0" t="s">
        <v>286</v>
      </c>
      <c r="AX364" s="0" t="s">
        <v>651</v>
      </c>
      <c r="AY364" s="0" t="s">
        <v>1784</v>
      </c>
      <c r="AZ364" s="0" t="s">
        <v>1785</v>
      </c>
      <c r="BA364" s="0" t="s">
        <v>285</v>
      </c>
      <c r="BB364" s="0" t="str">
        <f t="shared" si="5"/>
        <v>CCCRNimIkeduru</v>
      </c>
    </row>
    <row r="365">
      <c r="AV365" s="0" t="s">
        <v>471</v>
      </c>
      <c r="AW365" s="0" t="s">
        <v>286</v>
      </c>
      <c r="AX365" s="0" t="s">
        <v>651</v>
      </c>
      <c r="AY365" s="0" t="s">
        <v>1786</v>
      </c>
      <c r="AZ365" s="0" t="s">
        <v>1787</v>
      </c>
      <c r="BA365" s="0" t="s">
        <v>285</v>
      </c>
      <c r="BB365" s="0" t="str">
        <f t="shared" si="5"/>
        <v>CCCRNimIkeduru</v>
      </c>
    </row>
    <row r="366">
      <c r="AV366" s="0" t="s">
        <v>471</v>
      </c>
      <c r="AW366" s="0" t="s">
        <v>286</v>
      </c>
      <c r="AX366" s="0" t="s">
        <v>651</v>
      </c>
      <c r="AY366" s="0" t="s">
        <v>1788</v>
      </c>
      <c r="AZ366" s="0" t="s">
        <v>1789</v>
      </c>
      <c r="BA366" s="0" t="s">
        <v>285</v>
      </c>
      <c r="BB366" s="0" t="str">
        <f t="shared" si="5"/>
        <v>CCCRNimIkeduru</v>
      </c>
    </row>
    <row r="367">
      <c r="AV367" s="0" t="s">
        <v>471</v>
      </c>
      <c r="AW367" s="0" t="s">
        <v>286</v>
      </c>
      <c r="AX367" s="0" t="s">
        <v>687</v>
      </c>
      <c r="AY367" s="0" t="s">
        <v>1790</v>
      </c>
      <c r="AZ367" s="0" t="s">
        <v>1791</v>
      </c>
      <c r="BA367" s="0" t="s">
        <v>285</v>
      </c>
      <c r="BB367" s="0" t="str">
        <f t="shared" si="5"/>
        <v>CCCRNimIsu</v>
      </c>
    </row>
    <row r="368">
      <c r="AV368" s="0" t="s">
        <v>471</v>
      </c>
      <c r="AW368" s="0" t="s">
        <v>286</v>
      </c>
      <c r="AX368" s="0" t="s">
        <v>687</v>
      </c>
      <c r="AY368" s="0" t="s">
        <v>1792</v>
      </c>
      <c r="AZ368" s="0" t="s">
        <v>1793</v>
      </c>
      <c r="BA368" s="0" t="s">
        <v>285</v>
      </c>
      <c r="BB368" s="0" t="str">
        <f t="shared" si="5"/>
        <v>CCCRNimIsu</v>
      </c>
    </row>
    <row r="369">
      <c r="AV369" s="0" t="s">
        <v>471</v>
      </c>
      <c r="AW369" s="0" t="s">
        <v>286</v>
      </c>
      <c r="AX369" s="0" t="s">
        <v>687</v>
      </c>
      <c r="AY369" s="0" t="s">
        <v>1794</v>
      </c>
      <c r="AZ369" s="0" t="s">
        <v>1795</v>
      </c>
      <c r="BA369" s="0" t="s">
        <v>285</v>
      </c>
      <c r="BB369" s="0" t="str">
        <f t="shared" si="5"/>
        <v>CCCRNimIsu</v>
      </c>
    </row>
    <row r="370">
      <c r="AV370" s="0" t="s">
        <v>471</v>
      </c>
      <c r="AW370" s="0" t="s">
        <v>286</v>
      </c>
      <c r="AX370" s="0" t="s">
        <v>722</v>
      </c>
      <c r="AY370" s="0" t="s">
        <v>289</v>
      </c>
      <c r="AZ370" s="0" t="s">
        <v>293</v>
      </c>
      <c r="BA370" s="0" t="s">
        <v>285</v>
      </c>
      <c r="BB370" s="0" t="str">
        <f t="shared" si="5"/>
        <v>CCCRNimMbaitoli</v>
      </c>
    </row>
    <row r="371">
      <c r="AV371" s="0" t="s">
        <v>471</v>
      </c>
      <c r="AW371" s="0" t="s">
        <v>286</v>
      </c>
      <c r="AX371" s="0" t="s">
        <v>722</v>
      </c>
      <c r="AY371" s="0" t="s">
        <v>1796</v>
      </c>
      <c r="AZ371" s="0" t="s">
        <v>1797</v>
      </c>
      <c r="BA371" s="0" t="s">
        <v>285</v>
      </c>
      <c r="BB371" s="0" t="str">
        <f t="shared" si="5"/>
        <v>CCCRNimMbaitoli</v>
      </c>
    </row>
    <row r="372">
      <c r="AV372" s="0" t="s">
        <v>471</v>
      </c>
      <c r="AW372" s="0" t="s">
        <v>286</v>
      </c>
      <c r="AX372" s="0" t="s">
        <v>722</v>
      </c>
      <c r="AY372" s="0" t="s">
        <v>1798</v>
      </c>
      <c r="AZ372" s="0" t="s">
        <v>1799</v>
      </c>
      <c r="BA372" s="0" t="s">
        <v>285</v>
      </c>
      <c r="BB372" s="0" t="str">
        <f t="shared" si="5"/>
        <v>CCCRNimMbaitoli</v>
      </c>
    </row>
    <row r="373">
      <c r="AV373" s="0" t="s">
        <v>471</v>
      </c>
      <c r="AW373" s="0" t="s">
        <v>286</v>
      </c>
      <c r="AX373" s="0" t="s">
        <v>722</v>
      </c>
      <c r="AY373" s="0" t="s">
        <v>1800</v>
      </c>
      <c r="AZ373" s="0" t="s">
        <v>1801</v>
      </c>
      <c r="BA373" s="0" t="s">
        <v>285</v>
      </c>
      <c r="BB373" s="0" t="str">
        <f t="shared" si="5"/>
        <v>CCCRNimMbaitoli</v>
      </c>
    </row>
    <row r="374">
      <c r="AV374" s="0" t="s">
        <v>471</v>
      </c>
      <c r="AW374" s="0" t="s">
        <v>286</v>
      </c>
      <c r="AX374" s="0" t="s">
        <v>755</v>
      </c>
      <c r="AY374" s="0" t="s">
        <v>1802</v>
      </c>
      <c r="AZ374" s="0" t="s">
        <v>1803</v>
      </c>
      <c r="BA374" s="0" t="s">
        <v>285</v>
      </c>
      <c r="BB374" s="0" t="str">
        <f t="shared" si="5"/>
        <v>CCCRNimNgorOkpala</v>
      </c>
    </row>
    <row r="375">
      <c r="AV375" s="0" t="s">
        <v>471</v>
      </c>
      <c r="AW375" s="0" t="s">
        <v>286</v>
      </c>
      <c r="AX375" s="0" t="s">
        <v>755</v>
      </c>
      <c r="AY375" s="0" t="s">
        <v>1804</v>
      </c>
      <c r="AZ375" s="0" t="s">
        <v>1805</v>
      </c>
      <c r="BA375" s="0" t="s">
        <v>285</v>
      </c>
      <c r="BB375" s="0" t="str">
        <f t="shared" si="5"/>
        <v>CCCRNimNgorOkpala</v>
      </c>
    </row>
    <row r="376">
      <c r="AV376" s="0" t="s">
        <v>471</v>
      </c>
      <c r="AW376" s="0" t="s">
        <v>286</v>
      </c>
      <c r="AX376" s="0" t="s">
        <v>755</v>
      </c>
      <c r="AY376" s="0" t="s">
        <v>1806</v>
      </c>
      <c r="AZ376" s="0" t="s">
        <v>1807</v>
      </c>
      <c r="BA376" s="0" t="s">
        <v>285</v>
      </c>
      <c r="BB376" s="0" t="str">
        <f t="shared" si="5"/>
        <v>CCCRNimNgorOkpala</v>
      </c>
    </row>
    <row r="377">
      <c r="AV377" s="0" t="s">
        <v>471</v>
      </c>
      <c r="AW377" s="0" t="s">
        <v>286</v>
      </c>
      <c r="AX377" s="0" t="s">
        <v>755</v>
      </c>
      <c r="AY377" s="0" t="s">
        <v>1808</v>
      </c>
      <c r="AZ377" s="0" t="s">
        <v>1809</v>
      </c>
      <c r="BA377" s="0" t="s">
        <v>285</v>
      </c>
      <c r="BB377" s="0" t="str">
        <f t="shared" si="5"/>
        <v>CCCRNimNgorOkpala</v>
      </c>
    </row>
    <row r="378">
      <c r="AV378" s="0" t="s">
        <v>471</v>
      </c>
      <c r="AW378" s="0" t="s">
        <v>286</v>
      </c>
      <c r="AX378" s="0" t="s">
        <v>787</v>
      </c>
      <c r="AY378" s="0" t="s">
        <v>1810</v>
      </c>
      <c r="AZ378" s="0" t="s">
        <v>1811</v>
      </c>
      <c r="BA378" s="0" t="s">
        <v>285</v>
      </c>
      <c r="BB378" s="0" t="str">
        <f t="shared" si="5"/>
        <v>CCCRNimNjaba</v>
      </c>
    </row>
    <row r="379">
      <c r="AV379" s="0" t="s">
        <v>471</v>
      </c>
      <c r="AW379" s="0" t="s">
        <v>286</v>
      </c>
      <c r="AX379" s="0" t="s">
        <v>787</v>
      </c>
      <c r="AY379" s="0" t="s">
        <v>1812</v>
      </c>
      <c r="AZ379" s="0" t="s">
        <v>1813</v>
      </c>
      <c r="BA379" s="0" t="s">
        <v>285</v>
      </c>
      <c r="BB379" s="0" t="str">
        <f t="shared" si="5"/>
        <v>CCCRNimNjaba</v>
      </c>
    </row>
    <row r="380">
      <c r="AV380" s="0" t="s">
        <v>471</v>
      </c>
      <c r="AW380" s="0" t="s">
        <v>286</v>
      </c>
      <c r="AX380" s="0" t="s">
        <v>817</v>
      </c>
      <c r="AY380" s="0" t="s">
        <v>1814</v>
      </c>
      <c r="AZ380" s="0" t="s">
        <v>1815</v>
      </c>
      <c r="BA380" s="0" t="s">
        <v>285</v>
      </c>
      <c r="BB380" s="0" t="str">
        <f t="shared" si="5"/>
        <v>CCCRNimNkwerre</v>
      </c>
    </row>
    <row r="381">
      <c r="AV381" s="0" t="s">
        <v>471</v>
      </c>
      <c r="AW381" s="0" t="s">
        <v>286</v>
      </c>
      <c r="AX381" s="0" t="s">
        <v>817</v>
      </c>
      <c r="AY381" s="0" t="s">
        <v>1816</v>
      </c>
      <c r="AZ381" s="0" t="s">
        <v>1817</v>
      </c>
      <c r="BA381" s="0" t="s">
        <v>285</v>
      </c>
      <c r="BB381" s="0" t="str">
        <f t="shared" si="5"/>
        <v>CCCRNimNkwerre</v>
      </c>
    </row>
    <row r="382">
      <c r="AV382" s="0" t="s">
        <v>471</v>
      </c>
      <c r="AW382" s="0" t="s">
        <v>286</v>
      </c>
      <c r="AX382" s="0" t="s">
        <v>817</v>
      </c>
      <c r="AY382" s="0" t="s">
        <v>1818</v>
      </c>
      <c r="AZ382" s="0" t="s">
        <v>1819</v>
      </c>
      <c r="BA382" s="0" t="s">
        <v>285</v>
      </c>
      <c r="BB382" s="0" t="str">
        <f t="shared" si="5"/>
        <v>CCCRNimNkwerre</v>
      </c>
    </row>
    <row r="383">
      <c r="AV383" s="0" t="s">
        <v>471</v>
      </c>
      <c r="AW383" s="0" t="s">
        <v>286</v>
      </c>
      <c r="AX383" s="0" t="s">
        <v>817</v>
      </c>
      <c r="AY383" s="0" t="s">
        <v>1820</v>
      </c>
      <c r="AZ383" s="0" t="s">
        <v>1821</v>
      </c>
      <c r="BA383" s="0" t="s">
        <v>285</v>
      </c>
      <c r="BB383" s="0" t="str">
        <f t="shared" si="5"/>
        <v>CCCRNimNkwerre</v>
      </c>
    </row>
    <row r="384">
      <c r="AV384" s="0" t="s">
        <v>471</v>
      </c>
      <c r="AW384" s="0" t="s">
        <v>286</v>
      </c>
      <c r="AX384" s="0" t="s">
        <v>817</v>
      </c>
      <c r="AY384" s="0" t="s">
        <v>1822</v>
      </c>
      <c r="AZ384" s="0" t="s">
        <v>1823</v>
      </c>
      <c r="BA384" s="0" t="s">
        <v>285</v>
      </c>
      <c r="BB384" s="0" t="str">
        <f t="shared" si="5"/>
        <v>CCCRNimNkwerre</v>
      </c>
    </row>
    <row r="385">
      <c r="AV385" s="0" t="s">
        <v>471</v>
      </c>
      <c r="AW385" s="0" t="s">
        <v>286</v>
      </c>
      <c r="AX385" s="0" t="s">
        <v>845</v>
      </c>
      <c r="AY385" s="0" t="s">
        <v>1824</v>
      </c>
      <c r="AZ385" s="0" t="s">
        <v>1825</v>
      </c>
      <c r="BA385" s="0" t="s">
        <v>285</v>
      </c>
      <c r="BB385" s="0" t="str">
        <f t="shared" si="5"/>
        <v>CCCRNimNwangele</v>
      </c>
    </row>
    <row r="386">
      <c r="AV386" s="0" t="s">
        <v>471</v>
      </c>
      <c r="AW386" s="0" t="s">
        <v>286</v>
      </c>
      <c r="AX386" s="0" t="s">
        <v>845</v>
      </c>
      <c r="AY386" s="0" t="s">
        <v>1826</v>
      </c>
      <c r="AZ386" s="0" t="s">
        <v>1827</v>
      </c>
      <c r="BA386" s="0" t="s">
        <v>285</v>
      </c>
      <c r="BB386" s="0" t="str">
        <f t="shared" si="5"/>
        <v>CCCRNimNwangele</v>
      </c>
    </row>
    <row r="387">
      <c r="AV387" s="0" t="s">
        <v>471</v>
      </c>
      <c r="AW387" s="0" t="s">
        <v>286</v>
      </c>
      <c r="AX387" s="0" t="s">
        <v>845</v>
      </c>
      <c r="AY387" s="0" t="s">
        <v>1828</v>
      </c>
      <c r="AZ387" s="0" t="s">
        <v>1829</v>
      </c>
      <c r="BA387" s="0" t="s">
        <v>285</v>
      </c>
      <c r="BB387" s="0" t="str">
        <f ref="BB387:BB450" t="shared" si="6">SUBSTITUTE(SUBSTITUTE(BA387&amp;AX387," ",""),"-","")</f>
        <v>CCCRNimNwangele</v>
      </c>
    </row>
    <row r="388">
      <c r="AV388" s="0" t="s">
        <v>471</v>
      </c>
      <c r="AW388" s="0" t="s">
        <v>286</v>
      </c>
      <c r="AX388" s="0" t="s">
        <v>873</v>
      </c>
      <c r="AY388" s="0" t="s">
        <v>1830</v>
      </c>
      <c r="AZ388" s="0" t="s">
        <v>1831</v>
      </c>
      <c r="BA388" s="0" t="s">
        <v>285</v>
      </c>
      <c r="BB388" s="0" t="str">
        <f t="shared" si="6"/>
        <v>CCCRNimOguta</v>
      </c>
    </row>
    <row r="389">
      <c r="AV389" s="0" t="s">
        <v>471</v>
      </c>
      <c r="AW389" s="0" t="s">
        <v>286</v>
      </c>
      <c r="AX389" s="0" t="s">
        <v>873</v>
      </c>
      <c r="AY389" s="0" t="s">
        <v>1832</v>
      </c>
      <c r="AZ389" s="0" t="s">
        <v>1833</v>
      </c>
      <c r="BA389" s="0" t="s">
        <v>285</v>
      </c>
      <c r="BB389" s="0" t="str">
        <f t="shared" si="6"/>
        <v>CCCRNimOguta</v>
      </c>
    </row>
    <row r="390">
      <c r="AV390" s="0" t="s">
        <v>471</v>
      </c>
      <c r="AW390" s="0" t="s">
        <v>286</v>
      </c>
      <c r="AX390" s="0" t="s">
        <v>873</v>
      </c>
      <c r="AY390" s="0" t="s">
        <v>1834</v>
      </c>
      <c r="AZ390" s="0" t="s">
        <v>1835</v>
      </c>
      <c r="BA390" s="0" t="s">
        <v>285</v>
      </c>
      <c r="BB390" s="0" t="str">
        <f t="shared" si="6"/>
        <v>CCCRNimOguta</v>
      </c>
    </row>
    <row r="391">
      <c r="AV391" s="0" t="s">
        <v>471</v>
      </c>
      <c r="AW391" s="0" t="s">
        <v>286</v>
      </c>
      <c r="AX391" s="0" t="s">
        <v>873</v>
      </c>
      <c r="AY391" s="0" t="s">
        <v>1836</v>
      </c>
      <c r="AZ391" s="0" t="s">
        <v>1837</v>
      </c>
      <c r="BA391" s="0" t="s">
        <v>285</v>
      </c>
      <c r="BB391" s="0" t="str">
        <f t="shared" si="6"/>
        <v>CCCRNimOguta</v>
      </c>
    </row>
    <row r="392">
      <c r="AV392" s="0" t="s">
        <v>471</v>
      </c>
      <c r="AW392" s="0" t="s">
        <v>286</v>
      </c>
      <c r="AX392" s="0" t="s">
        <v>873</v>
      </c>
      <c r="AY392" s="0" t="s">
        <v>1838</v>
      </c>
      <c r="AZ392" s="0" t="s">
        <v>1839</v>
      </c>
      <c r="BA392" s="0" t="s">
        <v>285</v>
      </c>
      <c r="BB392" s="0" t="str">
        <f t="shared" si="6"/>
        <v>CCCRNimOguta</v>
      </c>
    </row>
    <row r="393">
      <c r="AV393" s="0" t="s">
        <v>471</v>
      </c>
      <c r="AW393" s="0" t="s">
        <v>286</v>
      </c>
      <c r="AX393" s="0" t="s">
        <v>1226</v>
      </c>
      <c r="AY393" s="304" t="s">
        <v>1840</v>
      </c>
      <c r="AZ393" s="0" t="s">
        <v>1841</v>
      </c>
      <c r="BA393" s="0" t="s">
        <v>285</v>
      </c>
      <c r="BB393" s="0" t="str">
        <f t="shared" si="6"/>
        <v>CCCRNimOhajiEgbema</v>
      </c>
    </row>
    <row r="394">
      <c r="AV394" s="0" t="s">
        <v>471</v>
      </c>
      <c r="AW394" s="0" t="s">
        <v>286</v>
      </c>
      <c r="AX394" s="0" t="s">
        <v>1226</v>
      </c>
      <c r="AY394" s="304" t="s">
        <v>1842</v>
      </c>
      <c r="AZ394" s="0" t="s">
        <v>1843</v>
      </c>
      <c r="BA394" s="0" t="s">
        <v>285</v>
      </c>
      <c r="BB394" s="0" t="str">
        <f t="shared" si="6"/>
        <v>CCCRNimOhajiEgbema</v>
      </c>
    </row>
    <row r="395">
      <c r="AV395" s="0" t="s">
        <v>471</v>
      </c>
      <c r="AW395" s="0" t="s">
        <v>286</v>
      </c>
      <c r="AX395" s="0" t="s">
        <v>1226</v>
      </c>
      <c r="AY395" s="304" t="s">
        <v>1844</v>
      </c>
      <c r="AZ395" s="0" t="s">
        <v>1845</v>
      </c>
      <c r="BA395" s="0" t="s">
        <v>285</v>
      </c>
      <c r="BB395" s="0" t="str">
        <f t="shared" si="6"/>
        <v>CCCRNimOhajiEgbema</v>
      </c>
    </row>
    <row r="396">
      <c r="AV396" s="0" t="s">
        <v>471</v>
      </c>
      <c r="AW396" s="0" t="s">
        <v>286</v>
      </c>
      <c r="AX396" s="0" t="s">
        <v>1226</v>
      </c>
      <c r="AY396" s="304" t="s">
        <v>1846</v>
      </c>
      <c r="AZ396" s="0" t="s">
        <v>1847</v>
      </c>
      <c r="BA396" s="0" t="s">
        <v>285</v>
      </c>
      <c r="BB396" s="0" t="str">
        <f t="shared" si="6"/>
        <v>CCCRNimOhajiEgbema</v>
      </c>
    </row>
    <row r="397">
      <c r="AV397" s="0" t="s">
        <v>471</v>
      </c>
      <c r="AW397" s="0" t="s">
        <v>286</v>
      </c>
      <c r="AX397" s="0" t="s">
        <v>1226</v>
      </c>
      <c r="AY397" s="304" t="s">
        <v>1848</v>
      </c>
      <c r="AZ397" s="0" t="s">
        <v>1849</v>
      </c>
      <c r="BA397" s="0" t="s">
        <v>285</v>
      </c>
      <c r="BB397" s="0" t="str">
        <f t="shared" si="6"/>
        <v>CCCRNimOhajiEgbema</v>
      </c>
    </row>
    <row r="398">
      <c r="AV398" s="0" t="s">
        <v>471</v>
      </c>
      <c r="AW398" s="0" t="s">
        <v>286</v>
      </c>
      <c r="AX398" s="0" t="s">
        <v>923</v>
      </c>
      <c r="AY398" s="0" t="s">
        <v>1850</v>
      </c>
      <c r="AZ398" s="0" t="s">
        <v>1851</v>
      </c>
      <c r="BA398" s="0" t="s">
        <v>285</v>
      </c>
      <c r="BB398" s="0" t="str">
        <f t="shared" si="6"/>
        <v>CCCRNimOrlu</v>
      </c>
    </row>
    <row r="399">
      <c r="AV399" s="0" t="s">
        <v>471</v>
      </c>
      <c r="AW399" s="0" t="s">
        <v>286</v>
      </c>
      <c r="AX399" s="0" t="s">
        <v>923</v>
      </c>
      <c r="AY399" s="0" t="s">
        <v>1852</v>
      </c>
      <c r="AZ399" s="0" t="s">
        <v>1853</v>
      </c>
      <c r="BA399" s="0" t="s">
        <v>285</v>
      </c>
      <c r="BB399" s="0" t="str">
        <f t="shared" si="6"/>
        <v>CCCRNimOrlu</v>
      </c>
    </row>
    <row r="400">
      <c r="AV400" s="0" t="s">
        <v>471</v>
      </c>
      <c r="AW400" s="0" t="s">
        <v>286</v>
      </c>
      <c r="AX400" s="0" t="s">
        <v>923</v>
      </c>
      <c r="AY400" s="0" t="s">
        <v>1854</v>
      </c>
      <c r="AZ400" s="0" t="s">
        <v>1855</v>
      </c>
      <c r="BA400" s="0" t="s">
        <v>285</v>
      </c>
      <c r="BB400" s="0" t="str">
        <f t="shared" si="6"/>
        <v>CCCRNimOrlu</v>
      </c>
    </row>
    <row r="401">
      <c r="AV401" s="0" t="s">
        <v>471</v>
      </c>
      <c r="AW401" s="0" t="s">
        <v>286</v>
      </c>
      <c r="AX401" s="0" t="s">
        <v>923</v>
      </c>
      <c r="AY401" s="0" t="s">
        <v>1856</v>
      </c>
      <c r="AZ401" s="0" t="s">
        <v>1857</v>
      </c>
      <c r="BA401" s="0" t="s">
        <v>285</v>
      </c>
      <c r="BB401" s="0" t="str">
        <f t="shared" si="6"/>
        <v>CCCRNimOrlu</v>
      </c>
    </row>
    <row r="402">
      <c r="AV402" s="0" t="s">
        <v>471</v>
      </c>
      <c r="AW402" s="0" t="s">
        <v>286</v>
      </c>
      <c r="AX402" s="0" t="s">
        <v>923</v>
      </c>
      <c r="AY402" s="0" t="s">
        <v>1858</v>
      </c>
      <c r="AZ402" s="0" t="s">
        <v>1859</v>
      </c>
      <c r="BA402" s="0" t="s">
        <v>285</v>
      </c>
      <c r="BB402" s="0" t="str">
        <f t="shared" si="6"/>
        <v>CCCRNimOrlu</v>
      </c>
    </row>
    <row r="403">
      <c r="AV403" s="0" t="s">
        <v>471</v>
      </c>
      <c r="AW403" s="0" t="s">
        <v>286</v>
      </c>
      <c r="AX403" s="0" t="s">
        <v>947</v>
      </c>
      <c r="AY403" s="0" t="s">
        <v>1860</v>
      </c>
      <c r="AZ403" s="0" t="s">
        <v>1861</v>
      </c>
      <c r="BA403" s="0" t="s">
        <v>285</v>
      </c>
      <c r="BB403" s="0" t="str">
        <f t="shared" si="6"/>
        <v>CCCRNimOrsu</v>
      </c>
    </row>
    <row r="404">
      <c r="AV404" s="0" t="s">
        <v>471</v>
      </c>
      <c r="AW404" s="0" t="s">
        <v>286</v>
      </c>
      <c r="AX404" s="0" t="s">
        <v>969</v>
      </c>
      <c r="AY404" s="0" t="s">
        <v>1862</v>
      </c>
      <c r="AZ404" s="0" t="s">
        <v>1863</v>
      </c>
      <c r="BA404" s="0" t="s">
        <v>285</v>
      </c>
      <c r="BB404" s="0" t="str">
        <f t="shared" si="6"/>
        <v>CCCRNimOruEast</v>
      </c>
    </row>
    <row r="405">
      <c r="AV405" s="0" t="s">
        <v>471</v>
      </c>
      <c r="AW405" s="0" t="s">
        <v>286</v>
      </c>
      <c r="AX405" s="0" t="s">
        <v>969</v>
      </c>
      <c r="AY405" s="0" t="s">
        <v>1864</v>
      </c>
      <c r="AZ405" s="0" t="s">
        <v>1865</v>
      </c>
      <c r="BA405" s="0" t="s">
        <v>285</v>
      </c>
      <c r="BB405" s="0" t="str">
        <f t="shared" si="6"/>
        <v>CCCRNimOruEast</v>
      </c>
    </row>
    <row r="406">
      <c r="AV406" s="0" t="s">
        <v>471</v>
      </c>
      <c r="AW406" s="0" t="s">
        <v>286</v>
      </c>
      <c r="AX406" s="0" t="s">
        <v>969</v>
      </c>
      <c r="AY406" s="0" t="s">
        <v>1866</v>
      </c>
      <c r="AZ406" s="0" t="s">
        <v>1867</v>
      </c>
      <c r="BA406" s="0" t="s">
        <v>285</v>
      </c>
      <c r="BB406" s="0" t="str">
        <f t="shared" si="6"/>
        <v>CCCRNimOruEast</v>
      </c>
    </row>
    <row r="407">
      <c r="AV407" s="0" t="s">
        <v>471</v>
      </c>
      <c r="AW407" s="0" t="s">
        <v>286</v>
      </c>
      <c r="AX407" s="0" t="s">
        <v>969</v>
      </c>
      <c r="AY407" s="0" t="s">
        <v>1868</v>
      </c>
      <c r="AZ407" s="0" t="s">
        <v>1869</v>
      </c>
      <c r="BA407" s="0" t="s">
        <v>285</v>
      </c>
      <c r="BB407" s="0" t="str">
        <f t="shared" si="6"/>
        <v>CCCRNimOruEast</v>
      </c>
    </row>
    <row r="408">
      <c r="AV408" s="0" t="s">
        <v>471</v>
      </c>
      <c r="AW408" s="0" t="s">
        <v>286</v>
      </c>
      <c r="AX408" s="0" t="s">
        <v>969</v>
      </c>
      <c r="AY408" s="0" t="s">
        <v>1870</v>
      </c>
      <c r="AZ408" s="0" t="s">
        <v>1871</v>
      </c>
      <c r="BA408" s="0" t="s">
        <v>285</v>
      </c>
      <c r="BB408" s="0" t="str">
        <f t="shared" si="6"/>
        <v>CCCRNimOruEast</v>
      </c>
    </row>
    <row r="409">
      <c r="AV409" s="0" t="s">
        <v>471</v>
      </c>
      <c r="AW409" s="0" t="s">
        <v>286</v>
      </c>
      <c r="AX409" s="0" t="s">
        <v>988</v>
      </c>
      <c r="AY409" s="0" t="s">
        <v>1872</v>
      </c>
      <c r="AZ409" s="0" t="s">
        <v>1873</v>
      </c>
      <c r="BA409" s="0" t="s">
        <v>285</v>
      </c>
      <c r="BB409" s="0" t="str">
        <f t="shared" si="6"/>
        <v>CCCRNimOruWest</v>
      </c>
    </row>
    <row r="410">
      <c r="AV410" s="0" t="s">
        <v>471</v>
      </c>
      <c r="AW410" s="0" t="s">
        <v>286</v>
      </c>
      <c r="AX410" s="0" t="s">
        <v>1005</v>
      </c>
      <c r="AY410" s="0" t="s">
        <v>1874</v>
      </c>
      <c r="AZ410" s="0" t="s">
        <v>1875</v>
      </c>
      <c r="BA410" s="0" t="s">
        <v>285</v>
      </c>
      <c r="BB410" s="0" t="str">
        <f t="shared" si="6"/>
        <v>CCCRNimOwerriMunicipal</v>
      </c>
    </row>
    <row r="411">
      <c r="AV411" s="0" t="s">
        <v>471</v>
      </c>
      <c r="AW411" s="0" t="s">
        <v>286</v>
      </c>
      <c r="AX411" s="0" t="s">
        <v>1005</v>
      </c>
      <c r="AY411" s="0" t="s">
        <v>1876</v>
      </c>
      <c r="AZ411" s="0" t="s">
        <v>1877</v>
      </c>
      <c r="BA411" s="0" t="s">
        <v>285</v>
      </c>
      <c r="BB411" s="0" t="str">
        <f t="shared" si="6"/>
        <v>CCCRNimOwerriMunicipal</v>
      </c>
    </row>
    <row r="412">
      <c r="AV412" s="0" t="s">
        <v>471</v>
      </c>
      <c r="AW412" s="0" t="s">
        <v>286</v>
      </c>
      <c r="AX412" s="0" t="s">
        <v>1005</v>
      </c>
      <c r="AY412" s="0" t="s">
        <v>1878</v>
      </c>
      <c r="AZ412" s="0" t="s">
        <v>1879</v>
      </c>
      <c r="BA412" s="0" t="s">
        <v>285</v>
      </c>
      <c r="BB412" s="0" t="str">
        <f t="shared" si="6"/>
        <v>CCCRNimOwerriMunicipal</v>
      </c>
    </row>
    <row r="413">
      <c r="AV413" s="0" t="s">
        <v>471</v>
      </c>
      <c r="AW413" s="0" t="s">
        <v>286</v>
      </c>
      <c r="AX413" s="0" t="s">
        <v>1005</v>
      </c>
      <c r="AY413" s="0" t="s">
        <v>1880</v>
      </c>
      <c r="AZ413" s="0" t="s">
        <v>1881</v>
      </c>
      <c r="BA413" s="0" t="s">
        <v>285</v>
      </c>
      <c r="BB413" s="0" t="str">
        <f t="shared" si="6"/>
        <v>CCCRNimOwerriMunicipal</v>
      </c>
    </row>
    <row r="414">
      <c r="AV414" s="0" t="s">
        <v>471</v>
      </c>
      <c r="AW414" s="0" t="s">
        <v>286</v>
      </c>
      <c r="AX414" s="0" t="s">
        <v>1005</v>
      </c>
      <c r="AY414" s="0" t="s">
        <v>1882</v>
      </c>
      <c r="AZ414" s="0" t="s">
        <v>1883</v>
      </c>
      <c r="BA414" s="0" t="s">
        <v>285</v>
      </c>
      <c r="BB414" s="0" t="str">
        <f t="shared" si="6"/>
        <v>CCCRNimOwerriMunicipal</v>
      </c>
    </row>
    <row r="415">
      <c r="AV415" s="0" t="s">
        <v>471</v>
      </c>
      <c r="AW415" s="0" t="s">
        <v>286</v>
      </c>
      <c r="AX415" s="0" t="s">
        <v>1021</v>
      </c>
      <c r="AY415" s="0" t="s">
        <v>1884</v>
      </c>
      <c r="AZ415" s="0" t="s">
        <v>1885</v>
      </c>
      <c r="BA415" s="0" t="s">
        <v>285</v>
      </c>
      <c r="BB415" s="0" t="str">
        <f t="shared" si="6"/>
        <v>CCCRNimOwerriNorth</v>
      </c>
    </row>
    <row r="416">
      <c r="AV416" s="0" t="s">
        <v>471</v>
      </c>
      <c r="AW416" s="0" t="s">
        <v>286</v>
      </c>
      <c r="AX416" s="0" t="s">
        <v>1021</v>
      </c>
      <c r="AY416" s="0" t="s">
        <v>1886</v>
      </c>
      <c r="AZ416" s="0" t="s">
        <v>1887</v>
      </c>
      <c r="BA416" s="0" t="s">
        <v>285</v>
      </c>
      <c r="BB416" s="0" t="str">
        <f t="shared" si="6"/>
        <v>CCCRNimOwerriNorth</v>
      </c>
    </row>
    <row r="417">
      <c r="AV417" s="0" t="s">
        <v>471</v>
      </c>
      <c r="AW417" s="0" t="s">
        <v>286</v>
      </c>
      <c r="AX417" s="0" t="s">
        <v>1021</v>
      </c>
      <c r="AY417" s="0" t="s">
        <v>1888</v>
      </c>
      <c r="AZ417" s="0" t="s">
        <v>1889</v>
      </c>
      <c r="BA417" s="0" t="s">
        <v>285</v>
      </c>
      <c r="BB417" s="0" t="str">
        <f t="shared" si="6"/>
        <v>CCCRNimOwerriNorth</v>
      </c>
    </row>
    <row r="418">
      <c r="AV418" s="0" t="s">
        <v>471</v>
      </c>
      <c r="AW418" s="0" t="s">
        <v>286</v>
      </c>
      <c r="AX418" s="0" t="s">
        <v>1021</v>
      </c>
      <c r="AY418" s="0" t="s">
        <v>1890</v>
      </c>
      <c r="AZ418" s="0" t="s">
        <v>1891</v>
      </c>
      <c r="BA418" s="0" t="s">
        <v>285</v>
      </c>
      <c r="BB418" s="0" t="str">
        <f t="shared" si="6"/>
        <v>CCCRNimOwerriNorth</v>
      </c>
    </row>
    <row r="419">
      <c r="AV419" s="0" t="s">
        <v>471</v>
      </c>
      <c r="AW419" s="0" t="s">
        <v>286</v>
      </c>
      <c r="AX419" s="0" t="s">
        <v>1021</v>
      </c>
      <c r="AY419" s="0" t="s">
        <v>1892</v>
      </c>
      <c r="AZ419" s="0" t="s">
        <v>1893</v>
      </c>
      <c r="BA419" s="0" t="s">
        <v>285</v>
      </c>
      <c r="BB419" s="0" t="str">
        <f t="shared" si="6"/>
        <v>CCCRNimOwerriNorth</v>
      </c>
    </row>
    <row r="420">
      <c r="AV420" s="0" t="s">
        <v>471</v>
      </c>
      <c r="AW420" s="0" t="s">
        <v>286</v>
      </c>
      <c r="AX420" s="0" t="s">
        <v>1036</v>
      </c>
      <c r="AY420" s="0" t="s">
        <v>1894</v>
      </c>
      <c r="AZ420" s="0" t="s">
        <v>1895</v>
      </c>
      <c r="BA420" s="0" t="s">
        <v>285</v>
      </c>
      <c r="BB420" s="0" t="str">
        <f t="shared" si="6"/>
        <v>CCCRNimOwerriWest</v>
      </c>
    </row>
    <row r="421">
      <c r="AV421" s="0" t="s">
        <v>471</v>
      </c>
      <c r="AW421" s="0" t="s">
        <v>286</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402</v>
      </c>
      <c r="AX478" s="0" t="s">
        <v>448</v>
      </c>
      <c r="AY478" s="0" t="s">
        <v>2010</v>
      </c>
      <c r="AZ478" s="0" t="s">
        <v>2011</v>
      </c>
      <c r="BA478" s="0" t="s">
        <v>515</v>
      </c>
      <c r="BB478" s="0" t="str">
        <f t="shared" si="7"/>
        <v>CCFNfcAbujaMunicipalAreaCouncil</v>
      </c>
    </row>
    <row r="479">
      <c r="AV479" s="0" t="s">
        <v>471</v>
      </c>
      <c r="AW479" s="0" t="s">
        <v>402</v>
      </c>
      <c r="AX479" s="0" t="s">
        <v>448</v>
      </c>
      <c r="AY479" s="0" t="s">
        <v>2012</v>
      </c>
      <c r="AZ479" s="0" t="s">
        <v>2013</v>
      </c>
      <c r="BA479" s="0" t="s">
        <v>515</v>
      </c>
      <c r="BB479" s="0" t="str">
        <f t="shared" si="7"/>
        <v>CCFNfcAbujaMunicipalAreaCouncil</v>
      </c>
    </row>
    <row r="480">
      <c r="AV480" s="0" t="s">
        <v>471</v>
      </c>
      <c r="AW480" s="0" t="s">
        <v>402</v>
      </c>
      <c r="AX480" s="0" t="s">
        <v>448</v>
      </c>
      <c r="AY480" s="0" t="s">
        <v>2014</v>
      </c>
      <c r="AZ480" s="0" t="s">
        <v>2015</v>
      </c>
      <c r="BA480" s="0" t="s">
        <v>515</v>
      </c>
      <c r="BB480" s="0" t="str">
        <f t="shared" si="7"/>
        <v>CCFNfcAbujaMunicipalAreaCouncil</v>
      </c>
    </row>
    <row r="481">
      <c r="AV481" s="0" t="s">
        <v>471</v>
      </c>
      <c r="AW481" s="0" t="s">
        <v>402</v>
      </c>
      <c r="AX481" s="0" t="s">
        <v>448</v>
      </c>
      <c r="AY481" s="0" t="s">
        <v>2016</v>
      </c>
      <c r="AZ481" s="0" t="s">
        <v>2017</v>
      </c>
      <c r="BA481" s="0" t="s">
        <v>515</v>
      </c>
      <c r="BB481" s="0" t="str">
        <f t="shared" si="7"/>
        <v>CCFNfcAbujaMunicipalAreaCouncil</v>
      </c>
    </row>
    <row r="482">
      <c r="AV482" s="0" t="s">
        <v>471</v>
      </c>
      <c r="AW482" s="0" t="s">
        <v>402</v>
      </c>
      <c r="AX482" s="0" t="s">
        <v>491</v>
      </c>
      <c r="AY482" s="0" t="s">
        <v>2018</v>
      </c>
      <c r="AZ482" s="0" t="s">
        <v>2019</v>
      </c>
      <c r="BA482" s="0" t="s">
        <v>515</v>
      </c>
      <c r="BB482" s="0" t="str">
        <f t="shared" si="7"/>
        <v>CCFNfcBwari</v>
      </c>
    </row>
    <row r="483">
      <c r="AV483" s="0" t="s">
        <v>471</v>
      </c>
      <c r="AW483" s="0" t="s">
        <v>402</v>
      </c>
      <c r="AX483" s="0" t="s">
        <v>491</v>
      </c>
      <c r="AY483" s="0" t="s">
        <v>2020</v>
      </c>
      <c r="AZ483" s="0" t="s">
        <v>2021</v>
      </c>
      <c r="BA483" s="0" t="s">
        <v>515</v>
      </c>
      <c r="BB483" s="0" t="str">
        <f t="shared" si="7"/>
        <v>CCFNfcBwari</v>
      </c>
    </row>
    <row r="484">
      <c r="AV484" s="0" t="s">
        <v>471</v>
      </c>
      <c r="AW484" s="0" t="s">
        <v>402</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492</v>
      </c>
      <c r="AY755" s="0" t="s">
        <v>2563</v>
      </c>
      <c r="AZ755" s="0" t="s">
        <v>2564</v>
      </c>
      <c r="BA755" s="0" t="s">
        <v>595</v>
      </c>
      <c r="BB755" s="0" t="str">
        <f t="shared" si="11"/>
        <v>CIHPgoBilliri</v>
      </c>
    </row>
    <row r="756">
      <c r="AV756" s="0" t="s">
        <v>471</v>
      </c>
      <c r="AW756" s="0" t="s">
        <v>403</v>
      </c>
      <c r="AX756" s="0" t="s">
        <v>492</v>
      </c>
      <c r="AY756" s="0" t="s">
        <v>2565</v>
      </c>
      <c r="AZ756" s="0" t="s">
        <v>2566</v>
      </c>
      <c r="BA756" s="0" t="s">
        <v>595</v>
      </c>
      <c r="BB756" s="0" t="str">
        <f t="shared" si="11"/>
        <v>CIHPgoBilliri</v>
      </c>
    </row>
    <row r="757">
      <c r="AV757" s="0" t="s">
        <v>471</v>
      </c>
      <c r="AW757" s="0" t="s">
        <v>403</v>
      </c>
      <c r="AX757" s="0" t="s">
        <v>492</v>
      </c>
      <c r="AY757" s="0" t="s">
        <v>2567</v>
      </c>
      <c r="AZ757" s="0" t="s">
        <v>2568</v>
      </c>
      <c r="BA757" s="0" t="s">
        <v>595</v>
      </c>
      <c r="BB757" s="0" t="str">
        <f t="shared" si="11"/>
        <v>CIHPgoBilliri</v>
      </c>
    </row>
    <row r="758">
      <c r="AV758" s="0" t="s">
        <v>471</v>
      </c>
      <c r="AW758" s="0" t="s">
        <v>403</v>
      </c>
      <c r="AX758" s="0" t="s">
        <v>492</v>
      </c>
      <c r="AY758" s="0" t="s">
        <v>2569</v>
      </c>
      <c r="AZ758" s="0" t="s">
        <v>2570</v>
      </c>
      <c r="BA758" s="0" t="s">
        <v>595</v>
      </c>
      <c r="BB758" s="0" t="str">
        <f t="shared" si="11"/>
        <v>CIHPgoBilliri</v>
      </c>
    </row>
    <row r="759">
      <c r="AV759" s="0" t="s">
        <v>471</v>
      </c>
      <c r="AW759" s="0" t="s">
        <v>403</v>
      </c>
      <c r="AX759" s="0" t="s">
        <v>533</v>
      </c>
      <c r="AY759" s="0" t="s">
        <v>2571</v>
      </c>
      <c r="AZ759" s="0" t="s">
        <v>2572</v>
      </c>
      <c r="BA759" s="0" t="s">
        <v>595</v>
      </c>
      <c r="BB759" s="0" t="str">
        <f t="shared" si="11"/>
        <v>CIHPgoDukku</v>
      </c>
    </row>
    <row r="760">
      <c r="AV760" s="0" t="s">
        <v>471</v>
      </c>
      <c r="AW760" s="0" t="s">
        <v>403</v>
      </c>
      <c r="AX760" s="0" t="s">
        <v>533</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286</v>
      </c>
      <c r="AX929" s="0" t="s">
        <v>1049</v>
      </c>
      <c r="AY929" s="0" t="s">
        <v>2911</v>
      </c>
      <c r="AZ929" s="0" t="s">
        <v>2912</v>
      </c>
      <c r="BA929" s="0" t="s">
        <v>634</v>
      </c>
      <c r="BB929" s="0" t="str">
        <f t="shared" si="14"/>
        <v>ECEWSimEhimeMbano</v>
      </c>
    </row>
    <row r="930">
      <c r="AV930" s="0" t="s">
        <v>471</v>
      </c>
      <c r="AW930" s="0" t="s">
        <v>286</v>
      </c>
      <c r="AX930" s="0" t="s">
        <v>1049</v>
      </c>
      <c r="AY930" s="0" t="s">
        <v>2913</v>
      </c>
      <c r="AZ930" s="0" t="s">
        <v>2914</v>
      </c>
      <c r="BA930" s="0" t="s">
        <v>634</v>
      </c>
      <c r="BB930" s="0" t="str">
        <f t="shared" si="14"/>
        <v>ECEWSimEhimeMbano</v>
      </c>
    </row>
    <row r="931">
      <c r="AV931" s="0" t="s">
        <v>471</v>
      </c>
      <c r="AW931" s="0" t="s">
        <v>286</v>
      </c>
      <c r="AX931" s="0" t="s">
        <v>1049</v>
      </c>
      <c r="AY931" s="0" t="s">
        <v>2915</v>
      </c>
      <c r="AZ931" s="0" t="s">
        <v>2916</v>
      </c>
      <c r="BA931" s="0" t="s">
        <v>634</v>
      </c>
      <c r="BB931" s="0" t="str">
        <f t="shared" si="14"/>
        <v>ECEWSimEhimeMbano</v>
      </c>
    </row>
    <row r="932">
      <c r="AV932" s="0" t="s">
        <v>471</v>
      </c>
      <c r="AW932" s="0" t="s">
        <v>286</v>
      </c>
      <c r="AX932" s="0" t="s">
        <v>1049</v>
      </c>
      <c r="AY932" s="0" t="s">
        <v>2917</v>
      </c>
      <c r="AZ932" s="0" t="s">
        <v>2918</v>
      </c>
      <c r="BA932" s="0" t="s">
        <v>634</v>
      </c>
      <c r="BB932" s="0" t="str">
        <f t="shared" si="14"/>
        <v>ECEWSimEhimeMbano</v>
      </c>
    </row>
    <row r="933">
      <c r="AV933" s="0" t="s">
        <v>471</v>
      </c>
      <c r="AW933" s="0" t="s">
        <v>286</v>
      </c>
      <c r="AX933" s="0" t="s">
        <v>1493</v>
      </c>
      <c r="AY933" s="304" t="s">
        <v>2919</v>
      </c>
      <c r="AZ933" s="0" t="s">
        <v>2920</v>
      </c>
      <c r="BA933" s="0" t="s">
        <v>634</v>
      </c>
      <c r="BB933" s="0" t="str">
        <f t="shared" si="14"/>
        <v>ECEWSimIhitteUboma</v>
      </c>
    </row>
    <row r="934">
      <c r="AV934" s="0" t="s">
        <v>471</v>
      </c>
      <c r="AW934" s="0" t="s">
        <v>286</v>
      </c>
      <c r="AX934" s="0" t="s">
        <v>1493</v>
      </c>
      <c r="AY934" s="304" t="s">
        <v>2921</v>
      </c>
      <c r="AZ934" s="0" t="s">
        <v>2922</v>
      </c>
      <c r="BA934" s="0" t="s">
        <v>634</v>
      </c>
      <c r="BB934" s="0" t="str">
        <f t="shared" si="14"/>
        <v>ECEWSimIhitteUboma</v>
      </c>
    </row>
    <row r="935">
      <c r="AV935" s="0" t="s">
        <v>471</v>
      </c>
      <c r="AW935" s="0" t="s">
        <v>286</v>
      </c>
      <c r="AX935" s="0" t="s">
        <v>1493</v>
      </c>
      <c r="AY935" s="304" t="s">
        <v>2911</v>
      </c>
      <c r="AZ935" s="0" t="s">
        <v>2923</v>
      </c>
      <c r="BA935" s="0" t="s">
        <v>634</v>
      </c>
      <c r="BB935" s="0" t="str">
        <f t="shared" si="14"/>
        <v>ECEWSimIhitteUboma</v>
      </c>
    </row>
    <row r="936">
      <c r="AV936" s="0" t="s">
        <v>471</v>
      </c>
      <c r="AW936" s="0" t="s">
        <v>286</v>
      </c>
      <c r="AX936" s="0" t="s">
        <v>1070</v>
      </c>
      <c r="AY936" s="0" t="s">
        <v>2924</v>
      </c>
      <c r="AZ936" s="0" t="s">
        <v>2925</v>
      </c>
      <c r="BA936" s="0" t="s">
        <v>634</v>
      </c>
      <c r="BB936" s="0" t="str">
        <f t="shared" si="14"/>
        <v>ECEWSimIsialaMbano</v>
      </c>
    </row>
    <row r="937">
      <c r="AV937" s="0" t="s">
        <v>471</v>
      </c>
      <c r="AW937" s="0" t="s">
        <v>286</v>
      </c>
      <c r="AX937" s="0" t="s">
        <v>1078</v>
      </c>
      <c r="AY937" s="0" t="s">
        <v>2926</v>
      </c>
      <c r="AZ937" s="0" t="s">
        <v>2927</v>
      </c>
      <c r="BA937" s="0" t="s">
        <v>634</v>
      </c>
      <c r="BB937" s="0" t="str">
        <f t="shared" si="14"/>
        <v>ECEWSimObowo</v>
      </c>
    </row>
    <row r="938">
      <c r="AV938" s="0" t="s">
        <v>471</v>
      </c>
      <c r="AW938" s="0" t="s">
        <v>286</v>
      </c>
      <c r="AX938" s="0" t="s">
        <v>1078</v>
      </c>
      <c r="AY938" s="0" t="s">
        <v>2928</v>
      </c>
      <c r="AZ938" s="0" t="s">
        <v>2929</v>
      </c>
      <c r="BA938" s="0" t="s">
        <v>634</v>
      </c>
      <c r="BB938" s="0" t="str">
        <f t="shared" si="14"/>
        <v>ECEWSimObowo</v>
      </c>
    </row>
    <row r="939">
      <c r="AV939" s="0" t="s">
        <v>471</v>
      </c>
      <c r="AW939" s="0" t="s">
        <v>286</v>
      </c>
      <c r="AX939" s="0" t="s">
        <v>1086</v>
      </c>
      <c r="AY939" s="0" t="s">
        <v>2930</v>
      </c>
      <c r="AZ939" s="0" t="s">
        <v>2931</v>
      </c>
      <c r="BA939" s="0" t="s">
        <v>634</v>
      </c>
      <c r="BB939" s="0" t="str">
        <f t="shared" si="14"/>
        <v>ECEWSimOkigwe</v>
      </c>
    </row>
    <row r="940">
      <c r="AV940" s="0" t="s">
        <v>471</v>
      </c>
      <c r="AW940" s="0" t="s">
        <v>286</v>
      </c>
      <c r="AX940" s="0" t="s">
        <v>1086</v>
      </c>
      <c r="AY940" s="0" t="s">
        <v>2932</v>
      </c>
      <c r="AZ940" s="0" t="s">
        <v>2933</v>
      </c>
      <c r="BA940" s="0" t="s">
        <v>634</v>
      </c>
      <c r="BB940" s="0" t="str">
        <f t="shared" si="14"/>
        <v>ECEWSimOkigwe</v>
      </c>
    </row>
    <row r="941">
      <c r="AV941" s="0" t="s">
        <v>471</v>
      </c>
      <c r="AW941" s="0" t="s">
        <v>286</v>
      </c>
      <c r="AX941" s="0" t="s">
        <v>1086</v>
      </c>
      <c r="AY941" s="0" t="s">
        <v>2934</v>
      </c>
      <c r="AZ941" s="0" t="s">
        <v>2935</v>
      </c>
      <c r="BA941" s="0" t="s">
        <v>634</v>
      </c>
      <c r="BB941" s="0" t="str">
        <f t="shared" si="14"/>
        <v>ECEWSimOkigwe</v>
      </c>
    </row>
    <row r="942">
      <c r="AV942" s="0" t="s">
        <v>471</v>
      </c>
      <c r="AW942" s="0" t="s">
        <v>286</v>
      </c>
      <c r="AX942" s="0" t="s">
        <v>1093</v>
      </c>
      <c r="AY942" s="0" t="s">
        <v>2936</v>
      </c>
      <c r="AZ942" s="0" t="s">
        <v>2937</v>
      </c>
      <c r="BA942" s="0" t="s">
        <v>634</v>
      </c>
      <c r="BB942" s="0" t="str">
        <f t="shared" si="14"/>
        <v>ECEWSimOnuimo</v>
      </c>
    </row>
    <row r="943">
      <c r="AV943" s="0" t="s">
        <v>471</v>
      </c>
      <c r="AW943" s="0" t="s">
        <v>286</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532</v>
      </c>
      <c r="AY1132" s="0" t="s">
        <v>3313</v>
      </c>
      <c r="AZ1132" s="0" t="s">
        <v>3314</v>
      </c>
      <c r="BA1132" s="0" t="s">
        <v>708</v>
      </c>
      <c r="BB1132" s="0" t="str">
        <f t="shared" si="17"/>
        <v>IHVNfcAbaji</v>
      </c>
    </row>
    <row r="1133">
      <c r="AV1133" s="0" t="s">
        <v>471</v>
      </c>
      <c r="AW1133" s="0" t="s">
        <v>402</v>
      </c>
      <c r="AX1133" s="0" t="s">
        <v>532</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491</v>
      </c>
      <c r="AY1226" s="0" t="s">
        <v>3501</v>
      </c>
      <c r="AZ1226" s="0" t="s">
        <v>3502</v>
      </c>
      <c r="BA1226" s="0" t="s">
        <v>708</v>
      </c>
      <c r="BB1226" s="0" t="str">
        <f t="shared" si="19"/>
        <v>IHVNfcBwari</v>
      </c>
    </row>
    <row r="1227">
      <c r="AV1227" s="0" t="s">
        <v>471</v>
      </c>
      <c r="AW1227" s="0" t="s">
        <v>402</v>
      </c>
      <c r="AX1227" s="0" t="s">
        <v>491</v>
      </c>
      <c r="AY1227" s="0" t="s">
        <v>3503</v>
      </c>
      <c r="AZ1227" s="0" t="s">
        <v>3504</v>
      </c>
      <c r="BA1227" s="0" t="s">
        <v>708</v>
      </c>
      <c r="BB1227" s="0" t="str">
        <f t="shared" si="19"/>
        <v>IHVNfcBwari</v>
      </c>
    </row>
    <row r="1228">
      <c r="AV1228" s="0" t="s">
        <v>471</v>
      </c>
      <c r="AW1228" s="0" t="s">
        <v>402</v>
      </c>
      <c r="AX1228" s="0" t="s">
        <v>491</v>
      </c>
      <c r="AY1228" s="0" t="s">
        <v>3505</v>
      </c>
      <c r="AZ1228" s="0" t="s">
        <v>3506</v>
      </c>
      <c r="BA1228" s="0" t="s">
        <v>708</v>
      </c>
      <c r="BB1228" s="0" t="str">
        <f t="shared" si="19"/>
        <v>IHVNfcBwari</v>
      </c>
    </row>
    <row r="1229">
      <c r="AV1229" s="0" t="s">
        <v>471</v>
      </c>
      <c r="AW1229" s="0" t="s">
        <v>402</v>
      </c>
      <c r="AX1229" s="0" t="s">
        <v>491</v>
      </c>
      <c r="AY1229" s="0" t="s">
        <v>3507</v>
      </c>
      <c r="AZ1229" s="0" t="s">
        <v>3508</v>
      </c>
      <c r="BA1229" s="0" t="s">
        <v>708</v>
      </c>
      <c r="BB1229" s="0" t="str">
        <f t="shared" si="19"/>
        <v>IHVNfcBwari</v>
      </c>
    </row>
    <row r="1230">
      <c r="AV1230" s="0" t="s">
        <v>471</v>
      </c>
      <c r="AW1230" s="0" t="s">
        <v>402</v>
      </c>
      <c r="AX1230" s="0" t="s">
        <v>491</v>
      </c>
      <c r="AY1230" s="0" t="s">
        <v>3509</v>
      </c>
      <c r="AZ1230" s="0" t="s">
        <v>3510</v>
      </c>
      <c r="BA1230" s="0" t="s">
        <v>708</v>
      </c>
      <c r="BB1230" s="0" t="str">
        <f t="shared" si="19"/>
        <v>IHVNfcBwari</v>
      </c>
    </row>
    <row r="1231">
      <c r="AV1231" s="0" t="s">
        <v>471</v>
      </c>
      <c r="AW1231" s="0" t="s">
        <v>402</v>
      </c>
      <c r="AX1231" s="0" t="s">
        <v>491</v>
      </c>
      <c r="AY1231" s="0" t="s">
        <v>3511</v>
      </c>
      <c r="AZ1231" s="0" t="s">
        <v>3512</v>
      </c>
      <c r="BA1231" s="0" t="s">
        <v>708</v>
      </c>
      <c r="BB1231" s="0" t="str">
        <f t="shared" si="19"/>
        <v>IHVNfcBwari</v>
      </c>
    </row>
    <row r="1232">
      <c r="AV1232" s="0" t="s">
        <v>471</v>
      </c>
      <c r="AW1232" s="0" t="s">
        <v>402</v>
      </c>
      <c r="AX1232" s="0" t="s">
        <v>491</v>
      </c>
      <c r="AY1232" s="0" t="s">
        <v>3513</v>
      </c>
      <c r="AZ1232" s="0" t="s">
        <v>3514</v>
      </c>
      <c r="BA1232" s="0" t="s">
        <v>708</v>
      </c>
      <c r="BB1232" s="0" t="str">
        <f t="shared" si="19"/>
        <v>IHVNfcBwari</v>
      </c>
    </row>
    <row r="1233">
      <c r="AV1233" s="0" t="s">
        <v>471</v>
      </c>
      <c r="AW1233" s="0" t="s">
        <v>402</v>
      </c>
      <c r="AX1233" s="0" t="s">
        <v>491</v>
      </c>
      <c r="AY1233" s="0" t="s">
        <v>3515</v>
      </c>
      <c r="AZ1233" s="0" t="s">
        <v>3516</v>
      </c>
      <c r="BA1233" s="0" t="s">
        <v>708</v>
      </c>
      <c r="BB1233" s="0" t="str">
        <f t="shared" si="19"/>
        <v>IHVNfcBwari</v>
      </c>
    </row>
    <row r="1234">
      <c r="AV1234" s="0" t="s">
        <v>471</v>
      </c>
      <c r="AW1234" s="0" t="s">
        <v>402</v>
      </c>
      <c r="AX1234" s="0" t="s">
        <v>491</v>
      </c>
      <c r="AY1234" s="0" t="s">
        <v>3517</v>
      </c>
      <c r="AZ1234" s="0" t="s">
        <v>3518</v>
      </c>
      <c r="BA1234" s="0" t="s">
        <v>708</v>
      </c>
      <c r="BB1234" s="0" t="str">
        <f t="shared" si="19"/>
        <v>IHVNfcBwari</v>
      </c>
    </row>
    <row r="1235">
      <c r="AV1235" s="0" t="s">
        <v>471</v>
      </c>
      <c r="AW1235" s="0" t="s">
        <v>402</v>
      </c>
      <c r="AX1235" s="0" t="s">
        <v>491</v>
      </c>
      <c r="AY1235" s="0" t="s">
        <v>3519</v>
      </c>
      <c r="AZ1235" s="0" t="s">
        <v>3520</v>
      </c>
      <c r="BA1235" s="0" t="s">
        <v>708</v>
      </c>
      <c r="BB1235" s="0" t="str">
        <f t="shared" si="19"/>
        <v>IHVNfcBwari</v>
      </c>
    </row>
    <row r="1236">
      <c r="AV1236" s="0" t="s">
        <v>471</v>
      </c>
      <c r="AW1236" s="0" t="s">
        <v>402</v>
      </c>
      <c r="AX1236" s="0" t="s">
        <v>491</v>
      </c>
      <c r="AY1236" s="0" t="s">
        <v>3521</v>
      </c>
      <c r="AZ1236" s="0" t="s">
        <v>3522</v>
      </c>
      <c r="BA1236" s="0" t="s">
        <v>708</v>
      </c>
      <c r="BB1236" s="0" t="str">
        <f t="shared" si="19"/>
        <v>IHVNfcBwari</v>
      </c>
    </row>
    <row r="1237">
      <c r="AV1237" s="0" t="s">
        <v>471</v>
      </c>
      <c r="AW1237" s="0" t="s">
        <v>402</v>
      </c>
      <c r="AX1237" s="0" t="s">
        <v>491</v>
      </c>
      <c r="AY1237" s="0" t="s">
        <v>3523</v>
      </c>
      <c r="AZ1237" s="0" t="s">
        <v>3524</v>
      </c>
      <c r="BA1237" s="0" t="s">
        <v>708</v>
      </c>
      <c r="BB1237" s="0" t="str">
        <f t="shared" si="19"/>
        <v>IHVNfcBwari</v>
      </c>
    </row>
    <row r="1238">
      <c r="AV1238" s="0" t="s">
        <v>471</v>
      </c>
      <c r="AW1238" s="0" t="s">
        <v>402</v>
      </c>
      <c r="AX1238" s="0" t="s">
        <v>491</v>
      </c>
      <c r="AY1238" s="0" t="s">
        <v>3525</v>
      </c>
      <c r="AZ1238" s="0" t="s">
        <v>3526</v>
      </c>
      <c r="BA1238" s="0" t="s">
        <v>708</v>
      </c>
      <c r="BB1238" s="0" t="str">
        <f t="shared" si="19"/>
        <v>IHVNfcBwari</v>
      </c>
    </row>
    <row r="1239">
      <c r="AV1239" s="0" t="s">
        <v>471</v>
      </c>
      <c r="AW1239" s="0" t="s">
        <v>402</v>
      </c>
      <c r="AX1239" s="0" t="s">
        <v>491</v>
      </c>
      <c r="AY1239" s="0" t="s">
        <v>3527</v>
      </c>
      <c r="AZ1239" s="0" t="s">
        <v>3528</v>
      </c>
      <c r="BA1239" s="0" t="s">
        <v>708</v>
      </c>
      <c r="BB1239" s="0" t="str">
        <f t="shared" si="19"/>
        <v>IHVNfcBwari</v>
      </c>
    </row>
    <row r="1240">
      <c r="AV1240" s="0" t="s">
        <v>471</v>
      </c>
      <c r="AW1240" s="0" t="s">
        <v>402</v>
      </c>
      <c r="AX1240" s="0" t="s">
        <v>491</v>
      </c>
      <c r="AY1240" s="0" t="s">
        <v>3529</v>
      </c>
      <c r="AZ1240" s="0" t="s">
        <v>3530</v>
      </c>
      <c r="BA1240" s="0" t="s">
        <v>708</v>
      </c>
      <c r="BB1240" s="0" t="str">
        <f t="shared" si="19"/>
        <v>IHVNfcBwari</v>
      </c>
    </row>
    <row r="1241">
      <c r="AV1241" s="0" t="s">
        <v>471</v>
      </c>
      <c r="AW1241" s="0" t="s">
        <v>402</v>
      </c>
      <c r="AX1241" s="0" t="s">
        <v>491</v>
      </c>
      <c r="AY1241" s="0" t="s">
        <v>3531</v>
      </c>
      <c r="AZ1241" s="0" t="s">
        <v>3532</v>
      </c>
      <c r="BA1241" s="0" t="s">
        <v>708</v>
      </c>
      <c r="BB1241" s="0" t="str">
        <f t="shared" si="19"/>
        <v>IHVNfcBwari</v>
      </c>
    </row>
    <row r="1242">
      <c r="AV1242" s="0" t="s">
        <v>471</v>
      </c>
      <c r="AW1242" s="0" t="s">
        <v>402</v>
      </c>
      <c r="AX1242" s="0" t="s">
        <v>491</v>
      </c>
      <c r="AY1242" s="0" t="s">
        <v>3533</v>
      </c>
      <c r="AZ1242" s="0" t="s">
        <v>3534</v>
      </c>
      <c r="BA1242" s="0" t="s">
        <v>708</v>
      </c>
      <c r="BB1242" s="0" t="str">
        <f t="shared" si="19"/>
        <v>IHVNfcBwari</v>
      </c>
    </row>
    <row r="1243">
      <c r="AV1243" s="0" t="s">
        <v>471</v>
      </c>
      <c r="AW1243" s="0" t="s">
        <v>402</v>
      </c>
      <c r="AX1243" s="0" t="s">
        <v>491</v>
      </c>
      <c r="AY1243" s="0" t="s">
        <v>3535</v>
      </c>
      <c r="AZ1243" s="0" t="s">
        <v>3536</v>
      </c>
      <c r="BA1243" s="0" t="s">
        <v>708</v>
      </c>
      <c r="BB1243" s="0" t="str">
        <f t="shared" si="19"/>
        <v>IHVNfcBwari</v>
      </c>
    </row>
    <row r="1244">
      <c r="AV1244" s="0" t="s">
        <v>471</v>
      </c>
      <c r="AW1244" s="0" t="s">
        <v>402</v>
      </c>
      <c r="AX1244" s="0" t="s">
        <v>491</v>
      </c>
      <c r="AY1244" s="0" t="s">
        <v>3537</v>
      </c>
      <c r="AZ1244" s="0" t="s">
        <v>3538</v>
      </c>
      <c r="BA1244" s="0" t="s">
        <v>708</v>
      </c>
      <c r="BB1244" s="0" t="str">
        <f t="shared" si="19"/>
        <v>IHVNfcBwari</v>
      </c>
    </row>
    <row r="1245">
      <c r="AV1245" s="0" t="s">
        <v>471</v>
      </c>
      <c r="AW1245" s="0" t="s">
        <v>402</v>
      </c>
      <c r="AX1245" s="0" t="s">
        <v>491</v>
      </c>
      <c r="AY1245" s="0" t="s">
        <v>3539</v>
      </c>
      <c r="AZ1245" s="0" t="s">
        <v>3540</v>
      </c>
      <c r="BA1245" s="0" t="s">
        <v>708</v>
      </c>
      <c r="BB1245" s="0" t="str">
        <f t="shared" si="19"/>
        <v>IHVNfcBwari</v>
      </c>
    </row>
    <row r="1246">
      <c r="AV1246" s="0" t="s">
        <v>471</v>
      </c>
      <c r="AW1246" s="0" t="s">
        <v>402</v>
      </c>
      <c r="AX1246" s="0" t="s">
        <v>491</v>
      </c>
      <c r="AY1246" s="0" t="s">
        <v>3541</v>
      </c>
      <c r="AZ1246" s="0" t="s">
        <v>3542</v>
      </c>
      <c r="BA1246" s="0" t="s">
        <v>708</v>
      </c>
      <c r="BB1246" s="0" t="str">
        <f t="shared" si="19"/>
        <v>IHVNfcBwari</v>
      </c>
    </row>
    <row r="1247">
      <c r="AV1247" s="0" t="s">
        <v>471</v>
      </c>
      <c r="AW1247" s="0" t="s">
        <v>402</v>
      </c>
      <c r="AX1247" s="0" t="s">
        <v>491</v>
      </c>
      <c r="AY1247" s="0" t="s">
        <v>3543</v>
      </c>
      <c r="AZ1247" s="0" t="s">
        <v>3544</v>
      </c>
      <c r="BA1247" s="0" t="s">
        <v>708</v>
      </c>
      <c r="BB1247" s="0" t="str">
        <f t="shared" si="19"/>
        <v>IHVNfcBwari</v>
      </c>
    </row>
    <row r="1248">
      <c r="AV1248" s="0" t="s">
        <v>471</v>
      </c>
      <c r="AW1248" s="0" t="s">
        <v>402</v>
      </c>
      <c r="AX1248" s="0" t="s">
        <v>491</v>
      </c>
      <c r="AY1248" s="0" t="s">
        <v>3545</v>
      </c>
      <c r="AZ1248" s="0" t="s">
        <v>3546</v>
      </c>
      <c r="BA1248" s="0" t="s">
        <v>708</v>
      </c>
      <c r="BB1248" s="0" t="str">
        <f t="shared" si="19"/>
        <v>IHVNfcBwari</v>
      </c>
    </row>
    <row r="1249">
      <c r="AV1249" s="0" t="s">
        <v>471</v>
      </c>
      <c r="AW1249" s="0" t="s">
        <v>402</v>
      </c>
      <c r="AX1249" s="0" t="s">
        <v>491</v>
      </c>
      <c r="AY1249" s="0" t="s">
        <v>3547</v>
      </c>
      <c r="AZ1249" s="0" t="s">
        <v>3548</v>
      </c>
      <c r="BA1249" s="0" t="s">
        <v>708</v>
      </c>
      <c r="BB1249" s="0" t="str">
        <f t="shared" si="19"/>
        <v>IHVNfcBwari</v>
      </c>
    </row>
    <row r="1250">
      <c r="AV1250" s="0" t="s">
        <v>471</v>
      </c>
      <c r="AW1250" s="0" t="s">
        <v>402</v>
      </c>
      <c r="AX1250" s="0" t="s">
        <v>491</v>
      </c>
      <c r="AY1250" s="0" t="s">
        <v>3549</v>
      </c>
      <c r="AZ1250" s="0" t="s">
        <v>3550</v>
      </c>
      <c r="BA1250" s="0" t="s">
        <v>708</v>
      </c>
      <c r="BB1250" s="0" t="str">
        <f t="shared" si="19"/>
        <v>IHVNfcBwari</v>
      </c>
    </row>
    <row r="1251">
      <c r="AV1251" s="0" t="s">
        <v>471</v>
      </c>
      <c r="AW1251" s="0" t="s">
        <v>402</v>
      </c>
      <c r="AX1251" s="0" t="s">
        <v>491</v>
      </c>
      <c r="AY1251" s="0" t="s">
        <v>3551</v>
      </c>
      <c r="AZ1251" s="0" t="s">
        <v>3552</v>
      </c>
      <c r="BA1251" s="0" t="s">
        <v>708</v>
      </c>
      <c r="BB1251" s="0" t="str">
        <f t="shared" si="19"/>
        <v>IHVNfcBwari</v>
      </c>
    </row>
    <row r="1252">
      <c r="AV1252" s="0" t="s">
        <v>471</v>
      </c>
      <c r="AW1252" s="0" t="s">
        <v>402</v>
      </c>
      <c r="AX1252" s="0" t="s">
        <v>491</v>
      </c>
      <c r="AY1252" s="0" t="s">
        <v>3553</v>
      </c>
      <c r="AZ1252" s="0" t="s">
        <v>3554</v>
      </c>
      <c r="BA1252" s="0" t="s">
        <v>708</v>
      </c>
      <c r="BB1252" s="0" t="str">
        <f t="shared" si="19"/>
        <v>IHVNfcBwari</v>
      </c>
    </row>
    <row r="1253">
      <c r="AV1253" s="0" t="s">
        <v>471</v>
      </c>
      <c r="AW1253" s="0" t="s">
        <v>402</v>
      </c>
      <c r="AX1253" s="0" t="s">
        <v>491</v>
      </c>
      <c r="AY1253" s="0" t="s">
        <v>3555</v>
      </c>
      <c r="AZ1253" s="0" t="s">
        <v>3556</v>
      </c>
      <c r="BA1253" s="0" t="s">
        <v>708</v>
      </c>
      <c r="BB1253" s="0" t="str">
        <f t="shared" si="19"/>
        <v>IHVNfcBwari</v>
      </c>
    </row>
    <row r="1254">
      <c r="AV1254" s="0" t="s">
        <v>471</v>
      </c>
      <c r="AW1254" s="0" t="s">
        <v>402</v>
      </c>
      <c r="AX1254" s="0" t="s">
        <v>491</v>
      </c>
      <c r="AY1254" s="0" t="s">
        <v>3557</v>
      </c>
      <c r="AZ1254" s="0" t="s">
        <v>3558</v>
      </c>
      <c r="BA1254" s="0" t="s">
        <v>708</v>
      </c>
      <c r="BB1254" s="0" t="str">
        <f t="shared" si="19"/>
        <v>IHVNfcBwari</v>
      </c>
    </row>
    <row r="1255">
      <c r="AV1255" s="0" t="s">
        <v>471</v>
      </c>
      <c r="AW1255" s="0" t="s">
        <v>402</v>
      </c>
      <c r="AX1255" s="0" t="s">
        <v>491</v>
      </c>
      <c r="AY1255" s="0" t="s">
        <v>3559</v>
      </c>
      <c r="AZ1255" s="0" t="s">
        <v>3560</v>
      </c>
      <c r="BA1255" s="0" t="s">
        <v>708</v>
      </c>
      <c r="BB1255" s="0" t="str">
        <f t="shared" si="19"/>
        <v>IHVNfcBwari</v>
      </c>
    </row>
    <row r="1256">
      <c r="AV1256" s="0" t="s">
        <v>471</v>
      </c>
      <c r="AW1256" s="0" t="s">
        <v>402</v>
      </c>
      <c r="AX1256" s="0" t="s">
        <v>491</v>
      </c>
      <c r="AY1256" s="0" t="s">
        <v>3561</v>
      </c>
      <c r="AZ1256" s="0" t="s">
        <v>3562</v>
      </c>
      <c r="BA1256" s="0" t="s">
        <v>708</v>
      </c>
      <c r="BB1256" s="0" t="str">
        <f t="shared" si="19"/>
        <v>IHVNfcBwari</v>
      </c>
    </row>
    <row r="1257">
      <c r="AV1257" s="0" t="s">
        <v>471</v>
      </c>
      <c r="AW1257" s="0" t="s">
        <v>402</v>
      </c>
      <c r="AX1257" s="0" t="s">
        <v>491</v>
      </c>
      <c r="AY1257" s="0" t="s">
        <v>3563</v>
      </c>
      <c r="AZ1257" s="0" t="s">
        <v>3564</v>
      </c>
      <c r="BA1257" s="0" t="s">
        <v>708</v>
      </c>
      <c r="BB1257" s="0" t="str">
        <f t="shared" si="19"/>
        <v>IHVNfcBwari</v>
      </c>
    </row>
    <row r="1258">
      <c r="AV1258" s="0" t="s">
        <v>471</v>
      </c>
      <c r="AW1258" s="0" t="s">
        <v>402</v>
      </c>
      <c r="AX1258" s="0" t="s">
        <v>491</v>
      </c>
      <c r="AY1258" s="0" t="s">
        <v>3565</v>
      </c>
      <c r="AZ1258" s="0" t="s">
        <v>3566</v>
      </c>
      <c r="BA1258" s="0" t="s">
        <v>708</v>
      </c>
      <c r="BB1258" s="0" t="str">
        <f t="shared" si="19"/>
        <v>IHVNfcBwari</v>
      </c>
    </row>
    <row r="1259">
      <c r="AV1259" s="0" t="s">
        <v>471</v>
      </c>
      <c r="AW1259" s="0" t="s">
        <v>402</v>
      </c>
      <c r="AX1259" s="0" t="s">
        <v>491</v>
      </c>
      <c r="AY1259" s="0" t="s">
        <v>3567</v>
      </c>
      <c r="AZ1259" s="0" t="s">
        <v>3568</v>
      </c>
      <c r="BA1259" s="0" t="s">
        <v>708</v>
      </c>
      <c r="BB1259" s="0" t="str">
        <f t="shared" si="19"/>
        <v>IHVNfcBwari</v>
      </c>
    </row>
    <row r="1260">
      <c r="AV1260" s="0" t="s">
        <v>471</v>
      </c>
      <c r="AW1260" s="0" t="s">
        <v>402</v>
      </c>
      <c r="AX1260" s="0" t="s">
        <v>491</v>
      </c>
      <c r="AY1260" s="0" t="s">
        <v>3569</v>
      </c>
      <c r="AZ1260" s="0" t="s">
        <v>3570</v>
      </c>
      <c r="BA1260" s="0" t="s">
        <v>708</v>
      </c>
      <c r="BB1260" s="0" t="str">
        <f t="shared" si="19"/>
        <v>IHVNfcBwari</v>
      </c>
    </row>
    <row r="1261">
      <c r="AV1261" s="0" t="s">
        <v>471</v>
      </c>
      <c r="AW1261" s="0" t="s">
        <v>402</v>
      </c>
      <c r="AX1261" s="0" t="s">
        <v>491</v>
      </c>
      <c r="AY1261" s="0" t="s">
        <v>3571</v>
      </c>
      <c r="AZ1261" s="0" t="s">
        <v>3572</v>
      </c>
      <c r="BA1261" s="0" t="s">
        <v>708</v>
      </c>
      <c r="BB1261" s="0" t="str">
        <f t="shared" si="19"/>
        <v>IHVNfcBwari</v>
      </c>
    </row>
    <row r="1262">
      <c r="AV1262" s="0" t="s">
        <v>471</v>
      </c>
      <c r="AW1262" s="0" t="s">
        <v>402</v>
      </c>
      <c r="AX1262" s="0" t="s">
        <v>491</v>
      </c>
      <c r="AY1262" s="0" t="s">
        <v>3573</v>
      </c>
      <c r="AZ1262" s="0" t="s">
        <v>3574</v>
      </c>
      <c r="BA1262" s="0" t="s">
        <v>708</v>
      </c>
      <c r="BB1262" s="0" t="str">
        <f t="shared" si="19"/>
        <v>IHVNfcBwari</v>
      </c>
    </row>
    <row r="1263">
      <c r="AV1263" s="0" t="s">
        <v>471</v>
      </c>
      <c r="AW1263" s="0" t="s">
        <v>402</v>
      </c>
      <c r="AX1263" s="0" t="s">
        <v>491</v>
      </c>
      <c r="AY1263" s="0" t="s">
        <v>3575</v>
      </c>
      <c r="AZ1263" s="0" t="s">
        <v>3576</v>
      </c>
      <c r="BA1263" s="0" t="s">
        <v>708</v>
      </c>
      <c r="BB1263" s="0" t="str">
        <f t="shared" si="19"/>
        <v>IHVNfcBwari</v>
      </c>
    </row>
    <row r="1264">
      <c r="AV1264" s="0" t="s">
        <v>471</v>
      </c>
      <c r="AW1264" s="0" t="s">
        <v>402</v>
      </c>
      <c r="AX1264" s="0" t="s">
        <v>491</v>
      </c>
      <c r="AY1264" s="0" t="s">
        <v>3577</v>
      </c>
      <c r="AZ1264" s="0" t="s">
        <v>3578</v>
      </c>
      <c r="BA1264" s="0" t="s">
        <v>708</v>
      </c>
      <c r="BB1264" s="0" t="str">
        <f t="shared" si="19"/>
        <v>IHVNfcBwari</v>
      </c>
    </row>
    <row r="1265">
      <c r="AV1265" s="0" t="s">
        <v>471</v>
      </c>
      <c r="AW1265" s="0" t="s">
        <v>402</v>
      </c>
      <c r="AX1265" s="0" t="s">
        <v>491</v>
      </c>
      <c r="AY1265" s="0" t="s">
        <v>3579</v>
      </c>
      <c r="AZ1265" s="0" t="s">
        <v>3580</v>
      </c>
      <c r="BA1265" s="0" t="s">
        <v>708</v>
      </c>
      <c r="BB1265" s="0" t="str">
        <f t="shared" si="19"/>
        <v>IHVNfcBwari</v>
      </c>
    </row>
    <row r="1266">
      <c r="AV1266" s="0" t="s">
        <v>471</v>
      </c>
      <c r="AW1266" s="0" t="s">
        <v>402</v>
      </c>
      <c r="AX1266" s="0" t="s">
        <v>491</v>
      </c>
      <c r="AY1266" s="0" t="s">
        <v>3581</v>
      </c>
      <c r="AZ1266" s="0" t="s">
        <v>3582</v>
      </c>
      <c r="BA1266" s="0" t="s">
        <v>708</v>
      </c>
      <c r="BB1266" s="0" t="str">
        <f t="shared" si="19"/>
        <v>IHVNfcBwari</v>
      </c>
    </row>
    <row r="1267">
      <c r="AV1267" s="0" t="s">
        <v>471</v>
      </c>
      <c r="AW1267" s="0" t="s">
        <v>402</v>
      </c>
      <c r="AX1267" s="0" t="s">
        <v>491</v>
      </c>
      <c r="AY1267" s="0" t="s">
        <v>3583</v>
      </c>
      <c r="AZ1267" s="0" t="s">
        <v>3584</v>
      </c>
      <c r="BA1267" s="0" t="s">
        <v>708</v>
      </c>
      <c r="BB1267" s="0" t="str">
        <f t="shared" si="19"/>
        <v>IHVNfcBwari</v>
      </c>
    </row>
    <row r="1268">
      <c r="AV1268" s="0" t="s">
        <v>471</v>
      </c>
      <c r="AW1268" s="0" t="s">
        <v>402</v>
      </c>
      <c r="AX1268" s="0" t="s">
        <v>491</v>
      </c>
      <c r="AY1268" s="0" t="s">
        <v>3585</v>
      </c>
      <c r="AZ1268" s="0" t="s">
        <v>3586</v>
      </c>
      <c r="BA1268" s="0" t="s">
        <v>708</v>
      </c>
      <c r="BB1268" s="0" t="str">
        <f t="shared" si="19"/>
        <v>IHVNfcBwari</v>
      </c>
    </row>
    <row r="1269">
      <c r="AV1269" s="0" t="s">
        <v>471</v>
      </c>
      <c r="AW1269" s="0" t="s">
        <v>402</v>
      </c>
      <c r="AX1269" s="0" t="s">
        <v>491</v>
      </c>
      <c r="AY1269" s="0" t="s">
        <v>3587</v>
      </c>
      <c r="AZ1269" s="0" t="s">
        <v>3588</v>
      </c>
      <c r="BA1269" s="0" t="s">
        <v>708</v>
      </c>
      <c r="BB1269" s="0" t="str">
        <f t="shared" si="19"/>
        <v>IHVNfcBwari</v>
      </c>
    </row>
    <row r="1270">
      <c r="AV1270" s="0" t="s">
        <v>471</v>
      </c>
      <c r="AW1270" s="0" t="s">
        <v>402</v>
      </c>
      <c r="AX1270" s="0" t="s">
        <v>491</v>
      </c>
      <c r="AY1270" s="0" t="s">
        <v>3589</v>
      </c>
      <c r="AZ1270" s="0" t="s">
        <v>3590</v>
      </c>
      <c r="BA1270" s="0" t="s">
        <v>708</v>
      </c>
      <c r="BB1270" s="0" t="str">
        <f t="shared" si="19"/>
        <v>IHVNfcBwari</v>
      </c>
    </row>
    <row r="1271">
      <c r="AV1271" s="0" t="s">
        <v>471</v>
      </c>
      <c r="AW1271" s="0" t="s">
        <v>402</v>
      </c>
      <c r="AX1271" s="0" t="s">
        <v>491</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