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<sst xmlns="http://schemas.openxmlformats.org/spreadsheetml/2006/main" count="4056" uniqueCount="4056">
  <si>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</si>
  <si>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</si>
  <si>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</si>
  <si>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</si>
  <si>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</si>
  <si>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</si>
  <si>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</si>
  <si>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</si>
  <si>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</si>
  <si>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</si>
  <si>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</si>
  <si>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</si>
  <si>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</si>
  <si>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</si>
  <si>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</si>
  <si>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</si>
  <si>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</si>
  <si>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</si>
  <si>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</si>
  <si>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</si>
  <si>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</si>
  <si>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</si>
  <si>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</si>
  <si>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</si>
  <si>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</si>
  <si>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</si>
  <si>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</si>
  <si>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</si>
  <si>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</si>
  <si>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</si>
  <si>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</si>
  <si>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</si>
  <si>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</si>
  <si>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</si>
  <si>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</si>
  <si>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</si>
  <si>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</si>
  <si>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</si>
  <si>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</si>
  <si>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</si>
  <si>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</si>
  <si>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</si>
  <si>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</si>
  <si>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</si>
  <si>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</si>
  <si>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</si>
  <si>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</si>
  <si>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</si>
  <si>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</si>
  <si>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</si>
  <si>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</si>
  <si>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</si>
  <si>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</si>
  <si>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</si>
  <si>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</si>
  <si>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</si>
  <si>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</si>
  <si>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</si>
  <si>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</si>
  <si>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</si>
  <si>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</si>
  <si>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</si>
  <si>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</si>
  <si>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</si>
  <si>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</si>
  <si>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</si>
  <si>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</si>
  <si>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</si>
  <si>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</si>
  <si>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</si>
  <si>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</si>
  <si>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</si>
  <si>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</si>
  <si>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</si>
  <si>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</si>
  <si>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</si>
  <si>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</si>
  <si>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</si>
  <si>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</si>
  <si>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</si>
  <si>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</si>
  <si>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</si>
  <si>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</si>
  <si>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</si>
  <si>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</si>
  <si>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</si>
  <si>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</si>
  <si>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</si>
  <si>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</si>
  <si>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</si>
  <si>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</si>
  <si>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</si>
  <si>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</si>
  <si>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</si>
  <si>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</si>
  <si>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</si>
  <si>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</si>
  <si>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</si>
  <si>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</si>
  <si>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</si>
  <si>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</si>
  <si>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</si>
  <si>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</si>
  <si>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</si>
  <si>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</si>
  <si>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</si>
  <si>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</si>
  <si>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</si>
  <si>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</si>
  <si>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</si>
  <si>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</si>
  <si>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</si>
  <si>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</si>
  <si>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</si>
  <si>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</si>
  <si>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</si>
  <si>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</si>
  <si>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</si>
  <si>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</si>
  <si>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</si>
  <si>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</si>
  <si>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</si>
  <si>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</si>
  <si>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</si>
  <si>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</si>
  <si>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</si>
  <si>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</si>
  <si>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</si>
  <si>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</si>
  <si>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</si>
  <si>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</si>
  <si>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</si>
  <si>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</si>
  <si>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</si>
  <si>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</si>
  <si>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</si>
  <si>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</si>
  <si>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</si>
  <si>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</si>
  <si>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</si>
  <si>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</si>
  <si>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</si>
  <si>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</si>
  <si>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</si>
  <si>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</si>
  <si>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</si>
  <si>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</si>
  <si>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</si>
  <si>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</si>
  <si>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</si>
  <si>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</si>
  <si>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</si>
  <si>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</si>
  <si>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</si>
  <si>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</si>
  <si>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</si>
  <si>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</si>
  <si>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</si>
  <si>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</si>
  <si>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</si>
  <si>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</si>
  <si>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</si>
  <si>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</si>
  <si>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</si>
  <si>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</si>
  <si>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</si>
  <si>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</si>
  <si>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</si>
  <si>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</si>
  <si>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</si>
  <si>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</si>
  <si>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</si>
  <si>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</si>
  <si>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</si>
  <si>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</si>
  <si>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</si>
  <si>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</si>
  <si>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</si>
  <si>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</si>
  <si>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</si>
  <si>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</si>
  <si>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</si>
  <si>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</si>
  <si>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</si>
  <si>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</si>
  <si>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</si>
  <si>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</si>
  <si>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</si>
  <si>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</si>
  <si>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</si>
  <si>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</si>
  <si>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</si>
  <si>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</si>
  <si>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</si>
  <si>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</si>
  <si>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</si>
  <si>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</si>
  <si>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</si>
  <si>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</si>
  <si>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</si>
  <si>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</si>
  <si>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</si>
  <si>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</si>
  <si>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</si>
  <si>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</si>
  <si>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</si>
  <si>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</si>
  <si>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</si>
  <si>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</si>
  <si>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</si>
  <si>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</si>
  <si>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</si>
  <si>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</si>
  <si>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</si>
  <si>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</si>
  <si>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</si>
  <si>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</si>
  <si>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</si>
  <si>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</si>
  <si>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</si>
  <si>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</si>
  <si>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</si>
  <si>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</si>
  <si>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</si>
  <si>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</si>
  <si>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</si>
  <si>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</si>
  <si>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</si>
  <si>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</si>
  <si>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</si>
  <si>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</si>
  <si>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</si>
  <si>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</si>
  <si>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</si>
  <si>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</si>
  <si>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</si>
  <si>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</si>
  <si>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</si>
  <si>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</si>
  <si>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</si>
  <si>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</si>
  <si>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</si>
  <si>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</si>
  <si>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</si>
  <si>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</si>
  <si>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</si>
  <si>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</si>
  <si>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</si>
  <si>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</si>
  <si>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</si>
  <si>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</si>
  <si>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</si>
  <si>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</si>
  <si>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</si>
  <si>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</si>
  <si>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</si>
  <si>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</si>
  <si>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</si>
  <si>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</si>
  <si>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</si>
  <si>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</si>
  <si>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</si>
  <si>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</si>
  <si>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</si>
  <si>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</si>
  <si>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</si>
  <si>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</si>
  <si>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</si>
  <si>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</si>
  <si>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</si>
  <si>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</si>
  <si>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</si>
  <si>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</si>
  <si>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</si>
  <si>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</si>
  <si>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</si>
  <si>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</si>
  <si>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</si>
  <si>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</si>
  <si>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</si>
  <si>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</si>
  <si>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</si>
  <si>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</si>
  <si>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</si>
  <si>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</si>
  <si>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</si>
  <si>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</si>
  <si>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</si>
  <si>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</si>
  <si>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Mbagen Community Health Service - Nyamatsor</t>
  </si>
  <si>
    <t>Reporting Period:</t>
  </si>
  <si>
    <t>Q1(Oct - Dec)</t>
  </si>
  <si>
    <t>Facility Code:</t>
  </si>
  <si>
    <t>E1cCmIs4B6J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</si>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</sst>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7</v>
      </c>
      <c r="H8" s="156">
        <f>ROUND(SUM('All Questions'!D37,'All Questions'!D40)/2+'All Questions'!D26+H12,0)</f>
        <v>39</v>
      </c>
      <c r="I8" s="157">
        <f>ROUND((SUM('All Questions'!E11:E14)/4)+I12,0)</f>
        <v>0</v>
      </c>
      <c r="J8" s="155">
        <f>ROUND(SUM('All Questions'!E15:E21)/7+J12,0)</f>
        <v>0</v>
      </c>
      <c r="K8" s="155">
        <f>ROUND(SUM('All Questions'!E23:E30)/4+K12,0)</f>
        <v>7</v>
      </c>
      <c r="L8" s="155">
        <f>ROUND(SUM('All Questions'!E31:E35)/5+L12,0)</f>
        <v>6</v>
      </c>
      <c r="M8" s="156">
        <f>ROUND(('All Questions'!E37+'All Questions'!E40)/2+'All Questions'!E26+M12,0)</f>
        <v>24</v>
      </c>
      <c r="N8" s="157">
        <f>ROUND((SUM('All Questions'!F11:F14)/4)+N12,0)</f>
        <v>0</v>
      </c>
      <c r="O8" s="155">
        <f>ROUND(SUM('All Questions'!F15:F21)/7+O12,0)</f>
        <v>0</v>
      </c>
      <c r="P8" s="155">
        <f>ROUND(SUM('All Questions'!F23:F30)/4+P12,0)</f>
        <v>6</v>
      </c>
      <c r="Q8" s="155">
        <f>ROUND(SUM('All Questions'!F31:F35)/5+Q12,0)</f>
        <v>2</v>
      </c>
      <c r="R8" s="156">
        <f>ROUND(('All Questions'!F37+'All Questions'!F40)/2+'All Questions'!F26+R12,0)</f>
        <v>22</v>
      </c>
      <c r="S8" s="141">
        <f>'All Questions'!F2</f>
        <v>0</v>
      </c>
      <c r="T8" s="142" t="e">
        <f>(AVERAGE(F8:H8)+AVERAGE(K8:M8)+AVERAGE(P8:R8))/S8</f>
        <v>#DIV/0!</v>
      </c>
      <c r="V8" s="309">
        <f>AVERAGE(F8:H8)+AVERAGE(K8:M8)+AVERAGE(P8:R8)</f>
        <v>41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v>
      </c>
      <c r="G10" s="159">
        <f>ROUND(SUM('All Questions'!D31:D35)/5,0)</f>
        <v>0</v>
      </c>
      <c r="H10" s="162">
        <f>ROUND(('All Questions'!D37+'All Questions'!D40)/2+'All Questions'!D26,0)</f>
        <v>30</v>
      </c>
      <c r="I10" s="163">
        <f>ROUND((SUM('All Questions'!E11:E14)/4),0)</f>
        <v>0</v>
      </c>
      <c r="J10" s="164">
        <f>ROUND(SUM('All Questions'!E15:E21)/7,0)</f>
        <v>0</v>
      </c>
      <c r="K10" s="164">
        <f>ROUND(SUM('All Questions'!E23:E30)/4,0)</f>
        <v>4</v>
      </c>
      <c r="L10" s="164">
        <f>ROUND(SUM('All Questions'!E31:E35)/5,0)</f>
        <v>0</v>
      </c>
      <c r="M10" s="165">
        <f>ROUND(('All Questions'!E37+'All Questions'!E40)/2+'All Questions'!E26,0)</f>
        <v>16</v>
      </c>
      <c r="N10" s="166">
        <f>ROUND((SUM('All Questions'!F11:F14)/4),0)</f>
        <v>0</v>
      </c>
      <c r="O10" s="164">
        <f>ROUND(SUM('All Questions'!F15:F21)/7,0)</f>
        <v>0</v>
      </c>
      <c r="P10" s="164">
        <f>ROUND(SUM('All Questions'!F23:F30)/4,0)</f>
        <v>5</v>
      </c>
      <c r="Q10" s="164">
        <f>ROUND(SUM('All Questions'!F31:F35)/5,0)</f>
        <v>0</v>
      </c>
      <c r="R10" s="165">
        <f>ROUND(('All Questions'!F37+'All Questions'!F40)/2+'All Questions'!F26,0)</f>
        <v>20</v>
      </c>
      <c r="S10" s="141">
        <f>'All Questions'!F4</f>
        <v>0</v>
      </c>
      <c r="T10" s="143" t="e">
        <f>(AVERAGE(F10:H10)+AVERAGE(K10:M10)+AVERAGE(P10:R10))/S10</f>
        <v>#DIV/0!</v>
      </c>
      <c r="V10" s="309">
        <f>AVERAGE(F10:H10)+AVERAGE(K10:M10)+AVERAGE(P10:R10)</f>
        <v>27.666666666666664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7</v>
      </c>
      <c r="H12" s="174">
        <f>ROUND(SUM('All Questions'!D82:D83)/2,0)</f>
        <v>9</v>
      </c>
      <c r="I12" s="175">
        <f>ROUND(SUM('All Questions'!E54:E58)+'All Questions'!E71/4,0)</f>
        <v>0</v>
      </c>
      <c r="J12" s="176">
        <f>ROUND(SUM('All Questions'!E60:E63)/4,0)</f>
        <v>0</v>
      </c>
      <c r="K12" s="176">
        <f>ROUND(SUM('All Questions'!E67:E72)/3,0)</f>
        <v>3</v>
      </c>
      <c r="L12" s="176">
        <f>ROUND(SUM('All Questions'!E73:E80)/4,0)</f>
        <v>6</v>
      </c>
      <c r="M12" s="177">
        <f>ROUND(SUM('All Questions'!E82:E83)/2,0)</f>
        <v>8</v>
      </c>
      <c r="N12" s="178">
        <f>ROUND(SUM('All Questions'!F54:F58)+'All Questions'!F71/4,0)</f>
        <v>0</v>
      </c>
      <c r="O12" s="176">
        <f>ROUND(SUM('All Questions'!F60:F63)/4,0)</f>
        <v>0</v>
      </c>
      <c r="P12" s="176">
        <f>ROUND(SUM('All Questions'!F67:F72)/3,0)</f>
        <v>1</v>
      </c>
      <c r="Q12" s="176">
        <f>ROUND(SUM('All Questions'!F73:F80)/4,0)</f>
        <v>2</v>
      </c>
      <c r="R12" s="177">
        <f>ROUND(SUM('All Questions'!F82:F83)/2,0)</f>
        <v>2</v>
      </c>
      <c r="S12" s="145">
        <f>'All Questions'!F46</f>
        <v>0</v>
      </c>
      <c r="T12" s="146" t="e">
        <f ref="T12:T15" t="shared" si="1">(AVERAGE(F12:H12)+AVERAGE(K12:M12)+AVERAGE(P12:R12))/S12</f>
        <v>#DIV/0!</v>
      </c>
      <c r="V12" s="309">
        <f>AVERAGE(F12:H12)+AVERAGE(K12:M12)+AVERAGE(P12:R12)</f>
        <v>13.666666666666666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0</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30</v>
      </c>
      <c r="E10" s="301">
        <v>16</v>
      </c>
      <c r="F10" s="301">
        <v>20</v>
      </c>
      <c r="G10" s="207" t="s">
        <v>67</v>
      </c>
    </row>
    <row r="11" hidden="1" ht="45" customHeight="1">
      <c r="A11" s="226"/>
      <c r="B11" s="238">
        <v>1114</v>
      </c>
      <c r="C11" s="243" t="s">
        <v>84</v>
      </c>
      <c r="D11" s="301">
        <v>30</v>
      </c>
      <c r="E11" s="301">
        <v>16</v>
      </c>
      <c r="F11" s="301">
        <v>20</v>
      </c>
      <c r="G11" s="207" t="s">
        <v>67</v>
      </c>
    </row>
    <row r="12" hidden="1" ht="45" customHeight="1">
      <c r="A12" s="226"/>
      <c r="B12" s="238">
        <v>1115</v>
      </c>
      <c r="C12" s="242" t="s">
        <v>85</v>
      </c>
      <c r="D12" s="301">
        <v>30</v>
      </c>
      <c r="E12" s="301">
        <v>16</v>
      </c>
      <c r="F12" s="301">
        <v>20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27</v>
      </c>
      <c r="E25" s="301">
        <v>13</v>
      </c>
      <c r="F25" s="301">
        <v>17</v>
      </c>
      <c r="G25" s="207" t="s">
        <v>67</v>
      </c>
    </row>
    <row r="26" hidden="1" ht="45" customHeight="1">
      <c r="A26" s="226"/>
      <c r="B26" s="238">
        <v>1134</v>
      </c>
      <c r="C26" s="242" t="s">
        <v>99</v>
      </c>
      <c r="D26" s="301">
        <v>3</v>
      </c>
      <c r="E26" s="301">
        <v>3</v>
      </c>
      <c r="F26" s="301">
        <v>3</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27</v>
      </c>
      <c r="E37" s="301">
        <v>13</v>
      </c>
      <c r="F37" s="301">
        <v>17</v>
      </c>
      <c r="G37" s="207" t="s">
        <v>67</v>
      </c>
    </row>
    <row r="38" hidden="1" ht="45" customHeight="1">
      <c r="A38" s="226"/>
      <c r="B38" s="238">
        <v>1153</v>
      </c>
      <c r="C38" s="242" t="s">
        <v>111</v>
      </c>
      <c r="D38" s="301">
        <v>27</v>
      </c>
      <c r="E38" s="301">
        <v>13</v>
      </c>
      <c r="F38" s="301">
        <v>17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27</v>
      </c>
      <c r="E40" s="301">
        <v>13</v>
      </c>
      <c r="F40" s="301">
        <v>17</v>
      </c>
      <c r="G40" s="207" t="s">
        <v>67</v>
      </c>
    </row>
    <row r="41" hidden="1" ht="45" customHeight="1">
      <c r="A41" s="226"/>
      <c r="B41" s="238">
        <v>1156</v>
      </c>
      <c r="C41" s="242" t="s">
        <v>113</v>
      </c>
      <c r="D41" s="301">
        <v>27</v>
      </c>
      <c r="E41" s="301">
        <v>13</v>
      </c>
      <c r="F41" s="301">
        <v>17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0</v>
      </c>
      <c r="F43" s="301">
        <v>0</v>
      </c>
      <c r="G43" s="207" t="s">
        <v>67</v>
      </c>
    </row>
    <row r="44" hidden="1" ht="45" customHeight="1" s="250" customFormat="1">
      <c r="A44" s="226"/>
      <c r="B44" s="238">
        <v>1159</v>
      </c>
      <c r="C44" s="242" t="s">
        <v>116</v>
      </c>
      <c r="D44" s="301">
        <v>2</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9</v>
      </c>
      <c r="E53" s="301">
        <v>8</v>
      </c>
      <c r="F53" s="301">
        <v>2</v>
      </c>
      <c r="G53" s="207" t="s">
        <v>117</v>
      </c>
    </row>
    <row r="54" hidden="1" ht="45" customHeight="1">
      <c r="A54" s="226"/>
      <c r="B54" s="238">
        <v>1214</v>
      </c>
      <c r="C54" s="264" t="s">
        <v>132</v>
      </c>
      <c r="D54" s="301">
        <v>9</v>
      </c>
      <c r="E54" s="301">
        <v>8</v>
      </c>
      <c r="F54" s="301">
        <v>2</v>
      </c>
      <c r="G54" s="207" t="s">
        <v>117</v>
      </c>
    </row>
    <row r="55" hidden="1" ht="45" customHeight="1">
      <c r="A55" s="226"/>
      <c r="B55" s="238">
        <v>1215</v>
      </c>
      <c r="C55" s="242" t="s">
        <v>133</v>
      </c>
      <c r="D55" s="301">
        <v>9</v>
      </c>
      <c r="E55" s="301">
        <v>8</v>
      </c>
      <c r="F55" s="301">
        <v>2</v>
      </c>
      <c r="G55" s="207" t="s">
        <v>117</v>
      </c>
    </row>
    <row r="56" hidden="1" ht="45" customHeight="1">
      <c r="A56" s="226"/>
      <c r="B56" s="238">
        <v>1216</v>
      </c>
      <c r="C56" s="243" t="s">
        <v>134</v>
      </c>
      <c r="D56" s="301">
        <v>9</v>
      </c>
      <c r="E56" s="301">
        <v>8</v>
      </c>
      <c r="F56" s="301">
        <v>2</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9</v>
      </c>
      <c r="E59" s="301">
        <v>8</v>
      </c>
      <c r="F59" s="301">
        <v>2</v>
      </c>
      <c r="G59" s="207" t="s">
        <v>117</v>
      </c>
    </row>
    <row r="60" hidden="1" ht="45" customHeight="1">
      <c r="A60" s="226"/>
      <c r="B60" s="238">
        <v>1222</v>
      </c>
      <c r="C60" s="264" t="s">
        <v>138</v>
      </c>
      <c r="D60" s="301">
        <v>8</v>
      </c>
      <c r="E60" s="301">
        <v>8</v>
      </c>
      <c r="F60" s="301">
        <v>2</v>
      </c>
      <c r="G60" s="207" t="s">
        <v>117</v>
      </c>
    </row>
    <row r="61" hidden="1" ht="45" customHeight="1">
      <c r="A61" s="226"/>
      <c r="B61" s="238">
        <v>1223</v>
      </c>
      <c r="C61" s="264" t="s">
        <v>139</v>
      </c>
      <c r="D61" s="301">
        <v>8</v>
      </c>
      <c r="E61" s="301">
        <v>8</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v>
      </c>
      <c r="E67" s="301">
        <v>8</v>
      </c>
      <c r="F67" s="301">
        <v>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8</v>
      </c>
      <c r="E73" s="301">
        <v>8</v>
      </c>
      <c r="F73" s="301">
        <v>2</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8</v>
      </c>
      <c r="E75" s="301">
        <v>8</v>
      </c>
      <c r="F75" s="301">
        <v>2</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9</v>
      </c>
      <c r="E79" s="301">
        <v>8</v>
      </c>
      <c r="F79" s="301">
        <v>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v>
      </c>
      <c r="E82" s="301">
        <v>8</v>
      </c>
      <c r="F82" s="301">
        <v>2</v>
      </c>
      <c r="G82" s="207" t="s">
        <v>117</v>
      </c>
    </row>
    <row r="83" hidden="1" ht="45" customHeight="1">
      <c r="A83" s="226"/>
      <c r="B83" s="238">
        <v>1253</v>
      </c>
      <c r="C83" s="242" t="s">
        <v>161</v>
      </c>
      <c r="D83" s="301">
        <v>9</v>
      </c>
      <c r="E83" s="301">
        <v>8</v>
      </c>
      <c r="F83" s="301">
        <v>2</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0</v>
      </c>
      <c r="F97" s="301">
        <v>0</v>
      </c>
      <c r="G97" s="266" t="s">
        <v>168</v>
      </c>
    </row>
    <row r="98" ht="45" customHeight="1" s="270" customFormat="1">
      <c r="A98" s="226"/>
      <c r="B98" s="238">
        <v>1322</v>
      </c>
      <c r="C98" s="242" t="s">
        <v>177</v>
      </c>
      <c r="D98" s="301">
        <v>2</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289</v>
      </c>
      <c r="AZ557" s="0" t="s">
        <v>293</v>
      </c>
      <c r="BA557" s="0" t="s">
        <v>285</v>
      </c>
      <c r="BB557" s="0" t="str">
        <f t="shared" si="8"/>
        <v>CIHPbeBuruku</v>
      </c>
    </row>
    <row r="558">
      <c r="AV558" s="0" t="s">
        <v>471</v>
      </c>
      <c r="AW558" s="0" t="s">
        <v>286</v>
      </c>
      <c r="AX558" s="0" t="s">
        <v>483</v>
      </c>
      <c r="AY558" s="0" t="s">
        <v>2171</v>
      </c>
      <c r="AZ558" s="0" t="s">
        <v>2172</v>
      </c>
      <c r="BA558" s="0" t="s">
        <v>285</v>
      </c>
      <c r="BB558" s="0" t="str">
        <f t="shared" si="8"/>
        <v>CIHPbeBuruku</v>
      </c>
    </row>
    <row r="559">
      <c r="AV559" s="0" t="s">
        <v>471</v>
      </c>
      <c r="AW559" s="0" t="s">
        <v>286</v>
      </c>
      <c r="AX559" s="0" t="s">
        <v>483</v>
      </c>
      <c r="AY559" s="0" t="s">
        <v>2173</v>
      </c>
      <c r="AZ559" s="0" t="s">
        <v>2174</v>
      </c>
      <c r="BA559" s="0" t="s">
        <v>285</v>
      </c>
      <c r="BB559" s="0" t="str">
        <f t="shared" si="8"/>
        <v>CIHPbeBuruku</v>
      </c>
    </row>
    <row r="560">
      <c r="AV560" s="0" t="s">
        <v>471</v>
      </c>
      <c r="AW560" s="0" t="s">
        <v>286</v>
      </c>
      <c r="AX560" s="0" t="s">
        <v>483</v>
      </c>
      <c r="AY560" s="0" t="s">
        <v>2175</v>
      </c>
      <c r="AZ560" s="0" t="s">
        <v>2176</v>
      </c>
      <c r="BA560" s="0" t="s">
        <v>285</v>
      </c>
      <c r="BB560" s="0" t="str">
        <f t="shared" si="8"/>
        <v>CIHPbeBuruku</v>
      </c>
    </row>
    <row r="561">
      <c r="AV561" s="0" t="s">
        <v>471</v>
      </c>
      <c r="AW561" s="0" t="s">
        <v>286</v>
      </c>
      <c r="AX561" s="0" t="s">
        <v>483</v>
      </c>
      <c r="AY561" s="0" t="s">
        <v>2177</v>
      </c>
      <c r="AZ561" s="0" t="s">
        <v>2178</v>
      </c>
      <c r="BA561" s="0" t="s">
        <v>285</v>
      </c>
      <c r="BB561" s="0" t="str">
        <f t="shared" si="8"/>
        <v>CIHPbeBuruku</v>
      </c>
    </row>
    <row r="562">
      <c r="AV562" s="0" t="s">
        <v>471</v>
      </c>
      <c r="AW562" s="0" t="s">
        <v>286</v>
      </c>
      <c r="AX562" s="0" t="s">
        <v>483</v>
      </c>
      <c r="AY562" s="0" t="s">
        <v>2179</v>
      </c>
      <c r="AZ562" s="0" t="s">
        <v>2180</v>
      </c>
      <c r="BA562" s="0" t="s">
        <v>285</v>
      </c>
      <c r="BB562" s="0" t="str">
        <f t="shared" si="8"/>
        <v>CIHPbeBuruku</v>
      </c>
    </row>
    <row r="563">
      <c r="AV563" s="0" t="s">
        <v>471</v>
      </c>
      <c r="AW563" s="0" t="s">
        <v>286</v>
      </c>
      <c r="AX563" s="0" t="s">
        <v>483</v>
      </c>
      <c r="AY563" s="0" t="s">
        <v>2181</v>
      </c>
      <c r="AZ563" s="0" t="s">
        <v>2182</v>
      </c>
      <c r="BA563" s="0" t="s">
        <v>285</v>
      </c>
      <c r="BB563" s="0" t="str">
        <f t="shared" si="8"/>
        <v>CIHPbeBuruku</v>
      </c>
    </row>
    <row r="564">
      <c r="AV564" s="0" t="s">
        <v>471</v>
      </c>
      <c r="AW564" s="0" t="s">
        <v>286</v>
      </c>
      <c r="AX564" s="0" t="s">
        <v>483</v>
      </c>
      <c r="AY564" s="0" t="s">
        <v>2183</v>
      </c>
      <c r="AZ564" s="0" t="s">
        <v>2184</v>
      </c>
      <c r="BA564" s="0" t="s">
        <v>285</v>
      </c>
      <c r="BB564" s="0" t="str">
        <f t="shared" si="8"/>
        <v>CIHPbeBuruku</v>
      </c>
    </row>
    <row r="565">
      <c r="AV565" s="0" t="s">
        <v>471</v>
      </c>
      <c r="AW565" s="0" t="s">
        <v>286</v>
      </c>
      <c r="AX565" s="0" t="s">
        <v>483</v>
      </c>
      <c r="AY565" s="0" t="s">
        <v>2185</v>
      </c>
      <c r="AZ565" s="0" t="s">
        <v>2186</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2187</v>
      </c>
      <c r="AZ567" s="0" t="s">
        <v>2188</v>
      </c>
      <c r="BA567" s="0" t="s">
        <v>285</v>
      </c>
      <c r="BB567" s="0" t="str">
        <f t="shared" si="8"/>
        <v>CIHPbeBuruku</v>
      </c>
    </row>
    <row r="568">
      <c r="AV568" s="0" t="s">
        <v>471</v>
      </c>
      <c r="AW568" s="0" t="s">
        <v>286</v>
      </c>
      <c r="AX568" s="0" t="s">
        <v>483</v>
      </c>
      <c r="AY568" s="0" t="s">
        <v>2189</v>
      </c>
      <c r="AZ568" s="0" t="s">
        <v>2190</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