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<sst xmlns="http://schemas.openxmlformats.org/spreadsheetml/2006/main" count="4056" uniqueCount="4056">
  <si>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</si>
  <si>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</si>
  <si>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</si>
  <si>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</si>
  <si>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</si>
  <si>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</si>
  <si>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</si>
  <si>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</si>
  <si>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</si>
  <si>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</si>
  <si>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</si>
  <si>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</si>
  <si>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</si>
  <si>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</si>
  <si>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</si>
  <si>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</si>
  <si>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</si>
  <si>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</si>
  <si>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</si>
  <si>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</si>
  <si>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</si>
  <si>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</si>
  <si>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</si>
  <si>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</si>
  <si>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</si>
  <si>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</si>
  <si>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</si>
  <si>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</si>
  <si>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</si>
  <si>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</si>
  <si>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</si>
  <si>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</si>
  <si>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</si>
  <si>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</si>
  <si>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</si>
  <si>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</si>
  <si>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</si>
  <si>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</si>
  <si>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</si>
  <si>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</si>
  <si>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</si>
  <si>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</si>
  <si>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</si>
  <si>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</si>
  <si>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</si>
  <si>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</si>
  <si>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</si>
  <si>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</si>
  <si>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</si>
  <si>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</si>
  <si>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</si>
  <si>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</si>
  <si>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</si>
  <si>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</si>
  <si>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</si>
  <si>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</si>
  <si>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</si>
  <si>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</si>
  <si>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</si>
  <si>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</si>
  <si>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</si>
  <si>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</si>
  <si>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</si>
  <si>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</si>
  <si>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</si>
  <si>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</si>
  <si>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</si>
  <si>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</si>
  <si>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</si>
  <si>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</si>
  <si>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</si>
  <si>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</si>
  <si>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</si>
  <si>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</si>
  <si>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</si>
  <si>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</si>
  <si>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</si>
  <si>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</si>
  <si>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</si>
  <si>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</si>
  <si>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</si>
  <si>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</si>
  <si>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</si>
  <si>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</si>
  <si>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</si>
  <si>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</si>
  <si>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</si>
  <si>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</si>
  <si>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</si>
  <si>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</si>
  <si>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</si>
  <si>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</si>
  <si>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</si>
  <si>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</si>
  <si>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</si>
  <si>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</si>
  <si>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</si>
  <si>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</si>
  <si>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</si>
  <si>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</si>
  <si>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</si>
  <si>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</si>
  <si>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</si>
  <si>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</si>
  <si>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</si>
  <si>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</si>
  <si>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</si>
  <si>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</si>
  <si>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</si>
  <si>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</si>
  <si>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</si>
  <si>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</si>
  <si>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</si>
  <si>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</si>
  <si>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</si>
  <si>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</si>
  <si>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</si>
  <si>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</si>
  <si>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</si>
  <si>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</si>
  <si>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</si>
  <si>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</si>
  <si>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</si>
  <si>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</si>
  <si>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</si>
  <si>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</si>
  <si>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</si>
  <si>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</si>
  <si>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</si>
  <si>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</si>
  <si>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</si>
  <si>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</si>
  <si>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</si>
  <si>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</si>
  <si>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</si>
  <si>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</si>
  <si>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</si>
  <si>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</si>
  <si>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</si>
  <si>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</si>
  <si>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</si>
  <si>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</si>
  <si>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</si>
  <si>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</si>
  <si>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</si>
  <si>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</si>
  <si>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</si>
  <si>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</si>
  <si>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</si>
  <si>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</si>
  <si>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</si>
  <si>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</si>
  <si>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</si>
  <si>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</si>
  <si>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</si>
  <si>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</si>
  <si>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</si>
  <si>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</si>
  <si>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</si>
  <si>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</si>
  <si>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</si>
  <si>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</si>
  <si>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</si>
  <si>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</si>
  <si>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</si>
  <si>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</si>
  <si>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</si>
  <si>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</si>
  <si>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</si>
  <si>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</si>
  <si>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</si>
  <si>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</si>
  <si>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</si>
  <si>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</si>
  <si>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</si>
  <si>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</si>
  <si>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</si>
  <si>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</si>
  <si>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</si>
  <si>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</si>
  <si>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</si>
  <si>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</si>
  <si>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</si>
  <si>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</si>
  <si>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</si>
  <si>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</si>
  <si>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</si>
  <si>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</si>
  <si>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</si>
  <si>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</si>
  <si>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</si>
  <si>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</si>
  <si>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</si>
  <si>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</si>
  <si>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</si>
  <si>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</si>
  <si>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</si>
  <si>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</si>
  <si>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</si>
  <si>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</si>
  <si>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</si>
  <si>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</si>
  <si>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</si>
  <si>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</si>
  <si>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</si>
  <si>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</si>
  <si>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</si>
  <si>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</si>
  <si>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</si>
  <si>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</si>
  <si>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</si>
  <si>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</si>
  <si>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</si>
  <si>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</si>
  <si>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</si>
  <si>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</si>
  <si>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</si>
  <si>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</si>
  <si>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</si>
  <si>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</si>
  <si>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</si>
  <si>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</si>
  <si>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</si>
  <si>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</si>
  <si>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</si>
  <si>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</si>
  <si>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</si>
  <si>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</si>
  <si>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</si>
  <si>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</si>
  <si>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</si>
  <si>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</si>
  <si>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</si>
  <si>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</si>
  <si>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</si>
  <si>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</si>
  <si>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</si>
  <si>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</si>
  <si>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</si>
  <si>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</si>
  <si>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</si>
  <si>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</si>
  <si>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</si>
  <si>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</si>
  <si>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</si>
  <si>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</si>
  <si>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</si>
  <si>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</si>
  <si>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</si>
  <si>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</si>
  <si>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</si>
  <si>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</si>
  <si>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</si>
  <si>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</si>
  <si>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</si>
  <si>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</si>
  <si>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</si>
  <si>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</si>
  <si>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</si>
  <si>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</si>
  <si>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</si>
  <si>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</si>
  <si>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</si>
  <si>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</si>
  <si>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</si>
  <si>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</si>
  <si>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</si>
  <si>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</si>
  <si>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</si>
  <si>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</si>
  <si>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</si>
  <si>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</si>
  <si>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</si>
  <si>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</si>
  <si>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</si>
  <si>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</si>
  <si>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</si>
  <si>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</si>
  <si>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</si>
  <si>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</si>
  <si>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</si>
  <si>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</si>
  <si>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</si>
  <si>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</si>
  <si>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</si>
  <si>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</si>
  <si>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</si>
  <si>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Ikeduru</t>
  </si>
  <si>
    <t>Facility Name:</t>
  </si>
  <si>
    <t>Amaimo Primary Health Center</t>
  </si>
  <si>
    <t>Reporting Period:</t>
  </si>
  <si>
    <t>Q1(Oct - Dec)</t>
  </si>
  <si>
    <t>Facility Code:</t>
  </si>
  <si>
    <t>Of2XxJh71lU</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</si>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</sst>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46</v>
      </c>
      <c r="G8" s="155">
        <f>ROUND(SUM('All Questions'!D31:D35)/5+G12,0)</f>
        <v>35</v>
      </c>
      <c r="H8" s="156">
        <f>ROUND(SUM('All Questions'!D37,'All Questions'!D40)/2+'All Questions'!D26+H12,0)</f>
        <v>130</v>
      </c>
      <c r="I8" s="157">
        <f>ROUND((SUM('All Questions'!E11:E14)/4)+I12,0)</f>
        <v>0</v>
      </c>
      <c r="J8" s="155">
        <f>ROUND(SUM('All Questions'!E15:E21)/7+J12,0)</f>
        <v>0</v>
      </c>
      <c r="K8" s="155">
        <f>ROUND(SUM('All Questions'!E23:E30)/4+K12,0)</f>
        <v>36</v>
      </c>
      <c r="L8" s="155">
        <f>ROUND(SUM('All Questions'!E31:E35)/5+L12,0)</f>
        <v>27</v>
      </c>
      <c r="M8" s="156">
        <f>ROUND(('All Questions'!E37+'All Questions'!E40)/2+'All Questions'!E26+M12,0)</f>
        <v>94</v>
      </c>
      <c r="N8" s="157">
        <f>ROUND((SUM('All Questions'!F11:F14)/4)+N12,0)</f>
        <v>0</v>
      </c>
      <c r="O8" s="155">
        <f>ROUND(SUM('All Questions'!F15:F21)/7+O12,0)</f>
        <v>0</v>
      </c>
      <c r="P8" s="155">
        <f>ROUND(SUM('All Questions'!F23:F30)/4+P12,0)</f>
        <v>18</v>
      </c>
      <c r="Q8" s="155">
        <f>ROUND(SUM('All Questions'!F31:F35)/5+Q12,0)</f>
        <v>13</v>
      </c>
      <c r="R8" s="156">
        <f>ROUND(('All Questions'!F37+'All Questions'!F40)/2+'All Questions'!F26+R12,0)</f>
        <v>43</v>
      </c>
      <c r="S8" s="141">
        <f>'All Questions'!F2</f>
        <v>0</v>
      </c>
      <c r="T8" s="142" t="e">
        <f>(AVERAGE(F8:H8)+AVERAGE(K8:M8)+AVERAGE(P8:R8))/S8</f>
        <v>#DIV/0!</v>
      </c>
      <c r="V8" s="309">
        <f>AVERAGE(F8:H8)+AVERAGE(K8:M8)+AVERAGE(P8:R8)</f>
        <v>147.33333333333331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v>
      </c>
      <c r="G9" s="158"/>
      <c r="H9" s="160"/>
      <c r="I9" s="161"/>
      <c r="J9" s="158"/>
      <c r="K9" s="159">
        <f>ROUND('All Questions'!E29+K13,0)</f>
        <v>1</v>
      </c>
      <c r="L9" s="158"/>
      <c r="M9" s="160"/>
      <c r="N9" s="161"/>
      <c r="O9" s="158"/>
      <c r="P9" s="159">
        <f>ROUND('All Questions'!F29+P13,0)</f>
        <v>0</v>
      </c>
      <c r="Q9" s="158"/>
      <c r="R9" s="160"/>
      <c r="S9" s="141">
        <f>'All Questions'!F3</f>
        <v>0</v>
      </c>
      <c r="T9" s="143" t="e">
        <f>SUM(F9,K9,P9)/S9</f>
        <v>#DIV/0!</v>
      </c>
      <c r="V9" s="309">
        <f>SUM(F9+K9+P9)</f>
        <v>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46</v>
      </c>
      <c r="G12" s="173">
        <f>ROUND(SUM('All Questions'!D73:D80)/4,0)</f>
        <v>35</v>
      </c>
      <c r="H12" s="174">
        <f>ROUND(SUM('All Questions'!D82:D83)/2,0)</f>
        <v>130</v>
      </c>
      <c r="I12" s="175">
        <f>ROUND(SUM('All Questions'!E54:E58)+'All Questions'!E71/4,0)</f>
        <v>0</v>
      </c>
      <c r="J12" s="176">
        <f>ROUND(SUM('All Questions'!E60:E63)/4,0)</f>
        <v>0</v>
      </c>
      <c r="K12" s="176">
        <f>ROUND(SUM('All Questions'!E67:E72)/3,0)</f>
        <v>36</v>
      </c>
      <c r="L12" s="176">
        <f>ROUND(SUM('All Questions'!E73:E80)/4,0)</f>
        <v>27</v>
      </c>
      <c r="M12" s="177">
        <f>ROUND(SUM('All Questions'!E82:E83)/2,0)</f>
        <v>94</v>
      </c>
      <c r="N12" s="178">
        <f>ROUND(SUM('All Questions'!F54:F58)+'All Questions'!F71/4,0)</f>
        <v>0</v>
      </c>
      <c r="O12" s="176">
        <f>ROUND(SUM('All Questions'!F60:F63)/4,0)</f>
        <v>0</v>
      </c>
      <c r="P12" s="176">
        <f>ROUND(SUM('All Questions'!F67:F72)/3,0)</f>
        <v>18</v>
      </c>
      <c r="Q12" s="176">
        <f>ROUND(SUM('All Questions'!F73:F80)/4,0)</f>
        <v>13</v>
      </c>
      <c r="R12" s="177">
        <f>ROUND(SUM('All Questions'!F82:F83)/2,0)</f>
        <v>43</v>
      </c>
      <c r="S12" s="145">
        <f>'All Questions'!F46</f>
        <v>0</v>
      </c>
      <c r="T12" s="146" t="e">
        <f ref="T12:T15" t="shared" si="1">(AVERAGE(F12:H12)+AVERAGE(K12:M12)+AVERAGE(P12:R12))/S12</f>
        <v>#DIV/0!</v>
      </c>
      <c r="V12" s="309">
        <f>AVERAGE(F12:H12)+AVERAGE(K12:M12)+AVERAGE(P12:R12)</f>
        <v>147.33333333333331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1</v>
      </c>
      <c r="I13" s="181"/>
      <c r="J13" s="182"/>
      <c r="K13" s="183">
        <f>ROUND('All Questions'!E72,0)</f>
        <v>1</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1</v>
      </c>
      <c r="L16" s="194">
        <f>ROUND(SUM('All Questions'!E106:E109)/4,0)</f>
        <v>1</v>
      </c>
      <c r="M16" s="195">
        <f>ROUND(SUM('All Questions'!E111,'All Questions'!E112,'All Questions'!E114,'All Questions'!E115)/4,0)</f>
        <v>1</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267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267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94</v>
      </c>
      <c r="E52" s="301">
        <v>94</v>
      </c>
      <c r="F52" s="301">
        <v>93</v>
      </c>
      <c r="G52" s="207" t="s">
        <v>117</v>
      </c>
    </row>
    <row r="53" hidden="1" ht="45" customHeight="1">
      <c r="A53" s="226"/>
      <c r="B53" s="238">
        <v>1213</v>
      </c>
      <c r="C53" s="242" t="s">
        <v>131</v>
      </c>
      <c r="D53" s="301">
        <v>130</v>
      </c>
      <c r="E53" s="301">
        <v>94</v>
      </c>
      <c r="F53" s="301">
        <v>43</v>
      </c>
      <c r="G53" s="207" t="s">
        <v>117</v>
      </c>
    </row>
    <row r="54" hidden="1" ht="45" customHeight="1">
      <c r="A54" s="226"/>
      <c r="B54" s="238">
        <v>1214</v>
      </c>
      <c r="C54" s="264" t="s">
        <v>132</v>
      </c>
      <c r="D54" s="301">
        <v>26</v>
      </c>
      <c r="E54" s="301">
        <v>26</v>
      </c>
      <c r="F54" s="301">
        <v>27</v>
      </c>
      <c r="G54" s="207" t="s">
        <v>117</v>
      </c>
    </row>
    <row r="55" hidden="1" ht="45" customHeight="1">
      <c r="A55" s="226"/>
      <c r="B55" s="238">
        <v>1215</v>
      </c>
      <c r="C55" s="242" t="s">
        <v>133</v>
      </c>
      <c r="D55" s="301">
        <v>26</v>
      </c>
      <c r="E55" s="301">
        <v>26</v>
      </c>
      <c r="F55" s="301">
        <v>27</v>
      </c>
      <c r="G55" s="207" t="s">
        <v>117</v>
      </c>
    </row>
    <row r="56" hidden="1" ht="45" customHeight="1">
      <c r="A56" s="226"/>
      <c r="B56" s="238">
        <v>1216</v>
      </c>
      <c r="C56" s="243" t="s">
        <v>134</v>
      </c>
      <c r="D56" s="301">
        <v>26</v>
      </c>
      <c r="E56" s="301">
        <v>26</v>
      </c>
      <c r="F56" s="301">
        <v>26</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v>
      </c>
      <c r="E58" s="301">
        <v>1</v>
      </c>
      <c r="F58" s="301">
        <v>0</v>
      </c>
      <c r="G58" s="207" t="s">
        <v>117</v>
      </c>
    </row>
    <row r="59" hidden="1" ht="45" customHeight="1">
      <c r="A59" s="226"/>
      <c r="B59" s="238">
        <v>1221</v>
      </c>
      <c r="C59" s="264" t="s">
        <v>137</v>
      </c>
      <c r="D59" s="301">
        <v>26</v>
      </c>
      <c r="E59" s="301">
        <v>26</v>
      </c>
      <c r="F59" s="301">
        <v>27</v>
      </c>
      <c r="G59" s="207" t="s">
        <v>117</v>
      </c>
    </row>
    <row r="60" hidden="1" ht="45" customHeight="1">
      <c r="A60" s="226"/>
      <c r="B60" s="238">
        <v>1222</v>
      </c>
      <c r="C60" s="264" t="s">
        <v>138</v>
      </c>
      <c r="D60" s="301">
        <v>26</v>
      </c>
      <c r="E60" s="301">
        <v>26</v>
      </c>
      <c r="F60" s="301">
        <v>27</v>
      </c>
      <c r="G60" s="207" t="s">
        <v>117</v>
      </c>
    </row>
    <row r="61" hidden="1" ht="45" customHeight="1">
      <c r="A61" s="226"/>
      <c r="B61" s="238">
        <v>1223</v>
      </c>
      <c r="C61" s="264" t="s">
        <v>139</v>
      </c>
      <c r="D61" s="301">
        <v>26</v>
      </c>
      <c r="E61" s="301">
        <v>26</v>
      </c>
      <c r="F61" s="301">
        <v>27</v>
      </c>
      <c r="G61" s="207" t="s">
        <v>117</v>
      </c>
    </row>
    <row r="62" hidden="1" ht="54.65" customHeight="1">
      <c r="A62" s="226"/>
      <c r="B62" s="238">
        <v>1224</v>
      </c>
      <c r="C62" s="264" t="s">
        <v>140</v>
      </c>
      <c r="D62" s="301">
        <v>26</v>
      </c>
      <c r="E62" s="301">
        <v>26</v>
      </c>
      <c r="F62" s="301">
        <v>27</v>
      </c>
      <c r="G62" s="207" t="s">
        <v>117</v>
      </c>
    </row>
    <row r="63" hidden="1" ht="66.65" customHeight="1">
      <c r="A63" s="226"/>
      <c r="B63" s="238">
        <v>1225</v>
      </c>
      <c r="C63" s="264" t="s">
        <v>141</v>
      </c>
      <c r="D63" s="301">
        <v>4</v>
      </c>
      <c r="E63" s="301">
        <v>7</v>
      </c>
      <c r="F63" s="301">
        <v>12</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130</v>
      </c>
      <c r="E67" s="301">
        <v>94</v>
      </c>
      <c r="F67" s="301">
        <v>43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8</v>
      </c>
      <c r="E71" s="301">
        <v>12</v>
      </c>
      <c r="F71" s="301">
        <v>10</v>
      </c>
      <c r="G71" s="207" t="s">
        <v>117</v>
      </c>
    </row>
    <row r="72" hidden="1" ht="45" customHeight="1">
      <c r="A72" s="226"/>
      <c r="B72" s="238">
        <v>1236</v>
      </c>
      <c r="C72" s="242" t="s">
        <v>150</v>
      </c>
      <c r="D72" s="301">
        <v>1</v>
      </c>
      <c r="E72" s="301">
        <v>1</v>
      </c>
      <c r="F72" s="301">
        <v>0</v>
      </c>
      <c r="G72" s="207" t="s">
        <v>117</v>
      </c>
    </row>
    <row r="73" hidden="1" ht="45" customHeight="1">
      <c r="A73" s="226"/>
      <c r="B73" s="238">
        <v>1241</v>
      </c>
      <c r="C73" s="242" t="s">
        <v>151</v>
      </c>
      <c r="D73" s="301">
        <v>1</v>
      </c>
      <c r="E73" s="301">
        <v>1</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v>
      </c>
      <c r="E75" s="301">
        <v>1</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8</v>
      </c>
      <c r="E77" s="301">
        <v>12</v>
      </c>
      <c r="F77" s="301">
        <v>10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130</v>
      </c>
      <c r="E79" s="301">
        <v>94</v>
      </c>
      <c r="F79" s="301">
        <v>43</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130</v>
      </c>
      <c r="E82" s="301">
        <v>94</v>
      </c>
      <c r="F82" s="301">
        <v>43</v>
      </c>
      <c r="G82" s="207" t="s">
        <v>117</v>
      </c>
    </row>
    <row r="83" hidden="1" ht="45" customHeight="1">
      <c r="A83" s="226"/>
      <c r="B83" s="238">
        <v>1253</v>
      </c>
      <c r="C83" s="242" t="s">
        <v>161</v>
      </c>
      <c r="D83" s="301">
        <v>130</v>
      </c>
      <c r="E83" s="301">
        <v>94</v>
      </c>
      <c r="F83" s="301">
        <v>43</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1</v>
      </c>
      <c r="F85" s="301">
        <v>0</v>
      </c>
      <c r="G85" s="207" t="s">
        <v>117</v>
      </c>
    </row>
    <row r="86" hidden="1" ht="45" customHeight="1">
      <c r="A86" s="226"/>
      <c r="B86" s="238">
        <v>1256</v>
      </c>
      <c r="C86" s="242" t="s">
        <v>164</v>
      </c>
      <c r="D86" s="301">
        <v>1</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1</v>
      </c>
      <c r="F93" s="301">
        <v>0</v>
      </c>
      <c r="G93" s="266" t="s">
        <v>168</v>
      </c>
    </row>
    <row r="94" ht="45" customHeight="1">
      <c r="A94" s="226"/>
      <c r="B94" s="238">
        <v>1314</v>
      </c>
      <c r="C94" s="269" t="s">
        <v>173</v>
      </c>
      <c r="D94" s="301">
        <v>1</v>
      </c>
      <c r="E94" s="301">
        <v>1</v>
      </c>
      <c r="F94" s="301">
        <v>0</v>
      </c>
      <c r="G94" s="266" t="s">
        <v>168</v>
      </c>
    </row>
    <row r="95" ht="45" customHeight="1">
      <c r="A95" s="226"/>
      <c r="B95" s="238">
        <v>1315</v>
      </c>
      <c r="C95" s="243" t="s">
        <v>174</v>
      </c>
      <c r="D95" s="301">
        <v>1</v>
      </c>
      <c r="E95" s="301">
        <v>1</v>
      </c>
      <c r="F95" s="301">
        <v>0</v>
      </c>
      <c r="G95" s="266" t="s">
        <v>168</v>
      </c>
    </row>
    <row r="96" ht="45" customHeight="1" s="270" customFormat="1">
      <c r="A96" s="226"/>
      <c r="B96" s="238">
        <v>1316</v>
      </c>
      <c r="C96" s="243" t="s">
        <v>175</v>
      </c>
      <c r="D96" s="301">
        <v>1</v>
      </c>
      <c r="E96" s="301">
        <v>1</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1</v>
      </c>
      <c r="E99" s="301">
        <v>1</v>
      </c>
      <c r="F99" s="301">
        <v>0</v>
      </c>
      <c r="G99" s="266" t="s">
        <v>168</v>
      </c>
    </row>
    <row r="100" ht="45" customHeight="1" s="270" customFormat="1">
      <c r="A100" s="226"/>
      <c r="B100" s="238">
        <v>1324</v>
      </c>
      <c r="C100" s="242" t="s">
        <v>179</v>
      </c>
      <c r="D100" s="301">
        <v>1</v>
      </c>
      <c r="E100" s="301">
        <v>1</v>
      </c>
      <c r="F100" s="301">
        <v>0</v>
      </c>
      <c r="G100" s="266" t="s">
        <v>168</v>
      </c>
    </row>
    <row r="101" ht="45" customHeight="1" s="270" customFormat="1">
      <c r="A101" s="226"/>
      <c r="B101" s="238">
        <v>1331</v>
      </c>
      <c r="C101" s="242" t="s">
        <v>180</v>
      </c>
      <c r="D101" s="301">
        <v>1</v>
      </c>
      <c r="E101" s="301">
        <v>1</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1</v>
      </c>
      <c r="E103" s="301">
        <v>1</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1</v>
      </c>
      <c r="E107" s="271">
        <f>E94</f>
        <v>1</v>
      </c>
      <c r="F107" s="271">
        <f>F94</f>
        <v>0</v>
      </c>
      <c r="G107" s="266"/>
    </row>
    <row r="108" ht="45" customHeight="1" s="270" customFormat="1">
      <c r="A108" s="226"/>
      <c r="B108" s="238">
        <v>1343</v>
      </c>
      <c r="C108" s="242" t="s">
        <v>187</v>
      </c>
      <c r="D108" s="301">
        <v>1</v>
      </c>
      <c r="E108" s="301">
        <v>1</v>
      </c>
      <c r="F108" s="301">
        <v>0</v>
      </c>
      <c r="G108" s="266" t="s">
        <v>168</v>
      </c>
    </row>
    <row r="109" ht="45" customHeight="1" s="270" customFormat="1">
      <c r="A109" s="226"/>
      <c r="B109" s="238">
        <v>1344</v>
      </c>
      <c r="C109" s="242" t="s">
        <v>188</v>
      </c>
      <c r="D109" s="301">
        <v>1</v>
      </c>
      <c r="E109" s="301">
        <v>1</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1</v>
      </c>
      <c r="F111" s="301">
        <v>0</v>
      </c>
      <c r="G111" s="266" t="s">
        <v>168</v>
      </c>
    </row>
    <row r="112" ht="45" customHeight="1" s="270" customFormat="1">
      <c r="A112" s="226"/>
      <c r="B112" s="238">
        <v>1353</v>
      </c>
      <c r="C112" s="242" t="s">
        <v>191</v>
      </c>
      <c r="D112" s="301">
        <v>1</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1</v>
      </c>
      <c r="F114" s="301">
        <v>0</v>
      </c>
      <c r="G114" s="266" t="s">
        <v>168</v>
      </c>
    </row>
    <row r="115" ht="45" customHeight="1" s="270" customFormat="1">
      <c r="A115" s="226"/>
      <c r="B115" s="238">
        <v>1356</v>
      </c>
      <c r="C115" s="242" t="s">
        <v>193</v>
      </c>
      <c r="D115" s="301">
        <v>1</v>
      </c>
      <c r="E115" s="301">
        <v>1</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289</v>
      </c>
      <c r="AZ364" s="0" t="s">
        <v>293</v>
      </c>
      <c r="BA364" s="0" t="s">
        <v>285</v>
      </c>
      <c r="BB364" s="0" t="str">
        <f t="shared" si="5"/>
        <v>CCCRNimIkeduru</v>
      </c>
    </row>
    <row r="365">
      <c r="AV365" s="0" t="s">
        <v>471</v>
      </c>
      <c r="AW365" s="0" t="s">
        <v>286</v>
      </c>
      <c r="AX365" s="0" t="s">
        <v>651</v>
      </c>
      <c r="AY365" s="0" t="s">
        <v>1784</v>
      </c>
      <c r="AZ365" s="0" t="s">
        <v>1785</v>
      </c>
      <c r="BA365" s="0" t="s">
        <v>285</v>
      </c>
      <c r="BB365" s="0" t="str">
        <f t="shared" si="5"/>
        <v>CCCRNimIkeduru</v>
      </c>
    </row>
    <row r="366">
      <c r="AV366" s="0" t="s">
        <v>471</v>
      </c>
      <c r="AW366" s="0" t="s">
        <v>286</v>
      </c>
      <c r="AX366" s="0" t="s">
        <v>651</v>
      </c>
      <c r="AY366" s="0" t="s">
        <v>1786</v>
      </c>
      <c r="AZ366" s="0" t="s">
        <v>1787</v>
      </c>
      <c r="BA366" s="0" t="s">
        <v>285</v>
      </c>
      <c r="BB366" s="0" t="str">
        <f t="shared" si="5"/>
        <v>CCCRNimIkeduru</v>
      </c>
    </row>
    <row r="367">
      <c r="AV367" s="0" t="s">
        <v>471</v>
      </c>
      <c r="AW367" s="0" t="s">
        <v>286</v>
      </c>
      <c r="AX367" s="0" t="s">
        <v>687</v>
      </c>
      <c r="AY367" s="0" t="s">
        <v>1788</v>
      </c>
      <c r="AZ367" s="0" t="s">
        <v>1789</v>
      </c>
      <c r="BA367" s="0" t="s">
        <v>285</v>
      </c>
      <c r="BB367" s="0" t="str">
        <f t="shared" si="5"/>
        <v>CCCRNimIsu</v>
      </c>
    </row>
    <row r="368">
      <c r="AV368" s="0" t="s">
        <v>471</v>
      </c>
      <c r="AW368" s="0" t="s">
        <v>286</v>
      </c>
      <c r="AX368" s="0" t="s">
        <v>687</v>
      </c>
      <c r="AY368" s="0" t="s">
        <v>1790</v>
      </c>
      <c r="AZ368" s="0" t="s">
        <v>1791</v>
      </c>
      <c r="BA368" s="0" t="s">
        <v>285</v>
      </c>
      <c r="BB368" s="0" t="str">
        <f t="shared" si="5"/>
        <v>CCCRNimIsu</v>
      </c>
    </row>
    <row r="369">
      <c r="AV369" s="0" t="s">
        <v>471</v>
      </c>
      <c r="AW369" s="0" t="s">
        <v>286</v>
      </c>
      <c r="AX369" s="0" t="s">
        <v>687</v>
      </c>
      <c r="AY369" s="0" t="s">
        <v>1792</v>
      </c>
      <c r="AZ369" s="0" t="s">
        <v>1793</v>
      </c>
      <c r="BA369" s="0" t="s">
        <v>285</v>
      </c>
      <c r="BB369" s="0" t="str">
        <f t="shared" si="5"/>
        <v>CCCRNimIsu</v>
      </c>
    </row>
    <row r="370">
      <c r="AV370" s="0" t="s">
        <v>471</v>
      </c>
      <c r="AW370" s="0" t="s">
        <v>286</v>
      </c>
      <c r="AX370" s="0" t="s">
        <v>722</v>
      </c>
      <c r="AY370" s="0" t="s">
        <v>1794</v>
      </c>
      <c r="AZ370" s="0" t="s">
        <v>1795</v>
      </c>
      <c r="BA370" s="0" t="s">
        <v>285</v>
      </c>
      <c r="BB370" s="0" t="str">
        <f t="shared" si="5"/>
        <v>CCCRNimMbaitoli</v>
      </c>
    </row>
    <row r="371">
      <c r="AV371" s="0" t="s">
        <v>471</v>
      </c>
      <c r="AW371" s="0" t="s">
        <v>286</v>
      </c>
      <c r="AX371" s="0" t="s">
        <v>722</v>
      </c>
      <c r="AY371" s="0" t="s">
        <v>1796</v>
      </c>
      <c r="AZ371" s="0" t="s">
        <v>1797</v>
      </c>
      <c r="BA371" s="0" t="s">
        <v>285</v>
      </c>
      <c r="BB371" s="0" t="str">
        <f t="shared" si="5"/>
        <v>CCCRNimMbaitoli</v>
      </c>
    </row>
    <row r="372">
      <c r="AV372" s="0" t="s">
        <v>471</v>
      </c>
      <c r="AW372" s="0" t="s">
        <v>286</v>
      </c>
      <c r="AX372" s="0" t="s">
        <v>722</v>
      </c>
      <c r="AY372" s="0" t="s">
        <v>1798</v>
      </c>
      <c r="AZ372" s="0" t="s">
        <v>1799</v>
      </c>
      <c r="BA372" s="0" t="s">
        <v>285</v>
      </c>
      <c r="BB372" s="0" t="str">
        <f t="shared" si="5"/>
        <v>CCCRNimMbaitoli</v>
      </c>
    </row>
    <row r="373">
      <c r="AV373" s="0" t="s">
        <v>471</v>
      </c>
      <c r="AW373" s="0" t="s">
        <v>286</v>
      </c>
      <c r="AX373" s="0" t="s">
        <v>722</v>
      </c>
      <c r="AY373" s="0" t="s">
        <v>1800</v>
      </c>
      <c r="AZ373" s="0" t="s">
        <v>1801</v>
      </c>
      <c r="BA373" s="0" t="s">
        <v>285</v>
      </c>
      <c r="BB373" s="0" t="str">
        <f t="shared" si="5"/>
        <v>CCCRNimMbaitoli</v>
      </c>
    </row>
    <row r="374">
      <c r="AV374" s="0" t="s">
        <v>471</v>
      </c>
      <c r="AW374" s="0" t="s">
        <v>286</v>
      </c>
      <c r="AX374" s="0" t="s">
        <v>755</v>
      </c>
      <c r="AY374" s="0" t="s">
        <v>1802</v>
      </c>
      <c r="AZ374" s="0" t="s">
        <v>1803</v>
      </c>
      <c r="BA374" s="0" t="s">
        <v>285</v>
      </c>
      <c r="BB374" s="0" t="str">
        <f t="shared" si="5"/>
        <v>CCCRNimNgorOkpala</v>
      </c>
    </row>
    <row r="375">
      <c r="AV375" s="0" t="s">
        <v>471</v>
      </c>
      <c r="AW375" s="0" t="s">
        <v>286</v>
      </c>
      <c r="AX375" s="0" t="s">
        <v>755</v>
      </c>
      <c r="AY375" s="0" t="s">
        <v>1804</v>
      </c>
      <c r="AZ375" s="0" t="s">
        <v>1805</v>
      </c>
      <c r="BA375" s="0" t="s">
        <v>285</v>
      </c>
      <c r="BB375" s="0" t="str">
        <f t="shared" si="5"/>
        <v>CCCRNimNgorOkpala</v>
      </c>
    </row>
    <row r="376">
      <c r="AV376" s="0" t="s">
        <v>471</v>
      </c>
      <c r="AW376" s="0" t="s">
        <v>286</v>
      </c>
      <c r="AX376" s="0" t="s">
        <v>755</v>
      </c>
      <c r="AY376" s="0" t="s">
        <v>1806</v>
      </c>
      <c r="AZ376" s="0" t="s">
        <v>1807</v>
      </c>
      <c r="BA376" s="0" t="s">
        <v>285</v>
      </c>
      <c r="BB376" s="0" t="str">
        <f t="shared" si="5"/>
        <v>CCCRNimNgorOkpala</v>
      </c>
    </row>
    <row r="377">
      <c r="AV377" s="0" t="s">
        <v>471</v>
      </c>
      <c r="AW377" s="0" t="s">
        <v>286</v>
      </c>
      <c r="AX377" s="0" t="s">
        <v>755</v>
      </c>
      <c r="AY377" s="0" t="s">
        <v>1808</v>
      </c>
      <c r="AZ377" s="0" t="s">
        <v>1809</v>
      </c>
      <c r="BA377" s="0" t="s">
        <v>285</v>
      </c>
      <c r="BB377" s="0" t="str">
        <f t="shared" si="5"/>
        <v>CCCRNimNgorOkpala</v>
      </c>
    </row>
    <row r="378">
      <c r="AV378" s="0" t="s">
        <v>471</v>
      </c>
      <c r="AW378" s="0" t="s">
        <v>286</v>
      </c>
      <c r="AX378" s="0" t="s">
        <v>787</v>
      </c>
      <c r="AY378" s="0" t="s">
        <v>1810</v>
      </c>
      <c r="AZ378" s="0" t="s">
        <v>1811</v>
      </c>
      <c r="BA378" s="0" t="s">
        <v>285</v>
      </c>
      <c r="BB378" s="0" t="str">
        <f t="shared" si="5"/>
        <v>CCCRNimNjaba</v>
      </c>
    </row>
    <row r="379">
      <c r="AV379" s="0" t="s">
        <v>471</v>
      </c>
      <c r="AW379" s="0" t="s">
        <v>286</v>
      </c>
      <c r="AX379" s="0" t="s">
        <v>787</v>
      </c>
      <c r="AY379" s="0" t="s">
        <v>1812</v>
      </c>
      <c r="AZ379" s="0" t="s">
        <v>1813</v>
      </c>
      <c r="BA379" s="0" t="s">
        <v>285</v>
      </c>
      <c r="BB379" s="0" t="str">
        <f t="shared" si="5"/>
        <v>CCCRNimNjaba</v>
      </c>
    </row>
    <row r="380">
      <c r="AV380" s="0" t="s">
        <v>471</v>
      </c>
      <c r="AW380" s="0" t="s">
        <v>286</v>
      </c>
      <c r="AX380" s="0" t="s">
        <v>817</v>
      </c>
      <c r="AY380" s="0" t="s">
        <v>1814</v>
      </c>
      <c r="AZ380" s="0" t="s">
        <v>1815</v>
      </c>
      <c r="BA380" s="0" t="s">
        <v>285</v>
      </c>
      <c r="BB380" s="0" t="str">
        <f t="shared" si="5"/>
        <v>CCCRNimNkwerre</v>
      </c>
    </row>
    <row r="381">
      <c r="AV381" s="0" t="s">
        <v>471</v>
      </c>
      <c r="AW381" s="0" t="s">
        <v>286</v>
      </c>
      <c r="AX381" s="0" t="s">
        <v>817</v>
      </c>
      <c r="AY381" s="0" t="s">
        <v>1816</v>
      </c>
      <c r="AZ381" s="0" t="s">
        <v>1817</v>
      </c>
      <c r="BA381" s="0" t="s">
        <v>285</v>
      </c>
      <c r="BB381" s="0" t="str">
        <f t="shared" si="5"/>
        <v>CCCRNimNkwerre</v>
      </c>
    </row>
    <row r="382">
      <c r="AV382" s="0" t="s">
        <v>471</v>
      </c>
      <c r="AW382" s="0" t="s">
        <v>286</v>
      </c>
      <c r="AX382" s="0" t="s">
        <v>817</v>
      </c>
      <c r="AY382" s="0" t="s">
        <v>1818</v>
      </c>
      <c r="AZ382" s="0" t="s">
        <v>1819</v>
      </c>
      <c r="BA382" s="0" t="s">
        <v>285</v>
      </c>
      <c r="BB382" s="0" t="str">
        <f t="shared" si="5"/>
        <v>CCCRNimNkwerre</v>
      </c>
    </row>
    <row r="383">
      <c r="AV383" s="0" t="s">
        <v>471</v>
      </c>
      <c r="AW383" s="0" t="s">
        <v>286</v>
      </c>
      <c r="AX383" s="0" t="s">
        <v>817</v>
      </c>
      <c r="AY383" s="0" t="s">
        <v>1820</v>
      </c>
      <c r="AZ383" s="0" t="s">
        <v>1821</v>
      </c>
      <c r="BA383" s="0" t="s">
        <v>285</v>
      </c>
      <c r="BB383" s="0" t="str">
        <f t="shared" si="5"/>
        <v>CCCRNimNkwerre</v>
      </c>
    </row>
    <row r="384">
      <c r="AV384" s="0" t="s">
        <v>471</v>
      </c>
      <c r="AW384" s="0" t="s">
        <v>286</v>
      </c>
      <c r="AX384" s="0" t="s">
        <v>817</v>
      </c>
      <c r="AY384" s="0" t="s">
        <v>1822</v>
      </c>
      <c r="AZ384" s="0" t="s">
        <v>1823</v>
      </c>
      <c r="BA384" s="0" t="s">
        <v>285</v>
      </c>
      <c r="BB384" s="0" t="str">
        <f t="shared" si="5"/>
        <v>CCCRNimNkwerre</v>
      </c>
    </row>
    <row r="385">
      <c r="AV385" s="0" t="s">
        <v>471</v>
      </c>
      <c r="AW385" s="0" t="s">
        <v>286</v>
      </c>
      <c r="AX385" s="0" t="s">
        <v>845</v>
      </c>
      <c r="AY385" s="0" t="s">
        <v>1824</v>
      </c>
      <c r="AZ385" s="0" t="s">
        <v>1825</v>
      </c>
      <c r="BA385" s="0" t="s">
        <v>285</v>
      </c>
      <c r="BB385" s="0" t="str">
        <f t="shared" si="5"/>
        <v>CCCRNimNwangele</v>
      </c>
    </row>
    <row r="386">
      <c r="AV386" s="0" t="s">
        <v>471</v>
      </c>
      <c r="AW386" s="0" t="s">
        <v>286</v>
      </c>
      <c r="AX386" s="0" t="s">
        <v>845</v>
      </c>
      <c r="AY386" s="0" t="s">
        <v>1826</v>
      </c>
      <c r="AZ386" s="0" t="s">
        <v>1827</v>
      </c>
      <c r="BA386" s="0" t="s">
        <v>285</v>
      </c>
      <c r="BB386" s="0" t="str">
        <f t="shared" si="5"/>
        <v>CCCRNimNwangele</v>
      </c>
    </row>
    <row r="387">
      <c r="AV387" s="0" t="s">
        <v>471</v>
      </c>
      <c r="AW387" s="0" t="s">
        <v>286</v>
      </c>
      <c r="AX387" s="0" t="s">
        <v>845</v>
      </c>
      <c r="AY387" s="0" t="s">
        <v>1828</v>
      </c>
      <c r="AZ387" s="0" t="s">
        <v>1829</v>
      </c>
      <c r="BA387" s="0" t="s">
        <v>285</v>
      </c>
      <c r="BB387" s="0" t="str">
        <f ref="BB387:BB450" t="shared" si="6">SUBSTITUTE(SUBSTITUTE(BA387&amp;AX387," ",""),"-","")</f>
        <v>CCCRNimNwangele</v>
      </c>
    </row>
    <row r="388">
      <c r="AV388" s="0" t="s">
        <v>471</v>
      </c>
      <c r="AW388" s="0" t="s">
        <v>286</v>
      </c>
      <c r="AX388" s="0" t="s">
        <v>873</v>
      </c>
      <c r="AY388" s="0" t="s">
        <v>1830</v>
      </c>
      <c r="AZ388" s="0" t="s">
        <v>1831</v>
      </c>
      <c r="BA388" s="0" t="s">
        <v>285</v>
      </c>
      <c r="BB388" s="0" t="str">
        <f t="shared" si="6"/>
        <v>CCCRNimOguta</v>
      </c>
    </row>
    <row r="389">
      <c r="AV389" s="0" t="s">
        <v>471</v>
      </c>
      <c r="AW389" s="0" t="s">
        <v>286</v>
      </c>
      <c r="AX389" s="0" t="s">
        <v>873</v>
      </c>
      <c r="AY389" s="0" t="s">
        <v>1832</v>
      </c>
      <c r="AZ389" s="0" t="s">
        <v>1833</v>
      </c>
      <c r="BA389" s="0" t="s">
        <v>285</v>
      </c>
      <c r="BB389" s="0" t="str">
        <f t="shared" si="6"/>
        <v>CCCRNimOguta</v>
      </c>
    </row>
    <row r="390">
      <c r="AV390" s="0" t="s">
        <v>471</v>
      </c>
      <c r="AW390" s="0" t="s">
        <v>286</v>
      </c>
      <c r="AX390" s="0" t="s">
        <v>873</v>
      </c>
      <c r="AY390" s="0" t="s">
        <v>1834</v>
      </c>
      <c r="AZ390" s="0" t="s">
        <v>1835</v>
      </c>
      <c r="BA390" s="0" t="s">
        <v>285</v>
      </c>
      <c r="BB390" s="0" t="str">
        <f t="shared" si="6"/>
        <v>CCCRNimOguta</v>
      </c>
    </row>
    <row r="391">
      <c r="AV391" s="0" t="s">
        <v>471</v>
      </c>
      <c r="AW391" s="0" t="s">
        <v>286</v>
      </c>
      <c r="AX391" s="0" t="s">
        <v>873</v>
      </c>
      <c r="AY391" s="0" t="s">
        <v>1836</v>
      </c>
      <c r="AZ391" s="0" t="s">
        <v>1837</v>
      </c>
      <c r="BA391" s="0" t="s">
        <v>285</v>
      </c>
      <c r="BB391" s="0" t="str">
        <f t="shared" si="6"/>
        <v>CCCRNimOguta</v>
      </c>
    </row>
    <row r="392">
      <c r="AV392" s="0" t="s">
        <v>471</v>
      </c>
      <c r="AW392" s="0" t="s">
        <v>286</v>
      </c>
      <c r="AX392" s="0" t="s">
        <v>873</v>
      </c>
      <c r="AY392" s="0" t="s">
        <v>1838</v>
      </c>
      <c r="AZ392" s="0" t="s">
        <v>1839</v>
      </c>
      <c r="BA392" s="0" t="s">
        <v>285</v>
      </c>
      <c r="BB392" s="0" t="str">
        <f t="shared" si="6"/>
        <v>CCCRNimOguta</v>
      </c>
    </row>
    <row r="393">
      <c r="AV393" s="0" t="s">
        <v>471</v>
      </c>
      <c r="AW393" s="0" t="s">
        <v>286</v>
      </c>
      <c r="AX393" s="0" t="s">
        <v>1226</v>
      </c>
      <c r="AY393" s="304" t="s">
        <v>1840</v>
      </c>
      <c r="AZ393" s="0" t="s">
        <v>1841</v>
      </c>
      <c r="BA393" s="0" t="s">
        <v>285</v>
      </c>
      <c r="BB393" s="0" t="str">
        <f t="shared" si="6"/>
        <v>CCCRNimOhajiEgbema</v>
      </c>
    </row>
    <row r="394">
      <c r="AV394" s="0" t="s">
        <v>471</v>
      </c>
      <c r="AW394" s="0" t="s">
        <v>286</v>
      </c>
      <c r="AX394" s="0" t="s">
        <v>1226</v>
      </c>
      <c r="AY394" s="304" t="s">
        <v>1842</v>
      </c>
      <c r="AZ394" s="0" t="s">
        <v>1843</v>
      </c>
      <c r="BA394" s="0" t="s">
        <v>285</v>
      </c>
      <c r="BB394" s="0" t="str">
        <f t="shared" si="6"/>
        <v>CCCRNimOhajiEgbema</v>
      </c>
    </row>
    <row r="395">
      <c r="AV395" s="0" t="s">
        <v>471</v>
      </c>
      <c r="AW395" s="0" t="s">
        <v>286</v>
      </c>
      <c r="AX395" s="0" t="s">
        <v>1226</v>
      </c>
      <c r="AY395" s="304" t="s">
        <v>1844</v>
      </c>
      <c r="AZ395" s="0" t="s">
        <v>1845</v>
      </c>
      <c r="BA395" s="0" t="s">
        <v>285</v>
      </c>
      <c r="BB395" s="0" t="str">
        <f t="shared" si="6"/>
        <v>CCCRNimOhajiEgbema</v>
      </c>
    </row>
    <row r="396">
      <c r="AV396" s="0" t="s">
        <v>471</v>
      </c>
      <c r="AW396" s="0" t="s">
        <v>286</v>
      </c>
      <c r="AX396" s="0" t="s">
        <v>1226</v>
      </c>
      <c r="AY396" s="304" t="s">
        <v>1846</v>
      </c>
      <c r="AZ396" s="0" t="s">
        <v>1847</v>
      </c>
      <c r="BA396" s="0" t="s">
        <v>285</v>
      </c>
      <c r="BB396" s="0" t="str">
        <f t="shared" si="6"/>
        <v>CCCRNimOhajiEgbema</v>
      </c>
    </row>
    <row r="397">
      <c r="AV397" s="0" t="s">
        <v>471</v>
      </c>
      <c r="AW397" s="0" t="s">
        <v>286</v>
      </c>
      <c r="AX397" s="0" t="s">
        <v>1226</v>
      </c>
      <c r="AY397" s="304" t="s">
        <v>1848</v>
      </c>
      <c r="AZ397" s="0" t="s">
        <v>1849</v>
      </c>
      <c r="BA397" s="0" t="s">
        <v>285</v>
      </c>
      <c r="BB397" s="0" t="str">
        <f t="shared" si="6"/>
        <v>CCCRNimOhajiEgbema</v>
      </c>
    </row>
    <row r="398">
      <c r="AV398" s="0" t="s">
        <v>471</v>
      </c>
      <c r="AW398" s="0" t="s">
        <v>286</v>
      </c>
      <c r="AX398" s="0" t="s">
        <v>923</v>
      </c>
      <c r="AY398" s="0" t="s">
        <v>1850</v>
      </c>
      <c r="AZ398" s="0" t="s">
        <v>1851</v>
      </c>
      <c r="BA398" s="0" t="s">
        <v>285</v>
      </c>
      <c r="BB398" s="0" t="str">
        <f t="shared" si="6"/>
        <v>CCCRNimOrlu</v>
      </c>
    </row>
    <row r="399">
      <c r="AV399" s="0" t="s">
        <v>471</v>
      </c>
      <c r="AW399" s="0" t="s">
        <v>286</v>
      </c>
      <c r="AX399" s="0" t="s">
        <v>923</v>
      </c>
      <c r="AY399" s="0" t="s">
        <v>1852</v>
      </c>
      <c r="AZ399" s="0" t="s">
        <v>1853</v>
      </c>
      <c r="BA399" s="0" t="s">
        <v>285</v>
      </c>
      <c r="BB399" s="0" t="str">
        <f t="shared" si="6"/>
        <v>CCCRNimOrlu</v>
      </c>
    </row>
    <row r="400">
      <c r="AV400" s="0" t="s">
        <v>471</v>
      </c>
      <c r="AW400" s="0" t="s">
        <v>286</v>
      </c>
      <c r="AX400" s="0" t="s">
        <v>923</v>
      </c>
      <c r="AY400" s="0" t="s">
        <v>1854</v>
      </c>
      <c r="AZ400" s="0" t="s">
        <v>1855</v>
      </c>
      <c r="BA400" s="0" t="s">
        <v>285</v>
      </c>
      <c r="BB400" s="0" t="str">
        <f t="shared" si="6"/>
        <v>CCCRNimOrlu</v>
      </c>
    </row>
    <row r="401">
      <c r="AV401" s="0" t="s">
        <v>471</v>
      </c>
      <c r="AW401" s="0" t="s">
        <v>286</v>
      </c>
      <c r="AX401" s="0" t="s">
        <v>923</v>
      </c>
      <c r="AY401" s="0" t="s">
        <v>1856</v>
      </c>
      <c r="AZ401" s="0" t="s">
        <v>1857</v>
      </c>
      <c r="BA401" s="0" t="s">
        <v>285</v>
      </c>
      <c r="BB401" s="0" t="str">
        <f t="shared" si="6"/>
        <v>CCCRNimOrlu</v>
      </c>
    </row>
    <row r="402">
      <c r="AV402" s="0" t="s">
        <v>471</v>
      </c>
      <c r="AW402" s="0" t="s">
        <v>286</v>
      </c>
      <c r="AX402" s="0" t="s">
        <v>923</v>
      </c>
      <c r="AY402" s="0" t="s">
        <v>1858</v>
      </c>
      <c r="AZ402" s="0" t="s">
        <v>1859</v>
      </c>
      <c r="BA402" s="0" t="s">
        <v>285</v>
      </c>
      <c r="BB402" s="0" t="str">
        <f t="shared" si="6"/>
        <v>CCCRNimOrlu</v>
      </c>
    </row>
    <row r="403">
      <c r="AV403" s="0" t="s">
        <v>471</v>
      </c>
      <c r="AW403" s="0" t="s">
        <v>286</v>
      </c>
      <c r="AX403" s="0" t="s">
        <v>947</v>
      </c>
      <c r="AY403" s="0" t="s">
        <v>1860</v>
      </c>
      <c r="AZ403" s="0" t="s">
        <v>1861</v>
      </c>
      <c r="BA403" s="0" t="s">
        <v>285</v>
      </c>
      <c r="BB403" s="0" t="str">
        <f t="shared" si="6"/>
        <v>CCCRNimOrsu</v>
      </c>
    </row>
    <row r="404">
      <c r="AV404" s="0" t="s">
        <v>471</v>
      </c>
      <c r="AW404" s="0" t="s">
        <v>286</v>
      </c>
      <c r="AX404" s="0" t="s">
        <v>969</v>
      </c>
      <c r="AY404" s="0" t="s">
        <v>1862</v>
      </c>
      <c r="AZ404" s="0" t="s">
        <v>1863</v>
      </c>
      <c r="BA404" s="0" t="s">
        <v>285</v>
      </c>
      <c r="BB404" s="0" t="str">
        <f t="shared" si="6"/>
        <v>CCCRNimOruEast</v>
      </c>
    </row>
    <row r="405">
      <c r="AV405" s="0" t="s">
        <v>471</v>
      </c>
      <c r="AW405" s="0" t="s">
        <v>286</v>
      </c>
      <c r="AX405" s="0" t="s">
        <v>969</v>
      </c>
      <c r="AY405" s="0" t="s">
        <v>1864</v>
      </c>
      <c r="AZ405" s="0" t="s">
        <v>1865</v>
      </c>
      <c r="BA405" s="0" t="s">
        <v>285</v>
      </c>
      <c r="BB405" s="0" t="str">
        <f t="shared" si="6"/>
        <v>CCCRNimOruEast</v>
      </c>
    </row>
    <row r="406">
      <c r="AV406" s="0" t="s">
        <v>471</v>
      </c>
      <c r="AW406" s="0" t="s">
        <v>286</v>
      </c>
      <c r="AX406" s="0" t="s">
        <v>969</v>
      </c>
      <c r="AY406" s="0" t="s">
        <v>1866</v>
      </c>
      <c r="AZ406" s="0" t="s">
        <v>1867</v>
      </c>
      <c r="BA406" s="0" t="s">
        <v>285</v>
      </c>
      <c r="BB406" s="0" t="str">
        <f t="shared" si="6"/>
        <v>CCCRNimOruEast</v>
      </c>
    </row>
    <row r="407">
      <c r="AV407" s="0" t="s">
        <v>471</v>
      </c>
      <c r="AW407" s="0" t="s">
        <v>286</v>
      </c>
      <c r="AX407" s="0" t="s">
        <v>969</v>
      </c>
      <c r="AY407" s="0" t="s">
        <v>1868</v>
      </c>
      <c r="AZ407" s="0" t="s">
        <v>1869</v>
      </c>
      <c r="BA407" s="0" t="s">
        <v>285</v>
      </c>
      <c r="BB407" s="0" t="str">
        <f t="shared" si="6"/>
        <v>CCCRNimOruEast</v>
      </c>
    </row>
    <row r="408">
      <c r="AV408" s="0" t="s">
        <v>471</v>
      </c>
      <c r="AW408" s="0" t="s">
        <v>286</v>
      </c>
      <c r="AX408" s="0" t="s">
        <v>969</v>
      </c>
      <c r="AY408" s="0" t="s">
        <v>1870</v>
      </c>
      <c r="AZ408" s="0" t="s">
        <v>1871</v>
      </c>
      <c r="BA408" s="0" t="s">
        <v>285</v>
      </c>
      <c r="BB408" s="0" t="str">
        <f t="shared" si="6"/>
        <v>CCCRNimOruEast</v>
      </c>
    </row>
    <row r="409">
      <c r="AV409" s="0" t="s">
        <v>471</v>
      </c>
      <c r="AW409" s="0" t="s">
        <v>286</v>
      </c>
      <c r="AX409" s="0" t="s">
        <v>988</v>
      </c>
      <c r="AY409" s="0" t="s">
        <v>1872</v>
      </c>
      <c r="AZ409" s="0" t="s">
        <v>1873</v>
      </c>
      <c r="BA409" s="0" t="s">
        <v>285</v>
      </c>
      <c r="BB409" s="0" t="str">
        <f t="shared" si="6"/>
        <v>CCCRNimOruWest</v>
      </c>
    </row>
    <row r="410">
      <c r="AV410" s="0" t="s">
        <v>471</v>
      </c>
      <c r="AW410" s="0" t="s">
        <v>286</v>
      </c>
      <c r="AX410" s="0" t="s">
        <v>1005</v>
      </c>
      <c r="AY410" s="0" t="s">
        <v>1874</v>
      </c>
      <c r="AZ410" s="0" t="s">
        <v>1875</v>
      </c>
      <c r="BA410" s="0" t="s">
        <v>285</v>
      </c>
      <c r="BB410" s="0" t="str">
        <f t="shared" si="6"/>
        <v>CCCRNimOwerriMunicipal</v>
      </c>
    </row>
    <row r="411">
      <c r="AV411" s="0" t="s">
        <v>471</v>
      </c>
      <c r="AW411" s="0" t="s">
        <v>286</v>
      </c>
      <c r="AX411" s="0" t="s">
        <v>1005</v>
      </c>
      <c r="AY411" s="0" t="s">
        <v>1876</v>
      </c>
      <c r="AZ411" s="0" t="s">
        <v>1877</v>
      </c>
      <c r="BA411" s="0" t="s">
        <v>285</v>
      </c>
      <c r="BB411" s="0" t="str">
        <f t="shared" si="6"/>
        <v>CCCRNimOwerriMunicipal</v>
      </c>
    </row>
    <row r="412">
      <c r="AV412" s="0" t="s">
        <v>471</v>
      </c>
      <c r="AW412" s="0" t="s">
        <v>286</v>
      </c>
      <c r="AX412" s="0" t="s">
        <v>1005</v>
      </c>
      <c r="AY412" s="0" t="s">
        <v>1878</v>
      </c>
      <c r="AZ412" s="0" t="s">
        <v>1879</v>
      </c>
      <c r="BA412" s="0" t="s">
        <v>285</v>
      </c>
      <c r="BB412" s="0" t="str">
        <f t="shared" si="6"/>
        <v>CCCRNimOwerriMunicipal</v>
      </c>
    </row>
    <row r="413">
      <c r="AV413" s="0" t="s">
        <v>471</v>
      </c>
      <c r="AW413" s="0" t="s">
        <v>286</v>
      </c>
      <c r="AX413" s="0" t="s">
        <v>1005</v>
      </c>
      <c r="AY413" s="0" t="s">
        <v>1880</v>
      </c>
      <c r="AZ413" s="0" t="s">
        <v>1881</v>
      </c>
      <c r="BA413" s="0" t="s">
        <v>285</v>
      </c>
      <c r="BB413" s="0" t="str">
        <f t="shared" si="6"/>
        <v>CCCRNimOwerriMunicipal</v>
      </c>
    </row>
    <row r="414">
      <c r="AV414" s="0" t="s">
        <v>471</v>
      </c>
      <c r="AW414" s="0" t="s">
        <v>286</v>
      </c>
      <c r="AX414" s="0" t="s">
        <v>1005</v>
      </c>
      <c r="AY414" s="0" t="s">
        <v>1882</v>
      </c>
      <c r="AZ414" s="0" t="s">
        <v>1883</v>
      </c>
      <c r="BA414" s="0" t="s">
        <v>285</v>
      </c>
      <c r="BB414" s="0" t="str">
        <f t="shared" si="6"/>
        <v>CCCRNimOwerriMunicipal</v>
      </c>
    </row>
    <row r="415">
      <c r="AV415" s="0" t="s">
        <v>471</v>
      </c>
      <c r="AW415" s="0" t="s">
        <v>286</v>
      </c>
      <c r="AX415" s="0" t="s">
        <v>1021</v>
      </c>
      <c r="AY415" s="0" t="s">
        <v>1884</v>
      </c>
      <c r="AZ415" s="0" t="s">
        <v>1885</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