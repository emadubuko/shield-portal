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<sst xmlns="http://schemas.openxmlformats.org/spreadsheetml/2006/main" count="4056" uniqueCount="4056">
  <si>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</si>
  <si>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</si>
  <si>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</si>
  <si>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</si>
  <si>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</si>
  <si>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</si>
  <si>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</si>
  <si>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</si>
  <si>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</si>
  <si>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</si>
  <si>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</si>
  <si>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</si>
  <si>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</si>
  <si>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</si>
  <si>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</si>
  <si>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</si>
  <si>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</si>
  <si>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</si>
  <si>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</si>
  <si>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</si>
  <si>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</si>
  <si>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</si>
  <si>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</si>
  <si>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</si>
  <si>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</si>
  <si>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</si>
  <si>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</si>
  <si>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</si>
  <si>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</si>
  <si>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</si>
  <si>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</si>
  <si>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</si>
  <si>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</si>
  <si>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</si>
  <si>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</si>
  <si>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</si>
  <si>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</si>
  <si>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</si>
  <si>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</si>
  <si>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</si>
  <si>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</si>
  <si>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</si>
  <si>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</si>
  <si>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</si>
  <si>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</si>
  <si>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</si>
  <si>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</si>
  <si>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</si>
  <si>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</si>
  <si>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</si>
  <si>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</si>
  <si>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</si>
  <si>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</si>
  <si>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</si>
  <si>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</si>
  <si>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</si>
  <si>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</si>
  <si>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</si>
  <si>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</si>
  <si>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</si>
  <si>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</si>
  <si>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</si>
  <si>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</si>
  <si>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</si>
  <si>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</si>
  <si>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</si>
  <si>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</si>
  <si>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</si>
  <si>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</si>
  <si>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</si>
  <si>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</si>
  <si>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</si>
  <si>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</si>
  <si>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</si>
  <si>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</si>
  <si>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</si>
  <si>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</si>
  <si>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</si>
  <si>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</si>
  <si>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</si>
  <si>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</si>
  <si>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</si>
  <si>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</si>
  <si>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</si>
  <si>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</si>
  <si>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</si>
  <si>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</si>
  <si>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</si>
  <si>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</si>
  <si>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</si>
  <si>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</si>
  <si>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</si>
  <si>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</si>
  <si>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</si>
  <si>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</si>
  <si>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</si>
  <si>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</si>
  <si>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</si>
  <si>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</si>
  <si>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</si>
  <si>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</si>
  <si>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</si>
  <si>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</si>
  <si>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</si>
  <si>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</si>
  <si>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</si>
  <si>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</si>
  <si>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</si>
  <si>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</si>
  <si>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</si>
  <si>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</si>
  <si>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</si>
  <si>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</si>
  <si>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</si>
  <si>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</si>
  <si>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</si>
  <si>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</si>
  <si>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</si>
  <si>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</si>
  <si>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</si>
  <si>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</si>
  <si>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</si>
  <si>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</si>
  <si>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</si>
  <si>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</si>
  <si>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</si>
  <si>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</si>
  <si>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</si>
  <si>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</si>
  <si>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</si>
  <si>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</si>
  <si>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</si>
  <si>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</si>
  <si>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</si>
  <si>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</si>
  <si>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</si>
  <si>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</si>
  <si>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</si>
  <si>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</si>
  <si>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</si>
  <si>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</si>
  <si>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</si>
  <si>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</si>
  <si>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</si>
  <si>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</si>
  <si>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</si>
  <si>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</si>
  <si>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</si>
  <si>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</si>
  <si>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</si>
  <si>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</si>
  <si>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</si>
  <si>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</si>
  <si>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</si>
  <si>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</si>
  <si>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</si>
  <si>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</si>
  <si>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</si>
  <si>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</si>
  <si>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</si>
  <si>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</si>
  <si>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</si>
  <si>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</si>
  <si>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</si>
  <si>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</si>
  <si>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</si>
  <si>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</si>
  <si>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</si>
  <si>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</si>
  <si>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</si>
  <si>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</si>
  <si>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</si>
  <si>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</si>
  <si>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</si>
  <si>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</si>
  <si>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</si>
  <si>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</si>
  <si>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</si>
  <si>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</si>
  <si>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</si>
  <si>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</si>
  <si>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</si>
  <si>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</si>
  <si>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</si>
  <si>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</si>
  <si>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</si>
  <si>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</si>
  <si>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</si>
  <si>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</si>
  <si>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</si>
  <si>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</si>
  <si>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</si>
  <si>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</si>
  <si>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</si>
  <si>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</si>
  <si>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</si>
  <si>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</si>
  <si>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</si>
  <si>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</si>
  <si>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</si>
  <si>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</si>
  <si>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</si>
  <si>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</si>
  <si>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</si>
  <si>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</si>
  <si>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</si>
  <si>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</si>
  <si>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</si>
  <si>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</si>
  <si>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</si>
  <si>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</si>
  <si>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</si>
  <si>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</si>
  <si>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</si>
  <si>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</si>
  <si>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</si>
  <si>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</si>
  <si>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</si>
  <si>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</si>
  <si>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</si>
  <si>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</si>
  <si>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</si>
  <si>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</si>
  <si>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</si>
  <si>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</si>
  <si>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</si>
  <si>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</si>
  <si>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</si>
  <si>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</si>
  <si>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</si>
  <si>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</si>
  <si>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</si>
  <si>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</si>
  <si>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</si>
  <si>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</si>
  <si>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</si>
  <si>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</si>
  <si>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</si>
  <si>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</si>
  <si>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</si>
  <si>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</si>
  <si>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</si>
  <si>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</si>
  <si>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</si>
  <si>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</si>
  <si>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</si>
  <si>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</si>
  <si>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</si>
  <si>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</si>
  <si>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</si>
  <si>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</si>
  <si>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</si>
  <si>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</si>
  <si>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</si>
  <si>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</si>
  <si>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</si>
  <si>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</si>
  <si>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</si>
  <si>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</si>
  <si>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</si>
  <si>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</si>
  <si>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</si>
  <si>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</si>
  <si>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</si>
  <si>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</si>
  <si>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</si>
  <si>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</si>
  <si>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</si>
  <si>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</si>
  <si>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</si>
  <si>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</si>
  <si>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</si>
  <si>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</si>
  <si>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</si>
  <si>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</si>
  <si>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</si>
  <si>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</si>
  <si>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</si>
  <si>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</si>
  <si>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</si>
  <si>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</si>
  <si>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</si>
  <si>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</si>
  <si>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</si>
  <si>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</si>
  <si>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</si>
  <si>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</si>
  <si>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South</t>
  </si>
  <si>
    <t>Facility Name:</t>
  </si>
  <si>
    <t>Divine Grace Hospital</t>
  </si>
  <si>
    <t>Reporting Period:</t>
  </si>
  <si>
    <t>Q1(Oct - Dec)</t>
  </si>
  <si>
    <t>Facility Code:</t>
  </si>
  <si>
    <t>OzQ9wRMqKsL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</si>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</sst>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576</v>
      </c>
      <c r="G8" s="155">
        <f>ROUND(SUM('All Questions'!D31:D35)/5+G12,0)</f>
        <v>520</v>
      </c>
      <c r="H8" s="156">
        <f>ROUND(SUM('All Questions'!D37,'All Questions'!D40)/2+'All Questions'!D26+H12,0)</f>
        <v>1191</v>
      </c>
      <c r="I8" s="157">
        <f>ROUND((SUM('All Questions'!E11:E14)/4)+I12,0)</f>
        <v>0</v>
      </c>
      <c r="J8" s="155">
        <f>ROUND(SUM('All Questions'!E15:E21)/7+J12,0)</f>
        <v>0</v>
      </c>
      <c r="K8" s="155">
        <f>ROUND(SUM('All Questions'!E23:E30)/4+K12,0)</f>
        <v>889</v>
      </c>
      <c r="L8" s="155">
        <f>ROUND(SUM('All Questions'!E31:E35)/5+L12,0)</f>
        <v>1049</v>
      </c>
      <c r="M8" s="156">
        <f>ROUND(('All Questions'!E37+'All Questions'!E40)/2+'All Questions'!E26+M12,0)</f>
        <v>1300</v>
      </c>
      <c r="N8" s="157">
        <f>ROUND((SUM('All Questions'!F11:F14)/4)+N12,0)</f>
        <v>0</v>
      </c>
      <c r="O8" s="155">
        <f>ROUND(SUM('All Questions'!F15:F21)/7+O12,0)</f>
        <v>0</v>
      </c>
      <c r="P8" s="155">
        <f>ROUND(SUM('All Questions'!F23:F30)/4+P12,0)</f>
        <v>593</v>
      </c>
      <c r="Q8" s="155">
        <f>ROUND(SUM('All Questions'!F31:F35)/5+Q12,0)</f>
        <v>561</v>
      </c>
      <c r="R8" s="156">
        <f>ROUND(('All Questions'!F37+'All Questions'!F40)/2+'All Questions'!F26+R12,0)</f>
        <v>1232</v>
      </c>
      <c r="S8" s="141">
        <f>'All Questions'!F2</f>
        <v>0</v>
      </c>
      <c r="T8" s="142" t="e">
        <f>(AVERAGE(F8:H8)+AVERAGE(K8:M8)+AVERAGE(P8:R8))/S8</f>
        <v>#DIV/0!</v>
      </c>
      <c r="V8" s="309">
        <f>AVERAGE(F8:H8)+AVERAGE(K8:M8)+AVERAGE(P8:R8)</f>
        <v>2637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536</v>
      </c>
      <c r="G10" s="159">
        <f>ROUND(SUM('All Questions'!D31:D35)/5,0)</f>
        <v>430</v>
      </c>
      <c r="H10" s="162">
        <f>ROUND(('All Questions'!D37+'All Questions'!D40)/2+'All Questions'!D26,0)</f>
        <v>1071</v>
      </c>
      <c r="I10" s="163">
        <f>ROUND((SUM('All Questions'!E11:E14)/4),0)</f>
        <v>0</v>
      </c>
      <c r="J10" s="164">
        <f>ROUND(SUM('All Questions'!E15:E21)/7,0)</f>
        <v>0</v>
      </c>
      <c r="K10" s="164">
        <f>ROUND(SUM('All Questions'!E23:E30)/4,0)</f>
        <v>816</v>
      </c>
      <c r="L10" s="164">
        <f>ROUND(SUM('All Questions'!E31:E35)/5,0)</f>
        <v>885</v>
      </c>
      <c r="M10" s="165">
        <f>ROUND(('All Questions'!E37+'All Questions'!E40)/2+'All Questions'!E26,0)</f>
        <v>1081</v>
      </c>
      <c r="N10" s="166">
        <f>ROUND((SUM('All Questions'!F11:F14)/4),0)</f>
        <v>0</v>
      </c>
      <c r="O10" s="164">
        <f>ROUND(SUM('All Questions'!F15:F21)/7,0)</f>
        <v>0</v>
      </c>
      <c r="P10" s="164">
        <f>ROUND(SUM('All Questions'!F23:F30)/4,0)</f>
        <v>546</v>
      </c>
      <c r="Q10" s="164">
        <f>ROUND(SUM('All Questions'!F31:F35)/5,0)</f>
        <v>456</v>
      </c>
      <c r="R10" s="165">
        <f>ROUND(('All Questions'!F37+'All Questions'!F40)/2+'All Questions'!F26,0)</f>
        <v>1092</v>
      </c>
      <c r="S10" s="141">
        <f>'All Questions'!F4</f>
        <v>0</v>
      </c>
      <c r="T10" s="143" t="e">
        <f>(AVERAGE(F10:H10)+AVERAGE(K10:M10)+AVERAGE(P10:R10))/S10</f>
        <v>#DIV/0!</v>
      </c>
      <c r="V10" s="309">
        <f>AVERAGE(F10:H10)+AVERAGE(K10:M10)+AVERAGE(P10:R10)</f>
        <v>2304.3333333333335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40</v>
      </c>
      <c r="G12" s="173">
        <f>ROUND(SUM('All Questions'!D73:D80)/4,0)</f>
        <v>90</v>
      </c>
      <c r="H12" s="174">
        <f>ROUND(SUM('All Questions'!D82:D83)/2,0)</f>
        <v>120</v>
      </c>
      <c r="I12" s="175">
        <f>ROUND(SUM('All Questions'!E54:E58)+'All Questions'!E71/4,0)</f>
        <v>0</v>
      </c>
      <c r="J12" s="176">
        <f>ROUND(SUM('All Questions'!E60:E63)/4,0)</f>
        <v>0</v>
      </c>
      <c r="K12" s="176">
        <f>ROUND(SUM('All Questions'!E67:E72)/3,0)</f>
        <v>73</v>
      </c>
      <c r="L12" s="176">
        <f>ROUND(SUM('All Questions'!E73:E80)/4,0)</f>
        <v>164</v>
      </c>
      <c r="M12" s="177">
        <f>ROUND(SUM('All Questions'!E82:E83)/2,0)</f>
        <v>219</v>
      </c>
      <c r="N12" s="178">
        <f>ROUND(SUM('All Questions'!F54:F58)+'All Questions'!F71/4,0)</f>
        <v>0</v>
      </c>
      <c r="O12" s="176">
        <f>ROUND(SUM('All Questions'!F60:F63)/4,0)</f>
        <v>0</v>
      </c>
      <c r="P12" s="176">
        <f>ROUND(SUM('All Questions'!F67:F72)/3,0)</f>
        <v>47</v>
      </c>
      <c r="Q12" s="176">
        <f>ROUND(SUM('All Questions'!F73:F80)/4,0)</f>
        <v>105</v>
      </c>
      <c r="R12" s="177">
        <f>ROUND(SUM('All Questions'!F82:F83)/2,0)</f>
        <v>140</v>
      </c>
      <c r="S12" s="145">
        <f>'All Questions'!F46</f>
        <v>0</v>
      </c>
      <c r="T12" s="146" t="e">
        <f ref="T12:T15" t="shared" si="1">(AVERAGE(F12:H12)+AVERAGE(K12:M12)+AVERAGE(P12:R12))/S12</f>
        <v>#DIV/0!</v>
      </c>
      <c r="V12" s="309">
        <f>AVERAGE(F12:H12)+AVERAGE(K12:M12)+AVERAGE(P12:R12)</f>
        <v>332.66666666666663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v>
      </c>
      <c r="L14" s="183">
        <f>ROUND(SUM('All Questions'!E74,'All Questions'!E76,'All Questions'!E78,'All Questions'!E80)/4,0)</f>
        <v>0</v>
      </c>
      <c r="M14" s="184">
        <f>ROUND(SUM('All Questions'!E88:E89)/2,0)</f>
        <v>1</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0.66666666666666663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1</v>
      </c>
      <c r="M15" s="165">
        <f>ROUND(SUM('All Questions'!E135,'All Questions'!E138),0)</f>
        <v>2</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479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63</v>
      </c>
      <c r="E10" s="301">
        <v>66</v>
      </c>
      <c r="F10" s="301">
        <v>67</v>
      </c>
      <c r="G10" s="207" t="s">
        <v>67</v>
      </c>
    </row>
    <row r="11" hidden="1" ht="45" customHeight="1">
      <c r="A11" s="226"/>
      <c r="B11" s="238">
        <v>1114</v>
      </c>
      <c r="C11" s="243" t="s">
        <v>84</v>
      </c>
      <c r="D11" s="301">
        <v>1074</v>
      </c>
      <c r="E11" s="301">
        <v>1106</v>
      </c>
      <c r="F11" s="301">
        <v>1140</v>
      </c>
      <c r="G11" s="207" t="s">
        <v>67</v>
      </c>
    </row>
    <row r="12" hidden="1" ht="45" customHeight="1">
      <c r="A12" s="226"/>
      <c r="B12" s="238">
        <v>1115</v>
      </c>
      <c r="C12" s="242" t="s">
        <v>85</v>
      </c>
      <c r="D12" s="301">
        <v>1074</v>
      </c>
      <c r="E12" s="301">
        <v>1106</v>
      </c>
      <c r="F12" s="301">
        <v>1140</v>
      </c>
      <c r="G12" s="207" t="s">
        <v>67</v>
      </c>
    </row>
    <row r="13" hidden="1" ht="45" customHeight="1">
      <c r="A13" s="226" t="s">
        <v>86</v>
      </c>
      <c r="B13" s="238">
        <v>1116</v>
      </c>
      <c r="C13" s="242" t="s">
        <v>87</v>
      </c>
      <c r="D13" s="301">
        <v>0</v>
      </c>
      <c r="E13" s="301">
        <v>1106</v>
      </c>
      <c r="F13" s="301">
        <v>0</v>
      </c>
      <c r="G13" s="207" t="s">
        <v>67</v>
      </c>
    </row>
    <row r="14" hidden="1" ht="45" customHeight="1">
      <c r="A14" s="226"/>
      <c r="B14" s="238">
        <v>1117</v>
      </c>
      <c r="C14" s="242" t="s">
        <v>88</v>
      </c>
      <c r="D14" s="301">
        <v>0</v>
      </c>
      <c r="E14" s="301">
        <v>1106</v>
      </c>
      <c r="F14" s="301">
        <v>0</v>
      </c>
      <c r="G14" s="207" t="s">
        <v>67</v>
      </c>
    </row>
    <row r="15" hidden="1" ht="45" customHeight="1">
      <c r="A15" s="226">
        <v>1116</v>
      </c>
      <c r="B15" s="238">
        <v>1121</v>
      </c>
      <c r="C15" s="243" t="str">
        <f>C13</f>
        <v>How many HTC clients have a completed Client intake form </v>
      </c>
      <c r="D15" s="302">
        <v>0</v>
      </c>
      <c r="E15" s="302">
        <v>1106</v>
      </c>
      <c r="F15" s="302">
        <v>0</v>
      </c>
      <c r="G15" s="207"/>
    </row>
    <row r="16" hidden="1" ht="45" customHeight="1">
      <c r="A16" s="226"/>
      <c r="B16" s="238">
        <v>1122</v>
      </c>
      <c r="C16" s="243" t="s">
        <v>89</v>
      </c>
      <c r="D16" s="301">
        <v>0</v>
      </c>
      <c r="E16" s="301">
        <v>1106</v>
      </c>
      <c r="F16" s="301">
        <v>0</v>
      </c>
      <c r="G16" s="207" t="s">
        <v>67</v>
      </c>
    </row>
    <row r="17" hidden="1" ht="45" customHeight="1">
      <c r="A17" s="226"/>
      <c r="B17" s="238">
        <v>1123</v>
      </c>
      <c r="C17" s="242" t="s">
        <v>90</v>
      </c>
      <c r="D17" s="301">
        <v>0</v>
      </c>
      <c r="E17" s="301">
        <v>1106</v>
      </c>
      <c r="F17" s="301">
        <v>0</v>
      </c>
      <c r="G17" s="207" t="s">
        <v>67</v>
      </c>
    </row>
    <row r="18" hidden="1" ht="45" customHeight="1">
      <c r="A18" s="226"/>
      <c r="B18" s="238">
        <v>1124</v>
      </c>
      <c r="C18" s="242" t="s">
        <v>91</v>
      </c>
      <c r="D18" s="301">
        <v>0</v>
      </c>
      <c r="E18" s="301">
        <v>1106</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1106</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459</v>
      </c>
      <c r="F23" s="301">
        <v>0</v>
      </c>
      <c r="G23" s="207" t="s">
        <v>67</v>
      </c>
    </row>
    <row r="24" hidden="1" ht="45" customHeight="1">
      <c r="A24" s="226"/>
      <c r="B24" s="238">
        <v>1132</v>
      </c>
      <c r="C24" s="242" t="s">
        <v>97</v>
      </c>
      <c r="D24" s="301">
        <v>0</v>
      </c>
      <c r="E24" s="301">
        <v>642</v>
      </c>
      <c r="F24" s="301">
        <v>0</v>
      </c>
      <c r="G24" s="207" t="s">
        <v>67</v>
      </c>
    </row>
    <row r="25" hidden="1" ht="45" customHeight="1">
      <c r="A25" s="226"/>
      <c r="B25" s="238">
        <v>1133</v>
      </c>
      <c r="C25" s="242" t="s">
        <v>98</v>
      </c>
      <c r="D25" s="301">
        <v>1008</v>
      </c>
      <c r="E25" s="301">
        <v>950</v>
      </c>
      <c r="F25" s="301">
        <v>991</v>
      </c>
      <c r="G25" s="207" t="s">
        <v>67</v>
      </c>
    </row>
    <row r="26" hidden="1" ht="45" customHeight="1">
      <c r="A26" s="226"/>
      <c r="B26" s="238">
        <v>1134</v>
      </c>
      <c r="C26" s="242" t="s">
        <v>99</v>
      </c>
      <c r="D26" s="301">
        <v>63</v>
      </c>
      <c r="E26" s="301">
        <v>131</v>
      </c>
      <c r="F26" s="301">
        <v>101</v>
      </c>
      <c r="G26" s="207" t="s">
        <v>67</v>
      </c>
    </row>
    <row r="27" hidden="1" ht="45" customHeight="1">
      <c r="A27" s="226"/>
      <c r="B27" s="238">
        <v>1135</v>
      </c>
      <c r="C27" s="242" t="s">
        <v>100</v>
      </c>
      <c r="D27" s="301">
        <v>1008</v>
      </c>
      <c r="E27" s="301">
        <v>950</v>
      </c>
      <c r="F27" s="301">
        <v>991</v>
      </c>
      <c r="G27" s="207" t="s">
        <v>67</v>
      </c>
    </row>
    <row r="28" hidden="1" ht="45" customHeight="1">
      <c r="A28" s="226"/>
      <c r="B28" s="238">
        <v>1136</v>
      </c>
      <c r="C28" s="242" t="s">
        <v>101</v>
      </c>
      <c r="D28" s="301">
        <v>63</v>
      </c>
      <c r="E28" s="301">
        <v>131</v>
      </c>
      <c r="F28" s="301">
        <v>101</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1106</v>
      </c>
      <c r="F31" s="302">
        <v>0</v>
      </c>
      <c r="G31" s="207"/>
    </row>
    <row r="32" hidden="1" ht="45" customHeight="1">
      <c r="A32" s="226"/>
      <c r="B32" s="238">
        <v>1142</v>
      </c>
      <c r="C32" s="243" t="s">
        <v>105</v>
      </c>
      <c r="D32" s="302">
        <v>0</v>
      </c>
      <c r="E32" s="302">
        <v>1106</v>
      </c>
      <c r="F32" s="302">
        <v>0</v>
      </c>
      <c r="G32" s="207"/>
    </row>
    <row r="33" hidden="1" ht="45" customHeight="1">
      <c r="A33" s="226"/>
      <c r="B33" s="238">
        <v>1143</v>
      </c>
      <c r="C33" s="242" t="s">
        <v>106</v>
      </c>
      <c r="D33" s="301">
        <v>1074</v>
      </c>
      <c r="E33" s="301">
        <v>1106</v>
      </c>
      <c r="F33" s="301">
        <v>1140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1074</v>
      </c>
      <c r="E35" s="301">
        <v>1106</v>
      </c>
      <c r="F35" s="301">
        <v>1140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1008</v>
      </c>
      <c r="E37" s="301">
        <v>950</v>
      </c>
      <c r="F37" s="301">
        <v>991</v>
      </c>
      <c r="G37" s="207" t="s">
        <v>67</v>
      </c>
    </row>
    <row r="38" hidden="1" ht="45" customHeight="1">
      <c r="A38" s="226"/>
      <c r="B38" s="238">
        <v>1153</v>
      </c>
      <c r="C38" s="242" t="s">
        <v>111</v>
      </c>
      <c r="D38" s="301">
        <v>1008</v>
      </c>
      <c r="E38" s="301">
        <v>950</v>
      </c>
      <c r="F38" s="301">
        <v>991</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1008</v>
      </c>
      <c r="E40" s="301">
        <v>950</v>
      </c>
      <c r="F40" s="301">
        <v>991</v>
      </c>
      <c r="G40" s="207" t="s">
        <v>67</v>
      </c>
    </row>
    <row r="41" hidden="1" ht="45" customHeight="1">
      <c r="A41" s="226"/>
      <c r="B41" s="238">
        <v>1156</v>
      </c>
      <c r="C41" s="242" t="s">
        <v>113</v>
      </c>
      <c r="D41" s="301">
        <v>1008</v>
      </c>
      <c r="E41" s="301">
        <v>950</v>
      </c>
      <c r="F41" s="301">
        <v>991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1</v>
      </c>
      <c r="F43" s="301">
        <v>6</v>
      </c>
      <c r="G43" s="207" t="s">
        <v>67</v>
      </c>
    </row>
    <row r="44" hidden="1" ht="45" customHeight="1" s="250" customFormat="1">
      <c r="A44" s="226"/>
      <c r="B44" s="238">
        <v>1159</v>
      </c>
      <c r="C44" s="242" t="s">
        <v>116</v>
      </c>
      <c r="D44" s="301">
        <v>0</v>
      </c>
      <c r="E44" s="301">
        <v>1</v>
      </c>
      <c r="F44" s="301">
        <v>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479</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6</v>
      </c>
      <c r="E53" s="301">
        <v>11</v>
      </c>
      <c r="F53" s="301">
        <v>7</v>
      </c>
      <c r="G53" s="207" t="s">
        <v>117</v>
      </c>
    </row>
    <row r="54" hidden="1" ht="45" customHeight="1">
      <c r="A54" s="226"/>
      <c r="B54" s="238">
        <v>1214</v>
      </c>
      <c r="C54" s="264" t="s">
        <v>132</v>
      </c>
      <c r="D54" s="301">
        <v>120</v>
      </c>
      <c r="E54" s="301">
        <v>220</v>
      </c>
      <c r="F54" s="301">
        <v>140</v>
      </c>
      <c r="G54" s="207" t="s">
        <v>117</v>
      </c>
    </row>
    <row r="55" hidden="1" ht="45" customHeight="1">
      <c r="A55" s="226"/>
      <c r="B55" s="238">
        <v>1215</v>
      </c>
      <c r="C55" s="242" t="s">
        <v>133</v>
      </c>
      <c r="D55" s="301">
        <v>6</v>
      </c>
      <c r="E55" s="301">
        <v>11</v>
      </c>
      <c r="F55" s="301">
        <v>7</v>
      </c>
      <c r="G55" s="207" t="s">
        <v>117</v>
      </c>
    </row>
    <row r="56" hidden="1" ht="45" customHeight="1">
      <c r="A56" s="226"/>
      <c r="B56" s="238">
        <v>1216</v>
      </c>
      <c r="C56" s="243" t="s">
        <v>134</v>
      </c>
      <c r="D56" s="301">
        <v>120</v>
      </c>
      <c r="E56" s="301">
        <v>220</v>
      </c>
      <c r="F56" s="301">
        <v>140</v>
      </c>
      <c r="G56" s="207" t="s">
        <v>117</v>
      </c>
    </row>
    <row r="57" hidden="1" ht="45" customHeight="1">
      <c r="A57" s="226"/>
      <c r="B57" s="238">
        <v>1217</v>
      </c>
      <c r="C57" s="243" t="s">
        <v>135</v>
      </c>
      <c r="D57" s="301">
        <v>0</v>
      </c>
      <c r="E57" s="301">
        <v>1</v>
      </c>
      <c r="F57" s="301">
        <v>0</v>
      </c>
      <c r="G57" s="207" t="s">
        <v>117</v>
      </c>
    </row>
    <row r="58" hidden="1" ht="45" customHeight="1">
      <c r="A58" s="226"/>
      <c r="B58" s="238">
        <v>1218</v>
      </c>
      <c r="C58" s="243" t="s">
        <v>136</v>
      </c>
      <c r="D58" s="301">
        <v>0</v>
      </c>
      <c r="E58" s="301">
        <v>1</v>
      </c>
      <c r="F58" s="301">
        <v>0</v>
      </c>
      <c r="G58" s="207" t="s">
        <v>117</v>
      </c>
    </row>
    <row r="59" hidden="1" ht="45" customHeight="1">
      <c r="A59" s="226"/>
      <c r="B59" s="238">
        <v>1221</v>
      </c>
      <c r="C59" s="264" t="s">
        <v>137</v>
      </c>
      <c r="D59" s="301">
        <v>120</v>
      </c>
      <c r="E59" s="301">
        <v>219</v>
      </c>
      <c r="F59" s="301">
        <v>140</v>
      </c>
      <c r="G59" s="207" t="s">
        <v>117</v>
      </c>
    </row>
    <row r="60" hidden="1" ht="45" customHeight="1">
      <c r="A60" s="226"/>
      <c r="B60" s="238">
        <v>1222</v>
      </c>
      <c r="C60" s="264" t="s">
        <v>138</v>
      </c>
      <c r="D60" s="301">
        <v>120</v>
      </c>
      <c r="E60" s="301">
        <v>219</v>
      </c>
      <c r="F60" s="301">
        <v>140</v>
      </c>
      <c r="G60" s="207" t="s">
        <v>117</v>
      </c>
    </row>
    <row r="61" hidden="1" ht="45" customHeight="1">
      <c r="A61" s="226"/>
      <c r="B61" s="238">
        <v>1223</v>
      </c>
      <c r="C61" s="264" t="s">
        <v>139</v>
      </c>
      <c r="D61" s="301">
        <v>120</v>
      </c>
      <c r="E61" s="301">
        <v>219</v>
      </c>
      <c r="F61" s="301">
        <v>140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1</v>
      </c>
      <c r="F64" s="301">
        <v>0</v>
      </c>
      <c r="G64" s="207" t="s">
        <v>117</v>
      </c>
    </row>
    <row r="65" hidden="1" ht="45" customHeight="1">
      <c r="A65" s="226"/>
      <c r="B65" s="238">
        <v>1227</v>
      </c>
      <c r="C65" s="264" t="s">
        <v>143</v>
      </c>
      <c r="D65" s="301">
        <v>0</v>
      </c>
      <c r="E65" s="301">
        <v>1</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120</v>
      </c>
      <c r="E67" s="301">
        <v>219</v>
      </c>
      <c r="F67" s="301">
        <v>140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120</v>
      </c>
      <c r="E73" s="301">
        <v>219</v>
      </c>
      <c r="F73" s="301">
        <v>140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120</v>
      </c>
      <c r="E75" s="301">
        <v>219</v>
      </c>
      <c r="F75" s="301">
        <v>140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120</v>
      </c>
      <c r="E79" s="301">
        <v>219</v>
      </c>
      <c r="F79" s="301">
        <v>140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120</v>
      </c>
      <c r="E82" s="301">
        <v>219</v>
      </c>
      <c r="F82" s="301">
        <v>140</v>
      </c>
      <c r="G82" s="207" t="s">
        <v>117</v>
      </c>
    </row>
    <row r="83" hidden="1" ht="45" customHeight="1">
      <c r="A83" s="226"/>
      <c r="B83" s="238">
        <v>1253</v>
      </c>
      <c r="C83" s="242" t="s">
        <v>161</v>
      </c>
      <c r="D83" s="301">
        <v>120</v>
      </c>
      <c r="E83" s="301">
        <v>219</v>
      </c>
      <c r="F83" s="301">
        <v>140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1</v>
      </c>
      <c r="F88" s="301">
        <v>0</v>
      </c>
      <c r="G88" s="207" t="s">
        <v>117</v>
      </c>
    </row>
    <row r="89" hidden="1" ht="45" customHeight="1">
      <c r="A89" s="226"/>
      <c r="B89" s="238">
        <v>1259</v>
      </c>
      <c r="C89" s="242" t="s">
        <v>167</v>
      </c>
      <c r="D89" s="301">
        <v>0</v>
      </c>
      <c r="E89" s="301">
        <v>1</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2</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2</v>
      </c>
      <c r="F97" s="301">
        <v>0</v>
      </c>
      <c r="G97" s="266" t="s">
        <v>168</v>
      </c>
    </row>
    <row r="98" ht="45" customHeight="1" s="270" customFormat="1">
      <c r="A98" s="226"/>
      <c r="B98" s="238">
        <v>1322</v>
      </c>
      <c r="C98" s="242" t="s">
        <v>177</v>
      </c>
      <c r="D98" s="301">
        <v>0</v>
      </c>
      <c r="E98" s="301">
        <v>2</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1</v>
      </c>
      <c r="F101" s="301">
        <v>0</v>
      </c>
      <c r="G101" s="266" t="s">
        <v>168</v>
      </c>
    </row>
    <row r="102" ht="45" customHeight="1" s="270" customFormat="1">
      <c r="A102" s="226"/>
      <c r="B102" s="238">
        <v>1332</v>
      </c>
      <c r="C102" s="242" t="s">
        <v>181</v>
      </c>
      <c r="D102" s="301">
        <v>0</v>
      </c>
      <c r="E102" s="301">
        <v>1</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0</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1</v>
      </c>
      <c r="F119" s="301">
        <v>0</v>
      </c>
      <c r="G119" s="207" t="s">
        <v>194</v>
      </c>
    </row>
    <row r="120" hidden="1" ht="45" customHeight="1" s="270" customFormat="1">
      <c r="A120" s="226"/>
      <c r="B120" s="238">
        <v>1414</v>
      </c>
      <c r="C120" s="243" t="s">
        <v>198</v>
      </c>
      <c r="D120" s="301">
        <v>0</v>
      </c>
      <c r="E120" s="301">
        <v>1</v>
      </c>
      <c r="F120" s="301">
        <v>0</v>
      </c>
      <c r="G120" s="207" t="s">
        <v>194</v>
      </c>
    </row>
    <row r="121" hidden="1" ht="45" customHeight="1" s="270" customFormat="1">
      <c r="A121" s="226"/>
      <c r="B121" s="238">
        <v>1422</v>
      </c>
      <c r="C121" s="242" t="s">
        <v>199</v>
      </c>
      <c r="D121" s="301">
        <v>0</v>
      </c>
      <c r="E121" s="301">
        <v>1</v>
      </c>
      <c r="F121" s="301">
        <v>0</v>
      </c>
      <c r="G121" s="207" t="s">
        <v>194</v>
      </c>
    </row>
    <row r="122" hidden="1" ht="45" customHeight="1" s="270" customFormat="1">
      <c r="A122" s="226"/>
      <c r="B122" s="238">
        <v>1423</v>
      </c>
      <c r="C122" s="242" t="s">
        <v>200</v>
      </c>
      <c r="D122" s="301">
        <v>0</v>
      </c>
      <c r="E122" s="301">
        <v>1</v>
      </c>
      <c r="F122" s="301">
        <v>0</v>
      </c>
      <c r="G122" s="207" t="s">
        <v>194</v>
      </c>
    </row>
    <row r="123" hidden="1" ht="45" customHeight="1" s="270" customFormat="1">
      <c r="A123" s="226"/>
      <c r="B123" s="238">
        <v>1424</v>
      </c>
      <c r="C123" s="242" t="s">
        <v>201</v>
      </c>
      <c r="D123" s="301">
        <v>0</v>
      </c>
      <c r="E123" s="301">
        <v>1</v>
      </c>
      <c r="F123" s="301">
        <v>0</v>
      </c>
      <c r="G123" s="207" t="s">
        <v>194</v>
      </c>
    </row>
    <row r="124" hidden="1" ht="45" customHeight="1" s="270" customFormat="1">
      <c r="A124" s="226"/>
      <c r="B124" s="238">
        <v>1425</v>
      </c>
      <c r="C124" s="242" t="s">
        <v>202</v>
      </c>
      <c r="D124" s="301">
        <v>0</v>
      </c>
      <c r="E124" s="301">
        <v>1</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1</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1</v>
      </c>
      <c r="F130" s="301">
        <v>0</v>
      </c>
      <c r="G130" s="207" t="s">
        <v>194</v>
      </c>
    </row>
    <row r="131" hidden="1" ht="45" customHeight="1" s="270" customFormat="1">
      <c r="A131" s="226"/>
      <c r="B131" s="238">
        <v>1441</v>
      </c>
      <c r="C131" s="242" t="s">
        <v>210</v>
      </c>
      <c r="D131" s="301">
        <v>0</v>
      </c>
      <c r="E131" s="301">
        <v>1</v>
      </c>
      <c r="F131" s="301">
        <v>0</v>
      </c>
      <c r="G131" s="207" t="s">
        <v>194</v>
      </c>
    </row>
    <row r="132" hidden="1" ht="45" customHeight="1" s="270" customFormat="1">
      <c r="A132" s="226"/>
      <c r="B132" s="238">
        <v>1442</v>
      </c>
      <c r="C132" s="242" t="s">
        <v>211</v>
      </c>
      <c r="D132" s="271">
        <f>D120</f>
        <v>0</v>
      </c>
      <c r="E132" s="271">
        <f>E120</f>
        <v>1</v>
      </c>
      <c r="F132" s="271">
        <f>F120</f>
        <v>0</v>
      </c>
      <c r="G132" s="207"/>
    </row>
    <row r="133" hidden="1" ht="45" customHeight="1" s="270" customFormat="1">
      <c r="A133" s="226"/>
      <c r="B133" s="238">
        <v>1443</v>
      </c>
      <c r="C133" s="242" t="s">
        <v>212</v>
      </c>
      <c r="D133" s="301">
        <v>0</v>
      </c>
      <c r="E133" s="301">
        <v>1</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1</v>
      </c>
      <c r="F135" s="301">
        <v>0</v>
      </c>
      <c r="G135" s="207" t="s">
        <v>194</v>
      </c>
    </row>
    <row r="136" hidden="1" ht="45" customHeight="1" s="270" customFormat="1">
      <c r="A136" s="226"/>
      <c r="B136" s="238">
        <v>1453</v>
      </c>
      <c r="C136" s="242" t="s">
        <v>215</v>
      </c>
      <c r="D136" s="301">
        <v>0</v>
      </c>
      <c r="E136" s="301">
        <v>1</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1</v>
      </c>
      <c r="F138" s="301">
        <v>0</v>
      </c>
      <c r="G138" s="207" t="s">
        <v>194</v>
      </c>
    </row>
    <row r="139" hidden="1" ht="45" customHeight="1">
      <c r="A139" s="226"/>
      <c r="B139" s="238">
        <v>1456</v>
      </c>
      <c r="C139" s="242" t="s">
        <v>218</v>
      </c>
      <c r="D139" s="301">
        <v>0</v>
      </c>
      <c r="E139" s="301">
        <v>1</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289</v>
      </c>
      <c r="AZ299" s="0" t="s">
        <v>293</v>
      </c>
      <c r="BA299" s="0" t="s">
        <v>285</v>
      </c>
      <c r="BB299" s="0" t="str">
        <f t="shared" si="4"/>
        <v>CCCRNenEnuguSouth</v>
      </c>
    </row>
    <row r="300">
      <c r="E300" s="0" t="s">
        <v>905</v>
      </c>
      <c r="AV300" s="0" t="s">
        <v>471</v>
      </c>
      <c r="AW300" s="0" t="s">
        <v>286</v>
      </c>
      <c r="AX300" s="0" t="s">
        <v>531</v>
      </c>
      <c r="AY300" s="0" t="s">
        <v>1654</v>
      </c>
      <c r="AZ300" s="0" t="s">
        <v>1655</v>
      </c>
      <c r="BA300" s="0" t="s">
        <v>285</v>
      </c>
      <c r="BB300" s="0" t="str">
        <f t="shared" si="4"/>
        <v>CCCRNenEnuguSouth</v>
      </c>
    </row>
    <row r="301">
      <c r="E301" s="0" t="s">
        <v>930</v>
      </c>
      <c r="AV301" s="0" t="s">
        <v>471</v>
      </c>
      <c r="AW301" s="0" t="s">
        <v>286</v>
      </c>
      <c r="AX301" s="0" t="s">
        <v>531</v>
      </c>
      <c r="AY301" s="0" t="s">
        <v>1656</v>
      </c>
      <c r="AZ301" s="0" t="s">
        <v>1657</v>
      </c>
      <c r="BA301" s="0" t="s">
        <v>285</v>
      </c>
      <c r="BB301" s="0" t="str">
        <f t="shared" si="4"/>
        <v>CCCRNenEnuguSouth</v>
      </c>
    </row>
    <row r="302">
      <c r="AV302" s="0" t="s">
        <v>471</v>
      </c>
      <c r="AW302" s="0" t="s">
        <v>286</v>
      </c>
      <c r="AX302" s="0" t="s">
        <v>531</v>
      </c>
      <c r="AY302" s="0" t="s">
        <v>1658</v>
      </c>
      <c r="AZ302" s="0" t="s">
        <v>1659</v>
      </c>
      <c r="BA302" s="0" t="s">
        <v>285</v>
      </c>
      <c r="BB302" s="0" t="str">
        <f t="shared" si="4"/>
        <v>CCCRNenEnuguSouth</v>
      </c>
    </row>
    <row r="303">
      <c r="AV303" s="0" t="s">
        <v>471</v>
      </c>
      <c r="AW303" s="0" t="s">
        <v>286</v>
      </c>
      <c r="AX303" s="0" t="s">
        <v>531</v>
      </c>
      <c r="AY303" s="0" t="s">
        <v>1660</v>
      </c>
      <c r="AZ303" s="0" t="s">
        <v>1661</v>
      </c>
      <c r="BA303" s="0" t="s">
        <v>285</v>
      </c>
      <c r="BB303" s="0" t="str">
        <f t="shared" si="4"/>
        <v>CCCRNenEnuguSouth</v>
      </c>
    </row>
    <row r="304">
      <c r="AV304" s="0" t="s">
        <v>471</v>
      </c>
      <c r="AW304" s="0" t="s">
        <v>286</v>
      </c>
      <c r="AX304" s="0" t="s">
        <v>571</v>
      </c>
      <c r="AY304" s="0" t="s">
        <v>1662</v>
      </c>
      <c r="AZ304" s="0" t="s">
        <v>1663</v>
      </c>
      <c r="BA304" s="0" t="s">
        <v>285</v>
      </c>
      <c r="BB304" s="0" t="str">
        <f t="shared" si="4"/>
        <v>CCCRNenIgboEtiti</v>
      </c>
    </row>
    <row r="305">
      <c r="AV305" s="0" t="s">
        <v>471</v>
      </c>
      <c r="AW305" s="0" t="s">
        <v>286</v>
      </c>
      <c r="AX305" s="0" t="s">
        <v>571</v>
      </c>
      <c r="AY305" s="0" t="s">
        <v>1664</v>
      </c>
      <c r="AZ305" s="0" t="s">
        <v>1665</v>
      </c>
      <c r="BA305" s="0" t="s">
        <v>285</v>
      </c>
      <c r="BB305" s="0" t="str">
        <f t="shared" si="4"/>
        <v>CCCRNenIgboEtiti</v>
      </c>
    </row>
    <row r="306">
      <c r="AV306" s="0" t="s">
        <v>471</v>
      </c>
      <c r="AW306" s="0" t="s">
        <v>286</v>
      </c>
      <c r="AX306" s="0" t="s">
        <v>571</v>
      </c>
      <c r="AY306" s="0" t="s">
        <v>1666</v>
      </c>
      <c r="AZ306" s="0" t="s">
        <v>1667</v>
      </c>
      <c r="BA306" s="0" t="s">
        <v>285</v>
      </c>
      <c r="BB306" s="0" t="str">
        <f t="shared" si="4"/>
        <v>CCCRNenIgboEtiti</v>
      </c>
    </row>
    <row r="307">
      <c r="AV307" s="0" t="s">
        <v>471</v>
      </c>
      <c r="AW307" s="0" t="s">
        <v>286</v>
      </c>
      <c r="AX307" s="0" t="s">
        <v>571</v>
      </c>
      <c r="AY307" s="0" t="s">
        <v>1668</v>
      </c>
      <c r="AZ307" s="0" t="s">
        <v>1669</v>
      </c>
      <c r="BA307" s="0" t="s">
        <v>285</v>
      </c>
      <c r="BB307" s="0" t="str">
        <f t="shared" si="4"/>
        <v>CCCRNenIgboEtiti</v>
      </c>
    </row>
    <row r="308">
      <c r="AV308" s="0" t="s">
        <v>471</v>
      </c>
      <c r="AW308" s="0" t="s">
        <v>286</v>
      </c>
      <c r="AX308" s="0" t="s">
        <v>571</v>
      </c>
      <c r="AY308" s="0" t="s">
        <v>1670</v>
      </c>
      <c r="AZ308" s="0" t="s">
        <v>1671</v>
      </c>
      <c r="BA308" s="0" t="s">
        <v>285</v>
      </c>
      <c r="BB308" s="0" t="str">
        <f t="shared" si="4"/>
        <v>CCCRNenIgboEtiti</v>
      </c>
    </row>
    <row r="309">
      <c r="AV309" s="0" t="s">
        <v>471</v>
      </c>
      <c r="AW309" s="0" t="s">
        <v>286</v>
      </c>
      <c r="AX309" s="0" t="s">
        <v>609</v>
      </c>
      <c r="AY309" s="0" t="s">
        <v>1672</v>
      </c>
      <c r="AZ309" s="0" t="s">
        <v>1673</v>
      </c>
      <c r="BA309" s="0" t="s">
        <v>285</v>
      </c>
      <c r="BB309" s="0" t="str">
        <f t="shared" si="4"/>
        <v>CCCRNenIgboEzeNorth</v>
      </c>
    </row>
    <row r="310">
      <c r="AV310" s="0" t="s">
        <v>471</v>
      </c>
      <c r="AW310" s="0" t="s">
        <v>286</v>
      </c>
      <c r="AX310" s="0" t="s">
        <v>609</v>
      </c>
      <c r="AY310" s="0" t="s">
        <v>1674</v>
      </c>
      <c r="AZ310" s="0" t="s">
        <v>1675</v>
      </c>
      <c r="BA310" s="0" t="s">
        <v>285</v>
      </c>
      <c r="BB310" s="0" t="str">
        <f t="shared" si="4"/>
        <v>CCCRNenIgboEzeNorth</v>
      </c>
    </row>
    <row r="311">
      <c r="AV311" s="0" t="s">
        <v>471</v>
      </c>
      <c r="AW311" s="0" t="s">
        <v>286</v>
      </c>
      <c r="AX311" s="0" t="s">
        <v>609</v>
      </c>
      <c r="AY311" s="0" t="s">
        <v>1676</v>
      </c>
      <c r="AZ311" s="0" t="s">
        <v>1677</v>
      </c>
      <c r="BA311" s="0" t="s">
        <v>285</v>
      </c>
      <c r="BB311" s="0" t="str">
        <f t="shared" si="4"/>
        <v>CCCRNenIgboEzeNorth</v>
      </c>
    </row>
    <row r="312">
      <c r="AV312" s="0" t="s">
        <v>471</v>
      </c>
      <c r="AW312" s="0" t="s">
        <v>286</v>
      </c>
      <c r="AX312" s="0" t="s">
        <v>609</v>
      </c>
      <c r="AY312" s="0" t="s">
        <v>1678</v>
      </c>
      <c r="AZ312" s="0" t="s">
        <v>1679</v>
      </c>
      <c r="BA312" s="0" t="s">
        <v>285</v>
      </c>
      <c r="BB312" s="0" t="str">
        <f t="shared" si="4"/>
        <v>CCCRNenIgboEzeNorth</v>
      </c>
    </row>
    <row r="313">
      <c r="AV313" s="0" t="s">
        <v>471</v>
      </c>
      <c r="AW313" s="0" t="s">
        <v>286</v>
      </c>
      <c r="AX313" s="0" t="s">
        <v>609</v>
      </c>
      <c r="AY313" s="0" t="s">
        <v>1680</v>
      </c>
      <c r="AZ313" s="0" t="s">
        <v>1681</v>
      </c>
      <c r="BA313" s="0" t="s">
        <v>285</v>
      </c>
      <c r="BB313" s="0" t="str">
        <f t="shared" si="4"/>
        <v>CCCRNenIgboEzeNorth</v>
      </c>
    </row>
    <row r="314">
      <c r="AV314" s="0" t="s">
        <v>471</v>
      </c>
      <c r="AW314" s="0" t="s">
        <v>286</v>
      </c>
      <c r="AX314" s="0" t="s">
        <v>609</v>
      </c>
      <c r="AY314" s="0" t="s">
        <v>1682</v>
      </c>
      <c r="AZ314" s="0" t="s">
        <v>1683</v>
      </c>
      <c r="BA314" s="0" t="s">
        <v>285</v>
      </c>
      <c r="BB314" s="0" t="str">
        <f t="shared" si="4"/>
        <v>CCCRNenIgboEzeNorth</v>
      </c>
    </row>
    <row r="315">
      <c r="AV315" s="0" t="s">
        <v>471</v>
      </c>
      <c r="AW315" s="0" t="s">
        <v>286</v>
      </c>
      <c r="AX315" s="0" t="s">
        <v>609</v>
      </c>
      <c r="AY315" s="0" t="s">
        <v>1684</v>
      </c>
      <c r="AZ315" s="0" t="s">
        <v>1685</v>
      </c>
      <c r="BA315" s="0" t="s">
        <v>285</v>
      </c>
      <c r="BB315" s="0" t="str">
        <f t="shared" si="4"/>
        <v>CCCRNenIgboEzeNorth</v>
      </c>
    </row>
    <row r="316">
      <c r="AV316" s="0" t="s">
        <v>471</v>
      </c>
      <c r="AW316" s="0" t="s">
        <v>286</v>
      </c>
      <c r="AX316" s="0" t="s">
        <v>648</v>
      </c>
      <c r="AY316" s="0" t="s">
        <v>1686</v>
      </c>
      <c r="AZ316" s="0" t="s">
        <v>1687</v>
      </c>
      <c r="BA316" s="0" t="s">
        <v>285</v>
      </c>
      <c r="BB316" s="0" t="str">
        <f t="shared" si="4"/>
        <v>CCCRNenIgboEzeSouth</v>
      </c>
    </row>
    <row r="317">
      <c r="AV317" s="0" t="s">
        <v>471</v>
      </c>
      <c r="AW317" s="0" t="s">
        <v>286</v>
      </c>
      <c r="AX317" s="0" t="s">
        <v>648</v>
      </c>
      <c r="AY317" s="0" t="s">
        <v>1688</v>
      </c>
      <c r="AZ317" s="0" t="s">
        <v>1689</v>
      </c>
      <c r="BA317" s="0" t="s">
        <v>285</v>
      </c>
      <c r="BB317" s="0" t="str">
        <f t="shared" si="4"/>
        <v>CCCRNenIgboEzeSouth</v>
      </c>
    </row>
    <row r="318">
      <c r="AV318" s="0" t="s">
        <v>471</v>
      </c>
      <c r="AW318" s="0" t="s">
        <v>286</v>
      </c>
      <c r="AX318" s="0" t="s">
        <v>648</v>
      </c>
      <c r="AY318" s="0" t="s">
        <v>1690</v>
      </c>
      <c r="AZ318" s="0" t="s">
        <v>1691</v>
      </c>
      <c r="BA318" s="0" t="s">
        <v>285</v>
      </c>
      <c r="BB318" s="0" t="str">
        <f t="shared" si="4"/>
        <v>CCCRNenIgboEzeSouth</v>
      </c>
    </row>
    <row r="319">
      <c r="AV319" s="0" t="s">
        <v>471</v>
      </c>
      <c r="AW319" s="0" t="s">
        <v>286</v>
      </c>
      <c r="AX319" s="0" t="s">
        <v>685</v>
      </c>
      <c r="AY319" s="0" t="s">
        <v>1692</v>
      </c>
      <c r="AZ319" s="0" t="s">
        <v>1693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