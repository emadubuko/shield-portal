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<sst xmlns="http://schemas.openxmlformats.org/spreadsheetml/2006/main" count="4056" uniqueCount="4056">
  <si>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</si>
  <si>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</si>
  <si>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</si>
  <si>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</si>
  <si>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</si>
  <si>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</si>
  <si>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</si>
  <si>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</si>
  <si>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</si>
  <si>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</si>
  <si>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</si>
  <si>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</si>
  <si>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</si>
  <si>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</si>
  <si>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</si>
  <si>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</si>
  <si>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</si>
  <si>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</si>
  <si>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</si>
  <si>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</si>
  <si>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</si>
  <si>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</si>
  <si>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</si>
  <si>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</si>
  <si>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</si>
  <si>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</si>
  <si>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</si>
  <si>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</si>
  <si>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</si>
  <si>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</si>
  <si>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</si>
  <si>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</si>
  <si>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</si>
  <si>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</si>
  <si>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</si>
  <si>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</si>
  <si>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</si>
  <si>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</si>
  <si>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</si>
  <si>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</si>
  <si>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</si>
  <si>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</si>
  <si>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</si>
  <si>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</si>
  <si>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</si>
  <si>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</si>
  <si>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</si>
  <si>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</si>
  <si>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</si>
  <si>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</si>
  <si>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</si>
  <si>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</si>
  <si>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</si>
  <si>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</si>
  <si>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</si>
  <si>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</si>
  <si>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</si>
  <si>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</si>
  <si>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</si>
  <si>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</si>
  <si>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</si>
  <si>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</si>
  <si>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</si>
  <si>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</si>
  <si>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</si>
  <si>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</si>
  <si>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</si>
  <si>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</si>
  <si>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</si>
  <si>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</si>
  <si>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</si>
  <si>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</si>
  <si>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</si>
  <si>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</si>
  <si>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</si>
  <si>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</si>
  <si>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</si>
  <si>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</si>
  <si>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</si>
  <si>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</si>
  <si>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</si>
  <si>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</si>
  <si>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</si>
  <si>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</si>
  <si>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</si>
  <si>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</si>
  <si>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</si>
  <si>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</si>
  <si>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</si>
  <si>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</si>
  <si>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</si>
  <si>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</si>
  <si>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</si>
  <si>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</si>
  <si>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</si>
  <si>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</si>
  <si>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</si>
  <si>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</si>
  <si>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</si>
  <si>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</si>
  <si>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</si>
  <si>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</si>
  <si>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</si>
  <si>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</si>
  <si>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</si>
  <si>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</si>
  <si>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</si>
  <si>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</si>
  <si>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</si>
  <si>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</si>
  <si>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</si>
  <si>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</si>
  <si>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</si>
  <si>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</si>
  <si>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</si>
  <si>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</si>
  <si>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</si>
  <si>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</si>
  <si>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</si>
  <si>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</si>
  <si>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</si>
  <si>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</si>
  <si>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</si>
  <si>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</si>
  <si>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</si>
  <si>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</si>
  <si>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</si>
  <si>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</si>
  <si>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</si>
  <si>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</si>
  <si>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</si>
  <si>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</si>
  <si>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</si>
  <si>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</si>
  <si>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</si>
  <si>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</si>
  <si>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</si>
  <si>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</si>
  <si>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</si>
  <si>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</si>
  <si>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</si>
  <si>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</si>
  <si>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</si>
  <si>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</si>
  <si>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</si>
  <si>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</si>
  <si>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</si>
  <si>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</si>
  <si>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</si>
  <si>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</si>
  <si>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</si>
  <si>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</si>
  <si>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</si>
  <si>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</si>
  <si>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</si>
  <si>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</si>
  <si>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</si>
  <si>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</si>
  <si>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</si>
  <si>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</si>
  <si>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</si>
  <si>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</si>
  <si>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</si>
  <si>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</si>
  <si>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</si>
  <si>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</si>
  <si>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</si>
  <si>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</si>
  <si>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</si>
  <si>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</si>
  <si>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</si>
  <si>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</si>
  <si>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</si>
  <si>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</si>
  <si>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</si>
  <si>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</si>
  <si>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</si>
  <si>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</si>
  <si>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</si>
  <si>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</si>
  <si>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</si>
  <si>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</si>
  <si>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</si>
  <si>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</si>
  <si>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</si>
  <si>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</si>
  <si>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</si>
  <si>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</si>
  <si>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</si>
  <si>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</si>
  <si>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</si>
  <si>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</si>
  <si>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</si>
  <si>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</si>
  <si>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</si>
  <si>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</si>
  <si>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</si>
  <si>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</si>
  <si>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</si>
  <si>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</si>
  <si>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</si>
  <si>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</si>
  <si>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</si>
  <si>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</si>
  <si>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</si>
  <si>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</si>
  <si>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</si>
  <si>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</si>
  <si>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</si>
  <si>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</si>
  <si>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</si>
  <si>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</si>
  <si>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</si>
  <si>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</si>
  <si>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</si>
  <si>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</si>
  <si>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</si>
  <si>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</si>
  <si>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</si>
  <si>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</si>
  <si>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</si>
  <si>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</si>
  <si>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</si>
  <si>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</si>
  <si>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</si>
  <si>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</si>
  <si>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</si>
  <si>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</si>
  <si>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</si>
  <si>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</si>
  <si>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</si>
  <si>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</si>
  <si>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</si>
  <si>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</si>
  <si>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</si>
  <si>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</si>
  <si>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</si>
  <si>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</si>
  <si>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</si>
  <si>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</si>
  <si>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</si>
  <si>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</si>
  <si>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</si>
  <si>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</si>
  <si>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</si>
  <si>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</si>
  <si>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</si>
  <si>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</si>
  <si>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</si>
  <si>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</si>
  <si>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</si>
  <si>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</si>
  <si>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</si>
  <si>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</si>
  <si>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</si>
  <si>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</si>
  <si>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</si>
  <si>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</si>
  <si>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</si>
  <si>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</si>
  <si>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</si>
  <si>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</si>
  <si>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</si>
  <si>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</si>
  <si>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</si>
  <si>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</si>
  <si>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</si>
  <si>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</si>
  <si>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</si>
  <si>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</si>
  <si>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</si>
  <si>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</si>
  <si>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</si>
  <si>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</si>
  <si>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</si>
  <si>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</si>
  <si>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</si>
  <si>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</si>
  <si>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</si>
  <si>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</si>
  <si>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</si>
  <si>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</si>
  <si>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</si>
  <si>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</si>
  <si>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</si>
  <si>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</si>
  <si>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</si>
  <si>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Orlu</t>
  </si>
  <si>
    <t>Facility Name:</t>
  </si>
  <si>
    <t>Imo State University Teaching Hospital</t>
  </si>
  <si>
    <t>Reporting Period:</t>
  </si>
  <si>
    <t>Q1(Oct - Dec)</t>
  </si>
  <si>
    <t>Facility Code:</t>
  </si>
  <si>
    <t>nN2Ume37GLM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</si>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</sst>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198</v>
      </c>
      <c r="G8" s="155">
        <f>ROUND(SUM('All Questions'!D31:D35)/5+G12,0)</f>
        <v>278</v>
      </c>
      <c r="H8" s="156">
        <f>ROUND(SUM('All Questions'!D37,'All Questions'!D40)/2+'All Questions'!D26+H12,0)</f>
        <v>272</v>
      </c>
      <c r="I8" s="157">
        <f>ROUND((SUM('All Questions'!E11:E14)/4)+I12,0)</f>
        <v>0</v>
      </c>
      <c r="J8" s="155">
        <f>ROUND(SUM('All Questions'!E15:E21)/7+J12,0)</f>
        <v>0</v>
      </c>
      <c r="K8" s="155">
        <f>ROUND(SUM('All Questions'!E23:E30)/4+K12,0)</f>
        <v>154</v>
      </c>
      <c r="L8" s="155">
        <f>ROUND(SUM('All Questions'!E31:E35)/5+L12,0)</f>
        <v>212</v>
      </c>
      <c r="M8" s="156">
        <f>ROUND(('All Questions'!E37+'All Questions'!E40)/2+'All Questions'!E26+M12,0)</f>
        <v>201</v>
      </c>
      <c r="N8" s="157">
        <f>ROUND((SUM('All Questions'!F11:F14)/4)+N12,0)</f>
        <v>0</v>
      </c>
      <c r="O8" s="155">
        <f>ROUND(SUM('All Questions'!F15:F21)/7+O12,0)</f>
        <v>0</v>
      </c>
      <c r="P8" s="155">
        <f>ROUND(SUM('All Questions'!F23:F30)/4+P12,0)</f>
        <v>122</v>
      </c>
      <c r="Q8" s="155">
        <f>ROUND(SUM('All Questions'!F31:F35)/5+Q12,0)</f>
        <v>166</v>
      </c>
      <c r="R8" s="156">
        <f>ROUND(('All Questions'!F37+'All Questions'!F40)/2+'All Questions'!F26+R12,0)</f>
        <v>166</v>
      </c>
      <c r="S8" s="141">
        <f>'All Questions'!F2</f>
        <v>0</v>
      </c>
      <c r="T8" s="142" t="e">
        <f>(AVERAGE(F8:H8)+AVERAGE(K8:M8)+AVERAGE(P8:R8))/S8</f>
        <v>#DIV/0!</v>
      </c>
      <c r="V8" s="309">
        <f>AVERAGE(F8:H8)+AVERAGE(K8:M8)+AVERAGE(P8:R8)</f>
        <v>589.66666666666674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41</v>
      </c>
      <c r="G9" s="158"/>
      <c r="H9" s="160"/>
      <c r="I9" s="161"/>
      <c r="J9" s="158"/>
      <c r="K9" s="159">
        <f>ROUND('All Questions'!E29+K13,0)</f>
        <v>38</v>
      </c>
      <c r="L9" s="158"/>
      <c r="M9" s="160"/>
      <c r="N9" s="161"/>
      <c r="O9" s="158"/>
      <c r="P9" s="159">
        <f>ROUND('All Questions'!F29+P13,0)</f>
        <v>29</v>
      </c>
      <c r="Q9" s="158"/>
      <c r="R9" s="160"/>
      <c r="S9" s="141">
        <f>'All Questions'!F3</f>
        <v>0</v>
      </c>
      <c r="T9" s="143" t="e">
        <f>SUM(F9,K9,P9)/S9</f>
        <v>#DIV/0!</v>
      </c>
      <c r="V9" s="309">
        <f>SUM(F9+K9+P9)</f>
        <v>108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172</v>
      </c>
      <c r="G10" s="159">
        <f>ROUND(SUM('All Questions'!D31:D35)/5,0)</f>
        <v>234</v>
      </c>
      <c r="H10" s="162">
        <f>ROUND(('All Questions'!D37+'All Questions'!D40)/2+'All Questions'!D26,0)</f>
        <v>230</v>
      </c>
      <c r="I10" s="163">
        <f>ROUND((SUM('All Questions'!E11:E14)/4),0)</f>
        <v>0</v>
      </c>
      <c r="J10" s="164">
        <f>ROUND(SUM('All Questions'!E15:E21)/7,0)</f>
        <v>0</v>
      </c>
      <c r="K10" s="164">
        <f>ROUND(SUM('All Questions'!E23:E30)/4,0)</f>
        <v>136</v>
      </c>
      <c r="L10" s="164">
        <f>ROUND(SUM('All Questions'!E31:E35)/5,0)</f>
        <v>182</v>
      </c>
      <c r="M10" s="165">
        <f>ROUND(('All Questions'!E37+'All Questions'!E40)/2+'All Questions'!E26,0)</f>
        <v>172</v>
      </c>
      <c r="N10" s="166">
        <f>ROUND((SUM('All Questions'!F11:F14)/4),0)</f>
        <v>0</v>
      </c>
      <c r="O10" s="164">
        <f>ROUND(SUM('All Questions'!F15:F21)/7,0)</f>
        <v>0</v>
      </c>
      <c r="P10" s="164">
        <f>ROUND(SUM('All Questions'!F23:F30)/4,0)</f>
        <v>105</v>
      </c>
      <c r="Q10" s="164">
        <f>ROUND(SUM('All Questions'!F31:F35)/5,0)</f>
        <v>140</v>
      </c>
      <c r="R10" s="165">
        <f>ROUND(('All Questions'!F37+'All Questions'!F40)/2+'All Questions'!F26,0)</f>
        <v>140</v>
      </c>
      <c r="S10" s="141">
        <f>'All Questions'!F4</f>
        <v>0</v>
      </c>
      <c r="T10" s="143" t="e">
        <f>(AVERAGE(F10:H10)+AVERAGE(K10:M10)+AVERAGE(P10:R10))/S10</f>
        <v>#DIV/0!</v>
      </c>
      <c r="V10" s="309">
        <f>AVERAGE(F10:H10)+AVERAGE(K10:M10)+AVERAGE(P10:R10)</f>
        <v>503.66666666666674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40</v>
      </c>
      <c r="G11" s="167"/>
      <c r="H11" s="169"/>
      <c r="I11" s="170"/>
      <c r="J11" s="167"/>
      <c r="K11" s="171">
        <f>ROUND('All Questions'!E29,0)</f>
        <v>37</v>
      </c>
      <c r="L11" s="167"/>
      <c r="M11" s="169"/>
      <c r="N11" s="170"/>
      <c r="O11" s="167"/>
      <c r="P11" s="171">
        <f>ROUND('All Questions'!F29,0)</f>
        <v>29</v>
      </c>
      <c r="Q11" s="167"/>
      <c r="R11" s="169"/>
      <c r="S11" s="141">
        <f>'All Questions'!F5</f>
        <v>0</v>
      </c>
      <c r="T11" s="144" t="e">
        <f>SUM(F11,K11,P11)/S11</f>
        <v>#DIV/0!</v>
      </c>
      <c r="V11" s="309">
        <f>SUM(F11+K11+P11)</f>
        <v>106</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26</v>
      </c>
      <c r="G12" s="173">
        <f>ROUND(SUM('All Questions'!D73:D80)/4,0)</f>
        <v>44</v>
      </c>
      <c r="H12" s="174">
        <f>ROUND(SUM('All Questions'!D82:D83)/2,0)</f>
        <v>42</v>
      </c>
      <c r="I12" s="175">
        <f>ROUND(SUM('All Questions'!E54:E58)+'All Questions'!E71/4,0)</f>
        <v>0</v>
      </c>
      <c r="J12" s="176">
        <f>ROUND(SUM('All Questions'!E60:E63)/4,0)</f>
        <v>0</v>
      </c>
      <c r="K12" s="176">
        <f>ROUND(SUM('All Questions'!E67:E72)/3,0)</f>
        <v>18</v>
      </c>
      <c r="L12" s="176">
        <f>ROUND(SUM('All Questions'!E73:E80)/4,0)</f>
        <v>30</v>
      </c>
      <c r="M12" s="177">
        <f>ROUND(SUM('All Questions'!E82:E83)/2,0)</f>
        <v>29</v>
      </c>
      <c r="N12" s="178">
        <f>ROUND(SUM('All Questions'!F54:F58)+'All Questions'!F71/4,0)</f>
        <v>0</v>
      </c>
      <c r="O12" s="176">
        <f>ROUND(SUM('All Questions'!F60:F63)/4,0)</f>
        <v>0</v>
      </c>
      <c r="P12" s="176">
        <f>ROUND(SUM('All Questions'!F67:F72)/3,0)</f>
        <v>17</v>
      </c>
      <c r="Q12" s="176">
        <f>ROUND(SUM('All Questions'!F73:F80)/4,0)</f>
        <v>26</v>
      </c>
      <c r="R12" s="177">
        <f>ROUND(SUM('All Questions'!F82:F83)/2,0)</f>
        <v>26</v>
      </c>
      <c r="S12" s="145">
        <f>'All Questions'!F46</f>
        <v>0</v>
      </c>
      <c r="T12" s="146" t="e">
        <f ref="T12:T15" t="shared" si="1">(AVERAGE(F12:H12)+AVERAGE(K12:M12)+AVERAGE(P12:R12))/S12</f>
        <v>#DIV/0!</v>
      </c>
      <c r="V12" s="309">
        <f>AVERAGE(F12:H12)+AVERAGE(K12:M12)+AVERAGE(P12:R12)</f>
        <v>86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1</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5</v>
      </c>
      <c r="G14" s="179">
        <f>ROUND(SUM('All Questions'!D74,'All Questions'!D76,'All Questions'!D78,'All Questions'!D80)/4,0)</f>
        <v>5</v>
      </c>
      <c r="H14" s="180">
        <f>ROUND(SUM('All Questions'!D88:D89)/2,0)</f>
        <v>5</v>
      </c>
      <c r="I14" s="187">
        <f>ROUND('All Questions'!E57,0)</f>
        <v>0</v>
      </c>
      <c r="J14" s="183">
        <f>ROUND('All Questions'!E64,0)</f>
        <v>0</v>
      </c>
      <c r="K14" s="183">
        <f>ROUND(SUM('All Questions'!E69:E70),0)</f>
        <v>5</v>
      </c>
      <c r="L14" s="183">
        <f>ROUND(SUM('All Questions'!E74,'All Questions'!E76,'All Questions'!E78,'All Questions'!E80)/4,0)</f>
        <v>5</v>
      </c>
      <c r="M14" s="184">
        <f>ROUND(SUM('All Questions'!E88:E89)/2,0)</f>
        <v>5</v>
      </c>
      <c r="N14" s="188">
        <f>ROUND('All Questions'!F57,0)</f>
        <v>0</v>
      </c>
      <c r="O14" s="183">
        <f>ROUND('All Questions'!F64,0)</f>
        <v>0</v>
      </c>
      <c r="P14" s="183">
        <f>ROUND(SUM('All Questions'!F69:F70),0)</f>
        <v>3</v>
      </c>
      <c r="Q14" s="183">
        <f>ROUND(SUM('All Questions'!F74,'All Questions'!F76,'All Questions'!F78,'All Questions'!F80)/4,0)</f>
        <v>3</v>
      </c>
      <c r="R14" s="184">
        <f>ROUND(SUM('All Questions'!F88:F89)/2,0)</f>
        <v>2</v>
      </c>
      <c r="S14" s="145">
        <f>'All Questions'!F48</f>
        <v>0</v>
      </c>
      <c r="T14" s="147" t="e">
        <f>(AVERAGE(F14:H14)+AVERAGE(K14:M14)+AVERAGE(P14:R14))/S14</f>
        <v>#DIV/0!</v>
      </c>
      <c r="V14" s="309">
        <f>AVERAGE(F14:H14)+AVERAGE(K14:M14)+AVERAGE(P14:R14)</f>
        <v>12.666666666666666</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2.6666666666666665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26</v>
      </c>
      <c r="G17" s="155">
        <f>ROUND(SUM('All Questions'!D155:D158)/4,0)</f>
        <v>26</v>
      </c>
      <c r="H17" s="197">
        <f>ROUND(SUM('All Questions'!D160,'All Questions'!D163)/2,0)</f>
        <v>26</v>
      </c>
      <c r="I17" s="198">
        <f>ROUND(SUM('All Questions'!E145:E146)/2,0)</f>
        <v>0</v>
      </c>
      <c r="J17" s="199">
        <f>ROUND(SUM('All Questions'!E147:E150)/4,0)</f>
        <v>0</v>
      </c>
      <c r="K17" s="199">
        <f>ROUND(SUM('All Questions'!E151:E154)/2,0)</f>
        <v>32</v>
      </c>
      <c r="L17" s="199">
        <f>ROUND(SUM('All Questions'!E155:E158)/4,0)</f>
        <v>32</v>
      </c>
      <c r="M17" s="197">
        <f>ROUND(SUM('All Questions'!E160,'All Questions'!E163)/2,0)</f>
        <v>32</v>
      </c>
      <c r="N17" s="200">
        <f>ROUND(SUM('All Questions'!F145:F146)/2,0)</f>
        <v>0</v>
      </c>
      <c r="O17" s="199">
        <f>ROUND(SUM('All Questions'!F147:F150)/4,0)</f>
        <v>0</v>
      </c>
      <c r="P17" s="199">
        <f>ROUND(SUM('All Questions'!F151:F154)/2,0)</f>
        <v>18</v>
      </c>
      <c r="Q17" s="199">
        <f>ROUND(SUM('All Questions'!F155:F158)/4,0)</f>
        <v>18</v>
      </c>
      <c r="R17" s="199">
        <f>ROUND(SUM('All Questions'!F160,'All Questions'!F163)/2,0)</f>
        <v>18</v>
      </c>
      <c r="S17" s="151">
        <f>'All Questions'!F141</f>
        <v>0</v>
      </c>
      <c r="T17" s="142" t="e">
        <f>(AVERAGE(F17:H17)+AVERAGE(K17:M17)+AVERAGE(P17:R17))/S17</f>
        <v>#DIV/0!</v>
      </c>
      <c r="V17" s="309">
        <f t="shared" si="2"/>
        <v>76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1570</v>
      </c>
      <c r="Q18" s="204">
        <f>ROUND(SUM('All Questions'!F186:F189)/4,0)</f>
        <v>694</v>
      </c>
      <c r="R18" s="303">
        <f>ROUND(('All Questions'!F191-('All Questions'!F194+'All Questions'!F197+'All Questions'!F200)),0)</f>
        <v>0</v>
      </c>
      <c r="S18" s="152">
        <f>'All Questions'!F166</f>
        <v>0</v>
      </c>
      <c r="T18" s="144" t="e">
        <f>AVERAGE(P18:R18)/S18</f>
        <v>#DIV/0!</v>
      </c>
      <c r="V18" s="309">
        <f>AVERAGE(P18:R18)</f>
        <v>754.66666666666663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379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v>
      </c>
      <c r="E10" s="301">
        <v>1</v>
      </c>
      <c r="F10" s="301">
        <v>1</v>
      </c>
      <c r="G10" s="207" t="s">
        <v>67</v>
      </c>
    </row>
    <row r="11" hidden="1" ht="45" customHeight="1">
      <c r="A11" s="226"/>
      <c r="B11" s="238">
        <v>1114</v>
      </c>
      <c r="C11" s="243" t="s">
        <v>84</v>
      </c>
      <c r="D11" s="301">
        <v>230</v>
      </c>
      <c r="E11" s="301">
        <v>182</v>
      </c>
      <c r="F11" s="301">
        <v>140</v>
      </c>
      <c r="G11" s="207" t="s">
        <v>67</v>
      </c>
    </row>
    <row r="12" hidden="1" ht="45" customHeight="1">
      <c r="A12" s="226"/>
      <c r="B12" s="238">
        <v>1115</v>
      </c>
      <c r="C12" s="242" t="s">
        <v>85</v>
      </c>
      <c r="D12" s="301">
        <v>230</v>
      </c>
      <c r="E12" s="301">
        <v>182</v>
      </c>
      <c r="F12" s="301">
        <v>140</v>
      </c>
      <c r="G12" s="207" t="s">
        <v>67</v>
      </c>
    </row>
    <row r="13" hidden="1" ht="45" customHeight="1">
      <c r="A13" s="226" t="s">
        <v>86</v>
      </c>
      <c r="B13" s="238">
        <v>1116</v>
      </c>
      <c r="C13" s="242" t="s">
        <v>87</v>
      </c>
      <c r="D13" s="301">
        <v>230</v>
      </c>
      <c r="E13" s="301">
        <v>182</v>
      </c>
      <c r="F13" s="301">
        <v>140</v>
      </c>
      <c r="G13" s="207" t="s">
        <v>67</v>
      </c>
    </row>
    <row r="14" hidden="1" ht="45" customHeight="1">
      <c r="A14" s="226"/>
      <c r="B14" s="238">
        <v>1117</v>
      </c>
      <c r="C14" s="242" t="s">
        <v>88</v>
      </c>
      <c r="D14" s="301">
        <v>230</v>
      </c>
      <c r="E14" s="301">
        <v>182</v>
      </c>
      <c r="F14" s="301">
        <v>140</v>
      </c>
      <c r="G14" s="207" t="s">
        <v>67</v>
      </c>
    </row>
    <row r="15" hidden="1" ht="45" customHeight="1">
      <c r="A15" s="226">
        <v>1116</v>
      </c>
      <c r="B15" s="238">
        <v>1121</v>
      </c>
      <c r="C15" s="243" t="str">
        <f>C13</f>
        <v>How many HTC clients have a completed Client intake form </v>
      </c>
      <c r="D15" s="302">
        <v>230</v>
      </c>
      <c r="E15" s="302">
        <v>182</v>
      </c>
      <c r="F15" s="302">
        <v>140</v>
      </c>
      <c r="G15" s="207"/>
    </row>
    <row r="16" hidden="1" ht="45" customHeight="1">
      <c r="A16" s="226"/>
      <c r="B16" s="238">
        <v>1122</v>
      </c>
      <c r="C16" s="243" t="s">
        <v>89</v>
      </c>
      <c r="D16" s="301">
        <v>230</v>
      </c>
      <c r="E16" s="301">
        <v>182</v>
      </c>
      <c r="F16" s="301">
        <v>140</v>
      </c>
      <c r="G16" s="207" t="s">
        <v>67</v>
      </c>
    </row>
    <row r="17" hidden="1" ht="45" customHeight="1">
      <c r="A17" s="226"/>
      <c r="B17" s="238">
        <v>1123</v>
      </c>
      <c r="C17" s="242" t="s">
        <v>90</v>
      </c>
      <c r="D17" s="301">
        <v>230</v>
      </c>
      <c r="E17" s="301">
        <v>182</v>
      </c>
      <c r="F17" s="301">
        <v>140</v>
      </c>
      <c r="G17" s="207" t="s">
        <v>67</v>
      </c>
    </row>
    <row r="18" hidden="1" ht="45" customHeight="1">
      <c r="A18" s="226"/>
      <c r="B18" s="238">
        <v>1124</v>
      </c>
      <c r="C18" s="242" t="s">
        <v>91</v>
      </c>
      <c r="D18" s="301">
        <v>230</v>
      </c>
      <c r="E18" s="301">
        <v>182</v>
      </c>
      <c r="F18" s="301">
        <v>140</v>
      </c>
      <c r="G18" s="207" t="s">
        <v>67</v>
      </c>
    </row>
    <row r="19" hidden="1" ht="45" customHeight="1">
      <c r="A19" s="226"/>
      <c r="B19" s="238">
        <v>1125</v>
      </c>
      <c r="C19" s="242" t="s">
        <v>92</v>
      </c>
      <c r="D19" s="301">
        <v>230</v>
      </c>
      <c r="E19" s="301">
        <v>182</v>
      </c>
      <c r="F19" s="301">
        <v>140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101</v>
      </c>
      <c r="E23" s="301">
        <v>78</v>
      </c>
      <c r="F23" s="301">
        <v>49</v>
      </c>
      <c r="G23" s="207" t="s">
        <v>67</v>
      </c>
    </row>
    <row r="24" hidden="1" ht="45" customHeight="1">
      <c r="A24" s="226"/>
      <c r="B24" s="238">
        <v>1132</v>
      </c>
      <c r="C24" s="242" t="s">
        <v>97</v>
      </c>
      <c r="D24" s="301">
        <v>129</v>
      </c>
      <c r="E24" s="301">
        <v>104</v>
      </c>
      <c r="F24" s="301">
        <v>91</v>
      </c>
      <c r="G24" s="207" t="s">
        <v>67</v>
      </c>
    </row>
    <row r="25" hidden="1" ht="45" customHeight="1">
      <c r="A25" s="226"/>
      <c r="B25" s="238">
        <v>1133</v>
      </c>
      <c r="C25" s="242" t="s">
        <v>98</v>
      </c>
      <c r="D25" s="301">
        <v>196</v>
      </c>
      <c r="E25" s="301">
        <v>164</v>
      </c>
      <c r="F25" s="301">
        <v>125</v>
      </c>
      <c r="G25" s="207" t="s">
        <v>67</v>
      </c>
    </row>
    <row r="26" hidden="1" ht="45" customHeight="1">
      <c r="A26" s="226"/>
      <c r="B26" s="238">
        <v>1134</v>
      </c>
      <c r="C26" s="242" t="s">
        <v>99</v>
      </c>
      <c r="D26" s="301">
        <v>34</v>
      </c>
      <c r="E26" s="301">
        <v>18</v>
      </c>
      <c r="F26" s="301">
        <v>15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40</v>
      </c>
      <c r="E29" s="301">
        <v>37</v>
      </c>
      <c r="F29" s="301">
        <v>29</v>
      </c>
      <c r="G29" s="207" t="s">
        <v>67</v>
      </c>
    </row>
    <row r="30" hidden="1" ht="45" customHeight="1">
      <c r="A30" s="226"/>
      <c r="B30" s="238">
        <v>1138</v>
      </c>
      <c r="C30" s="242" t="s">
        <v>103</v>
      </c>
      <c r="D30" s="301">
        <v>190</v>
      </c>
      <c r="E30" s="301">
        <v>145</v>
      </c>
      <c r="F30" s="301">
        <v>111</v>
      </c>
      <c r="G30" s="207" t="s">
        <v>67</v>
      </c>
    </row>
    <row r="31" hidden="1" ht="45" customHeight="1">
      <c r="A31" s="226">
        <v>1116</v>
      </c>
      <c r="B31" s="238">
        <v>1141</v>
      </c>
      <c r="C31" s="242" t="s">
        <v>104</v>
      </c>
      <c r="D31" s="302">
        <v>230</v>
      </c>
      <c r="E31" s="302">
        <v>182</v>
      </c>
      <c r="F31" s="302">
        <v>140</v>
      </c>
      <c r="G31" s="207"/>
    </row>
    <row r="32" hidden="1" ht="45" customHeight="1">
      <c r="A32" s="226"/>
      <c r="B32" s="238">
        <v>1142</v>
      </c>
      <c r="C32" s="243" t="s">
        <v>105</v>
      </c>
      <c r="D32" s="302">
        <v>230</v>
      </c>
      <c r="E32" s="302">
        <v>182</v>
      </c>
      <c r="F32" s="302">
        <v>140</v>
      </c>
      <c r="G32" s="207"/>
    </row>
    <row r="33" hidden="1" ht="45" customHeight="1">
      <c r="A33" s="226"/>
      <c r="B33" s="238">
        <v>1143</v>
      </c>
      <c r="C33" s="242" t="s">
        <v>106</v>
      </c>
      <c r="D33" s="301">
        <v>230</v>
      </c>
      <c r="E33" s="301">
        <v>182</v>
      </c>
      <c r="F33" s="301">
        <v>140</v>
      </c>
      <c r="G33" s="207" t="s">
        <v>67</v>
      </c>
    </row>
    <row r="34" hidden="1" ht="45" customHeight="1">
      <c r="A34" s="226"/>
      <c r="B34" s="238">
        <v>1144</v>
      </c>
      <c r="C34" s="242" t="s">
        <v>107</v>
      </c>
      <c r="D34" s="301">
        <v>230</v>
      </c>
      <c r="E34" s="301">
        <v>182</v>
      </c>
      <c r="F34" s="301">
        <v>140</v>
      </c>
      <c r="G34" s="207" t="s">
        <v>67</v>
      </c>
    </row>
    <row r="35" hidden="1" ht="45" customHeight="1">
      <c r="A35" s="226"/>
      <c r="B35" s="238">
        <v>1145</v>
      </c>
      <c r="C35" s="242" t="s">
        <v>108</v>
      </c>
      <c r="D35" s="301">
        <v>252</v>
      </c>
      <c r="E35" s="301">
        <v>182</v>
      </c>
      <c r="F35" s="301">
        <v>139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196</v>
      </c>
      <c r="E37" s="301">
        <v>154</v>
      </c>
      <c r="F37" s="301">
        <v>125</v>
      </c>
      <c r="G37" s="207" t="s">
        <v>67</v>
      </c>
    </row>
    <row r="38" hidden="1" ht="45" customHeight="1">
      <c r="A38" s="226"/>
      <c r="B38" s="238">
        <v>1153</v>
      </c>
      <c r="C38" s="242" t="s">
        <v>111</v>
      </c>
      <c r="D38" s="301">
        <v>209</v>
      </c>
      <c r="E38" s="301">
        <v>154</v>
      </c>
      <c r="F38" s="301">
        <v>119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196</v>
      </c>
      <c r="E40" s="301">
        <v>154</v>
      </c>
      <c r="F40" s="301">
        <v>125</v>
      </c>
      <c r="G40" s="207" t="s">
        <v>67</v>
      </c>
    </row>
    <row r="41" hidden="1" ht="45" customHeight="1">
      <c r="A41" s="226"/>
      <c r="B41" s="238">
        <v>1156</v>
      </c>
      <c r="C41" s="242" t="s">
        <v>113</v>
      </c>
      <c r="D41" s="301">
        <v>209</v>
      </c>
      <c r="E41" s="301">
        <v>154</v>
      </c>
      <c r="F41" s="301">
        <v>119</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39</v>
      </c>
      <c r="E43" s="301">
        <v>35</v>
      </c>
      <c r="F43" s="301">
        <v>27</v>
      </c>
      <c r="G43" s="207" t="s">
        <v>67</v>
      </c>
    </row>
    <row r="44" hidden="1" ht="45" customHeight="1" s="250" customFormat="1">
      <c r="A44" s="226"/>
      <c r="B44" s="238">
        <v>1159</v>
      </c>
      <c r="C44" s="242" t="s">
        <v>116</v>
      </c>
      <c r="D44" s="301">
        <v>38</v>
      </c>
      <c r="E44" s="301">
        <v>35</v>
      </c>
      <c r="F44" s="301">
        <v>31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1</v>
      </c>
      <c r="E54" s="301">
        <v>1</v>
      </c>
      <c r="F54" s="301">
        <v>1</v>
      </c>
      <c r="G54" s="207" t="s">
        <v>117</v>
      </c>
    </row>
    <row r="55" hidden="1" ht="45" customHeight="1">
      <c r="A55" s="226"/>
      <c r="B55" s="238">
        <v>1215</v>
      </c>
      <c r="C55" s="242" t="s">
        <v>133</v>
      </c>
      <c r="D55" s="301">
        <v>1</v>
      </c>
      <c r="E55" s="301">
        <v>1</v>
      </c>
      <c r="F55" s="301">
        <v>1</v>
      </c>
      <c r="G55" s="207" t="s">
        <v>117</v>
      </c>
    </row>
    <row r="56" hidden="1" ht="45" customHeight="1">
      <c r="A56" s="226"/>
      <c r="B56" s="238">
        <v>1216</v>
      </c>
      <c r="C56" s="243" t="s">
        <v>134</v>
      </c>
      <c r="D56" s="301">
        <v>40</v>
      </c>
      <c r="E56" s="301">
        <v>29</v>
      </c>
      <c r="F56" s="301">
        <v>27</v>
      </c>
      <c r="G56" s="207" t="s">
        <v>117</v>
      </c>
    </row>
    <row r="57" hidden="1" ht="45" customHeight="1">
      <c r="A57" s="226"/>
      <c r="B57" s="238">
        <v>1217</v>
      </c>
      <c r="C57" s="243" t="s">
        <v>135</v>
      </c>
      <c r="D57" s="301">
        <v>5</v>
      </c>
      <c r="E57" s="301">
        <v>5</v>
      </c>
      <c r="F57" s="301">
        <v>3</v>
      </c>
      <c r="G57" s="207" t="s">
        <v>117</v>
      </c>
    </row>
    <row r="58" hidden="1" ht="45" customHeight="1">
      <c r="A58" s="226"/>
      <c r="B58" s="238">
        <v>1218</v>
      </c>
      <c r="C58" s="243" t="s">
        <v>136</v>
      </c>
      <c r="D58" s="301">
        <v>1</v>
      </c>
      <c r="E58" s="301">
        <v>1</v>
      </c>
      <c r="F58" s="301">
        <v>0</v>
      </c>
      <c r="G58" s="207" t="s">
        <v>117</v>
      </c>
    </row>
    <row r="59" hidden="1" ht="45" customHeight="1">
      <c r="A59" s="226"/>
      <c r="B59" s="238">
        <v>1221</v>
      </c>
      <c r="C59" s="264" t="s">
        <v>137</v>
      </c>
      <c r="D59" s="301">
        <v>43</v>
      </c>
      <c r="E59" s="301">
        <v>29</v>
      </c>
      <c r="F59" s="301">
        <v>27</v>
      </c>
      <c r="G59" s="207" t="s">
        <v>117</v>
      </c>
    </row>
    <row r="60" hidden="1" ht="45" customHeight="1">
      <c r="A60" s="226"/>
      <c r="B60" s="238">
        <v>1222</v>
      </c>
      <c r="C60" s="264" t="s">
        <v>138</v>
      </c>
      <c r="D60" s="301">
        <v>37</v>
      </c>
      <c r="E60" s="301">
        <v>24</v>
      </c>
      <c r="F60" s="301">
        <v>24</v>
      </c>
      <c r="G60" s="207" t="s">
        <v>117</v>
      </c>
    </row>
    <row r="61" hidden="1" ht="45" customHeight="1">
      <c r="A61" s="226"/>
      <c r="B61" s="238">
        <v>1223</v>
      </c>
      <c r="C61" s="264" t="s">
        <v>139</v>
      </c>
      <c r="D61" s="301">
        <v>37</v>
      </c>
      <c r="E61" s="301">
        <v>24</v>
      </c>
      <c r="F61" s="301">
        <v>24</v>
      </c>
      <c r="G61" s="207" t="s">
        <v>117</v>
      </c>
    </row>
    <row r="62" hidden="1" ht="54.65" customHeight="1">
      <c r="A62" s="226"/>
      <c r="B62" s="238">
        <v>1224</v>
      </c>
      <c r="C62" s="264" t="s">
        <v>140</v>
      </c>
      <c r="D62" s="301">
        <v>37</v>
      </c>
      <c r="E62" s="301">
        <v>24</v>
      </c>
      <c r="F62" s="301">
        <v>24</v>
      </c>
      <c r="G62" s="207" t="s">
        <v>117</v>
      </c>
    </row>
    <row r="63" hidden="1" ht="66.65" customHeight="1">
      <c r="A63" s="226"/>
      <c r="B63" s="238">
        <v>1225</v>
      </c>
      <c r="C63" s="264" t="s">
        <v>141</v>
      </c>
      <c r="D63" s="301">
        <v>37</v>
      </c>
      <c r="E63" s="301">
        <v>24</v>
      </c>
      <c r="F63" s="301">
        <v>24</v>
      </c>
      <c r="G63" s="207" t="s">
        <v>117</v>
      </c>
    </row>
    <row r="64" hidden="1" ht="45" customHeight="1">
      <c r="A64" s="226"/>
      <c r="B64" s="238">
        <v>1226</v>
      </c>
      <c r="C64" s="264" t="s">
        <v>142</v>
      </c>
      <c r="D64" s="301">
        <v>5</v>
      </c>
      <c r="E64" s="301">
        <v>5</v>
      </c>
      <c r="F64" s="301">
        <v>3</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37</v>
      </c>
      <c r="E67" s="301">
        <v>24</v>
      </c>
      <c r="F67" s="301">
        <v>24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5</v>
      </c>
      <c r="E69" s="301">
        <v>5</v>
      </c>
      <c r="F69" s="301">
        <v>3</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36</v>
      </c>
      <c r="E71" s="301">
        <v>23</v>
      </c>
      <c r="F71" s="301">
        <v>24</v>
      </c>
      <c r="G71" s="207" t="s">
        <v>117</v>
      </c>
    </row>
    <row r="72" hidden="1" ht="45" customHeight="1">
      <c r="A72" s="226"/>
      <c r="B72" s="238">
        <v>1236</v>
      </c>
      <c r="C72" s="242" t="s">
        <v>150</v>
      </c>
      <c r="D72" s="301">
        <v>1</v>
      </c>
      <c r="E72" s="301">
        <v>1</v>
      </c>
      <c r="F72" s="301">
        <v>0</v>
      </c>
      <c r="G72" s="207" t="s">
        <v>117</v>
      </c>
    </row>
    <row r="73" hidden="1" ht="45" customHeight="1">
      <c r="A73" s="226"/>
      <c r="B73" s="238">
        <v>1241</v>
      </c>
      <c r="C73" s="242" t="s">
        <v>151</v>
      </c>
      <c r="D73" s="301">
        <v>43</v>
      </c>
      <c r="E73" s="301">
        <v>29</v>
      </c>
      <c r="F73" s="301">
        <v>24</v>
      </c>
      <c r="G73" s="207" t="s">
        <v>117</v>
      </c>
    </row>
    <row r="74" hidden="1" ht="45" customHeight="1">
      <c r="A74" s="226"/>
      <c r="B74" s="238">
        <v>1242</v>
      </c>
      <c r="C74" s="242" t="s">
        <v>152</v>
      </c>
      <c r="D74" s="301">
        <v>5</v>
      </c>
      <c r="E74" s="301">
        <v>5</v>
      </c>
      <c r="F74" s="301">
        <v>3</v>
      </c>
      <c r="G74" s="207" t="s">
        <v>117</v>
      </c>
    </row>
    <row r="75" hidden="1" ht="45" customHeight="1">
      <c r="A75" s="226"/>
      <c r="B75" s="238">
        <v>1243</v>
      </c>
      <c r="C75" s="243" t="s">
        <v>153</v>
      </c>
      <c r="D75" s="301">
        <v>37</v>
      </c>
      <c r="E75" s="301">
        <v>24</v>
      </c>
      <c r="F75" s="301">
        <v>24</v>
      </c>
      <c r="G75" s="207" t="s">
        <v>117</v>
      </c>
    </row>
    <row r="76" hidden="1" ht="45" customHeight="1">
      <c r="A76" s="226"/>
      <c r="B76" s="238">
        <v>1244</v>
      </c>
      <c r="C76" s="243" t="s">
        <v>154</v>
      </c>
      <c r="D76" s="301">
        <v>5</v>
      </c>
      <c r="E76" s="301">
        <v>5</v>
      </c>
      <c r="F76" s="301">
        <v>3</v>
      </c>
      <c r="G76" s="207" t="s">
        <v>117</v>
      </c>
    </row>
    <row r="77" hidden="1" ht="45" customHeight="1">
      <c r="A77" s="226"/>
      <c r="B77" s="238">
        <v>1245</v>
      </c>
      <c r="C77" s="243" t="s">
        <v>155</v>
      </c>
      <c r="D77" s="301">
        <v>37</v>
      </c>
      <c r="E77" s="301">
        <v>23</v>
      </c>
      <c r="F77" s="301">
        <v>24</v>
      </c>
      <c r="G77" s="207" t="s">
        <v>117</v>
      </c>
    </row>
    <row r="78" hidden="1" ht="45" customHeight="1">
      <c r="A78" s="226"/>
      <c r="B78" s="238">
        <v>1246</v>
      </c>
      <c r="C78" s="243" t="s">
        <v>156</v>
      </c>
      <c r="D78" s="301">
        <v>5</v>
      </c>
      <c r="E78" s="301">
        <v>5</v>
      </c>
      <c r="F78" s="301">
        <v>3</v>
      </c>
      <c r="G78" s="207" t="s">
        <v>117</v>
      </c>
    </row>
    <row r="79" hidden="1" ht="45" customHeight="1">
      <c r="A79" s="226"/>
      <c r="B79" s="238">
        <v>1247</v>
      </c>
      <c r="C79" s="242" t="s">
        <v>157</v>
      </c>
      <c r="D79" s="301">
        <v>37</v>
      </c>
      <c r="E79" s="301">
        <v>24</v>
      </c>
      <c r="F79" s="301">
        <v>22</v>
      </c>
      <c r="G79" s="207" t="s">
        <v>117</v>
      </c>
    </row>
    <row r="80" hidden="1" ht="45" customHeight="1">
      <c r="A80" s="226"/>
      <c r="B80" s="238">
        <v>1248</v>
      </c>
      <c r="C80" s="242" t="s">
        <v>158</v>
      </c>
      <c r="D80" s="301">
        <v>5</v>
      </c>
      <c r="E80" s="301">
        <v>5</v>
      </c>
      <c r="F80" s="301">
        <v>2</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42</v>
      </c>
      <c r="E82" s="301">
        <v>29</v>
      </c>
      <c r="F82" s="301">
        <v>27</v>
      </c>
      <c r="G82" s="207" t="s">
        <v>117</v>
      </c>
    </row>
    <row r="83" hidden="1" ht="45" customHeight="1">
      <c r="A83" s="226"/>
      <c r="B83" s="238">
        <v>1253</v>
      </c>
      <c r="C83" s="242" t="s">
        <v>161</v>
      </c>
      <c r="D83" s="301">
        <v>42</v>
      </c>
      <c r="E83" s="301">
        <v>29</v>
      </c>
      <c r="F83" s="301">
        <v>24</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0</v>
      </c>
      <c r="G85" s="207" t="s">
        <v>117</v>
      </c>
    </row>
    <row r="86" hidden="1" ht="45" customHeight="1">
      <c r="A86" s="226"/>
      <c r="B86" s="238">
        <v>1256</v>
      </c>
      <c r="C86" s="242" t="s">
        <v>164</v>
      </c>
      <c r="D86" s="301">
        <v>1</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5</v>
      </c>
      <c r="E88" s="301">
        <v>5</v>
      </c>
      <c r="F88" s="301">
        <v>3</v>
      </c>
      <c r="G88" s="207" t="s">
        <v>117</v>
      </c>
    </row>
    <row r="89" hidden="1" ht="45" customHeight="1">
      <c r="A89" s="226"/>
      <c r="B89" s="238">
        <v>1259</v>
      </c>
      <c r="C89" s="242" t="s">
        <v>167</v>
      </c>
      <c r="D89" s="301">
        <v>5</v>
      </c>
      <c r="E89" s="301">
        <v>5</v>
      </c>
      <c r="F89" s="301">
        <v>2</v>
      </c>
      <c r="G89" s="207" t="s">
        <v>117</v>
      </c>
    </row>
    <row r="90" hidden="1" ht="45" customHeight="1">
      <c r="A90" s="226"/>
      <c r="C90" s="252"/>
      <c r="D90" s="253"/>
      <c r="E90" s="254"/>
      <c r="F90" s="254"/>
      <c r="G90" s="266"/>
    </row>
    <row r="91" ht="45" customHeight="1">
      <c r="A91" s="226"/>
      <c r="B91" s="220" t="s">
        <v>168</v>
      </c>
      <c r="C91" s="260" t="s">
        <v>169</v>
      </c>
      <c r="D91" s="228"/>
      <c r="E91" s="231"/>
      <c r="F91" s="300">
        <v>10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6</v>
      </c>
      <c r="E93" s="301">
        <v>6</v>
      </c>
      <c r="F93" s="301">
        <v>3</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6</v>
      </c>
      <c r="E97" s="301">
        <v>6</v>
      </c>
      <c r="F97" s="301">
        <v>3</v>
      </c>
      <c r="G97" s="266" t="s">
        <v>168</v>
      </c>
    </row>
    <row r="98" ht="45" customHeight="1" s="270" customFormat="1">
      <c r="A98" s="226"/>
      <c r="B98" s="238">
        <v>1322</v>
      </c>
      <c r="C98" s="242" t="s">
        <v>177</v>
      </c>
      <c r="D98" s="301">
        <v>6</v>
      </c>
      <c r="E98" s="301">
        <v>6</v>
      </c>
      <c r="F98" s="301">
        <v>3</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5</v>
      </c>
      <c r="E102" s="301">
        <v>5</v>
      </c>
      <c r="F102" s="301">
        <v>3</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1</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1</v>
      </c>
      <c r="E108" s="301">
        <v>1</v>
      </c>
      <c r="F108" s="301">
        <v>0</v>
      </c>
      <c r="G108" s="266" t="s">
        <v>168</v>
      </c>
    </row>
    <row r="109" ht="45" customHeight="1" s="270" customFormat="1">
      <c r="A109" s="226"/>
      <c r="B109" s="238">
        <v>1344</v>
      </c>
      <c r="C109" s="242" t="s">
        <v>188</v>
      </c>
      <c r="D109" s="301">
        <v>1</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1</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115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34</v>
      </c>
      <c r="E145" s="301">
        <v>30</v>
      </c>
      <c r="F145" s="301">
        <v>22</v>
      </c>
      <c r="G145" s="207" t="s">
        <v>219</v>
      </c>
    </row>
    <row r="146" hidden="1" ht="45" customHeight="1">
      <c r="A146" s="226">
        <v>1541</v>
      </c>
      <c r="B146" s="238">
        <v>1515</v>
      </c>
      <c r="C146" s="264" t="s">
        <v>226</v>
      </c>
      <c r="D146" s="301">
        <v>34</v>
      </c>
      <c r="E146" s="301">
        <v>30</v>
      </c>
      <c r="F146" s="301">
        <v>22</v>
      </c>
      <c r="G146" s="207" t="s">
        <v>219</v>
      </c>
    </row>
    <row r="147" hidden="1" ht="45" customHeight="1">
      <c r="A147" s="226"/>
      <c r="B147" s="238">
        <v>1521</v>
      </c>
      <c r="C147" s="264" t="s">
        <v>227</v>
      </c>
      <c r="D147" s="301">
        <v>34</v>
      </c>
      <c r="E147" s="301">
        <v>30</v>
      </c>
      <c r="F147" s="301">
        <v>22</v>
      </c>
      <c r="G147" s="207" t="s">
        <v>219</v>
      </c>
    </row>
    <row r="148" hidden="1" ht="45" customHeight="1">
      <c r="A148" s="226"/>
      <c r="B148" s="238">
        <v>1522</v>
      </c>
      <c r="C148" s="264" t="s">
        <v>228</v>
      </c>
      <c r="D148" s="301">
        <v>19</v>
      </c>
      <c r="E148" s="301">
        <v>34</v>
      </c>
      <c r="F148" s="301">
        <v>15</v>
      </c>
      <c r="G148" s="207" t="s">
        <v>219</v>
      </c>
    </row>
    <row r="149" hidden="1" ht="45" customHeight="1">
      <c r="A149" s="226"/>
      <c r="B149" s="238">
        <v>1523</v>
      </c>
      <c r="C149" s="264" t="s">
        <v>229</v>
      </c>
      <c r="D149" s="301">
        <v>34</v>
      </c>
      <c r="E149" s="301">
        <v>30</v>
      </c>
      <c r="F149" s="301">
        <v>22</v>
      </c>
      <c r="G149" s="207" t="s">
        <v>219</v>
      </c>
    </row>
    <row r="150" hidden="1" ht="45" customHeight="1">
      <c r="A150" s="226"/>
      <c r="B150" s="238">
        <v>1524</v>
      </c>
      <c r="C150" s="264" t="s">
        <v>230</v>
      </c>
      <c r="D150" s="301">
        <v>34</v>
      </c>
      <c r="E150" s="301">
        <v>30</v>
      </c>
      <c r="F150" s="301">
        <v>22</v>
      </c>
      <c r="G150" s="207" t="s">
        <v>219</v>
      </c>
    </row>
    <row r="151" hidden="1" ht="45" customHeight="1">
      <c r="A151" s="226"/>
      <c r="B151" s="238">
        <v>1531</v>
      </c>
      <c r="C151" s="242" t="s">
        <v>231</v>
      </c>
      <c r="D151" s="301">
        <v>4</v>
      </c>
      <c r="E151" s="301">
        <v>14</v>
      </c>
      <c r="F151" s="301">
        <v>8</v>
      </c>
      <c r="G151" s="207" t="s">
        <v>219</v>
      </c>
    </row>
    <row r="152" hidden="1" ht="45" customHeight="1">
      <c r="A152" s="226"/>
      <c r="B152" s="238">
        <v>1532</v>
      </c>
      <c r="C152" s="242" t="s">
        <v>232</v>
      </c>
      <c r="D152" s="301">
        <v>15</v>
      </c>
      <c r="E152" s="301">
        <v>20</v>
      </c>
      <c r="F152" s="301">
        <v>7</v>
      </c>
      <c r="G152" s="207" t="s">
        <v>219</v>
      </c>
    </row>
    <row r="153" hidden="1" ht="45" customHeight="1">
      <c r="A153" s="226"/>
      <c r="B153" s="238">
        <v>1533</v>
      </c>
      <c r="C153" s="242" t="s">
        <v>233</v>
      </c>
      <c r="D153" s="301">
        <v>34</v>
      </c>
      <c r="E153" s="301">
        <v>30</v>
      </c>
      <c r="F153" s="301">
        <v>21</v>
      </c>
      <c r="G153" s="207" t="s">
        <v>219</v>
      </c>
    </row>
    <row r="154" hidden="1" ht="45" customHeight="1">
      <c r="A154" s="226"/>
      <c r="B154" s="238">
        <v>1534</v>
      </c>
      <c r="C154" s="242" t="s">
        <v>234</v>
      </c>
      <c r="D154" s="301">
        <v>0</v>
      </c>
      <c r="E154" s="301">
        <v>1</v>
      </c>
      <c r="F154" s="301">
        <v>0</v>
      </c>
      <c r="G154" s="207" t="s">
        <v>219</v>
      </c>
    </row>
    <row r="155" hidden="1" ht="45" customHeight="1">
      <c r="A155" s="226"/>
      <c r="B155" s="238">
        <v>1541</v>
      </c>
      <c r="C155" s="242" t="s">
        <v>235</v>
      </c>
      <c r="D155" s="301">
        <v>34</v>
      </c>
      <c r="E155" s="301">
        <v>30</v>
      </c>
      <c r="F155" s="301">
        <v>22</v>
      </c>
      <c r="G155" s="207" t="s">
        <v>219</v>
      </c>
    </row>
    <row r="156" hidden="1" ht="45" customHeight="1">
      <c r="A156" s="226"/>
      <c r="B156" s="238">
        <v>1542</v>
      </c>
      <c r="C156" s="264" t="s">
        <v>236</v>
      </c>
      <c r="D156" s="301">
        <v>19</v>
      </c>
      <c r="E156" s="301">
        <v>34</v>
      </c>
      <c r="F156" s="301">
        <v>15</v>
      </c>
      <c r="G156" s="207" t="s">
        <v>219</v>
      </c>
    </row>
    <row r="157" hidden="1" ht="45" customHeight="1">
      <c r="A157" s="226"/>
      <c r="B157" s="238">
        <v>1543</v>
      </c>
      <c r="C157" s="264" t="s">
        <v>237</v>
      </c>
      <c r="D157" s="301">
        <v>34</v>
      </c>
      <c r="E157" s="301">
        <v>30</v>
      </c>
      <c r="F157" s="301">
        <v>22</v>
      </c>
      <c r="G157" s="207" t="s">
        <v>219</v>
      </c>
    </row>
    <row r="158" hidden="1" ht="45" customHeight="1">
      <c r="A158" s="226"/>
      <c r="B158" s="238">
        <v>1544</v>
      </c>
      <c r="C158" s="242" t="s">
        <v>238</v>
      </c>
      <c r="D158" s="301">
        <v>19</v>
      </c>
      <c r="E158" s="301">
        <v>34</v>
      </c>
      <c r="F158" s="301">
        <v>15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34</v>
      </c>
      <c r="E160" s="301">
        <v>30</v>
      </c>
      <c r="F160" s="301">
        <v>22</v>
      </c>
      <c r="G160" s="207" t="s">
        <v>219</v>
      </c>
    </row>
    <row r="161" hidden="1" ht="45" customHeight="1">
      <c r="A161" s="226"/>
      <c r="B161" s="238">
        <v>1553</v>
      </c>
      <c r="C161" s="242" t="s">
        <v>241</v>
      </c>
      <c r="D161" s="301">
        <v>19</v>
      </c>
      <c r="E161" s="301">
        <v>34</v>
      </c>
      <c r="F161" s="301">
        <v>15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19</v>
      </c>
      <c r="E163" s="301">
        <v>34</v>
      </c>
      <c r="F163" s="301">
        <v>15</v>
      </c>
      <c r="G163" s="207" t="s">
        <v>219</v>
      </c>
    </row>
    <row r="164" hidden="1" ht="45" customHeight="1">
      <c r="A164" s="226"/>
      <c r="B164" s="238">
        <v>1556</v>
      </c>
      <c r="C164" s="242" t="s">
        <v>241</v>
      </c>
      <c r="D164" s="301">
        <v>19</v>
      </c>
      <c r="E164" s="301">
        <v>34</v>
      </c>
      <c r="F164" s="301">
        <v>15</v>
      </c>
      <c r="G164" s="207" t="s">
        <v>219</v>
      </c>
    </row>
    <row r="165" hidden="1" ht="45" customHeight="1">
      <c r="A165" s="226"/>
      <c r="C165" s="278"/>
      <c r="D165" s="279"/>
      <c r="G165" s="207"/>
    </row>
    <row r="166" hidden="1" ht="45" customHeight="1">
      <c r="A166" s="226"/>
      <c r="B166" s="281" t="s">
        <v>244</v>
      </c>
      <c r="C166" s="260" t="s">
        <v>245</v>
      </c>
      <c r="D166" s="228"/>
      <c r="E166" s="231"/>
      <c r="F166" s="300">
        <v>2027</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53</v>
      </c>
      <c r="E173" s="301">
        <v>62</v>
      </c>
      <c r="F173" s="301">
        <v>63</v>
      </c>
      <c r="G173" s="207" t="s">
        <v>244</v>
      </c>
    </row>
    <row r="174" hidden="1" ht="45" customHeight="1">
      <c r="A174" s="226"/>
      <c r="B174" s="238">
        <v>1616</v>
      </c>
      <c r="C174" s="242" t="s">
        <v>253</v>
      </c>
      <c r="D174" s="301">
        <v>1881</v>
      </c>
      <c r="E174" s="301">
        <v>1911</v>
      </c>
      <c r="F174" s="301">
        <v>1933</v>
      </c>
      <c r="G174" s="207" t="s">
        <v>244</v>
      </c>
    </row>
    <row r="175" hidden="1" ht="45" customHeight="1">
      <c r="A175" s="226"/>
      <c r="B175" s="238">
        <v>1621</v>
      </c>
      <c r="C175" s="242" t="s">
        <v>254</v>
      </c>
      <c r="D175" s="301">
        <v>732</v>
      </c>
      <c r="E175" s="301">
        <v>861</v>
      </c>
      <c r="F175" s="301">
        <v>872</v>
      </c>
      <c r="G175" s="207" t="s">
        <v>244</v>
      </c>
    </row>
    <row r="176" hidden="1" ht="45" customHeight="1">
      <c r="A176" s="226"/>
      <c r="B176" s="238">
        <v>1622</v>
      </c>
      <c r="C176" s="242" t="s">
        <v>255</v>
      </c>
      <c r="D176" s="301">
        <v>647</v>
      </c>
      <c r="E176" s="301">
        <v>757</v>
      </c>
      <c r="F176" s="301">
        <v>844</v>
      </c>
      <c r="G176" s="207" t="s">
        <v>244</v>
      </c>
    </row>
    <row r="177" hidden="1" ht="45" customHeight="1">
      <c r="A177" s="226"/>
      <c r="B177" s="238">
        <v>1623</v>
      </c>
      <c r="C177" s="242" t="s">
        <v>256</v>
      </c>
      <c r="D177" s="301">
        <v>647</v>
      </c>
      <c r="E177" s="301">
        <v>757</v>
      </c>
      <c r="F177" s="301">
        <v>844</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732</v>
      </c>
      <c r="E179" s="301">
        <v>861</v>
      </c>
      <c r="F179" s="301">
        <v>872</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584</v>
      </c>
      <c r="E181" s="301">
        <v>595</v>
      </c>
      <c r="F181" s="301">
        <v>606</v>
      </c>
      <c r="G181" s="207" t="s">
        <v>244</v>
      </c>
    </row>
    <row r="182" hidden="1" ht="45" customHeight="1">
      <c r="A182" s="226"/>
      <c r="B182" s="238">
        <v>1632</v>
      </c>
      <c r="C182" s="242" t="s">
        <v>261</v>
      </c>
      <c r="D182" s="301">
        <v>1297</v>
      </c>
      <c r="E182" s="301">
        <v>1316</v>
      </c>
      <c r="F182" s="301">
        <v>1327</v>
      </c>
      <c r="G182" s="207" t="s">
        <v>244</v>
      </c>
    </row>
    <row r="183" hidden="1" ht="45" customHeight="1">
      <c r="A183" s="226"/>
      <c r="B183" s="238">
        <v>1633</v>
      </c>
      <c r="C183" s="242" t="s">
        <v>262</v>
      </c>
      <c r="D183" s="301">
        <v>1834</v>
      </c>
      <c r="E183" s="301">
        <v>1864</v>
      </c>
      <c r="F183" s="301">
        <v>1885</v>
      </c>
      <c r="G183" s="207" t="s">
        <v>244</v>
      </c>
    </row>
    <row r="184" hidden="1" ht="45" customHeight="1">
      <c r="A184" s="226"/>
      <c r="B184" s="238">
        <v>1634</v>
      </c>
      <c r="C184" s="242" t="s">
        <v>263</v>
      </c>
      <c r="D184" s="301">
        <v>47</v>
      </c>
      <c r="E184" s="301">
        <v>47</v>
      </c>
      <c r="F184" s="301">
        <v>48</v>
      </c>
      <c r="G184" s="207" t="s">
        <v>244</v>
      </c>
    </row>
    <row r="185" hidden="1" ht="45" customHeight="1">
      <c r="A185" s="226"/>
      <c r="B185" s="238">
        <v>1635</v>
      </c>
      <c r="C185" s="242" t="s">
        <v>264</v>
      </c>
      <c r="D185" s="301">
        <v>647</v>
      </c>
      <c r="E185" s="301">
        <v>757</v>
      </c>
      <c r="F185" s="301">
        <v>844</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647</v>
      </c>
      <c r="E187" s="301">
        <v>757</v>
      </c>
      <c r="F187" s="301">
        <v>844</v>
      </c>
      <c r="G187" s="207" t="s">
        <v>244</v>
      </c>
    </row>
    <row r="188" hidden="1" ht="45" customHeight="1">
      <c r="A188" s="226"/>
      <c r="B188" s="238">
        <v>1643</v>
      </c>
      <c r="C188" s="242" t="s">
        <v>266</v>
      </c>
      <c r="D188" s="301">
        <v>1881</v>
      </c>
      <c r="E188" s="301">
        <v>1911</v>
      </c>
      <c r="F188" s="301">
        <v>1933</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1881</v>
      </c>
      <c r="E192" s="301">
        <v>1911</v>
      </c>
      <c r="F192" s="301">
        <v>1933</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1</v>
      </c>
      <c r="F195" s="301">
        <v>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5</v>
      </c>
      <c r="E198" s="301">
        <v>5</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1830</v>
      </c>
      <c r="AZ387" s="0" t="s">
        <v>1831</v>
      </c>
      <c r="BA387" s="0" t="s">
        <v>285</v>
      </c>
      <c r="BB387" s="0" t="str">
        <f ref="BB387:BB450" t="shared" si="6">SUBSTITUTE(SUBSTITUTE(BA387&amp;AX387," ",""),"-","")</f>
        <v>CCCRNimNwangele</v>
      </c>
    </row>
    <row r="388">
      <c r="AV388" s="0" t="s">
        <v>471</v>
      </c>
      <c r="AW388" s="0" t="s">
        <v>286</v>
      </c>
      <c r="AX388" s="0" t="s">
        <v>873</v>
      </c>
      <c r="AY388" s="0" t="s">
        <v>1832</v>
      </c>
      <c r="AZ388" s="0" t="s">
        <v>1833</v>
      </c>
      <c r="BA388" s="0" t="s">
        <v>285</v>
      </c>
      <c r="BB388" s="0" t="str">
        <f t="shared" si="6"/>
        <v>CCCRNimOguta</v>
      </c>
    </row>
    <row r="389">
      <c r="AV389" s="0" t="s">
        <v>471</v>
      </c>
      <c r="AW389" s="0" t="s">
        <v>286</v>
      </c>
      <c r="AX389" s="0" t="s">
        <v>873</v>
      </c>
      <c r="AY389" s="0" t="s">
        <v>1834</v>
      </c>
      <c r="AZ389" s="0" t="s">
        <v>1835</v>
      </c>
      <c r="BA389" s="0" t="s">
        <v>285</v>
      </c>
      <c r="BB389" s="0" t="str">
        <f t="shared" si="6"/>
        <v>CCCRNimOguta</v>
      </c>
    </row>
    <row r="390">
      <c r="AV390" s="0" t="s">
        <v>471</v>
      </c>
      <c r="AW390" s="0" t="s">
        <v>286</v>
      </c>
      <c r="AX390" s="0" t="s">
        <v>873</v>
      </c>
      <c r="AY390" s="0" t="s">
        <v>1836</v>
      </c>
      <c r="AZ390" s="0" t="s">
        <v>1837</v>
      </c>
      <c r="BA390" s="0" t="s">
        <v>285</v>
      </c>
      <c r="BB390" s="0" t="str">
        <f t="shared" si="6"/>
        <v>CCCRNimOguta</v>
      </c>
    </row>
    <row r="391">
      <c r="AV391" s="0" t="s">
        <v>471</v>
      </c>
      <c r="AW391" s="0" t="s">
        <v>286</v>
      </c>
      <c r="AX391" s="0" t="s">
        <v>873</v>
      </c>
      <c r="AY391" s="0" t="s">
        <v>1838</v>
      </c>
      <c r="AZ391" s="0" t="s">
        <v>1839</v>
      </c>
      <c r="BA391" s="0" t="s">
        <v>285</v>
      </c>
      <c r="BB391" s="0" t="str">
        <f t="shared" si="6"/>
        <v>CCCRNimOguta</v>
      </c>
    </row>
    <row r="392">
      <c r="AV392" s="0" t="s">
        <v>471</v>
      </c>
      <c r="AW392" s="0" t="s">
        <v>286</v>
      </c>
      <c r="AX392" s="0" t="s">
        <v>873</v>
      </c>
      <c r="AY392" s="0" t="s">
        <v>1840</v>
      </c>
      <c r="AZ392" s="0" t="s">
        <v>1841</v>
      </c>
      <c r="BA392" s="0" t="s">
        <v>285</v>
      </c>
      <c r="BB392" s="0" t="str">
        <f t="shared" si="6"/>
        <v>CCCRNimOguta</v>
      </c>
    </row>
    <row r="393">
      <c r="AV393" s="0" t="s">
        <v>471</v>
      </c>
      <c r="AW393" s="0" t="s">
        <v>286</v>
      </c>
      <c r="AX393" s="0" t="s">
        <v>1226</v>
      </c>
      <c r="AY393" s="304" t="s">
        <v>1842</v>
      </c>
      <c r="AZ393" s="0" t="s">
        <v>1843</v>
      </c>
      <c r="BA393" s="0" t="s">
        <v>285</v>
      </c>
      <c r="BB393" s="0" t="str">
        <f t="shared" si="6"/>
        <v>CCCRNimOhajiEgbema</v>
      </c>
    </row>
    <row r="394">
      <c r="AV394" s="0" t="s">
        <v>471</v>
      </c>
      <c r="AW394" s="0" t="s">
        <v>286</v>
      </c>
      <c r="AX394" s="0" t="s">
        <v>1226</v>
      </c>
      <c r="AY394" s="304" t="s">
        <v>1844</v>
      </c>
      <c r="AZ394" s="0" t="s">
        <v>1845</v>
      </c>
      <c r="BA394" s="0" t="s">
        <v>285</v>
      </c>
      <c r="BB394" s="0" t="str">
        <f t="shared" si="6"/>
        <v>CCCRNimOhajiEgbema</v>
      </c>
    </row>
    <row r="395">
      <c r="AV395" s="0" t="s">
        <v>471</v>
      </c>
      <c r="AW395" s="0" t="s">
        <v>286</v>
      </c>
      <c r="AX395" s="0" t="s">
        <v>1226</v>
      </c>
      <c r="AY395" s="304" t="s">
        <v>1846</v>
      </c>
      <c r="AZ395" s="0" t="s">
        <v>1847</v>
      </c>
      <c r="BA395" s="0" t="s">
        <v>285</v>
      </c>
      <c r="BB395" s="0" t="str">
        <f t="shared" si="6"/>
        <v>CCCRNimOhajiEgbema</v>
      </c>
    </row>
    <row r="396">
      <c r="AV396" s="0" t="s">
        <v>471</v>
      </c>
      <c r="AW396" s="0" t="s">
        <v>286</v>
      </c>
      <c r="AX396" s="0" t="s">
        <v>1226</v>
      </c>
      <c r="AY396" s="304" t="s">
        <v>1848</v>
      </c>
      <c r="AZ396" s="0" t="s">
        <v>1849</v>
      </c>
      <c r="BA396" s="0" t="s">
        <v>285</v>
      </c>
      <c r="BB396" s="0" t="str">
        <f t="shared" si="6"/>
        <v>CCCRNimOhajiEgbema</v>
      </c>
    </row>
    <row r="397">
      <c r="AV397" s="0" t="s">
        <v>471</v>
      </c>
      <c r="AW397" s="0" t="s">
        <v>286</v>
      </c>
      <c r="AX397" s="0" t="s">
        <v>1226</v>
      </c>
      <c r="AY397" s="304" t="s">
        <v>1850</v>
      </c>
      <c r="AZ397" s="0" t="s">
        <v>1851</v>
      </c>
      <c r="BA397" s="0" t="s">
        <v>285</v>
      </c>
      <c r="BB397" s="0" t="str">
        <f t="shared" si="6"/>
        <v>CCCRNimOhajiEgbema</v>
      </c>
    </row>
    <row r="398">
      <c r="AV398" s="0" t="s">
        <v>471</v>
      </c>
      <c r="AW398" s="0" t="s">
        <v>286</v>
      </c>
      <c r="AX398" s="0" t="s">
        <v>923</v>
      </c>
      <c r="AY398" s="0" t="s">
        <v>1852</v>
      </c>
      <c r="AZ398" s="0" t="s">
        <v>1853</v>
      </c>
      <c r="BA398" s="0" t="s">
        <v>285</v>
      </c>
      <c r="BB398" s="0" t="str">
        <f t="shared" si="6"/>
        <v>CCCRNimOrlu</v>
      </c>
    </row>
    <row r="399">
      <c r="AV399" s="0" t="s">
        <v>471</v>
      </c>
      <c r="AW399" s="0" t="s">
        <v>286</v>
      </c>
      <c r="AX399" s="0" t="s">
        <v>923</v>
      </c>
      <c r="AY399" s="0" t="s">
        <v>289</v>
      </c>
      <c r="AZ399" s="0" t="s">
        <v>293</v>
      </c>
      <c r="BA399" s="0" t="s">
        <v>285</v>
      </c>
      <c r="BB399" s="0" t="str">
        <f t="shared" si="6"/>
        <v>CCCRNimOrlu</v>
      </c>
    </row>
    <row r="400">
      <c r="AV400" s="0" t="s">
        <v>471</v>
      </c>
      <c r="AW400" s="0" t="s">
        <v>286</v>
      </c>
      <c r="AX400" s="0" t="s">
        <v>923</v>
      </c>
      <c r="AY400" s="0" t="s">
        <v>1854</v>
      </c>
      <c r="AZ400" s="0" t="s">
        <v>1855</v>
      </c>
      <c r="BA400" s="0" t="s">
        <v>285</v>
      </c>
      <c r="BB400" s="0" t="str">
        <f t="shared" si="6"/>
        <v>CCCRNimOrlu</v>
      </c>
    </row>
    <row r="401">
      <c r="AV401" s="0" t="s">
        <v>471</v>
      </c>
      <c r="AW401" s="0" t="s">
        <v>286</v>
      </c>
      <c r="AX401" s="0" t="s">
        <v>923</v>
      </c>
      <c r="AY401" s="0" t="s">
        <v>1856</v>
      </c>
      <c r="AZ401" s="0" t="s">
        <v>1857</v>
      </c>
      <c r="BA401" s="0" t="s">
        <v>285</v>
      </c>
      <c r="BB401" s="0" t="str">
        <f t="shared" si="6"/>
        <v>CCCRNimOrlu</v>
      </c>
    </row>
    <row r="402">
      <c r="AV402" s="0" t="s">
        <v>471</v>
      </c>
      <c r="AW402" s="0" t="s">
        <v>286</v>
      </c>
      <c r="AX402" s="0" t="s">
        <v>923</v>
      </c>
      <c r="AY402" s="0" t="s">
        <v>1858</v>
      </c>
      <c r="AZ402" s="0" t="s">
        <v>1859</v>
      </c>
      <c r="BA402" s="0" t="s">
        <v>285</v>
      </c>
      <c r="BB402" s="0" t="str">
        <f t="shared" si="6"/>
        <v>CCCRNimOrlu</v>
      </c>
    </row>
    <row r="403">
      <c r="AV403" s="0" t="s">
        <v>471</v>
      </c>
      <c r="AW403" s="0" t="s">
        <v>286</v>
      </c>
      <c r="AX403" s="0" t="s">
        <v>947</v>
      </c>
      <c r="AY403" s="0" t="s">
        <v>1860</v>
      </c>
      <c r="AZ403" s="0" t="s">
        <v>1861</v>
      </c>
      <c r="BA403" s="0" t="s">
        <v>285</v>
      </c>
      <c r="BB403" s="0" t="str">
        <f t="shared" si="6"/>
        <v>CCCRNimOrsu</v>
      </c>
    </row>
    <row r="404">
      <c r="AV404" s="0" t="s">
        <v>471</v>
      </c>
      <c r="AW404" s="0" t="s">
        <v>286</v>
      </c>
      <c r="AX404" s="0" t="s">
        <v>969</v>
      </c>
      <c r="AY404" s="0" t="s">
        <v>1862</v>
      </c>
      <c r="AZ404" s="0" t="s">
        <v>1863</v>
      </c>
      <c r="BA404" s="0" t="s">
        <v>285</v>
      </c>
      <c r="BB404" s="0" t="str">
        <f t="shared" si="6"/>
        <v>CCCRNimOruEast</v>
      </c>
    </row>
    <row r="405">
      <c r="AV405" s="0" t="s">
        <v>471</v>
      </c>
      <c r="AW405" s="0" t="s">
        <v>286</v>
      </c>
      <c r="AX405" s="0" t="s">
        <v>969</v>
      </c>
      <c r="AY405" s="0" t="s">
        <v>1864</v>
      </c>
      <c r="AZ405" s="0" t="s">
        <v>1865</v>
      </c>
      <c r="BA405" s="0" t="s">
        <v>285</v>
      </c>
      <c r="BB405" s="0" t="str">
        <f t="shared" si="6"/>
        <v>CCCRNimOruEast</v>
      </c>
    </row>
    <row r="406">
      <c r="AV406" s="0" t="s">
        <v>471</v>
      </c>
      <c r="AW406" s="0" t="s">
        <v>286</v>
      </c>
      <c r="AX406" s="0" t="s">
        <v>969</v>
      </c>
      <c r="AY406" s="0" t="s">
        <v>1866</v>
      </c>
      <c r="AZ406" s="0" t="s">
        <v>1867</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