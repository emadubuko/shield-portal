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<sst xmlns="http://schemas.openxmlformats.org/spreadsheetml/2006/main" count="4056" uniqueCount="4056">
  <si>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</si>
  <si>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</si>
  <si>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</si>
  <si>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</si>
  <si>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</si>
  <si>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</si>
  <si>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</si>
  <si>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</si>
  <si>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</si>
  <si>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</si>
  <si>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</si>
  <si>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</si>
  <si>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</si>
  <si>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</si>
  <si>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</si>
  <si>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</si>
  <si>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</si>
  <si>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</si>
  <si>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</si>
  <si>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</si>
  <si>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</si>
  <si>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</si>
  <si>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</si>
  <si>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</si>
  <si>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</si>
  <si>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</si>
  <si>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</si>
  <si>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</si>
  <si>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</si>
  <si>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</si>
  <si>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</si>
  <si>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</si>
  <si>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</si>
  <si>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</si>
  <si>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</si>
  <si>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</si>
  <si>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</si>
  <si>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</si>
  <si>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</si>
  <si>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</si>
  <si>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</si>
  <si>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</si>
  <si>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</si>
  <si>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</si>
  <si>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</si>
  <si>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</si>
  <si>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</si>
  <si>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</si>
  <si>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</si>
  <si>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</si>
  <si>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</si>
  <si>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</si>
  <si>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</si>
  <si>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</si>
  <si>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</si>
  <si>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</si>
  <si>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</si>
  <si>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</si>
  <si>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</si>
  <si>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</si>
  <si>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</si>
  <si>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</si>
  <si>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</si>
  <si>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</si>
  <si>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</si>
  <si>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</si>
  <si>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</si>
  <si>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</si>
  <si>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</si>
  <si>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</si>
  <si>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</si>
  <si>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</si>
  <si>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</si>
  <si>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</si>
  <si>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</si>
  <si>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</si>
  <si>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</si>
  <si>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</si>
  <si>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</si>
  <si>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</si>
  <si>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</si>
  <si>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</si>
  <si>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</si>
  <si>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</si>
  <si>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</si>
  <si>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</si>
  <si>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</si>
  <si>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</si>
  <si>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</si>
  <si>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</si>
  <si>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</si>
  <si>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</si>
  <si>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</si>
  <si>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</si>
  <si>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</si>
  <si>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</si>
  <si>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</si>
  <si>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</si>
  <si>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</si>
  <si>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</si>
  <si>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</si>
  <si>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</si>
  <si>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</si>
  <si>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</si>
  <si>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</si>
  <si>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</si>
  <si>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</si>
  <si>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</si>
  <si>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</si>
  <si>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</si>
  <si>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</si>
  <si>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</si>
  <si>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</si>
  <si>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</si>
  <si>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</si>
  <si>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</si>
  <si>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</si>
  <si>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</si>
  <si>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</si>
  <si>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</si>
  <si>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</si>
  <si>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</si>
  <si>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</si>
  <si>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</si>
  <si>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</si>
  <si>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</si>
  <si>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</si>
  <si>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</si>
  <si>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</si>
  <si>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</si>
  <si>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</si>
  <si>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</si>
  <si>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</si>
  <si>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</si>
  <si>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</si>
  <si>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</si>
  <si>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</si>
  <si>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</si>
  <si>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</si>
  <si>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</si>
  <si>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</si>
  <si>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</si>
  <si>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</si>
  <si>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</si>
  <si>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</si>
  <si>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</si>
  <si>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</si>
  <si>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</si>
  <si>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</si>
  <si>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</si>
  <si>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</si>
  <si>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</si>
  <si>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</si>
  <si>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</si>
  <si>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</si>
  <si>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</si>
  <si>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</si>
  <si>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</si>
  <si>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</si>
  <si>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</si>
  <si>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</si>
  <si>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</si>
  <si>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</si>
  <si>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</si>
  <si>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</si>
  <si>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</si>
  <si>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</si>
  <si>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</si>
  <si>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</si>
  <si>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</si>
  <si>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</si>
  <si>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</si>
  <si>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</si>
  <si>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</si>
  <si>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</si>
  <si>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</si>
  <si>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</si>
  <si>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</si>
  <si>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</si>
  <si>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</si>
  <si>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</si>
  <si>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</si>
  <si>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</si>
  <si>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</si>
  <si>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</si>
  <si>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</si>
  <si>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</si>
  <si>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</si>
  <si>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</si>
  <si>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</si>
  <si>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</si>
  <si>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</si>
  <si>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</si>
  <si>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</si>
  <si>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</si>
  <si>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</si>
  <si>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</si>
  <si>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</si>
  <si>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</si>
  <si>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</si>
  <si>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</si>
  <si>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</si>
  <si>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</si>
  <si>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</si>
  <si>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</si>
  <si>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</si>
  <si>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</si>
  <si>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</si>
  <si>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</si>
  <si>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</si>
  <si>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</si>
  <si>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</si>
  <si>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</si>
  <si>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</si>
  <si>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</si>
  <si>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</si>
  <si>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</si>
  <si>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</si>
  <si>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</si>
  <si>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</si>
  <si>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</si>
  <si>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</si>
  <si>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</si>
  <si>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</si>
  <si>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</si>
  <si>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</si>
  <si>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</si>
  <si>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</si>
  <si>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</si>
  <si>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</si>
  <si>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</si>
  <si>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</si>
  <si>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</si>
  <si>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</si>
  <si>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</si>
  <si>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</si>
  <si>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</si>
  <si>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</si>
  <si>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</si>
  <si>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</si>
  <si>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</si>
  <si>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</si>
  <si>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</si>
  <si>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</si>
  <si>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</si>
  <si>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</si>
  <si>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</si>
  <si>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</si>
  <si>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</si>
  <si>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</si>
  <si>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</si>
  <si>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</si>
  <si>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</si>
  <si>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</si>
  <si>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</si>
  <si>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</si>
  <si>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</si>
  <si>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</si>
  <si>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</si>
  <si>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</si>
  <si>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</si>
  <si>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</si>
  <si>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</si>
  <si>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</si>
  <si>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</si>
  <si>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</si>
  <si>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</si>
  <si>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</si>
  <si>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</si>
  <si>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</si>
  <si>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</si>
  <si>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</si>
  <si>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</si>
  <si>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</si>
  <si>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</si>
  <si>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</si>
  <si>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</si>
  <si>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</si>
  <si>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</si>
  <si>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</si>
  <si>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</si>
  <si>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</si>
  <si>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</si>
  <si>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</si>
  <si>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</si>
  <si>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</si>
  <si>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</si>
  <si>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Karu</t>
  </si>
  <si>
    <t>Facility Name:</t>
  </si>
  <si>
    <t>Tatara Primary Health Center</t>
  </si>
  <si>
    <t>Reporting Period:</t>
  </si>
  <si>
    <t>Q1(Oct - Dec)</t>
  </si>
  <si>
    <t>Facility Code:</t>
  </si>
  <si>
    <t>FBBTY7S1T4S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</si>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</sst>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35</v>
      </c>
      <c r="G8" s="155">
        <f>ROUND(SUM('All Questions'!D31:D35)/5+G12,0)</f>
        <v>49</v>
      </c>
      <c r="H8" s="156">
        <f>ROUND(SUM('All Questions'!D37,'All Questions'!D40)/2+'All Questions'!D26+H12,0)</f>
        <v>69</v>
      </c>
      <c r="I8" s="157">
        <f>ROUND((SUM('All Questions'!E11:E14)/4)+I12,0)</f>
        <v>0</v>
      </c>
      <c r="J8" s="155">
        <f>ROUND(SUM('All Questions'!E15:E21)/7+J12,0)</f>
        <v>0</v>
      </c>
      <c r="K8" s="155">
        <f>ROUND(SUM('All Questions'!E23:E30)/4+K12,0)</f>
        <v>56</v>
      </c>
      <c r="L8" s="155">
        <f>ROUND(SUM('All Questions'!E31:E35)/5+L12,0)</f>
        <v>73</v>
      </c>
      <c r="M8" s="156">
        <f>ROUND(('All Questions'!E37+'All Questions'!E40)/2+'All Questions'!E26+M12,0)</f>
        <v>109</v>
      </c>
      <c r="N8" s="157">
        <f>ROUND((SUM('All Questions'!F11:F14)/4)+N12,0)</f>
        <v>0</v>
      </c>
      <c r="O8" s="155">
        <f>ROUND(SUM('All Questions'!F15:F21)/7+O12,0)</f>
        <v>0</v>
      </c>
      <c r="P8" s="155">
        <f>ROUND(SUM('All Questions'!F23:F30)/4+P12,0)</f>
        <v>41</v>
      </c>
      <c r="Q8" s="155">
        <f>ROUND(SUM('All Questions'!F31:F35)/5+Q12,0)</f>
        <v>70</v>
      </c>
      <c r="R8" s="156">
        <f>ROUND(('All Questions'!F37+'All Questions'!F40)/2+'All Questions'!F26+R12,0)</f>
        <v>156</v>
      </c>
      <c r="S8" s="141">
        <f>'All Questions'!F2</f>
        <v>0</v>
      </c>
      <c r="T8" s="142" t="e">
        <f>(AVERAGE(F8:H8)+AVERAGE(K8:M8)+AVERAGE(P8:R8))/S8</f>
        <v>#DIV/0!</v>
      </c>
      <c r="V8" s="309">
        <f>AVERAGE(F8:H8)+AVERAGE(K8:M8)+AVERAGE(P8:R8)</f>
        <v>219.33333333333331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7</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7</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28</v>
      </c>
      <c r="G10" s="159">
        <f>ROUND(SUM('All Questions'!D31:D35)/5,0)</f>
        <v>35</v>
      </c>
      <c r="H10" s="162">
        <f>ROUND(('All Questions'!D37+'All Questions'!D40)/2+'All Questions'!D26,0)</f>
        <v>63</v>
      </c>
      <c r="I10" s="163">
        <f>ROUND((SUM('All Questions'!E11:E14)/4),0)</f>
        <v>0</v>
      </c>
      <c r="J10" s="164">
        <f>ROUND(SUM('All Questions'!E15:E21)/7,0)</f>
        <v>0</v>
      </c>
      <c r="K10" s="164">
        <f>ROUND(SUM('All Questions'!E23:E30)/4,0)</f>
        <v>48</v>
      </c>
      <c r="L10" s="164">
        <f>ROUND(SUM('All Questions'!E31:E35)/5,0)</f>
        <v>58</v>
      </c>
      <c r="M10" s="165">
        <f>ROUND(('All Questions'!E37+'All Questions'!E40)/2+'All Questions'!E26,0)</f>
        <v>97</v>
      </c>
      <c r="N10" s="166">
        <f>ROUND((SUM('All Questions'!F11:F14)/4),0)</f>
        <v>0</v>
      </c>
      <c r="O10" s="164">
        <f>ROUND(SUM('All Questions'!F15:F21)/7,0)</f>
        <v>0</v>
      </c>
      <c r="P10" s="164">
        <f>ROUND(SUM('All Questions'!F23:F30)/4,0)</f>
        <v>36</v>
      </c>
      <c r="Q10" s="164">
        <f>ROUND(SUM('All Questions'!F31:F35)/5,0)</f>
        <v>57</v>
      </c>
      <c r="R10" s="165">
        <f>ROUND(('All Questions'!F37+'All Questions'!F40)/2+'All Questions'!F26,0)</f>
        <v>143</v>
      </c>
      <c r="S10" s="141">
        <f>'All Questions'!F4</f>
        <v>0</v>
      </c>
      <c r="T10" s="143" t="e">
        <f>(AVERAGE(F10:H10)+AVERAGE(K10:M10)+AVERAGE(P10:R10))/S10</f>
        <v>#DIV/0!</v>
      </c>
      <c r="V10" s="309">
        <f>AVERAGE(F10:H10)+AVERAGE(K10:M10)+AVERAGE(P10:R10)</f>
        <v>188.33333333333334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4</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4</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7</v>
      </c>
      <c r="G12" s="173">
        <f>ROUND(SUM('All Questions'!D73:D80)/4,0)</f>
        <v>14</v>
      </c>
      <c r="H12" s="174">
        <f>ROUND(SUM('All Questions'!D82:D83)/2,0)</f>
        <v>6</v>
      </c>
      <c r="I12" s="175">
        <f>ROUND(SUM('All Questions'!E54:E58)+'All Questions'!E71/4,0)</f>
        <v>0</v>
      </c>
      <c r="J12" s="176">
        <f>ROUND(SUM('All Questions'!E60:E63)/4,0)</f>
        <v>0</v>
      </c>
      <c r="K12" s="176">
        <f>ROUND(SUM('All Questions'!E67:E72)/3,0)</f>
        <v>8</v>
      </c>
      <c r="L12" s="176">
        <f>ROUND(SUM('All Questions'!E73:E80)/4,0)</f>
        <v>15</v>
      </c>
      <c r="M12" s="177">
        <f>ROUND(SUM('All Questions'!E82:E83)/2,0)</f>
        <v>12</v>
      </c>
      <c r="N12" s="178">
        <f>ROUND(SUM('All Questions'!F54:F58)+'All Questions'!F71/4,0)</f>
        <v>0</v>
      </c>
      <c r="O12" s="176">
        <f>ROUND(SUM('All Questions'!F60:F63)/4,0)</f>
        <v>0</v>
      </c>
      <c r="P12" s="176">
        <f>ROUND(SUM('All Questions'!F67:F72)/3,0)</f>
        <v>5</v>
      </c>
      <c r="Q12" s="176">
        <f>ROUND(SUM('All Questions'!F73:F80)/4,0)</f>
        <v>13</v>
      </c>
      <c r="R12" s="177">
        <f>ROUND(SUM('All Questions'!F82:F83)/2,0)</f>
        <v>13</v>
      </c>
      <c r="S12" s="145">
        <f>'All Questions'!F46</f>
        <v>0</v>
      </c>
      <c r="T12" s="146" t="e">
        <f ref="T12:T15" t="shared" si="1">(AVERAGE(F12:H12)+AVERAGE(K12:M12)+AVERAGE(P12:R12))/S12</f>
        <v>#DIV/0!</v>
      </c>
      <c r="V12" s="309">
        <f>AVERAGE(F12:H12)+AVERAGE(K12:M12)+AVERAGE(P12:R12)</f>
        <v>31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3</v>
      </c>
      <c r="G13" s="158"/>
      <c r="H13" s="180">
        <f>ROUND(SUM('All Questions'!D85:D86)/2,0)</f>
        <v>2</v>
      </c>
      <c r="I13" s="181"/>
      <c r="J13" s="182"/>
      <c r="K13" s="183">
        <f>ROUND('All Questions'!E72,0)</f>
        <v>0</v>
      </c>
      <c r="L13" s="182"/>
      <c r="M13" s="184">
        <f>ROUND(SUM('All Questions'!E85:E86)/2,0)</f>
        <v>0</v>
      </c>
      <c r="N13" s="185"/>
      <c r="O13" s="182"/>
      <c r="P13" s="183">
        <f>ROUND('All Questions'!F72,0)</f>
        <v>0</v>
      </c>
      <c r="Q13" s="182"/>
      <c r="R13" s="184">
        <f>ROUND(SUM('All Questions'!F85:F86)/2,0)</f>
        <v>1</v>
      </c>
      <c r="S13" s="145">
        <f>'All Questions'!F47</f>
        <v>0</v>
      </c>
      <c r="T13" s="147" t="e">
        <f>(AVERAGE(F13,H13)+AVERAGE(K13,M13)+AVERAGE(P13,R13))/S13</f>
        <v>#DIV/0!</v>
      </c>
      <c r="V13" s="309">
        <f>AVERAGE(F13,H13)+AVERAGE(K13,M13)+AVERAGE(P13,R13)</f>
        <v>3</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1</v>
      </c>
      <c r="G14" s="179">
        <f>ROUND(SUM('All Questions'!D74,'All Questions'!D76,'All Questions'!D78,'All Questions'!D80)/4,0)</f>
        <v>4</v>
      </c>
      <c r="H14" s="180">
        <f>ROUND(SUM('All Questions'!D88:D89)/2,0)</f>
        <v>1</v>
      </c>
      <c r="I14" s="187">
        <f>ROUND('All Questions'!E57,0)</f>
        <v>0</v>
      </c>
      <c r="J14" s="183">
        <f>ROUND('All Questions'!E64,0)</f>
        <v>0</v>
      </c>
      <c r="K14" s="183">
        <f>ROUND(SUM('All Questions'!E69:E70),0)</f>
        <v>0</v>
      </c>
      <c r="L14" s="183">
        <f>ROUND(SUM('All Questions'!E74,'All Questions'!E76,'All Questions'!E78,'All Questions'!E80)/4,0)</f>
        <v>3</v>
      </c>
      <c r="M14" s="184">
        <f>ROUND(SUM('All Questions'!E88:E89)/2,0)</f>
        <v>0</v>
      </c>
      <c r="N14" s="188">
        <f>ROUND('All Questions'!F57,0)</f>
        <v>0</v>
      </c>
      <c r="O14" s="183">
        <f>ROUND('All Questions'!F64,0)</f>
        <v>0</v>
      </c>
      <c r="P14" s="183">
        <f>ROUND(SUM('All Questions'!F69:F70),0)</f>
        <v>1</v>
      </c>
      <c r="Q14" s="183">
        <f>ROUND(SUM('All Questions'!F74,'All Questions'!F76,'All Questions'!F78,'All Questions'!F80)/4,0)</f>
        <v>4</v>
      </c>
      <c r="R14" s="184">
        <f>ROUND(SUM('All Questions'!F88:F89)/2,0)</f>
        <v>1</v>
      </c>
      <c r="S14" s="145">
        <f>'All Questions'!F48</f>
        <v>0</v>
      </c>
      <c r="T14" s="147" t="e">
        <f>(AVERAGE(F14:H14)+AVERAGE(K14:M14)+AVERAGE(P14:R14))/S14</f>
        <v>#DIV/0!</v>
      </c>
      <c r="V14" s="309">
        <f>AVERAGE(F14:H14)+AVERAGE(K14:M14)+AVERAGE(P14:R14)</f>
        <v>5</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2</v>
      </c>
      <c r="Q16" s="194">
        <f>ROUND(SUM('All Questions'!F106:F109)/4,0)</f>
        <v>1</v>
      </c>
      <c r="R16" s="195">
        <f>ROUND(SUM('All Questions'!F111,'All Questions'!F112,'All Questions'!F114,'All Questions'!F115)/4,0)</f>
        <v>2</v>
      </c>
      <c r="S16" s="149">
        <f>'All Questions'!F91</f>
        <v>0</v>
      </c>
      <c r="T16" s="150" t="e">
        <f>(AVERAGE(F16:H16)+AVERAGE(K16:M16)+AVERAGE(P16:R16))/S16</f>
        <v>#DIV/0!</v>
      </c>
      <c r="V16" s="309">
        <f t="shared" si="2"/>
        <v>1.6666666666666667</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338</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98</v>
      </c>
      <c r="E9" s="301">
        <v>352</v>
      </c>
      <c r="F9" s="301">
        <v>297</v>
      </c>
      <c r="G9" s="207" t="s">
        <v>67</v>
      </c>
    </row>
    <row r="10" hidden="1" ht="45" customHeight="1">
      <c r="A10" s="226"/>
      <c r="B10" s="238">
        <v>1113</v>
      </c>
      <c r="C10" s="242" t="s">
        <v>83</v>
      </c>
      <c r="D10" s="301">
        <v>63</v>
      </c>
      <c r="E10" s="301">
        <v>97</v>
      </c>
      <c r="F10" s="301">
        <v>143</v>
      </c>
      <c r="G10" s="207" t="s">
        <v>67</v>
      </c>
    </row>
    <row r="11" hidden="1" ht="45" customHeight="1">
      <c r="A11" s="226"/>
      <c r="B11" s="238">
        <v>1114</v>
      </c>
      <c r="C11" s="243" t="s">
        <v>84</v>
      </c>
      <c r="D11" s="301">
        <v>63</v>
      </c>
      <c r="E11" s="301">
        <v>97</v>
      </c>
      <c r="F11" s="301">
        <v>143</v>
      </c>
      <c r="G11" s="207" t="s">
        <v>67</v>
      </c>
    </row>
    <row r="12" hidden="1" ht="45" customHeight="1">
      <c r="A12" s="226"/>
      <c r="B12" s="238">
        <v>1115</v>
      </c>
      <c r="C12" s="242" t="s">
        <v>85</v>
      </c>
      <c r="D12" s="301">
        <v>63</v>
      </c>
      <c r="E12" s="301">
        <v>97</v>
      </c>
      <c r="F12" s="301">
        <v>143</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48</v>
      </c>
      <c r="E25" s="301">
        <v>89</v>
      </c>
      <c r="F25" s="301">
        <v>119</v>
      </c>
      <c r="G25" s="207" t="s">
        <v>67</v>
      </c>
    </row>
    <row r="26" hidden="1" ht="45" customHeight="1">
      <c r="A26" s="226"/>
      <c r="B26" s="238">
        <v>1134</v>
      </c>
      <c r="C26" s="242" t="s">
        <v>99</v>
      </c>
      <c r="D26" s="301">
        <v>15</v>
      </c>
      <c r="E26" s="301">
        <v>8</v>
      </c>
      <c r="F26" s="301">
        <v>24</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4</v>
      </c>
      <c r="E29" s="301">
        <v>0</v>
      </c>
      <c r="F29" s="301">
        <v>0</v>
      </c>
      <c r="G29" s="207" t="s">
        <v>67</v>
      </c>
    </row>
    <row r="30" hidden="1" ht="45" customHeight="1">
      <c r="A30" s="226"/>
      <c r="B30" s="238">
        <v>1138</v>
      </c>
      <c r="C30" s="242" t="s">
        <v>103</v>
      </c>
      <c r="D30" s="301">
        <v>45</v>
      </c>
      <c r="E30" s="301">
        <v>94</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63</v>
      </c>
      <c r="E33" s="301">
        <v>97</v>
      </c>
      <c r="F33" s="301">
        <v>143</v>
      </c>
      <c r="G33" s="207" t="s">
        <v>67</v>
      </c>
    </row>
    <row r="34" hidden="1" ht="45" customHeight="1">
      <c r="A34" s="226"/>
      <c r="B34" s="238">
        <v>1144</v>
      </c>
      <c r="C34" s="242" t="s">
        <v>107</v>
      </c>
      <c r="D34" s="301">
        <v>49</v>
      </c>
      <c r="E34" s="301">
        <v>94</v>
      </c>
      <c r="F34" s="301">
        <v>0</v>
      </c>
      <c r="G34" s="207" t="s">
        <v>67</v>
      </c>
    </row>
    <row r="35" hidden="1" ht="45" customHeight="1">
      <c r="A35" s="226"/>
      <c r="B35" s="238">
        <v>1145</v>
      </c>
      <c r="C35" s="242" t="s">
        <v>108</v>
      </c>
      <c r="D35" s="301">
        <v>63</v>
      </c>
      <c r="E35" s="301">
        <v>97</v>
      </c>
      <c r="F35" s="301">
        <v>142</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48</v>
      </c>
      <c r="E37" s="301">
        <v>89</v>
      </c>
      <c r="F37" s="301">
        <v>119</v>
      </c>
      <c r="G37" s="207" t="s">
        <v>67</v>
      </c>
    </row>
    <row r="38" hidden="1" ht="45" customHeight="1">
      <c r="A38" s="226"/>
      <c r="B38" s="238">
        <v>1153</v>
      </c>
      <c r="C38" s="242" t="s">
        <v>111</v>
      </c>
      <c r="D38" s="301">
        <v>47</v>
      </c>
      <c r="E38" s="301">
        <v>90</v>
      </c>
      <c r="F38" s="301">
        <v>118</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48</v>
      </c>
      <c r="E40" s="301">
        <v>89</v>
      </c>
      <c r="F40" s="301">
        <v>119</v>
      </c>
      <c r="G40" s="207" t="s">
        <v>67</v>
      </c>
    </row>
    <row r="41" hidden="1" ht="45" customHeight="1">
      <c r="A41" s="226"/>
      <c r="B41" s="238">
        <v>1156</v>
      </c>
      <c r="C41" s="242" t="s">
        <v>113</v>
      </c>
      <c r="D41" s="301">
        <v>47</v>
      </c>
      <c r="E41" s="301">
        <v>90</v>
      </c>
      <c r="F41" s="301">
        <v>118</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47</v>
      </c>
      <c r="E43" s="301">
        <v>89</v>
      </c>
      <c r="F43" s="301">
        <v>119</v>
      </c>
      <c r="G43" s="207" t="s">
        <v>67</v>
      </c>
    </row>
    <row r="44" hidden="1" ht="45" customHeight="1" s="250" customFormat="1">
      <c r="A44" s="226"/>
      <c r="B44" s="238">
        <v>1159</v>
      </c>
      <c r="C44" s="242" t="s">
        <v>116</v>
      </c>
      <c r="D44" s="301">
        <v>47</v>
      </c>
      <c r="E44" s="301">
        <v>90</v>
      </c>
      <c r="F44" s="301">
        <v>118</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37</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56</v>
      </c>
      <c r="E52" s="301">
        <v>98</v>
      </c>
      <c r="F52" s="301">
        <v>92</v>
      </c>
      <c r="G52" s="207" t="s">
        <v>117</v>
      </c>
    </row>
    <row r="53" hidden="1" ht="45" customHeight="1">
      <c r="A53" s="226"/>
      <c r="B53" s="238">
        <v>1213</v>
      </c>
      <c r="C53" s="242" t="s">
        <v>131</v>
      </c>
      <c r="D53" s="301">
        <v>12</v>
      </c>
      <c r="E53" s="301">
        <v>12</v>
      </c>
      <c r="F53" s="301">
        <v>13</v>
      </c>
      <c r="G53" s="207" t="s">
        <v>117</v>
      </c>
    </row>
    <row r="54" hidden="1" ht="45" customHeight="1">
      <c r="A54" s="226"/>
      <c r="B54" s="238">
        <v>1214</v>
      </c>
      <c r="C54" s="264" t="s">
        <v>132</v>
      </c>
      <c r="D54" s="301">
        <v>12</v>
      </c>
      <c r="E54" s="301">
        <v>12</v>
      </c>
      <c r="F54" s="301">
        <v>13</v>
      </c>
      <c r="G54" s="207" t="s">
        <v>117</v>
      </c>
    </row>
    <row r="55" hidden="1" ht="45" customHeight="1">
      <c r="A55" s="226"/>
      <c r="B55" s="238">
        <v>1215</v>
      </c>
      <c r="C55" s="242" t="s">
        <v>133</v>
      </c>
      <c r="D55" s="301">
        <v>12</v>
      </c>
      <c r="E55" s="301">
        <v>12</v>
      </c>
      <c r="F55" s="301">
        <v>13</v>
      </c>
      <c r="G55" s="207" t="s">
        <v>117</v>
      </c>
    </row>
    <row r="56" hidden="1" ht="45" customHeight="1">
      <c r="A56" s="226"/>
      <c r="B56" s="238">
        <v>1216</v>
      </c>
      <c r="C56" s="243" t="s">
        <v>134</v>
      </c>
      <c r="D56" s="301">
        <v>12</v>
      </c>
      <c r="E56" s="301">
        <v>12</v>
      </c>
      <c r="F56" s="301">
        <v>13</v>
      </c>
      <c r="G56" s="207" t="s">
        <v>117</v>
      </c>
    </row>
    <row r="57" hidden="1" ht="45" customHeight="1">
      <c r="A57" s="226"/>
      <c r="B57" s="238">
        <v>1217</v>
      </c>
      <c r="C57" s="243" t="s">
        <v>135</v>
      </c>
      <c r="D57" s="301">
        <v>1</v>
      </c>
      <c r="E57" s="301">
        <v>0</v>
      </c>
      <c r="F57" s="301">
        <v>1</v>
      </c>
      <c r="G57" s="207" t="s">
        <v>117</v>
      </c>
    </row>
    <row r="58" hidden="1" ht="45" customHeight="1">
      <c r="A58" s="226"/>
      <c r="B58" s="238">
        <v>1218</v>
      </c>
      <c r="C58" s="243" t="s">
        <v>136</v>
      </c>
      <c r="D58" s="301">
        <v>2</v>
      </c>
      <c r="E58" s="301">
        <v>0</v>
      </c>
      <c r="F58" s="301">
        <v>1</v>
      </c>
      <c r="G58" s="207" t="s">
        <v>117</v>
      </c>
    </row>
    <row r="59" hidden="1" ht="45" customHeight="1">
      <c r="A59" s="226"/>
      <c r="B59" s="238">
        <v>1221</v>
      </c>
      <c r="C59" s="264" t="s">
        <v>137</v>
      </c>
      <c r="D59" s="301">
        <v>12</v>
      </c>
      <c r="E59" s="301">
        <v>12</v>
      </c>
      <c r="F59" s="301">
        <v>13</v>
      </c>
      <c r="G59" s="207" t="s">
        <v>117</v>
      </c>
    </row>
    <row r="60" hidden="1" ht="45" customHeight="1">
      <c r="A60" s="226"/>
      <c r="B60" s="238">
        <v>1222</v>
      </c>
      <c r="C60" s="264" t="s">
        <v>138</v>
      </c>
      <c r="D60" s="301">
        <v>11</v>
      </c>
      <c r="E60" s="301">
        <v>12</v>
      </c>
      <c r="F60" s="301">
        <v>12</v>
      </c>
      <c r="G60" s="207" t="s">
        <v>117</v>
      </c>
    </row>
    <row r="61" hidden="1" ht="45" customHeight="1">
      <c r="A61" s="226"/>
      <c r="B61" s="238">
        <v>1223</v>
      </c>
      <c r="C61" s="264" t="s">
        <v>139</v>
      </c>
      <c r="D61" s="301">
        <v>12</v>
      </c>
      <c r="E61" s="301">
        <v>12</v>
      </c>
      <c r="F61" s="301">
        <v>13</v>
      </c>
      <c r="G61" s="207" t="s">
        <v>117</v>
      </c>
    </row>
    <row r="62" hidden="1" ht="54.65" customHeight="1">
      <c r="A62" s="226"/>
      <c r="B62" s="238">
        <v>1224</v>
      </c>
      <c r="C62" s="264" t="s">
        <v>140</v>
      </c>
      <c r="D62" s="301">
        <v>12</v>
      </c>
      <c r="E62" s="301">
        <v>12</v>
      </c>
      <c r="F62" s="301">
        <v>13</v>
      </c>
      <c r="G62" s="207" t="s">
        <v>117</v>
      </c>
    </row>
    <row r="63" hidden="1" ht="66.65" customHeight="1">
      <c r="A63" s="226"/>
      <c r="B63" s="238">
        <v>1225</v>
      </c>
      <c r="C63" s="264" t="s">
        <v>141</v>
      </c>
      <c r="D63" s="301">
        <v>12</v>
      </c>
      <c r="E63" s="301">
        <v>12</v>
      </c>
      <c r="F63" s="301">
        <v>13</v>
      </c>
      <c r="G63" s="207" t="s">
        <v>117</v>
      </c>
    </row>
    <row r="64" hidden="1" ht="45" customHeight="1">
      <c r="A64" s="226"/>
      <c r="B64" s="238">
        <v>1226</v>
      </c>
      <c r="C64" s="264" t="s">
        <v>142</v>
      </c>
      <c r="D64" s="301">
        <v>1</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12</v>
      </c>
      <c r="E67" s="301">
        <v>12</v>
      </c>
      <c r="F67" s="301">
        <v>13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1</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4</v>
      </c>
      <c r="E71" s="301">
        <v>13</v>
      </c>
      <c r="F71" s="301">
        <v>0</v>
      </c>
      <c r="G71" s="207" t="s">
        <v>117</v>
      </c>
    </row>
    <row r="72" hidden="1" ht="45" customHeight="1">
      <c r="A72" s="226"/>
      <c r="B72" s="238">
        <v>1236</v>
      </c>
      <c r="C72" s="242" t="s">
        <v>150</v>
      </c>
      <c r="D72" s="301">
        <v>3</v>
      </c>
      <c r="E72" s="301">
        <v>0</v>
      </c>
      <c r="F72" s="301">
        <v>0</v>
      </c>
      <c r="G72" s="207" t="s">
        <v>117</v>
      </c>
    </row>
    <row r="73" hidden="1" ht="45" customHeight="1">
      <c r="A73" s="226"/>
      <c r="B73" s="238">
        <v>1241</v>
      </c>
      <c r="C73" s="242" t="s">
        <v>151</v>
      </c>
      <c r="D73" s="301">
        <v>12</v>
      </c>
      <c r="E73" s="301">
        <v>12</v>
      </c>
      <c r="F73" s="301">
        <v>13</v>
      </c>
      <c r="G73" s="207" t="s">
        <v>117</v>
      </c>
    </row>
    <row r="74" hidden="1" ht="45" customHeight="1">
      <c r="A74" s="226"/>
      <c r="B74" s="238">
        <v>1242</v>
      </c>
      <c r="C74" s="242" t="s">
        <v>152</v>
      </c>
      <c r="D74" s="301">
        <v>1</v>
      </c>
      <c r="E74" s="301">
        <v>0</v>
      </c>
      <c r="F74" s="301">
        <v>1</v>
      </c>
      <c r="G74" s="207" t="s">
        <v>117</v>
      </c>
    </row>
    <row r="75" hidden="1" ht="45" customHeight="1">
      <c r="A75" s="226"/>
      <c r="B75" s="238">
        <v>1243</v>
      </c>
      <c r="C75" s="243" t="s">
        <v>153</v>
      </c>
      <c r="D75" s="301">
        <v>11</v>
      </c>
      <c r="E75" s="301">
        <v>12</v>
      </c>
      <c r="F75" s="301">
        <v>12</v>
      </c>
      <c r="G75" s="207" t="s">
        <v>117</v>
      </c>
    </row>
    <row r="76" hidden="1" ht="45" customHeight="1">
      <c r="A76" s="226"/>
      <c r="B76" s="238">
        <v>1244</v>
      </c>
      <c r="C76" s="243" t="s">
        <v>154</v>
      </c>
      <c r="D76" s="301">
        <v>1</v>
      </c>
      <c r="E76" s="301">
        <v>0</v>
      </c>
      <c r="F76" s="301">
        <v>1</v>
      </c>
      <c r="G76" s="207" t="s">
        <v>117</v>
      </c>
    </row>
    <row r="77" hidden="1" ht="45" customHeight="1">
      <c r="A77" s="226"/>
      <c r="B77" s="238">
        <v>1245</v>
      </c>
      <c r="C77" s="243" t="s">
        <v>155</v>
      </c>
      <c r="D77" s="301">
        <v>7</v>
      </c>
      <c r="E77" s="301">
        <v>13</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12</v>
      </c>
      <c r="E79" s="301">
        <v>12</v>
      </c>
      <c r="F79" s="301">
        <v>13</v>
      </c>
      <c r="G79" s="207" t="s">
        <v>117</v>
      </c>
    </row>
    <row r="80" hidden="1" ht="45" customHeight="1">
      <c r="A80" s="226"/>
      <c r="B80" s="238">
        <v>1248</v>
      </c>
      <c r="C80" s="242" t="s">
        <v>158</v>
      </c>
      <c r="D80" s="301">
        <v>12</v>
      </c>
      <c r="E80" s="301">
        <v>12</v>
      </c>
      <c r="F80" s="301">
        <v>13</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12</v>
      </c>
      <c r="E82" s="301">
        <v>12</v>
      </c>
      <c r="F82" s="301">
        <v>13</v>
      </c>
      <c r="G82" s="207" t="s">
        <v>117</v>
      </c>
    </row>
    <row r="83" hidden="1" ht="45" customHeight="1">
      <c r="A83" s="226"/>
      <c r="B83" s="238">
        <v>1253</v>
      </c>
      <c r="C83" s="242" t="s">
        <v>161</v>
      </c>
      <c r="D83" s="301">
        <v>0</v>
      </c>
      <c r="E83" s="301">
        <v>12</v>
      </c>
      <c r="F83" s="301">
        <v>13</v>
      </c>
      <c r="G83" s="207" t="s">
        <v>117</v>
      </c>
    </row>
    <row r="84" hidden="1" ht="45" customHeight="1">
      <c r="A84" s="219"/>
      <c r="B84" s="238">
        <v>1254</v>
      </c>
      <c r="C84" s="221" t="s">
        <v>162</v>
      </c>
      <c r="D84" s="265"/>
      <c r="E84" s="265"/>
      <c r="F84" s="265"/>
      <c r="G84" s="207"/>
    </row>
    <row r="85" hidden="1" ht="45" customHeight="1">
      <c r="A85" s="226"/>
      <c r="B85" s="238">
        <v>1255</v>
      </c>
      <c r="C85" s="242" t="s">
        <v>163</v>
      </c>
      <c r="D85" s="301">
        <v>3</v>
      </c>
      <c r="E85" s="301">
        <v>0</v>
      </c>
      <c r="F85" s="301">
        <v>2</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1</v>
      </c>
      <c r="E88" s="301">
        <v>0</v>
      </c>
      <c r="F88" s="301">
        <v>1</v>
      </c>
      <c r="G88" s="207" t="s">
        <v>117</v>
      </c>
    </row>
    <row r="89" hidden="1" ht="45" customHeight="1">
      <c r="A89" s="226"/>
      <c r="B89" s="238">
        <v>1259</v>
      </c>
      <c r="C89" s="242" t="s">
        <v>167</v>
      </c>
      <c r="D89" s="301">
        <v>1</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2</v>
      </c>
      <c r="G93" s="266" t="s">
        <v>168</v>
      </c>
    </row>
    <row r="94" ht="45" customHeight="1">
      <c r="A94" s="226"/>
      <c r="B94" s="238">
        <v>1314</v>
      </c>
      <c r="C94" s="269" t="s">
        <v>173</v>
      </c>
      <c r="D94" s="301">
        <v>0</v>
      </c>
      <c r="E94" s="301">
        <v>0</v>
      </c>
      <c r="F94" s="301">
        <v>2</v>
      </c>
      <c r="G94" s="266" t="s">
        <v>168</v>
      </c>
    </row>
    <row r="95" ht="45" customHeight="1">
      <c r="A95" s="226"/>
      <c r="B95" s="238">
        <v>1315</v>
      </c>
      <c r="C95" s="243" t="s">
        <v>174</v>
      </c>
      <c r="D95" s="301">
        <v>0</v>
      </c>
      <c r="E95" s="301">
        <v>0</v>
      </c>
      <c r="F95" s="301">
        <v>2</v>
      </c>
      <c r="G95" s="266" t="s">
        <v>168</v>
      </c>
    </row>
    <row r="96" ht="45" customHeight="1" s="270" customFormat="1">
      <c r="A96" s="226"/>
      <c r="B96" s="238">
        <v>1316</v>
      </c>
      <c r="C96" s="243" t="s">
        <v>175</v>
      </c>
      <c r="D96" s="301">
        <v>0</v>
      </c>
      <c r="E96" s="301">
        <v>0</v>
      </c>
      <c r="F96" s="301">
        <v>2</v>
      </c>
      <c r="G96" s="266" t="s">
        <v>168</v>
      </c>
    </row>
    <row r="97" ht="45" customHeight="1" s="270" customFormat="1">
      <c r="A97" s="226"/>
      <c r="B97" s="238">
        <v>1321</v>
      </c>
      <c r="C97" s="242" t="s">
        <v>176</v>
      </c>
      <c r="D97" s="301">
        <v>3</v>
      </c>
      <c r="E97" s="301">
        <v>0</v>
      </c>
      <c r="F97" s="301">
        <v>2</v>
      </c>
      <c r="G97" s="266" t="s">
        <v>168</v>
      </c>
    </row>
    <row r="98" ht="45" customHeight="1" s="270" customFormat="1">
      <c r="A98" s="226"/>
      <c r="B98" s="238">
        <v>1322</v>
      </c>
      <c r="C98" s="242" t="s">
        <v>177</v>
      </c>
      <c r="D98" s="301">
        <v>3</v>
      </c>
      <c r="E98" s="301">
        <v>0</v>
      </c>
      <c r="F98" s="301">
        <v>2</v>
      </c>
      <c r="G98" s="266" t="s">
        <v>168</v>
      </c>
    </row>
    <row r="99" ht="45" customHeight="1" s="270" customFormat="1">
      <c r="A99" s="226"/>
      <c r="B99" s="238">
        <v>1323</v>
      </c>
      <c r="C99" s="242" t="s">
        <v>178</v>
      </c>
      <c r="D99" s="301">
        <v>0</v>
      </c>
      <c r="E99" s="301">
        <v>0</v>
      </c>
      <c r="F99" s="301">
        <v>2</v>
      </c>
      <c r="G99" s="266" t="s">
        <v>168</v>
      </c>
    </row>
    <row r="100" ht="45" customHeight="1" s="270" customFormat="1">
      <c r="A100" s="226"/>
      <c r="B100" s="238">
        <v>1324</v>
      </c>
      <c r="C100" s="242" t="s">
        <v>179</v>
      </c>
      <c r="D100" s="301">
        <v>0</v>
      </c>
      <c r="E100" s="301">
        <v>0</v>
      </c>
      <c r="F100" s="301">
        <v>2</v>
      </c>
      <c r="G100" s="266" t="s">
        <v>168</v>
      </c>
    </row>
    <row r="101" ht="45" customHeight="1" s="270" customFormat="1">
      <c r="A101" s="226"/>
      <c r="B101" s="238">
        <v>1331</v>
      </c>
      <c r="C101" s="242" t="s">
        <v>180</v>
      </c>
      <c r="D101" s="301">
        <v>0</v>
      </c>
      <c r="E101" s="301">
        <v>0</v>
      </c>
      <c r="F101" s="301">
        <v>2</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2</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2</v>
      </c>
      <c r="E106" s="301">
        <v>0</v>
      </c>
      <c r="F106" s="301">
        <v>1</v>
      </c>
      <c r="G106" s="266" t="s">
        <v>168</v>
      </c>
    </row>
    <row r="107" hidden="1" ht="45" customHeight="1" s="270" customFormat="1">
      <c r="A107" s="226"/>
      <c r="B107" s="238">
        <v>1342</v>
      </c>
      <c r="C107" s="242" t="s">
        <v>186</v>
      </c>
      <c r="D107" s="271">
        <f>D94</f>
        <v>0</v>
      </c>
      <c r="E107" s="271">
        <f>E94</f>
        <v>0</v>
      </c>
      <c r="F107" s="271">
        <f>F94</f>
        <v>2</v>
      </c>
      <c r="G107" s="266"/>
    </row>
    <row r="108" ht="45" customHeight="1" s="270" customFormat="1">
      <c r="A108" s="226"/>
      <c r="B108" s="238">
        <v>1343</v>
      </c>
      <c r="C108" s="242" t="s">
        <v>187</v>
      </c>
      <c r="D108" s="301">
        <v>0</v>
      </c>
      <c r="E108" s="301">
        <v>0</v>
      </c>
      <c r="F108" s="301">
        <v>2</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2</v>
      </c>
      <c r="G111" s="266" t="s">
        <v>168</v>
      </c>
    </row>
    <row r="112" ht="45" customHeight="1" s="270" customFormat="1">
      <c r="A112" s="226"/>
      <c r="B112" s="238">
        <v>1353</v>
      </c>
      <c r="C112" s="242" t="s">
        <v>191</v>
      </c>
      <c r="D112" s="301">
        <v>0</v>
      </c>
      <c r="E112" s="301">
        <v>0</v>
      </c>
      <c r="F112" s="301">
        <v>2</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2</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3643</v>
      </c>
      <c r="AZ1296" s="0" t="s">
        <v>3644</v>
      </c>
      <c r="BA1296" s="0" t="s">
        <v>285</v>
      </c>
      <c r="BB1296" s="0" t="str">
        <f t="shared" si="20"/>
        <v>IHVNnaDoma</v>
      </c>
    </row>
    <row r="1297">
      <c r="AV1297" s="0" t="s">
        <v>471</v>
      </c>
      <c r="AW1297" s="0" t="s">
        <v>286</v>
      </c>
      <c r="AX1297" s="0" t="s">
        <v>502</v>
      </c>
      <c r="AY1297" s="0" t="s">
        <v>3645</v>
      </c>
      <c r="AZ1297" s="0" t="s">
        <v>3646</v>
      </c>
      <c r="BA1297" s="0" t="s">
        <v>285</v>
      </c>
      <c r="BB1297" s="0" t="str">
        <f t="shared" si="20"/>
        <v>IHVNnaDoma</v>
      </c>
    </row>
    <row r="1298">
      <c r="AV1298" s="0" t="s">
        <v>471</v>
      </c>
      <c r="AW1298" s="0" t="s">
        <v>286</v>
      </c>
      <c r="AX1298" s="0" t="s">
        <v>502</v>
      </c>
      <c r="AY1298" s="0" t="s">
        <v>3647</v>
      </c>
      <c r="AZ1298" s="0" t="s">
        <v>3648</v>
      </c>
      <c r="BA1298" s="0" t="s">
        <v>285</v>
      </c>
      <c r="BB1298" s="0" t="str">
        <f t="shared" si="20"/>
        <v>IHVNnaDoma</v>
      </c>
    </row>
    <row r="1299">
      <c r="AV1299" s="0" t="s">
        <v>471</v>
      </c>
      <c r="AW1299" s="0" t="s">
        <v>286</v>
      </c>
      <c r="AX1299" s="0" t="s">
        <v>502</v>
      </c>
      <c r="AY1299" s="0" t="s">
        <v>3649</v>
      </c>
      <c r="AZ1299" s="0" t="s">
        <v>3650</v>
      </c>
      <c r="BA1299" s="0" t="s">
        <v>285</v>
      </c>
      <c r="BB1299" s="0" t="str">
        <f t="shared" si="20"/>
        <v>IHVNnaDoma</v>
      </c>
    </row>
    <row r="1300">
      <c r="AV1300" s="0" t="s">
        <v>471</v>
      </c>
      <c r="AW1300" s="0" t="s">
        <v>286</v>
      </c>
      <c r="AX1300" s="0" t="s">
        <v>502</v>
      </c>
      <c r="AY1300" s="0" t="s">
        <v>3651</v>
      </c>
      <c r="AZ1300" s="0" t="s">
        <v>3652</v>
      </c>
      <c r="BA1300" s="0" t="s">
        <v>285</v>
      </c>
      <c r="BB1300" s="0" t="str">
        <f t="shared" si="20"/>
        <v>IHVNnaDoma</v>
      </c>
    </row>
    <row r="1301">
      <c r="AV1301" s="0" t="s">
        <v>471</v>
      </c>
      <c r="AW1301" s="0" t="s">
        <v>286</v>
      </c>
      <c r="AX1301" s="0" t="s">
        <v>502</v>
      </c>
      <c r="AY1301" s="0" t="s">
        <v>3653</v>
      </c>
      <c r="AZ1301" s="0" t="s">
        <v>3654</v>
      </c>
      <c r="BA1301" s="0" t="s">
        <v>285</v>
      </c>
      <c r="BB1301" s="0" t="str">
        <f t="shared" si="20"/>
        <v>IHVNnaDoma</v>
      </c>
    </row>
    <row r="1302">
      <c r="AV1302" s="0" t="s">
        <v>471</v>
      </c>
      <c r="AW1302" s="0" t="s">
        <v>286</v>
      </c>
      <c r="AX1302" s="0" t="s">
        <v>502</v>
      </c>
      <c r="AY1302" s="0" t="s">
        <v>3655</v>
      </c>
      <c r="AZ1302" s="0" t="s">
        <v>3656</v>
      </c>
      <c r="BA1302" s="0" t="s">
        <v>285</v>
      </c>
      <c r="BB1302" s="0" t="str">
        <f t="shared" si="20"/>
        <v>IHVNnaDoma</v>
      </c>
    </row>
    <row r="1303">
      <c r="AV1303" s="0" t="s">
        <v>471</v>
      </c>
      <c r="AW1303" s="0" t="s">
        <v>286</v>
      </c>
      <c r="AX1303" s="0" t="s">
        <v>502</v>
      </c>
      <c r="AY1303" s="0" t="s">
        <v>3657</v>
      </c>
      <c r="AZ1303" s="0" t="s">
        <v>3658</v>
      </c>
      <c r="BA1303" s="0" t="s">
        <v>285</v>
      </c>
      <c r="BB1303" s="0" t="str">
        <f t="shared" si="20"/>
        <v>IHVNnaDoma</v>
      </c>
    </row>
    <row r="1304">
      <c r="AV1304" s="0" t="s">
        <v>471</v>
      </c>
      <c r="AW1304" s="0" t="s">
        <v>286</v>
      </c>
      <c r="AX1304" s="0" t="s">
        <v>502</v>
      </c>
      <c r="AY1304" s="0" t="s">
        <v>3659</v>
      </c>
      <c r="AZ1304" s="0" t="s">
        <v>3660</v>
      </c>
      <c r="BA1304" s="0" t="s">
        <v>285</v>
      </c>
      <c r="BB1304" s="0" t="str">
        <f t="shared" si="20"/>
        <v>IHVNnaDoma</v>
      </c>
    </row>
    <row r="1305">
      <c r="AV1305" s="0" t="s">
        <v>471</v>
      </c>
      <c r="AW1305" s="0" t="s">
        <v>286</v>
      </c>
      <c r="AX1305" s="0" t="s">
        <v>502</v>
      </c>
      <c r="AY1305" s="0" t="s">
        <v>3661</v>
      </c>
      <c r="AZ1305" s="0" t="s">
        <v>3662</v>
      </c>
      <c r="BA1305" s="0" t="s">
        <v>285</v>
      </c>
      <c r="BB1305" s="0" t="str">
        <f t="shared" si="20"/>
        <v>IHVNnaDoma</v>
      </c>
    </row>
    <row r="1306">
      <c r="AV1306" s="0" t="s">
        <v>471</v>
      </c>
      <c r="AW1306" s="0" t="s">
        <v>286</v>
      </c>
      <c r="AX1306" s="0" t="s">
        <v>502</v>
      </c>
      <c r="AY1306" s="0" t="s">
        <v>3663</v>
      </c>
      <c r="AZ1306" s="0" t="s">
        <v>3664</v>
      </c>
      <c r="BA1306" s="0" t="s">
        <v>285</v>
      </c>
      <c r="BB1306" s="0" t="str">
        <f t="shared" si="20"/>
        <v>IHVNnaDoma</v>
      </c>
    </row>
    <row r="1307">
      <c r="AV1307" s="0" t="s">
        <v>471</v>
      </c>
      <c r="AW1307" s="0" t="s">
        <v>286</v>
      </c>
      <c r="AX1307" s="0" t="s">
        <v>502</v>
      </c>
      <c r="AY1307" s="0" t="s">
        <v>3665</v>
      </c>
      <c r="AZ1307" s="0" t="s">
        <v>3666</v>
      </c>
      <c r="BA1307" s="0" t="s">
        <v>285</v>
      </c>
      <c r="BB1307" s="0" t="str">
        <f t="shared" si="20"/>
        <v>IHVNnaDoma</v>
      </c>
    </row>
    <row r="1308">
      <c r="AV1308" s="0" t="s">
        <v>471</v>
      </c>
      <c r="AW1308" s="0" t="s">
        <v>286</v>
      </c>
      <c r="AX1308" s="0" t="s">
        <v>502</v>
      </c>
      <c r="AY1308" s="0" t="s">
        <v>3667</v>
      </c>
      <c r="AZ1308" s="0" t="s">
        <v>3668</v>
      </c>
      <c r="BA1308" s="0" t="s">
        <v>285</v>
      </c>
      <c r="BB1308" s="0" t="str">
        <f t="shared" si="20"/>
        <v>IHVNnaDoma</v>
      </c>
    </row>
    <row r="1309">
      <c r="AV1309" s="0" t="s">
        <v>471</v>
      </c>
      <c r="AW1309" s="0" t="s">
        <v>286</v>
      </c>
      <c r="AX1309" s="0" t="s">
        <v>502</v>
      </c>
      <c r="AY1309" s="0" t="s">
        <v>3669</v>
      </c>
      <c r="AZ1309" s="0" t="s">
        <v>3670</v>
      </c>
      <c r="BA1309" s="0" t="s">
        <v>285</v>
      </c>
      <c r="BB1309" s="0" t="str">
        <f t="shared" si="20"/>
        <v>IHVNnaDoma</v>
      </c>
    </row>
    <row r="1310">
      <c r="AV1310" s="0" t="s">
        <v>471</v>
      </c>
      <c r="AW1310" s="0" t="s">
        <v>286</v>
      </c>
      <c r="AX1310" s="0" t="s">
        <v>502</v>
      </c>
      <c r="AY1310" s="0" t="s">
        <v>3671</v>
      </c>
      <c r="AZ1310" s="0" t="s">
        <v>3672</v>
      </c>
      <c r="BA1310" s="0" t="s">
        <v>285</v>
      </c>
      <c r="BB1310" s="0" t="str">
        <f t="shared" si="20"/>
        <v>IHVNnaDoma</v>
      </c>
    </row>
    <row r="1311">
      <c r="AV1311" s="0" t="s">
        <v>471</v>
      </c>
      <c r="AW1311" s="0" t="s">
        <v>286</v>
      </c>
      <c r="AX1311" s="0" t="s">
        <v>659</v>
      </c>
      <c r="AY1311" s="0" t="s">
        <v>3673</v>
      </c>
      <c r="AZ1311" s="0" t="s">
        <v>3674</v>
      </c>
      <c r="BA1311" s="0" t="s">
        <v>285</v>
      </c>
      <c r="BB1311" s="0" t="str">
        <f t="shared" si="20"/>
        <v>IHVNnaKaru</v>
      </c>
    </row>
    <row r="1312">
      <c r="AV1312" s="0" t="s">
        <v>471</v>
      </c>
      <c r="AW1312" s="0" t="s">
        <v>286</v>
      </c>
      <c r="AX1312" s="0" t="s">
        <v>659</v>
      </c>
      <c r="AY1312" s="0" t="s">
        <v>3675</v>
      </c>
      <c r="AZ1312" s="0" t="s">
        <v>3676</v>
      </c>
      <c r="BA1312" s="0" t="s">
        <v>285</v>
      </c>
      <c r="BB1312" s="0" t="str">
        <f t="shared" si="20"/>
        <v>IHVNnaKaru</v>
      </c>
    </row>
    <row r="1313">
      <c r="AV1313" s="0" t="s">
        <v>471</v>
      </c>
      <c r="AW1313" s="0" t="s">
        <v>286</v>
      </c>
      <c r="AX1313" s="0" t="s">
        <v>659</v>
      </c>
      <c r="AY1313" s="0" t="s">
        <v>3677</v>
      </c>
      <c r="AZ1313" s="0" t="s">
        <v>3678</v>
      </c>
      <c r="BA1313" s="0" t="s">
        <v>285</v>
      </c>
      <c r="BB1313" s="0" t="str">
        <f t="shared" si="20"/>
        <v>IHVNnaKaru</v>
      </c>
    </row>
    <row r="1314">
      <c r="AV1314" s="0" t="s">
        <v>471</v>
      </c>
      <c r="AW1314" s="0" t="s">
        <v>286</v>
      </c>
      <c r="AX1314" s="0" t="s">
        <v>659</v>
      </c>
      <c r="AY1314" s="0" t="s">
        <v>3679</v>
      </c>
      <c r="AZ1314" s="0" t="s">
        <v>3680</v>
      </c>
      <c r="BA1314" s="0" t="s">
        <v>285</v>
      </c>
      <c r="BB1314" s="0" t="str">
        <f t="shared" si="20"/>
        <v>IHVNnaKaru</v>
      </c>
    </row>
    <row r="1315">
      <c r="AV1315" s="0" t="s">
        <v>471</v>
      </c>
      <c r="AW1315" s="0" t="s">
        <v>286</v>
      </c>
      <c r="AX1315" s="0" t="s">
        <v>659</v>
      </c>
      <c r="AY1315" s="0" t="s">
        <v>3681</v>
      </c>
      <c r="AZ1315" s="0" t="s">
        <v>3682</v>
      </c>
      <c r="BA1315" s="0" t="s">
        <v>285</v>
      </c>
      <c r="BB1315" s="0" t="str">
        <f t="shared" si="20"/>
        <v>IHVNnaKaru</v>
      </c>
    </row>
    <row r="1316">
      <c r="AV1316" s="0" t="s">
        <v>471</v>
      </c>
      <c r="AW1316" s="0" t="s">
        <v>286</v>
      </c>
      <c r="AX1316" s="0" t="s">
        <v>659</v>
      </c>
      <c r="AY1316" s="0" t="s">
        <v>3683</v>
      </c>
      <c r="AZ1316" s="0" t="s">
        <v>3684</v>
      </c>
      <c r="BA1316" s="0" t="s">
        <v>285</v>
      </c>
      <c r="BB1316" s="0" t="str">
        <f t="shared" si="20"/>
        <v>IHVNnaKaru</v>
      </c>
    </row>
    <row r="1317">
      <c r="AV1317" s="0" t="s">
        <v>471</v>
      </c>
      <c r="AW1317" s="0" t="s">
        <v>286</v>
      </c>
      <c r="AX1317" s="0" t="s">
        <v>659</v>
      </c>
      <c r="AY1317" s="0" t="s">
        <v>3685</v>
      </c>
      <c r="AZ1317" s="0" t="s">
        <v>3686</v>
      </c>
      <c r="BA1317" s="0" t="s">
        <v>285</v>
      </c>
      <c r="BB1317" s="0" t="str">
        <f t="shared" si="20"/>
        <v>IHVNnaKaru</v>
      </c>
    </row>
    <row r="1318">
      <c r="AV1318" s="0" t="s">
        <v>471</v>
      </c>
      <c r="AW1318" s="0" t="s">
        <v>286</v>
      </c>
      <c r="AX1318" s="0" t="s">
        <v>659</v>
      </c>
      <c r="AY1318" s="0" t="s">
        <v>3687</v>
      </c>
      <c r="AZ1318" s="0" t="s">
        <v>3688</v>
      </c>
      <c r="BA1318" s="0" t="s">
        <v>285</v>
      </c>
      <c r="BB1318" s="0" t="str">
        <f t="shared" si="20"/>
        <v>IHVNnaKaru</v>
      </c>
    </row>
    <row r="1319">
      <c r="AV1319" s="0" t="s">
        <v>471</v>
      </c>
      <c r="AW1319" s="0" t="s">
        <v>286</v>
      </c>
      <c r="AX1319" s="0" t="s">
        <v>659</v>
      </c>
      <c r="AY1319" s="0" t="s">
        <v>3689</v>
      </c>
      <c r="AZ1319" s="0" t="s">
        <v>3690</v>
      </c>
      <c r="BA1319" s="0" t="s">
        <v>285</v>
      </c>
      <c r="BB1319" s="0" t="str">
        <f t="shared" si="20"/>
        <v>IHVNnaKaru</v>
      </c>
    </row>
    <row r="1320">
      <c r="AV1320" s="0" t="s">
        <v>471</v>
      </c>
      <c r="AW1320" s="0" t="s">
        <v>286</v>
      </c>
      <c r="AX1320" s="0" t="s">
        <v>659</v>
      </c>
      <c r="AY1320" s="0" t="s">
        <v>3691</v>
      </c>
      <c r="AZ1320" s="0" t="s">
        <v>3692</v>
      </c>
      <c r="BA1320" s="0" t="s">
        <v>285</v>
      </c>
      <c r="BB1320" s="0" t="str">
        <f t="shared" si="20"/>
        <v>IHVNnaKaru</v>
      </c>
    </row>
    <row r="1321">
      <c r="AV1321" s="0" t="s">
        <v>471</v>
      </c>
      <c r="AW1321" s="0" t="s">
        <v>286</v>
      </c>
      <c r="AX1321" s="0" t="s">
        <v>659</v>
      </c>
      <c r="AY1321" s="0" t="s">
        <v>3693</v>
      </c>
      <c r="AZ1321" s="0" t="s">
        <v>3694</v>
      </c>
      <c r="BA1321" s="0" t="s">
        <v>285</v>
      </c>
      <c r="BB1321" s="0" t="str">
        <f t="shared" si="20"/>
        <v>IHVNnaKaru</v>
      </c>
    </row>
    <row r="1322">
      <c r="AV1322" s="0" t="s">
        <v>471</v>
      </c>
      <c r="AW1322" s="0" t="s">
        <v>286</v>
      </c>
      <c r="AX1322" s="0" t="s">
        <v>659</v>
      </c>
      <c r="AY1322" s="0" t="s">
        <v>3695</v>
      </c>
      <c r="AZ1322" s="0" t="s">
        <v>3696</v>
      </c>
      <c r="BA1322" s="0" t="s">
        <v>285</v>
      </c>
      <c r="BB1322" s="0" t="str">
        <f t="shared" si="20"/>
        <v>IHVNnaKaru</v>
      </c>
    </row>
    <row r="1323">
      <c r="AV1323" s="0" t="s">
        <v>471</v>
      </c>
      <c r="AW1323" s="0" t="s">
        <v>286</v>
      </c>
      <c r="AX1323" s="0" t="s">
        <v>659</v>
      </c>
      <c r="AY1323" s="0" t="s">
        <v>3697</v>
      </c>
      <c r="AZ1323" s="0" t="s">
        <v>3698</v>
      </c>
      <c r="BA1323" s="0" t="s">
        <v>285</v>
      </c>
      <c r="BB1323" s="0" t="str">
        <f t="shared" si="20"/>
        <v>IHVNnaKaru</v>
      </c>
    </row>
    <row r="1324">
      <c r="AV1324" s="0" t="s">
        <v>471</v>
      </c>
      <c r="AW1324" s="0" t="s">
        <v>286</v>
      </c>
      <c r="AX1324" s="0" t="s">
        <v>659</v>
      </c>
      <c r="AY1324" s="0" t="s">
        <v>3699</v>
      </c>
      <c r="AZ1324" s="0" t="s">
        <v>3700</v>
      </c>
      <c r="BA1324" s="0" t="s">
        <v>285</v>
      </c>
      <c r="BB1324" s="0" t="str">
        <f t="shared" si="20"/>
        <v>IHVNnaKaru</v>
      </c>
    </row>
    <row r="1325">
      <c r="AV1325" s="0" t="s">
        <v>471</v>
      </c>
      <c r="AW1325" s="0" t="s">
        <v>286</v>
      </c>
      <c r="AX1325" s="0" t="s">
        <v>659</v>
      </c>
      <c r="AY1325" s="0" t="s">
        <v>3701</v>
      </c>
      <c r="AZ1325" s="0" t="s">
        <v>3702</v>
      </c>
      <c r="BA1325" s="0" t="s">
        <v>285</v>
      </c>
      <c r="BB1325" s="0" t="str">
        <f t="shared" si="20"/>
        <v>IHVNnaKaru</v>
      </c>
    </row>
    <row r="1326">
      <c r="AV1326" s="0" t="s">
        <v>471</v>
      </c>
      <c r="AW1326" s="0" t="s">
        <v>286</v>
      </c>
      <c r="AX1326" s="0" t="s">
        <v>659</v>
      </c>
      <c r="AY1326" s="0" t="s">
        <v>3703</v>
      </c>
      <c r="AZ1326" s="0" t="s">
        <v>3704</v>
      </c>
      <c r="BA1326" s="0" t="s">
        <v>285</v>
      </c>
      <c r="BB1326" s="0" t="str">
        <f t="shared" si="20"/>
        <v>IHVNnaKaru</v>
      </c>
    </row>
    <row r="1327">
      <c r="AV1327" s="0" t="s">
        <v>471</v>
      </c>
      <c r="AW1327" s="0" t="s">
        <v>286</v>
      </c>
      <c r="AX1327" s="0" t="s">
        <v>659</v>
      </c>
      <c r="AY1327" s="0" t="s">
        <v>3705</v>
      </c>
      <c r="AZ1327" s="0" t="s">
        <v>3706</v>
      </c>
      <c r="BA1327" s="0" t="s">
        <v>285</v>
      </c>
      <c r="BB1327" s="0" t="str">
        <f t="shared" si="20"/>
        <v>IHVNnaKaru</v>
      </c>
    </row>
    <row r="1328">
      <c r="AV1328" s="0" t="s">
        <v>471</v>
      </c>
      <c r="AW1328" s="0" t="s">
        <v>286</v>
      </c>
      <c r="AX1328" s="0" t="s">
        <v>659</v>
      </c>
      <c r="AY1328" s="0" t="s">
        <v>3707</v>
      </c>
      <c r="AZ1328" s="0" t="s">
        <v>3708</v>
      </c>
      <c r="BA1328" s="0" t="s">
        <v>285</v>
      </c>
      <c r="BB1328" s="0" t="str">
        <f t="shared" si="20"/>
        <v>IHVNnaKaru</v>
      </c>
    </row>
    <row r="1329">
      <c r="AV1329" s="0" t="s">
        <v>471</v>
      </c>
      <c r="AW1329" s="0" t="s">
        <v>286</v>
      </c>
      <c r="AX1329" s="0" t="s">
        <v>659</v>
      </c>
      <c r="AY1329" s="0" t="s">
        <v>3709</v>
      </c>
      <c r="AZ1329" s="0" t="s">
        <v>3710</v>
      </c>
      <c r="BA1329" s="0" t="s">
        <v>285</v>
      </c>
      <c r="BB1329" s="0" t="str">
        <f t="shared" si="20"/>
        <v>IHVNnaKaru</v>
      </c>
    </row>
    <row r="1330">
      <c r="AV1330" s="0" t="s">
        <v>471</v>
      </c>
      <c r="AW1330" s="0" t="s">
        <v>286</v>
      </c>
      <c r="AX1330" s="0" t="s">
        <v>659</v>
      </c>
      <c r="AY1330" s="0" t="s">
        <v>3711</v>
      </c>
      <c r="AZ1330" s="0" t="s">
        <v>3712</v>
      </c>
      <c r="BA1330" s="0" t="s">
        <v>285</v>
      </c>
      <c r="BB1330" s="0" t="str">
        <f t="shared" si="20"/>
        <v>IHVNnaKaru</v>
      </c>
    </row>
    <row r="1331">
      <c r="AV1331" s="0" t="s">
        <v>471</v>
      </c>
      <c r="AW1331" s="0" t="s">
        <v>286</v>
      </c>
      <c r="AX1331" s="0" t="s">
        <v>659</v>
      </c>
      <c r="AY1331" s="0" t="s">
        <v>3713</v>
      </c>
      <c r="AZ1331" s="0" t="s">
        <v>3714</v>
      </c>
      <c r="BA1331" s="0" t="s">
        <v>285</v>
      </c>
      <c r="BB1331" s="0" t="str">
        <f t="shared" si="20"/>
        <v>IHVNnaKaru</v>
      </c>
    </row>
    <row r="1332">
      <c r="AV1332" s="0" t="s">
        <v>471</v>
      </c>
      <c r="AW1332" s="0" t="s">
        <v>286</v>
      </c>
      <c r="AX1332" s="0" t="s">
        <v>659</v>
      </c>
      <c r="AY1332" s="0" t="s">
        <v>3715</v>
      </c>
      <c r="AZ1332" s="0" t="s">
        <v>3716</v>
      </c>
      <c r="BA1332" s="0" t="s">
        <v>285</v>
      </c>
      <c r="BB1332" s="0" t="str">
        <f t="shared" si="20"/>
        <v>IHVNnaKaru</v>
      </c>
    </row>
    <row r="1333">
      <c r="AV1333" s="0" t="s">
        <v>471</v>
      </c>
      <c r="AW1333" s="0" t="s">
        <v>286</v>
      </c>
      <c r="AX1333" s="0" t="s">
        <v>659</v>
      </c>
      <c r="AY1333" s="0" t="s">
        <v>3411</v>
      </c>
      <c r="AZ1333" s="0" t="s">
        <v>3717</v>
      </c>
      <c r="BA1333" s="0" t="s">
        <v>285</v>
      </c>
      <c r="BB1333" s="0" t="str">
        <f t="shared" si="20"/>
        <v>IHVNnaKaru</v>
      </c>
    </row>
    <row r="1334">
      <c r="AV1334" s="0" t="s">
        <v>471</v>
      </c>
      <c r="AW1334" s="0" t="s">
        <v>286</v>
      </c>
      <c r="AX1334" s="0" t="s">
        <v>659</v>
      </c>
      <c r="AY1334" s="0" t="s">
        <v>3413</v>
      </c>
      <c r="AZ1334" s="0" t="s">
        <v>3718</v>
      </c>
      <c r="BA1334" s="0" t="s">
        <v>285</v>
      </c>
      <c r="BB1334" s="0" t="str">
        <f t="shared" si="20"/>
        <v>IHVNnaKaru</v>
      </c>
    </row>
    <row r="1335">
      <c r="AV1335" s="0" t="s">
        <v>471</v>
      </c>
      <c r="AW1335" s="0" t="s">
        <v>286</v>
      </c>
      <c r="AX1335" s="0" t="s">
        <v>659</v>
      </c>
      <c r="AY1335" s="0" t="s">
        <v>3719</v>
      </c>
      <c r="AZ1335" s="0" t="s">
        <v>3720</v>
      </c>
      <c r="BA1335" s="0" t="s">
        <v>285</v>
      </c>
      <c r="BB1335" s="0" t="str">
        <f t="shared" si="20"/>
        <v>IHVNnaKaru</v>
      </c>
    </row>
    <row r="1336">
      <c r="AV1336" s="0" t="s">
        <v>471</v>
      </c>
      <c r="AW1336" s="0" t="s">
        <v>286</v>
      </c>
      <c r="AX1336" s="0" t="s">
        <v>659</v>
      </c>
      <c r="AY1336" s="0" t="s">
        <v>3721</v>
      </c>
      <c r="AZ1336" s="0" t="s">
        <v>3722</v>
      </c>
      <c r="BA1336" s="0" t="s">
        <v>285</v>
      </c>
      <c r="BB1336" s="0" t="str">
        <f t="shared" si="20"/>
        <v>IHVNnaKaru</v>
      </c>
    </row>
    <row r="1337">
      <c r="AV1337" s="0" t="s">
        <v>471</v>
      </c>
      <c r="AW1337" s="0" t="s">
        <v>286</v>
      </c>
      <c r="AX1337" s="0" t="s">
        <v>659</v>
      </c>
      <c r="AY1337" s="0" t="s">
        <v>3723</v>
      </c>
      <c r="AZ1337" s="0" t="s">
        <v>3724</v>
      </c>
      <c r="BA1337" s="0" t="s">
        <v>285</v>
      </c>
      <c r="BB1337" s="0" t="str">
        <f t="shared" si="20"/>
        <v>IHVNnaKaru</v>
      </c>
    </row>
    <row r="1338">
      <c r="AV1338" s="0" t="s">
        <v>471</v>
      </c>
      <c r="AW1338" s="0" t="s">
        <v>286</v>
      </c>
      <c r="AX1338" s="0" t="s">
        <v>659</v>
      </c>
      <c r="AY1338" s="0" t="s">
        <v>3725</v>
      </c>
      <c r="AZ1338" s="0" t="s">
        <v>3726</v>
      </c>
      <c r="BA1338" s="0" t="s">
        <v>285</v>
      </c>
      <c r="BB1338" s="0" t="str">
        <f t="shared" si="20"/>
        <v>IHVNnaKaru</v>
      </c>
    </row>
    <row r="1339">
      <c r="AV1339" s="0" t="s">
        <v>471</v>
      </c>
      <c r="AW1339" s="0" t="s">
        <v>286</v>
      </c>
      <c r="AX1339" s="0" t="s">
        <v>659</v>
      </c>
      <c r="AY1339" s="0" t="s">
        <v>3727</v>
      </c>
      <c r="AZ1339" s="0" t="s">
        <v>3728</v>
      </c>
      <c r="BA1339" s="0" t="s">
        <v>285</v>
      </c>
      <c r="BB1339" s="0" t="str">
        <f t="shared" si="20"/>
        <v>IHVNnaKaru</v>
      </c>
    </row>
    <row r="1340">
      <c r="AV1340" s="0" t="s">
        <v>471</v>
      </c>
      <c r="AW1340" s="0" t="s">
        <v>286</v>
      </c>
      <c r="AX1340" s="0" t="s">
        <v>659</v>
      </c>
      <c r="AY1340" s="0" t="s">
        <v>3729</v>
      </c>
      <c r="AZ1340" s="0" t="s">
        <v>3730</v>
      </c>
      <c r="BA1340" s="0" t="s">
        <v>285</v>
      </c>
      <c r="BB1340" s="0" t="str">
        <f t="shared" si="20"/>
        <v>IHVNnaKaru</v>
      </c>
    </row>
    <row r="1341">
      <c r="AV1341" s="0" t="s">
        <v>471</v>
      </c>
      <c r="AW1341" s="0" t="s">
        <v>286</v>
      </c>
      <c r="AX1341" s="0" t="s">
        <v>659</v>
      </c>
      <c r="AY1341" s="0" t="s">
        <v>3731</v>
      </c>
      <c r="AZ1341" s="0" t="s">
        <v>3732</v>
      </c>
      <c r="BA1341" s="0" t="s">
        <v>285</v>
      </c>
      <c r="BB1341" s="0" t="str">
        <f t="shared" si="20"/>
        <v>IHVNnaKaru</v>
      </c>
    </row>
    <row r="1342">
      <c r="AV1342" s="0" t="s">
        <v>471</v>
      </c>
      <c r="AW1342" s="0" t="s">
        <v>286</v>
      </c>
      <c r="AX1342" s="0" t="s">
        <v>659</v>
      </c>
      <c r="AY1342" s="0" t="s">
        <v>3733</v>
      </c>
      <c r="AZ1342" s="0" t="s">
        <v>3734</v>
      </c>
      <c r="BA1342" s="0" t="s">
        <v>285</v>
      </c>
      <c r="BB1342" s="0" t="str">
        <f t="shared" si="20"/>
        <v>IHVNnaKaru</v>
      </c>
    </row>
    <row r="1343">
      <c r="AV1343" s="0" t="s">
        <v>471</v>
      </c>
      <c r="AW1343" s="0" t="s">
        <v>286</v>
      </c>
      <c r="AX1343" s="0" t="s">
        <v>659</v>
      </c>
      <c r="AY1343" s="0" t="s">
        <v>3735</v>
      </c>
      <c r="AZ1343" s="0" t="s">
        <v>3736</v>
      </c>
      <c r="BA1343" s="0" t="s">
        <v>285</v>
      </c>
      <c r="BB1343" s="0" t="str">
        <f t="shared" si="20"/>
        <v>IHVNnaKaru</v>
      </c>
    </row>
    <row r="1344">
      <c r="AV1344" s="0" t="s">
        <v>471</v>
      </c>
      <c r="AW1344" s="0" t="s">
        <v>286</v>
      </c>
      <c r="AX1344" s="0" t="s">
        <v>659</v>
      </c>
      <c r="AY1344" s="0" t="s">
        <v>3737</v>
      </c>
      <c r="AZ1344" s="0" t="s">
        <v>3738</v>
      </c>
      <c r="BA1344" s="0" t="s">
        <v>285</v>
      </c>
      <c r="BB1344" s="0" t="str">
        <f t="shared" si="20"/>
        <v>IHVNnaKaru</v>
      </c>
    </row>
    <row r="1345">
      <c r="AV1345" s="0" t="s">
        <v>471</v>
      </c>
      <c r="AW1345" s="0" t="s">
        <v>286</v>
      </c>
      <c r="AX1345" s="0" t="s">
        <v>659</v>
      </c>
      <c r="AY1345" s="0" t="s">
        <v>3739</v>
      </c>
      <c r="AZ1345" s="0" t="s">
        <v>3740</v>
      </c>
      <c r="BA1345" s="0" t="s">
        <v>285</v>
      </c>
      <c r="BB1345" s="0" t="str">
        <f t="shared" si="20"/>
        <v>IHVNnaKaru</v>
      </c>
    </row>
    <row r="1346">
      <c r="AV1346" s="0" t="s">
        <v>471</v>
      </c>
      <c r="AW1346" s="0" t="s">
        <v>286</v>
      </c>
      <c r="AX1346" s="0" t="s">
        <v>659</v>
      </c>
      <c r="AY1346" s="0" t="s">
        <v>3741</v>
      </c>
      <c r="AZ1346" s="0" t="s">
        <v>3742</v>
      </c>
      <c r="BA1346" s="0" t="s">
        <v>285</v>
      </c>
      <c r="BB1346" s="0" t="str">
        <f t="shared" si="20"/>
        <v>IHVNnaKaru</v>
      </c>
    </row>
    <row r="1347">
      <c r="AV1347" s="0" t="s">
        <v>471</v>
      </c>
      <c r="AW1347" s="0" t="s">
        <v>286</v>
      </c>
      <c r="AX1347" s="0" t="s">
        <v>659</v>
      </c>
      <c r="AY1347" s="0" t="s">
        <v>3743</v>
      </c>
      <c r="AZ1347" s="0" t="s">
        <v>3744</v>
      </c>
      <c r="BA1347" s="0" t="s">
        <v>285</v>
      </c>
      <c r="BB1347" s="0" t="str">
        <f ref="BB1347:BB1410" t="shared" si="21">SUBSTITUTE(SUBSTITUTE(BA1347&amp;AX1347," ",""),"-","")</f>
        <v>IHVNnaKaru</v>
      </c>
    </row>
    <row r="1348">
      <c r="AV1348" s="0" t="s">
        <v>471</v>
      </c>
      <c r="AW1348" s="0" t="s">
        <v>286</v>
      </c>
      <c r="AX1348" s="0" t="s">
        <v>659</v>
      </c>
      <c r="AY1348" s="0" t="s">
        <v>3745</v>
      </c>
      <c r="AZ1348" s="0" t="s">
        <v>3746</v>
      </c>
      <c r="BA1348" s="0" t="s">
        <v>285</v>
      </c>
      <c r="BB1348" s="0" t="str">
        <f t="shared" si="21"/>
        <v>IHVNnaKaru</v>
      </c>
    </row>
    <row r="1349">
      <c r="AV1349" s="0" t="s">
        <v>471</v>
      </c>
      <c r="AW1349" s="0" t="s">
        <v>286</v>
      </c>
      <c r="AX1349" s="0" t="s">
        <v>659</v>
      </c>
      <c r="AY1349" s="0" t="s">
        <v>3747</v>
      </c>
      <c r="AZ1349" s="0" t="s">
        <v>3748</v>
      </c>
      <c r="BA1349" s="0" t="s">
        <v>285</v>
      </c>
      <c r="BB1349" s="0" t="str">
        <f t="shared" si="21"/>
        <v>IHVNnaKaru</v>
      </c>
    </row>
    <row r="1350">
      <c r="AV1350" s="0" t="s">
        <v>471</v>
      </c>
      <c r="AW1350" s="0" t="s">
        <v>286</v>
      </c>
      <c r="AX1350" s="0" t="s">
        <v>659</v>
      </c>
      <c r="AY1350" s="0" t="s">
        <v>3749</v>
      </c>
      <c r="AZ1350" s="0" t="s">
        <v>3750</v>
      </c>
      <c r="BA1350" s="0" t="s">
        <v>285</v>
      </c>
      <c r="BB1350" s="0" t="str">
        <f t="shared" si="21"/>
        <v>IHVNnaKaru</v>
      </c>
    </row>
    <row r="1351">
      <c r="AV1351" s="0" t="s">
        <v>471</v>
      </c>
      <c r="AW1351" s="0" t="s">
        <v>286</v>
      </c>
      <c r="AX1351" s="0" t="s">
        <v>659</v>
      </c>
      <c r="AY1351" s="0" t="s">
        <v>3751</v>
      </c>
      <c r="AZ1351" s="0" t="s">
        <v>3752</v>
      </c>
      <c r="BA1351" s="0" t="s">
        <v>285</v>
      </c>
      <c r="BB1351" s="0" t="str">
        <f t="shared" si="21"/>
        <v>IHVNnaKaru</v>
      </c>
    </row>
    <row r="1352">
      <c r="AV1352" s="0" t="s">
        <v>471</v>
      </c>
      <c r="AW1352" s="0" t="s">
        <v>286</v>
      </c>
      <c r="AX1352" s="0" t="s">
        <v>659</v>
      </c>
      <c r="AY1352" s="0" t="s">
        <v>3753</v>
      </c>
      <c r="AZ1352" s="0" t="s">
        <v>3754</v>
      </c>
      <c r="BA1352" s="0" t="s">
        <v>285</v>
      </c>
      <c r="BB1352" s="0" t="str">
        <f t="shared" si="21"/>
        <v>IHVNnaKaru</v>
      </c>
    </row>
    <row r="1353">
      <c r="AV1353" s="0" t="s">
        <v>471</v>
      </c>
      <c r="AW1353" s="0" t="s">
        <v>286</v>
      </c>
      <c r="AX1353" s="0" t="s">
        <v>659</v>
      </c>
      <c r="AY1353" s="0" t="s">
        <v>3755</v>
      </c>
      <c r="AZ1353" s="0" t="s">
        <v>3756</v>
      </c>
      <c r="BA1353" s="0" t="s">
        <v>285</v>
      </c>
      <c r="BB1353" s="0" t="str">
        <f t="shared" si="21"/>
        <v>IHVNnaKaru</v>
      </c>
    </row>
    <row r="1354">
      <c r="AV1354" s="0" t="s">
        <v>471</v>
      </c>
      <c r="AW1354" s="0" t="s">
        <v>286</v>
      </c>
      <c r="AX1354" s="0" t="s">
        <v>659</v>
      </c>
      <c r="AY1354" s="0" t="s">
        <v>3174</v>
      </c>
      <c r="AZ1354" s="0" t="s">
        <v>3757</v>
      </c>
      <c r="BA1354" s="0" t="s">
        <v>285</v>
      </c>
      <c r="BB1354" s="0" t="str">
        <f t="shared" si="21"/>
        <v>IHVNnaKaru</v>
      </c>
    </row>
    <row r="1355">
      <c r="AV1355" s="0" t="s">
        <v>471</v>
      </c>
      <c r="AW1355" s="0" t="s">
        <v>286</v>
      </c>
      <c r="AX1355" s="0" t="s">
        <v>659</v>
      </c>
      <c r="AY1355" s="0" t="s">
        <v>289</v>
      </c>
      <c r="AZ1355" s="0" t="s">
        <v>293</v>
      </c>
      <c r="BA1355" s="0" t="s">
        <v>285</v>
      </c>
      <c r="BB1355" s="0" t="str">
        <f t="shared" si="21"/>
        <v>IHVNnaKaru</v>
      </c>
    </row>
    <row r="1356">
      <c r="AV1356" s="0" t="s">
        <v>471</v>
      </c>
      <c r="AW1356" s="0" t="s">
        <v>286</v>
      </c>
      <c r="AX1356" s="0" t="s">
        <v>659</v>
      </c>
      <c r="AY1356" s="0" t="s">
        <v>3758</v>
      </c>
      <c r="AZ1356" s="0" t="s">
        <v>3759</v>
      </c>
      <c r="BA1356" s="0" t="s">
        <v>285</v>
      </c>
      <c r="BB1356" s="0" t="str">
        <f t="shared" si="21"/>
        <v>IHVNnaKaru</v>
      </c>
    </row>
    <row r="1357">
      <c r="AV1357" s="0" t="s">
        <v>471</v>
      </c>
      <c r="AW1357" s="0" t="s">
        <v>286</v>
      </c>
      <c r="AX1357" s="0" t="s">
        <v>695</v>
      </c>
      <c r="AY1357" s="0" t="s">
        <v>3760</v>
      </c>
      <c r="AZ1357" s="0" t="s">
        <v>3761</v>
      </c>
      <c r="BA1357" s="0" t="s">
        <v>285</v>
      </c>
      <c r="BB1357" s="0" t="str">
        <f t="shared" si="21"/>
        <v>IHVNnaKeana</v>
      </c>
    </row>
    <row r="1358">
      <c r="AV1358" s="0" t="s">
        <v>471</v>
      </c>
      <c r="AW1358" s="0" t="s">
        <v>286</v>
      </c>
      <c r="AX1358" s="0" t="s">
        <v>543</v>
      </c>
      <c r="AY1358" s="0" t="s">
        <v>3762</v>
      </c>
      <c r="AZ1358" s="0" t="s">
        <v>3763</v>
      </c>
      <c r="BA1358" s="0" t="s">
        <v>285</v>
      </c>
      <c r="BB1358" s="0" t="str">
        <f t="shared" si="21"/>
        <v>IHVNnaKeffi</v>
      </c>
    </row>
    <row r="1359">
      <c r="AV1359" s="0" t="s">
        <v>471</v>
      </c>
      <c r="AW1359" s="0" t="s">
        <v>286</v>
      </c>
      <c r="AX1359" s="0" t="s">
        <v>543</v>
      </c>
      <c r="AY1359" s="0" t="s">
        <v>3764</v>
      </c>
      <c r="AZ1359" s="0" t="s">
        <v>3765</v>
      </c>
      <c r="BA1359" s="0" t="s">
        <v>285</v>
      </c>
      <c r="BB1359" s="0" t="str">
        <f t="shared" si="21"/>
        <v>IHVNnaKeffi</v>
      </c>
    </row>
    <row r="1360">
      <c r="AV1360" s="0" t="s">
        <v>471</v>
      </c>
      <c r="AW1360" s="0" t="s">
        <v>286</v>
      </c>
      <c r="AX1360" s="0" t="s">
        <v>543</v>
      </c>
      <c r="AY1360" s="0" t="s">
        <v>3766</v>
      </c>
      <c r="AZ1360" s="0" t="s">
        <v>3767</v>
      </c>
      <c r="BA1360" s="0" t="s">
        <v>285</v>
      </c>
      <c r="BB1360" s="0" t="str">
        <f t="shared" si="21"/>
        <v>IHVNnaKeffi</v>
      </c>
    </row>
    <row r="1361">
      <c r="AV1361" s="0" t="s">
        <v>471</v>
      </c>
      <c r="AW1361" s="0" t="s">
        <v>286</v>
      </c>
      <c r="AX1361" s="0" t="s">
        <v>543</v>
      </c>
      <c r="AY1361" s="0" t="s">
        <v>3768</v>
      </c>
      <c r="AZ1361" s="0" t="s">
        <v>3769</v>
      </c>
      <c r="BA1361" s="0" t="s">
        <v>285</v>
      </c>
      <c r="BB1361" s="0" t="str">
        <f t="shared" si="21"/>
        <v>IHVNnaKeffi</v>
      </c>
    </row>
    <row r="1362">
      <c r="AV1362" s="0" t="s">
        <v>471</v>
      </c>
      <c r="AW1362" s="0" t="s">
        <v>286</v>
      </c>
      <c r="AX1362" s="0" t="s">
        <v>729</v>
      </c>
      <c r="AY1362" s="0" t="s">
        <v>3770</v>
      </c>
      <c r="AZ1362" s="0" t="s">
        <v>3771</v>
      </c>
      <c r="BA1362" s="0" t="s">
        <v>285</v>
      </c>
      <c r="BB1362" s="0" t="str">
        <f t="shared" si="21"/>
        <v>IHVNnaKokona</v>
      </c>
    </row>
    <row r="1363">
      <c r="AV1363" s="0" t="s">
        <v>471</v>
      </c>
      <c r="AW1363" s="0" t="s">
        <v>286</v>
      </c>
      <c r="AX1363" s="0" t="s">
        <v>583</v>
      </c>
      <c r="AY1363" s="0" t="s">
        <v>3772</v>
      </c>
      <c r="AZ1363" s="0" t="s">
        <v>3773</v>
      </c>
      <c r="BA1363" s="0" t="s">
        <v>285</v>
      </c>
      <c r="BB1363" s="0" t="str">
        <f t="shared" si="21"/>
        <v>IHVNnaLafia</v>
      </c>
    </row>
    <row r="1364">
      <c r="AV1364" s="0" t="s">
        <v>471</v>
      </c>
      <c r="AW1364" s="0" t="s">
        <v>286</v>
      </c>
      <c r="AX1364" s="0" t="s">
        <v>583</v>
      </c>
      <c r="AY1364" s="0" t="s">
        <v>3774</v>
      </c>
      <c r="AZ1364" s="0" t="s">
        <v>3775</v>
      </c>
      <c r="BA1364" s="0" t="s">
        <v>285</v>
      </c>
      <c r="BB1364" s="0" t="str">
        <f t="shared" si="21"/>
        <v>IHVNnaLafia</v>
      </c>
    </row>
    <row r="1365">
      <c r="AV1365" s="0" t="s">
        <v>471</v>
      </c>
      <c r="AW1365" s="0" t="s">
        <v>286</v>
      </c>
      <c r="AX1365" s="0" t="s">
        <v>583</v>
      </c>
      <c r="AY1365" s="0" t="s">
        <v>3776</v>
      </c>
      <c r="AZ1365" s="0" t="s">
        <v>3777</v>
      </c>
      <c r="BA1365" s="0" t="s">
        <v>285</v>
      </c>
      <c r="BB1365" s="0" t="str">
        <f t="shared" si="21"/>
        <v>IHVNnaLafia</v>
      </c>
    </row>
    <row r="1366">
      <c r="AV1366" s="0" t="s">
        <v>471</v>
      </c>
      <c r="AW1366" s="0" t="s">
        <v>286</v>
      </c>
      <c r="AX1366" s="0" t="s">
        <v>583</v>
      </c>
      <c r="AY1366" s="0" t="s">
        <v>3778</v>
      </c>
      <c r="AZ1366" s="0" t="s">
        <v>3779</v>
      </c>
      <c r="BA1366" s="0" t="s">
        <v>285</v>
      </c>
      <c r="BB1366" s="0" t="str">
        <f t="shared" si="21"/>
        <v>IHVNnaLafia</v>
      </c>
    </row>
    <row r="1367">
      <c r="AV1367" s="0" t="s">
        <v>471</v>
      </c>
      <c r="AW1367" s="0" t="s">
        <v>286</v>
      </c>
      <c r="AX1367" s="0" t="s">
        <v>583</v>
      </c>
      <c r="AY1367" s="0" t="s">
        <v>3780</v>
      </c>
      <c r="AZ1367" s="0" t="s">
        <v>3781</v>
      </c>
      <c r="BA1367" s="0" t="s">
        <v>285</v>
      </c>
      <c r="BB1367" s="0" t="str">
        <f t="shared" si="21"/>
        <v>IHVNnaLafia</v>
      </c>
    </row>
    <row r="1368">
      <c r="AV1368" s="0" t="s">
        <v>471</v>
      </c>
      <c r="AW1368" s="0" t="s">
        <v>286</v>
      </c>
      <c r="AX1368" s="0" t="s">
        <v>583</v>
      </c>
      <c r="AY1368" s="0" t="s">
        <v>3782</v>
      </c>
      <c r="AZ1368" s="0" t="s">
        <v>3783</v>
      </c>
      <c r="BA1368" s="0" t="s">
        <v>285</v>
      </c>
      <c r="BB1368" s="0" t="str">
        <f t="shared" si="21"/>
        <v>IHVNnaLafia</v>
      </c>
    </row>
    <row r="1369">
      <c r="AV1369" s="0" t="s">
        <v>471</v>
      </c>
      <c r="AW1369" s="0" t="s">
        <v>286</v>
      </c>
      <c r="AX1369" s="0" t="s">
        <v>583</v>
      </c>
      <c r="AY1369" s="0" t="s">
        <v>3784</v>
      </c>
      <c r="AZ1369" s="0" t="s">
        <v>3785</v>
      </c>
      <c r="BA1369" s="0" t="s">
        <v>285</v>
      </c>
      <c r="BB1369" s="0" t="str">
        <f t="shared" si="21"/>
        <v>IHVNnaLafia</v>
      </c>
    </row>
    <row r="1370">
      <c r="AV1370" s="0" t="s">
        <v>471</v>
      </c>
      <c r="AW1370" s="0" t="s">
        <v>286</v>
      </c>
      <c r="AX1370" s="0" t="s">
        <v>583</v>
      </c>
      <c r="AY1370" s="0" t="s">
        <v>3786</v>
      </c>
      <c r="AZ1370" s="0" t="s">
        <v>3787</v>
      </c>
      <c r="BA1370" s="0" t="s">
        <v>285</v>
      </c>
      <c r="BB1370" s="0" t="str">
        <f t="shared" si="21"/>
        <v>IHVNnaLafia</v>
      </c>
    </row>
    <row r="1371">
      <c r="AV1371" s="0" t="s">
        <v>471</v>
      </c>
      <c r="AW1371" s="0" t="s">
        <v>286</v>
      </c>
      <c r="AX1371" s="0" t="s">
        <v>583</v>
      </c>
      <c r="AY1371" s="0" t="s">
        <v>3788</v>
      </c>
      <c r="AZ1371" s="0" t="s">
        <v>3789</v>
      </c>
      <c r="BA1371" s="0" t="s">
        <v>285</v>
      </c>
      <c r="BB1371" s="0" t="str">
        <f t="shared" si="21"/>
        <v>IHVNnaLafia</v>
      </c>
    </row>
    <row r="1372">
      <c r="AV1372" s="0" t="s">
        <v>471</v>
      </c>
      <c r="AW1372" s="0" t="s">
        <v>286</v>
      </c>
      <c r="AX1372" s="0" t="s">
        <v>583</v>
      </c>
      <c r="AY1372" s="0" t="s">
        <v>3790</v>
      </c>
      <c r="AZ1372" s="0" t="s">
        <v>3791</v>
      </c>
      <c r="BA1372" s="0" t="s">
        <v>285</v>
      </c>
      <c r="BB1372" s="0" t="str">
        <f t="shared" si="21"/>
        <v>IHVNnaLafia</v>
      </c>
    </row>
    <row r="1373">
      <c r="AV1373" s="0" t="s">
        <v>471</v>
      </c>
      <c r="AW1373" s="0" t="s">
        <v>286</v>
      </c>
      <c r="AX1373" s="0" t="s">
        <v>583</v>
      </c>
      <c r="AY1373" s="0" t="s">
        <v>3792</v>
      </c>
      <c r="AZ1373" s="0" t="s">
        <v>3793</v>
      </c>
      <c r="BA1373" s="0" t="s">
        <v>285</v>
      </c>
      <c r="BB1373" s="0" t="str">
        <f t="shared" si="21"/>
        <v>IHVNnaLafia</v>
      </c>
    </row>
    <row r="1374">
      <c r="AV1374" s="0" t="s">
        <v>471</v>
      </c>
      <c r="AW1374" s="0" t="s">
        <v>286</v>
      </c>
      <c r="AX1374" s="0" t="s">
        <v>583</v>
      </c>
      <c r="AY1374" s="0" t="s">
        <v>3794</v>
      </c>
      <c r="AZ1374" s="0" t="s">
        <v>3795</v>
      </c>
      <c r="BA1374" s="0" t="s">
        <v>285</v>
      </c>
      <c r="BB1374" s="0" t="str">
        <f t="shared" si="21"/>
        <v>IHVNnaLafia</v>
      </c>
    </row>
    <row r="1375">
      <c r="AV1375" s="0" t="s">
        <v>471</v>
      </c>
      <c r="AW1375" s="0" t="s">
        <v>286</v>
      </c>
      <c r="AX1375" s="0" t="s">
        <v>583</v>
      </c>
      <c r="AY1375" s="0" t="s">
        <v>3796</v>
      </c>
      <c r="AZ1375" s="0" t="s">
        <v>3797</v>
      </c>
      <c r="BA1375" s="0" t="s">
        <v>285</v>
      </c>
      <c r="BB1375" s="0" t="str">
        <f t="shared" si="21"/>
        <v>IHVNnaLafia</v>
      </c>
    </row>
    <row r="1376">
      <c r="AV1376" s="0" t="s">
        <v>471</v>
      </c>
      <c r="AW1376" s="0" t="s">
        <v>286</v>
      </c>
      <c r="AX1376" s="0" t="s">
        <v>583</v>
      </c>
      <c r="AY1376" s="0" t="s">
        <v>3798</v>
      </c>
      <c r="AZ1376" s="0" t="s">
        <v>3799</v>
      </c>
      <c r="BA1376" s="0" t="s">
        <v>285</v>
      </c>
      <c r="BB1376" s="0" t="str">
        <f t="shared" si="21"/>
        <v>IHVNnaLafia</v>
      </c>
    </row>
    <row r="1377">
      <c r="AV1377" s="0" t="s">
        <v>471</v>
      </c>
      <c r="AW1377" s="0" t="s">
        <v>286</v>
      </c>
      <c r="AX1377" s="0" t="s">
        <v>583</v>
      </c>
      <c r="AY1377" s="0" t="s">
        <v>3800</v>
      </c>
      <c r="AZ1377" s="0" t="s">
        <v>3801</v>
      </c>
      <c r="BA1377" s="0" t="s">
        <v>285</v>
      </c>
      <c r="BB1377" s="0" t="str">
        <f t="shared" si="21"/>
        <v>IHVNnaLafia</v>
      </c>
    </row>
    <row r="1378">
      <c r="AV1378" s="0" t="s">
        <v>471</v>
      </c>
      <c r="AW1378" s="0" t="s">
        <v>286</v>
      </c>
      <c r="AX1378" s="0" t="s">
        <v>583</v>
      </c>
      <c r="AY1378" s="0" t="s">
        <v>3802</v>
      </c>
      <c r="AZ1378" s="0" t="s">
        <v>3803</v>
      </c>
      <c r="BA1378" s="0" t="s">
        <v>285</v>
      </c>
      <c r="BB1378" s="0" t="str">
        <f t="shared" si="21"/>
        <v>IHVNnaLafia</v>
      </c>
    </row>
    <row r="1379">
      <c r="AV1379" s="0" t="s">
        <v>471</v>
      </c>
      <c r="AW1379" s="0" t="s">
        <v>286</v>
      </c>
      <c r="AX1379" s="0" t="s">
        <v>583</v>
      </c>
      <c r="AY1379" s="0" t="s">
        <v>3804</v>
      </c>
      <c r="AZ1379" s="0" t="s">
        <v>3805</v>
      </c>
      <c r="BA1379" s="0" t="s">
        <v>285</v>
      </c>
      <c r="BB1379" s="0" t="str">
        <f t="shared" si="21"/>
        <v>IHVNnaLafia</v>
      </c>
    </row>
    <row r="1380">
      <c r="AV1380" s="0" t="s">
        <v>471</v>
      </c>
      <c r="AW1380" s="0" t="s">
        <v>286</v>
      </c>
      <c r="AX1380" s="0" t="s">
        <v>583</v>
      </c>
      <c r="AY1380" s="0" t="s">
        <v>3806</v>
      </c>
      <c r="AZ1380" s="0" t="s">
        <v>3807</v>
      </c>
      <c r="BA1380" s="0" t="s">
        <v>285</v>
      </c>
      <c r="BB1380" s="0" t="str">
        <f t="shared" si="21"/>
        <v>IHVNnaLafia</v>
      </c>
    </row>
    <row r="1381">
      <c r="AV1381" s="0" t="s">
        <v>471</v>
      </c>
      <c r="AW1381" s="0" t="s">
        <v>286</v>
      </c>
      <c r="AX1381" s="0" t="s">
        <v>583</v>
      </c>
      <c r="AY1381" s="0" t="s">
        <v>3808</v>
      </c>
      <c r="AZ1381" s="0" t="s">
        <v>3809</v>
      </c>
      <c r="BA1381" s="0" t="s">
        <v>285</v>
      </c>
      <c r="BB1381" s="0" t="str">
        <f t="shared" si="21"/>
        <v>IHVNnaLafia</v>
      </c>
    </row>
    <row r="1382">
      <c r="AV1382" s="0" t="s">
        <v>471</v>
      </c>
      <c r="AW1382" s="0" t="s">
        <v>286</v>
      </c>
      <c r="AX1382" s="0" t="s">
        <v>583</v>
      </c>
      <c r="AY1382" s="0" t="s">
        <v>3810</v>
      </c>
      <c r="AZ1382" s="0" t="s">
        <v>3811</v>
      </c>
      <c r="BA1382" s="0" t="s">
        <v>285</v>
      </c>
      <c r="BB1382" s="0" t="str">
        <f t="shared" si="21"/>
        <v>IHVNnaLafia</v>
      </c>
    </row>
    <row r="1383">
      <c r="AV1383" s="0" t="s">
        <v>471</v>
      </c>
      <c r="AW1383" s="0" t="s">
        <v>286</v>
      </c>
      <c r="AX1383" s="0" t="s">
        <v>583</v>
      </c>
      <c r="AY1383" s="0" t="s">
        <v>3812</v>
      </c>
      <c r="AZ1383" s="0" t="s">
        <v>3813</v>
      </c>
      <c r="BA1383" s="0" t="s">
        <v>285</v>
      </c>
      <c r="BB1383" s="0" t="str">
        <f t="shared" si="21"/>
        <v>IHVNnaLafia</v>
      </c>
    </row>
    <row r="1384">
      <c r="AV1384" s="0" t="s">
        <v>471</v>
      </c>
      <c r="AW1384" s="0" t="s">
        <v>286</v>
      </c>
      <c r="AX1384" s="0" t="s">
        <v>583</v>
      </c>
      <c r="AY1384" s="0" t="s">
        <v>3814</v>
      </c>
      <c r="AZ1384" s="0" t="s">
        <v>3815</v>
      </c>
      <c r="BA1384" s="0" t="s">
        <v>285</v>
      </c>
      <c r="BB1384" s="0" t="str">
        <f t="shared" si="21"/>
        <v>IHVNnaLafia</v>
      </c>
    </row>
    <row r="1385">
      <c r="AV1385" s="0" t="s">
        <v>471</v>
      </c>
      <c r="AW1385" s="0" t="s">
        <v>286</v>
      </c>
      <c r="AX1385" s="0" t="s">
        <v>583</v>
      </c>
      <c r="AY1385" s="0" t="s">
        <v>3816</v>
      </c>
      <c r="AZ1385" s="0" t="s">
        <v>3817</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