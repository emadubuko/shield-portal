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<sst xmlns="http://schemas.openxmlformats.org/spreadsheetml/2006/main" count="4056" uniqueCount="4056">
  <si>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</si>
  <si>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</si>
  <si>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</si>
  <si>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</si>
  <si>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</si>
  <si>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</si>
  <si>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</si>
  <si>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</si>
  <si>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</si>
  <si>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</si>
  <si>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</si>
  <si>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</si>
  <si>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</si>
  <si>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</si>
  <si>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</si>
  <si>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</si>
  <si>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</si>
  <si>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</si>
  <si>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</si>
  <si>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</si>
  <si>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</si>
  <si>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</si>
  <si>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</si>
  <si>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</si>
  <si>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</si>
  <si>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</si>
  <si>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</si>
  <si>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</si>
  <si>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</si>
  <si>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</si>
  <si>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</si>
  <si>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</si>
  <si>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</si>
  <si>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</si>
  <si>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</si>
  <si>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</si>
  <si>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</si>
  <si>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</si>
  <si>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</si>
  <si>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</si>
  <si>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</si>
  <si>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</si>
  <si>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</si>
  <si>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</si>
  <si>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</si>
  <si>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</si>
  <si>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</si>
  <si>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</si>
  <si>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</si>
  <si>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</si>
  <si>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</si>
  <si>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</si>
  <si>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</si>
  <si>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</si>
  <si>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</si>
  <si>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</si>
  <si>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</si>
  <si>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</si>
  <si>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</si>
  <si>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</si>
  <si>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</si>
  <si>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</si>
  <si>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</si>
  <si>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</si>
  <si>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</si>
  <si>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</si>
  <si>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</si>
  <si>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</si>
  <si>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</si>
  <si>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</si>
  <si>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</si>
  <si>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</si>
  <si>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</si>
  <si>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</si>
  <si>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</si>
  <si>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</si>
  <si>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</si>
  <si>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</si>
  <si>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</si>
  <si>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</si>
  <si>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</si>
  <si>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</si>
  <si>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</si>
  <si>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</si>
  <si>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</si>
  <si>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</si>
  <si>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</si>
  <si>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</si>
  <si>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</si>
  <si>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</si>
  <si>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</si>
  <si>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</si>
  <si>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</si>
  <si>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</si>
  <si>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</si>
  <si>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</si>
  <si>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</si>
  <si>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</si>
  <si>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</si>
  <si>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</si>
  <si>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</si>
  <si>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</si>
  <si>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</si>
  <si>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</si>
  <si>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</si>
  <si>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</si>
  <si>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</si>
  <si>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</si>
  <si>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</si>
  <si>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</si>
  <si>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</si>
  <si>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</si>
  <si>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</si>
  <si>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</si>
  <si>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</si>
  <si>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</si>
  <si>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</si>
  <si>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</si>
  <si>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</si>
  <si>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</si>
  <si>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</si>
  <si>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</si>
  <si>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</si>
  <si>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</si>
  <si>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</si>
  <si>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</si>
  <si>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</si>
  <si>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</si>
  <si>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</si>
  <si>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</si>
  <si>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</si>
  <si>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</si>
  <si>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</si>
  <si>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</si>
  <si>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</si>
  <si>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</si>
  <si>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</si>
  <si>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</si>
  <si>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</si>
  <si>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</si>
  <si>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</si>
  <si>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</si>
  <si>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</si>
  <si>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</si>
  <si>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</si>
  <si>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</si>
  <si>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</si>
  <si>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</si>
  <si>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</si>
  <si>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</si>
  <si>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</si>
  <si>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</si>
  <si>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</si>
  <si>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</si>
  <si>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</si>
  <si>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</si>
  <si>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</si>
  <si>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</si>
  <si>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</si>
  <si>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</si>
  <si>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</si>
  <si>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</si>
  <si>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</si>
  <si>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</si>
  <si>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</si>
  <si>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</si>
  <si>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</si>
  <si>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</si>
  <si>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</si>
  <si>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</si>
  <si>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</si>
  <si>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</si>
  <si>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</si>
  <si>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</si>
  <si>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</si>
  <si>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</si>
  <si>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</si>
  <si>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</si>
  <si>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</si>
  <si>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</si>
  <si>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</si>
  <si>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</si>
  <si>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</si>
  <si>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</si>
  <si>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</si>
  <si>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</si>
  <si>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</si>
  <si>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</si>
  <si>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</si>
  <si>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</si>
  <si>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</si>
  <si>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</si>
  <si>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</si>
  <si>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</si>
  <si>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</si>
  <si>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</si>
  <si>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</si>
  <si>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</si>
  <si>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</si>
  <si>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</si>
  <si>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</si>
  <si>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</si>
  <si>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</si>
  <si>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</si>
  <si>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</si>
  <si>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</si>
  <si>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</si>
  <si>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</si>
  <si>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</si>
  <si>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</si>
  <si>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</si>
  <si>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</si>
  <si>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</si>
  <si>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</si>
  <si>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</si>
  <si>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</si>
  <si>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</si>
  <si>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</si>
  <si>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</si>
  <si>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</si>
  <si>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</si>
  <si>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</si>
  <si>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</si>
  <si>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</si>
  <si>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</si>
  <si>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</si>
  <si>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</si>
  <si>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</si>
  <si>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</si>
  <si>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</si>
  <si>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</si>
  <si>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</si>
  <si>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</si>
  <si>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</si>
  <si>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</si>
  <si>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</si>
  <si>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</si>
  <si>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</si>
  <si>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</si>
  <si>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</si>
  <si>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</si>
  <si>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</si>
  <si>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</si>
  <si>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</si>
  <si>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</si>
  <si>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</si>
  <si>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</si>
  <si>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</si>
  <si>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</si>
  <si>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</si>
  <si>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</si>
  <si>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</si>
  <si>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</si>
  <si>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</si>
  <si>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</si>
  <si>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</si>
  <si>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</si>
  <si>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</si>
  <si>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</si>
  <si>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</si>
  <si>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</si>
  <si>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</si>
  <si>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</si>
  <si>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</si>
  <si>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</si>
  <si>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</si>
  <si>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</si>
  <si>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</si>
  <si>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</si>
  <si>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</si>
  <si>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</si>
  <si>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</si>
  <si>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</si>
  <si>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</si>
  <si>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</si>
  <si>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</si>
  <si>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</si>
  <si>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</si>
  <si>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</si>
  <si>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</si>
  <si>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</si>
  <si>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</si>
  <si>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</si>
  <si>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</si>
  <si>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</si>
  <si>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</si>
  <si>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</si>
  <si>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Irepo</t>
  </si>
  <si>
    <t>Facility Name:</t>
  </si>
  <si>
    <t>Agade Primary Health Center</t>
  </si>
  <si>
    <t>Reporting Period:</t>
  </si>
  <si>
    <t>Q1(Oct - Dec)</t>
  </si>
  <si>
    <t>Facility Code:</t>
  </si>
  <si>
    <t>qOFvUyNQCHC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</si>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</sst>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39</v>
      </c>
      <c r="G8" s="155">
        <f>ROUND(SUM('All Questions'!D31:D35)/5+G12,0)</f>
        <v>58</v>
      </c>
      <c r="H8" s="156">
        <f>ROUND(SUM('All Questions'!D37,'All Questions'!D40)/2+'All Questions'!D26+H12,0)</f>
        <v>58</v>
      </c>
      <c r="I8" s="157">
        <f>ROUND((SUM('All Questions'!E11:E14)/4)+I12,0)</f>
        <v>0</v>
      </c>
      <c r="J8" s="155">
        <f>ROUND(SUM('All Questions'!E15:E21)/7+J12,0)</f>
        <v>0</v>
      </c>
      <c r="K8" s="155">
        <f>ROUND(SUM('All Questions'!E23:E30)/4+K12,0)</f>
        <v>31</v>
      </c>
      <c r="L8" s="155">
        <f>ROUND(SUM('All Questions'!E31:E35)/5+L12,0)</f>
        <v>46</v>
      </c>
      <c r="M8" s="156">
        <f>ROUND(('All Questions'!E37+'All Questions'!E40)/2+'All Questions'!E26+M12,0)</f>
        <v>46</v>
      </c>
      <c r="N8" s="157">
        <f>ROUND((SUM('All Questions'!F11:F14)/4)+N12,0)</f>
        <v>0</v>
      </c>
      <c r="O8" s="155">
        <f>ROUND(SUM('All Questions'!F15:F21)/7+O12,0)</f>
        <v>0</v>
      </c>
      <c r="P8" s="155">
        <f>ROUND(SUM('All Questions'!F23:F30)/4+P12,0)</f>
        <v>26</v>
      </c>
      <c r="Q8" s="155">
        <f>ROUND(SUM('All Questions'!F31:F35)/5+Q12,0)</f>
        <v>39</v>
      </c>
      <c r="R8" s="156">
        <f>ROUND(('All Questions'!F37+'All Questions'!F40)/2+'All Questions'!F26+R12,0)</f>
        <v>39</v>
      </c>
      <c r="S8" s="141">
        <f>'All Questions'!F2</f>
        <v>0</v>
      </c>
      <c r="T8" s="142" t="e">
        <f>(AVERAGE(F8:H8)+AVERAGE(K8:M8)+AVERAGE(P8:R8))/S8</f>
        <v>#DIV/0!</v>
      </c>
      <c r="V8" s="309">
        <f>AVERAGE(F8:H8)+AVERAGE(K8:M8)+AVERAGE(P8:R8)</f>
        <v>127.33333333333331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39</v>
      </c>
      <c r="G12" s="173">
        <f>ROUND(SUM('All Questions'!D73:D80)/4,0)</f>
        <v>58</v>
      </c>
      <c r="H12" s="174">
        <f>ROUND(SUM('All Questions'!D82:D83)/2,0)</f>
        <v>58</v>
      </c>
      <c r="I12" s="175">
        <f>ROUND(SUM('All Questions'!E54:E58)+'All Questions'!E71/4,0)</f>
        <v>0</v>
      </c>
      <c r="J12" s="176">
        <f>ROUND(SUM('All Questions'!E60:E63)/4,0)</f>
        <v>0</v>
      </c>
      <c r="K12" s="176">
        <f>ROUND(SUM('All Questions'!E67:E72)/3,0)</f>
        <v>31</v>
      </c>
      <c r="L12" s="176">
        <f>ROUND(SUM('All Questions'!E73:E80)/4,0)</f>
        <v>46</v>
      </c>
      <c r="M12" s="177">
        <f>ROUND(SUM('All Questions'!E82:E83)/2,0)</f>
        <v>46</v>
      </c>
      <c r="N12" s="178">
        <f>ROUND(SUM('All Questions'!F54:F58)+'All Questions'!F71/4,0)</f>
        <v>0</v>
      </c>
      <c r="O12" s="176">
        <f>ROUND(SUM('All Questions'!F60:F63)/4,0)</f>
        <v>0</v>
      </c>
      <c r="P12" s="176">
        <f>ROUND(SUM('All Questions'!F67:F72)/3,0)</f>
        <v>26</v>
      </c>
      <c r="Q12" s="176">
        <f>ROUND(SUM('All Questions'!F73:F80)/4,0)</f>
        <v>39</v>
      </c>
      <c r="R12" s="177">
        <f>ROUND(SUM('All Questions'!F82:F83)/2,0)</f>
        <v>39</v>
      </c>
      <c r="S12" s="145">
        <f>'All Questions'!F46</f>
        <v>0</v>
      </c>
      <c r="T12" s="146" t="e">
        <f ref="T12:T15" t="shared" si="1">(AVERAGE(F12:H12)+AVERAGE(K12:M12)+AVERAGE(P12:R12))/S12</f>
        <v>#DIV/0!</v>
      </c>
      <c r="V12" s="309">
        <f>AVERAGE(F12:H12)+AVERAGE(K12:M12)+AVERAGE(P12:R12)</f>
        <v>127.33333333333331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f>_xlfn.IFNA(VLOOKUP(B8,Worksheet!$C$3:$G$46,3,FALSE),D8)</f>
        <v>0</v>
      </c>
      <c r="E8" s="301">
        <f>_xlfn.IFNA(VLOOKUP(B8,Worksheet!$C$3:$G$46,4,FALSE),E8)</f>
        <v>0</v>
      </c>
      <c r="F8" s="301">
        <f>_xlfn.IFNA(VLOOKUP(B8,Worksheet!$C$3:$G$46,5,FALSE),F8)</f>
        <v>0</v>
      </c>
      <c r="G8" s="207" t="s">
        <v>67</v>
      </c>
    </row>
    <row r="9" hidden="1" ht="45" customHeight="1">
      <c r="A9" s="226"/>
      <c r="B9" s="238">
        <v>1112</v>
      </c>
      <c r="C9" s="242" t="s">
        <v>82</v>
      </c>
      <c r="D9" s="301">
        <f>_xlfn.IFNA(VLOOKUP(B9,Worksheet!$C$3:$G$46,3,FALSE),D9)</f>
        <v>0</v>
      </c>
      <c r="E9" s="301">
        <f>_xlfn.IFNA(VLOOKUP(B9,Worksheet!$C$3:$G$46,4,FALSE),E9)</f>
        <v>0</v>
      </c>
      <c r="F9" s="301">
        <f>_xlfn.IFNA(VLOOKUP(B9,Worksheet!$C$3:$G$46,5,FALSE),F9)</f>
        <v>0</v>
      </c>
      <c r="G9" s="207" t="s">
        <v>67</v>
      </c>
    </row>
    <row r="10" hidden="1" ht="45" customHeight="1">
      <c r="A10" s="226"/>
      <c r="B10" s="238">
        <v>1113</v>
      </c>
      <c r="C10" s="242" t="s">
        <v>83</v>
      </c>
      <c r="D10" s="301">
        <f>_xlfn.IFNA(VLOOKUP(B10,Worksheet!$C$3:$G$46,3,FALSE),D10)</f>
        <v>0</v>
      </c>
      <c r="E10" s="301">
        <f>_xlfn.IFNA(VLOOKUP(B10,Worksheet!$C$3:$G$46,4,FALSE),E10)</f>
        <v>0</v>
      </c>
      <c r="F10" s="301">
        <f>_xlfn.IFNA(VLOOKUP(B10,Worksheet!$C$3:$G$46,5,FALSE),F10)</f>
        <v>0</v>
      </c>
      <c r="G10" s="207" t="s">
        <v>67</v>
      </c>
    </row>
    <row r="11" hidden="1" ht="45" customHeight="1">
      <c r="A11" s="226"/>
      <c r="B11" s="238">
        <v>1114</v>
      </c>
      <c r="C11" s="243" t="s">
        <v>84</v>
      </c>
      <c r="D11" s="301">
        <f>_xlfn.IFNA(VLOOKUP(B11,Worksheet!$C$3:$G$46,3,FALSE),D11)</f>
        <v>0</v>
      </c>
      <c r="E11" s="301">
        <f>_xlfn.IFNA(VLOOKUP(B11,Worksheet!$C$3:$G$46,4,FALSE),E11)</f>
        <v>0</v>
      </c>
      <c r="F11" s="301">
        <f>_xlfn.IFNA(VLOOKUP(B11,Worksheet!$C$3:$G$46,5,FALSE),F11)</f>
        <v>0</v>
      </c>
      <c r="G11" s="207" t="s">
        <v>67</v>
      </c>
    </row>
    <row r="12" hidden="1" ht="45" customHeight="1">
      <c r="A12" s="226"/>
      <c r="B12" s="238">
        <v>1115</v>
      </c>
      <c r="C12" s="242" t="s">
        <v>85</v>
      </c>
      <c r="D12" s="301">
        <f>_xlfn.IFNA(VLOOKUP(B12,Worksheet!$C$3:$G$46,3,FALSE),D12)</f>
        <v>0</v>
      </c>
      <c r="E12" s="301">
        <f>_xlfn.IFNA(VLOOKUP(B12,Worksheet!$C$3:$G$46,4,FALSE),E12)</f>
        <v>0</v>
      </c>
      <c r="F12" s="301">
        <f>_xlfn.IFNA(VLOOKUP(B12,Worksheet!$C$3:$G$46,5,FALSE),F12)</f>
        <v>0</v>
      </c>
      <c r="G12" s="207" t="s">
        <v>67</v>
      </c>
    </row>
    <row r="13" hidden="1" ht="45" customHeight="1">
      <c r="A13" s="226" t="s">
        <v>86</v>
      </c>
      <c r="B13" s="238">
        <v>1116</v>
      </c>
      <c r="C13" s="242" t="s">
        <v>87</v>
      </c>
      <c r="D13" s="301">
        <f>_xlfn.IFNA(VLOOKUP(B13,Worksheet!$C$3:$G$46,3,FALSE),D13)</f>
        <v>0</v>
      </c>
      <c r="E13" s="301">
        <f>_xlfn.IFNA(VLOOKUP(B13,Worksheet!$C$3:$G$46,4,FALSE),E13)</f>
        <v>0</v>
      </c>
      <c r="F13" s="301">
        <f>_xlfn.IFNA(VLOOKUP(B13,Worksheet!$C$3:$G$46,5,FALSE),F13)</f>
        <v>0</v>
      </c>
      <c r="G13" s="207" t="s">
        <v>67</v>
      </c>
    </row>
    <row r="14" hidden="1" ht="45" customHeight="1">
      <c r="A14" s="226"/>
      <c r="B14" s="238">
        <v>1117</v>
      </c>
      <c r="C14" s="242" t="s">
        <v>88</v>
      </c>
      <c r="D14" s="301">
        <f>_xlfn.IFNA(VLOOKUP(B14,Worksheet!$C$3:$G$46,3,FALSE),D14)</f>
        <v>0</v>
      </c>
      <c r="E14" s="301">
        <f>_xlfn.IFNA(VLOOKUP(B14,Worksheet!$C$3:$G$46,4,FALSE),E14)</f>
        <v>0</v>
      </c>
      <c r="F14" s="301">
        <f>_xlfn.IFNA(VLOOKUP(B14,Worksheet!$C$3:$G$46,5,FALSE),F14)</f>
        <v>0</v>
      </c>
      <c r="G14" s="207" t="s">
        <v>67</v>
      </c>
    </row>
    <row r="15" hidden="1" ht="45" customHeight="1">
      <c r="A15" s="226">
        <v>1116</v>
      </c>
      <c r="B15" s="238">
        <v>1121</v>
      </c>
      <c r="C15" s="243" t="str">
        <f>C13</f>
        <v>How many HTC clients have a completed Client intake form </v>
      </c>
      <c r="D15" s="302">
        <f>D13</f>
        <v>0</v>
      </c>
      <c r="E15" s="302">
        <f ref="E15:F15" t="shared" si="0">E13</f>
        <v>0</v>
      </c>
      <c r="F15" s="302">
        <f t="shared" si="0"/>
        <v>0</v>
      </c>
      <c r="G15" s="207"/>
    </row>
    <row r="16" hidden="1" ht="45" customHeight="1">
      <c r="A16" s="226"/>
      <c r="B16" s="238">
        <v>1122</v>
      </c>
      <c r="C16" s="243" t="s">
        <v>89</v>
      </c>
      <c r="D16" s="301">
        <f>_xlfn.IFNA(VLOOKUP(B16,Worksheet!$C$3:$G$46,3,FALSE),D16)</f>
        <v>0</v>
      </c>
      <c r="E16" s="301">
        <f>_xlfn.IFNA(VLOOKUP(B16,Worksheet!$C$3:$G$46,4,FALSE),E16)</f>
        <v>0</v>
      </c>
      <c r="F16" s="301">
        <f>_xlfn.IFNA(VLOOKUP(B16,Worksheet!$C$3:$G$46,5,FALSE),F16)</f>
        <v>0</v>
      </c>
      <c r="G16" s="207" t="s">
        <v>67</v>
      </c>
    </row>
    <row r="17" hidden="1" ht="45" customHeight="1">
      <c r="A17" s="226"/>
      <c r="B17" s="238">
        <v>1123</v>
      </c>
      <c r="C17" s="242" t="s">
        <v>90</v>
      </c>
      <c r="D17" s="301">
        <f>_xlfn.IFNA(VLOOKUP(B17,Worksheet!$C$3:$G$46,3,FALSE),D17)</f>
        <v>0</v>
      </c>
      <c r="E17" s="301">
        <f>_xlfn.IFNA(VLOOKUP(B17,Worksheet!$C$3:$G$46,4,FALSE),E17)</f>
        <v>0</v>
      </c>
      <c r="F17" s="301">
        <f>_xlfn.IFNA(VLOOKUP(B17,Worksheet!$C$3:$G$46,5,FALSE),F17)</f>
        <v>0</v>
      </c>
      <c r="G17" s="207" t="s">
        <v>67</v>
      </c>
    </row>
    <row r="18" hidden="1" ht="45" customHeight="1">
      <c r="A18" s="226"/>
      <c r="B18" s="238">
        <v>1124</v>
      </c>
      <c r="C18" s="242" t="s">
        <v>91</v>
      </c>
      <c r="D18" s="301">
        <f>_xlfn.IFNA(VLOOKUP(B18,Worksheet!$C$3:$G$46,3,FALSE),D18)</f>
        <v>0</v>
      </c>
      <c r="E18" s="301">
        <f>_xlfn.IFNA(VLOOKUP(B18,Worksheet!$C$3:$G$46,4,FALSE),E18)</f>
        <v>0</v>
      </c>
      <c r="F18" s="301">
        <f>_xlfn.IFNA(VLOOKUP(B18,Worksheet!$C$3:$G$46,5,FALSE),F18)</f>
        <v>0</v>
      </c>
      <c r="G18" s="207" t="s">
        <v>67</v>
      </c>
    </row>
    <row r="19" hidden="1" ht="45" customHeight="1">
      <c r="A19" s="226"/>
      <c r="B19" s="238">
        <v>1125</v>
      </c>
      <c r="C19" s="242" t="s">
        <v>92</v>
      </c>
      <c r="D19" s="301">
        <f>_xlfn.IFNA(VLOOKUP(B19,Worksheet!$C$3:$G$46,3,FALSE),D19)</f>
        <v>0</v>
      </c>
      <c r="E19" s="301">
        <f>_xlfn.IFNA(VLOOKUP(B19,Worksheet!$C$3:$G$46,4,FALSE),E19)</f>
        <v>0</v>
      </c>
      <c r="F19" s="301">
        <f>_xlfn.IFNA(VLOOKUP(B19,Worksheet!$C$3:$G$46,5,FALSE),F19)</f>
        <v>0</v>
      </c>
      <c r="G19" s="207" t="s">
        <v>67</v>
      </c>
    </row>
    <row r="20" hidden="1" ht="45" customHeight="1">
      <c r="A20" s="226"/>
      <c r="B20" s="238">
        <v>1126</v>
      </c>
      <c r="C20" s="242" t="s">
        <v>93</v>
      </c>
      <c r="D20" s="301">
        <f>_xlfn.IFNA(VLOOKUP(B20,Worksheet!$C$3:$G$46,3,FALSE),D20)</f>
        <v>0</v>
      </c>
      <c r="E20" s="301">
        <f>_xlfn.IFNA(VLOOKUP(B20,Worksheet!$C$3:$G$46,4,FALSE),E20)</f>
        <v>0</v>
      </c>
      <c r="F20" s="301">
        <f>_xlfn.IFNA(VLOOKUP(B20,Worksheet!$C$3:$G$46,5,FALSE),F20)</f>
        <v>0</v>
      </c>
      <c r="G20" s="207" t="s">
        <v>67</v>
      </c>
    </row>
    <row r="21" hidden="1" ht="45" customHeight="1">
      <c r="A21" s="226"/>
      <c r="B21" s="238">
        <v>1127</v>
      </c>
      <c r="C21" s="242" t="s">
        <v>94</v>
      </c>
      <c r="D21" s="301">
        <f>_xlfn.IFNA(VLOOKUP(B21,Worksheet!$C$3:$G$46,3,FALSE),D21)</f>
        <v>0</v>
      </c>
      <c r="E21" s="301">
        <f>_xlfn.IFNA(VLOOKUP(B21,Worksheet!$C$3:$G$46,4,FALSE),E21)</f>
        <v>0</v>
      </c>
      <c r="F21" s="301">
        <f>_xlfn.IFNA(VLOOKUP(B21,Worksheet!$C$3:$G$46,5,FALSE),F21)</f>
        <v>0</v>
      </c>
      <c r="G21" s="207" t="s">
        <v>67</v>
      </c>
    </row>
    <row r="22" hidden="1" ht="45" customHeight="1">
      <c r="A22" s="226"/>
      <c r="B22" s="238"/>
      <c r="C22" s="245" t="s">
        <v>95</v>
      </c>
      <c r="D22" s="246"/>
      <c r="E22" s="246"/>
      <c r="F22" s="247"/>
      <c r="G22" s="207" t="s">
        <v>67</v>
      </c>
    </row>
    <row r="23" hidden="1" ht="45" customHeight="1">
      <c r="A23" s="226"/>
      <c r="B23" s="238">
        <v>1131</v>
      </c>
      <c r="C23" s="242" t="s">
        <v>96</v>
      </c>
      <c r="D23" s="301">
        <f>_xlfn.IFNA(VLOOKUP(B23,Worksheet!$C$3:$G$46,3,FALSE),D23)</f>
        <v>0</v>
      </c>
      <c r="E23" s="301">
        <f>_xlfn.IFNA(VLOOKUP(B23,Worksheet!$C$3:$G$46,4,FALSE),E23)</f>
        <v>0</v>
      </c>
      <c r="F23" s="301">
        <f>_xlfn.IFNA(VLOOKUP(B23,Worksheet!$C$3:$G$46,5,FALSE),F23)</f>
        <v>0</v>
      </c>
      <c r="G23" s="207" t="s">
        <v>67</v>
      </c>
    </row>
    <row r="24" hidden="1" ht="45" customHeight="1">
      <c r="A24" s="226"/>
      <c r="B24" s="238">
        <v>1132</v>
      </c>
      <c r="C24" s="242" t="s">
        <v>97</v>
      </c>
      <c r="D24" s="301">
        <f>_xlfn.IFNA(VLOOKUP(B24,Worksheet!$C$3:$G$46,3,FALSE),D24)</f>
        <v>0</v>
      </c>
      <c r="E24" s="301">
        <f>_xlfn.IFNA(VLOOKUP(B24,Worksheet!$C$3:$G$46,4,FALSE),E24)</f>
        <v>0</v>
      </c>
      <c r="F24" s="301">
        <f>_xlfn.IFNA(VLOOKUP(B24,Worksheet!$C$3:$G$46,5,FALSE),F24)</f>
        <v>0</v>
      </c>
      <c r="G24" s="207" t="s">
        <v>67</v>
      </c>
    </row>
    <row r="25" hidden="1" ht="45" customHeight="1">
      <c r="A25" s="226"/>
      <c r="B25" s="238">
        <v>1133</v>
      </c>
      <c r="C25" s="242" t="s">
        <v>98</v>
      </c>
      <c r="D25" s="301">
        <f>_xlfn.IFNA(VLOOKUP(B25,Worksheet!$C$3:$G$46,3,FALSE),D25)</f>
        <v>0</v>
      </c>
      <c r="E25" s="301">
        <f>_xlfn.IFNA(VLOOKUP(B25,Worksheet!$C$3:$G$46,4,FALSE),E25)</f>
        <v>0</v>
      </c>
      <c r="F25" s="301">
        <f>_xlfn.IFNA(VLOOKUP(B25,Worksheet!$C$3:$G$46,5,FALSE),F25)</f>
        <v>0</v>
      </c>
      <c r="G25" s="207" t="s">
        <v>67</v>
      </c>
    </row>
    <row r="26" hidden="1" ht="45" customHeight="1">
      <c r="A26" s="226"/>
      <c r="B26" s="238">
        <v>1134</v>
      </c>
      <c r="C26" s="242" t="s">
        <v>99</v>
      </c>
      <c r="D26" s="301">
        <f>_xlfn.IFNA(VLOOKUP(B26,Worksheet!$C$3:$G$46,3,FALSE),D26)</f>
        <v>0</v>
      </c>
      <c r="E26" s="301">
        <f>_xlfn.IFNA(VLOOKUP(B26,Worksheet!$C$3:$G$46,4,FALSE),E26)</f>
        <v>0</v>
      </c>
      <c r="F26" s="301">
        <f>_xlfn.IFNA(VLOOKUP(B26,Worksheet!$C$3:$G$46,5,FALSE),F26)</f>
        <v>0</v>
      </c>
      <c r="G26" s="207" t="s">
        <v>67</v>
      </c>
    </row>
    <row r="27" hidden="1" ht="45" customHeight="1">
      <c r="A27" s="226"/>
      <c r="B27" s="238">
        <v>1135</v>
      </c>
      <c r="C27" s="242" t="s">
        <v>100</v>
      </c>
      <c r="D27" s="301">
        <f>_xlfn.IFNA(VLOOKUP(B27,Worksheet!$C$3:$G$46,3,FALSE),D27)</f>
        <v>0</v>
      </c>
      <c r="E27" s="301">
        <f>_xlfn.IFNA(VLOOKUP(B27,Worksheet!$C$3:$G$46,4,FALSE),E27)</f>
        <v>0</v>
      </c>
      <c r="F27" s="301">
        <f>_xlfn.IFNA(VLOOKUP(B27,Worksheet!$C$3:$G$46,5,FALSE),F27)</f>
        <v>0</v>
      </c>
      <c r="G27" s="207" t="s">
        <v>67</v>
      </c>
    </row>
    <row r="28" hidden="1" ht="45" customHeight="1">
      <c r="A28" s="226"/>
      <c r="B28" s="238">
        <v>1136</v>
      </c>
      <c r="C28" s="242" t="s">
        <v>101</v>
      </c>
      <c r="D28" s="301">
        <f>_xlfn.IFNA(VLOOKUP(B28,Worksheet!$C$3:$G$46,3,FALSE),D28)</f>
        <v>0</v>
      </c>
      <c r="E28" s="301">
        <f>_xlfn.IFNA(VLOOKUP(B28,Worksheet!$C$3:$G$46,4,FALSE),E28)</f>
        <v>0</v>
      </c>
      <c r="F28" s="301">
        <f>_xlfn.IFNA(VLOOKUP(B28,Worksheet!$C$3:$G$46,5,FALSE),F28)</f>
        <v>0</v>
      </c>
      <c r="G28" s="207" t="s">
        <v>67</v>
      </c>
    </row>
    <row r="29" hidden="1" ht="45" customHeight="1">
      <c r="A29" s="226"/>
      <c r="B29" s="238">
        <v>1137</v>
      </c>
      <c r="C29" s="242" t="s">
        <v>102</v>
      </c>
      <c r="D29" s="301">
        <f>_xlfn.IFNA(VLOOKUP(B29,Worksheet!$C$3:$G$46,3,FALSE),D29)</f>
        <v>0</v>
      </c>
      <c r="E29" s="301">
        <f>_xlfn.IFNA(VLOOKUP(B29,Worksheet!$C$3:$G$46,4,FALSE),E29)</f>
        <v>0</v>
      </c>
      <c r="F29" s="301">
        <f>_xlfn.IFNA(VLOOKUP(B29,Worksheet!$C$3:$G$46,5,FALSE),F29)</f>
        <v>0</v>
      </c>
      <c r="G29" s="207" t="s">
        <v>67</v>
      </c>
    </row>
    <row r="30" hidden="1" ht="45" customHeight="1">
      <c r="A30" s="226"/>
      <c r="B30" s="238">
        <v>1138</v>
      </c>
      <c r="C30" s="242" t="s">
        <v>103</v>
      </c>
      <c r="D30" s="301">
        <f>_xlfn.IFNA(VLOOKUP(B30,Worksheet!$C$3:$G$46,3,FALSE),D30)</f>
        <v>0</v>
      </c>
      <c r="E30" s="301">
        <f>_xlfn.IFNA(VLOOKUP(B30,Worksheet!$C$3:$G$46,4,FALSE),E30)</f>
        <v>0</v>
      </c>
      <c r="F30" s="301">
        <f>_xlfn.IFNA(VLOOKUP(B30,Worksheet!$C$3:$G$46,5,FALSE),F30)</f>
        <v>0</v>
      </c>
      <c r="G30" s="207" t="s">
        <v>67</v>
      </c>
    </row>
    <row r="31" hidden="1" ht="45" customHeight="1">
      <c r="A31" s="226">
        <v>1116</v>
      </c>
      <c r="B31" s="238">
        <v>1141</v>
      </c>
      <c r="C31" s="242" t="s">
        <v>104</v>
      </c>
      <c r="D31" s="302">
        <f>D13</f>
        <v>0</v>
      </c>
      <c r="E31" s="302">
        <f>E13</f>
        <v>0</v>
      </c>
      <c r="F31" s="302">
        <f>F13</f>
        <v>0</v>
      </c>
      <c r="G31" s="207"/>
    </row>
    <row r="32" hidden="1" ht="45" customHeight="1">
      <c r="A32" s="226"/>
      <c r="B32" s="238">
        <v>1142</v>
      </c>
      <c r="C32" s="243" t="s">
        <v>105</v>
      </c>
      <c r="D32" s="302">
        <f>D18</f>
        <v>0</v>
      </c>
      <c r="E32" s="302">
        <f>E18</f>
        <v>0</v>
      </c>
      <c r="F32" s="302">
        <f>F18</f>
        <v>0</v>
      </c>
      <c r="G32" s="207"/>
    </row>
    <row r="33" hidden="1" ht="45" customHeight="1">
      <c r="A33" s="226"/>
      <c r="B33" s="238">
        <v>1143</v>
      </c>
      <c r="C33" s="242" t="s">
        <v>106</v>
      </c>
      <c r="D33" s="301">
        <f>_xlfn.IFNA(VLOOKUP(B33,Worksheet!$C$3:$G$46,3,FALSE),D33)</f>
        <v>0</v>
      </c>
      <c r="E33" s="301">
        <f>_xlfn.IFNA(VLOOKUP(B33,Worksheet!$C$3:$G$46,4,FALSE),E33)</f>
        <v>0</v>
      </c>
      <c r="F33" s="301">
        <f>_xlfn.IFNA(VLOOKUP(B33,Worksheet!$C$3:$G$46,5,FALSE),F33)</f>
        <v>0</v>
      </c>
      <c r="G33" s="207" t="s">
        <v>67</v>
      </c>
    </row>
    <row r="34" hidden="1" ht="45" customHeight="1">
      <c r="A34" s="226"/>
      <c r="B34" s="238">
        <v>1144</v>
      </c>
      <c r="C34" s="242" t="s">
        <v>107</v>
      </c>
      <c r="D34" s="301">
        <f>_xlfn.IFNA(VLOOKUP(B34,Worksheet!$C$3:$G$46,3,FALSE),D34)</f>
        <v>0</v>
      </c>
      <c r="E34" s="301">
        <f>_xlfn.IFNA(VLOOKUP(B34,Worksheet!$C$3:$G$46,4,FALSE),E34)</f>
        <v>0</v>
      </c>
      <c r="F34" s="301">
        <f>_xlfn.IFNA(VLOOKUP(B34,Worksheet!$C$3:$G$46,5,FALSE),F34)</f>
        <v>0</v>
      </c>
      <c r="G34" s="207" t="s">
        <v>67</v>
      </c>
    </row>
    <row r="35" hidden="1" ht="45" customHeight="1">
      <c r="A35" s="226"/>
      <c r="B35" s="238">
        <v>1145</v>
      </c>
      <c r="C35" s="242" t="s">
        <v>108</v>
      </c>
      <c r="D35" s="301">
        <f>_xlfn.IFNA(VLOOKUP(B35,Worksheet!$C$3:$G$46,3,FALSE),D35)</f>
        <v>0</v>
      </c>
      <c r="E35" s="301">
        <f>_xlfn.IFNA(VLOOKUP(B35,Worksheet!$C$3:$G$46,4,FALSE),E35)</f>
        <v>0</v>
      </c>
      <c r="F35" s="301">
        <f>_xlfn.IFNA(VLOOKUP(B35,Worksheet!$C$3:$G$46,5,FALSE),F35)</f>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f>_xlfn.IFNA(VLOOKUP(B37,Worksheet!$C$3:$G$46,3,FALSE),D37)</f>
        <v>0</v>
      </c>
      <c r="E37" s="301">
        <f>_xlfn.IFNA(VLOOKUP(B37,Worksheet!$C$3:$G$46,4,FALSE),E37)</f>
        <v>0</v>
      </c>
      <c r="F37" s="301">
        <f>_xlfn.IFNA(VLOOKUP(B37,Worksheet!$C$3:$G$46,5,FALSE),F37)</f>
        <v>0</v>
      </c>
      <c r="G37" s="207" t="s">
        <v>67</v>
      </c>
    </row>
    <row r="38" hidden="1" ht="45" customHeight="1">
      <c r="A38" s="226"/>
      <c r="B38" s="238">
        <v>1153</v>
      </c>
      <c r="C38" s="242" t="s">
        <v>111</v>
      </c>
      <c r="D38" s="301">
        <f>_xlfn.IFNA(VLOOKUP(B38,Worksheet!$C$3:$G$46,3,FALSE),D38)</f>
        <v>0</v>
      </c>
      <c r="E38" s="301">
        <f>_xlfn.IFNA(VLOOKUP(B38,Worksheet!$C$3:$G$46,4,FALSE),E38)</f>
        <v>0</v>
      </c>
      <c r="F38" s="301">
        <f>_xlfn.IFNA(VLOOKUP(B38,Worksheet!$C$3:$G$46,5,FALSE),F38)</f>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f>_xlfn.IFNA(VLOOKUP(B40,Worksheet!$C$3:$G$46,3,FALSE),D40)</f>
        <v>0</v>
      </c>
      <c r="E40" s="301">
        <f>_xlfn.IFNA(VLOOKUP(B40,Worksheet!$C$3:$G$46,4,FALSE),E40)</f>
        <v>0</v>
      </c>
      <c r="F40" s="301">
        <f>_xlfn.IFNA(VLOOKUP(B40,Worksheet!$C$3:$G$46,5,FALSE),F40)</f>
        <v>0</v>
      </c>
      <c r="G40" s="207" t="s">
        <v>67</v>
      </c>
    </row>
    <row r="41" hidden="1" ht="45" customHeight="1">
      <c r="A41" s="226"/>
      <c r="B41" s="238">
        <v>1156</v>
      </c>
      <c r="C41" s="242" t="s">
        <v>113</v>
      </c>
      <c r="D41" s="301">
        <f>_xlfn.IFNA(VLOOKUP(B41,Worksheet!$C$3:$G$46,3,FALSE),D41)</f>
        <v>0</v>
      </c>
      <c r="E41" s="301">
        <f>_xlfn.IFNA(VLOOKUP(B41,Worksheet!$C$3:$G$46,4,FALSE),E41)</f>
        <v>0</v>
      </c>
      <c r="F41" s="301">
        <f>_xlfn.IFNA(VLOOKUP(B41,Worksheet!$C$3:$G$46,5,FALSE),F41)</f>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f>_xlfn.IFNA(VLOOKUP(B43,Worksheet!$C$3:$G$46,3,FALSE),D43)</f>
        <v>0</v>
      </c>
      <c r="E43" s="301">
        <f>_xlfn.IFNA(VLOOKUP(B43,Worksheet!$C$3:$G$46,4,FALSE),E43)</f>
        <v>0</v>
      </c>
      <c r="F43" s="301">
        <f>_xlfn.IFNA(VLOOKUP(B43,Worksheet!$C$3:$G$46,5,FALSE),F43)</f>
        <v>0</v>
      </c>
      <c r="G43" s="207" t="s">
        <v>67</v>
      </c>
    </row>
    <row r="44" hidden="1" ht="45" customHeight="1" s="250" customFormat="1">
      <c r="A44" s="226"/>
      <c r="B44" s="238">
        <v>1159</v>
      </c>
      <c r="C44" s="242" t="s">
        <v>116</v>
      </c>
      <c r="D44" s="301">
        <f>_xlfn.IFNA(VLOOKUP(B44,Worksheet!$C$3:$G$46,3,FALSE),D44)</f>
        <v>0</v>
      </c>
      <c r="E44" s="301">
        <f>_xlfn.IFNA(VLOOKUP(B44,Worksheet!$C$3:$G$46,4,FALSE),E44)</f>
        <v>0</v>
      </c>
      <c r="F44" s="301">
        <f>_xlfn.IFNA(VLOOKUP(B44,Worksheet!$C$3:$G$46,5,FALSE),F44)</f>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58</v>
      </c>
      <c r="E54" s="301">
        <v>46</v>
      </c>
      <c r="F54" s="301">
        <v>39</v>
      </c>
      <c r="G54" s="207" t="s">
        <v>117</v>
      </c>
    </row>
    <row r="55" hidden="1" ht="45" customHeight="1">
      <c r="A55" s="226"/>
      <c r="B55" s="238">
        <v>1215</v>
      </c>
      <c r="C55" s="242" t="s">
        <v>133</v>
      </c>
      <c r="D55" s="301">
        <v>8</v>
      </c>
      <c r="E55" s="301">
        <v>8</v>
      </c>
      <c r="F55" s="301">
        <v>8</v>
      </c>
      <c r="G55" s="207" t="s">
        <v>117</v>
      </c>
    </row>
    <row r="56" hidden="1" ht="45" customHeight="1">
      <c r="A56" s="226"/>
      <c r="B56" s="238">
        <v>1216</v>
      </c>
      <c r="C56" s="243" t="s">
        <v>134</v>
      </c>
      <c r="D56" s="301">
        <v>58</v>
      </c>
      <c r="E56" s="301">
        <v>46</v>
      </c>
      <c r="F56" s="301">
        <v>39</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58</v>
      </c>
      <c r="E59" s="301">
        <v>46</v>
      </c>
      <c r="F59" s="301">
        <v>39</v>
      </c>
      <c r="G59" s="207" t="s">
        <v>117</v>
      </c>
    </row>
    <row r="60" hidden="1" ht="45" customHeight="1">
      <c r="A60" s="226"/>
      <c r="B60" s="238">
        <v>1222</v>
      </c>
      <c r="C60" s="264" t="s">
        <v>138</v>
      </c>
      <c r="D60" s="301">
        <v>58</v>
      </c>
      <c r="E60" s="301">
        <v>46</v>
      </c>
      <c r="F60" s="301">
        <v>39</v>
      </c>
      <c r="G60" s="207" t="s">
        <v>117</v>
      </c>
    </row>
    <row r="61" hidden="1" ht="45" customHeight="1">
      <c r="A61" s="226"/>
      <c r="B61" s="238">
        <v>1223</v>
      </c>
      <c r="C61" s="264" t="s">
        <v>139</v>
      </c>
      <c r="D61" s="301">
        <v>58</v>
      </c>
      <c r="E61" s="301">
        <v>46</v>
      </c>
      <c r="F61" s="301">
        <v>39</v>
      </c>
      <c r="G61" s="207" t="s">
        <v>117</v>
      </c>
    </row>
    <row r="62" hidden="1" ht="54.65" customHeight="1">
      <c r="A62" s="226"/>
      <c r="B62" s="238">
        <v>1224</v>
      </c>
      <c r="C62" s="264" t="s">
        <v>140</v>
      </c>
      <c r="D62" s="301">
        <v>58</v>
      </c>
      <c r="E62" s="301">
        <v>46</v>
      </c>
      <c r="F62" s="301">
        <v>39</v>
      </c>
      <c r="G62" s="207" t="s">
        <v>117</v>
      </c>
    </row>
    <row r="63" hidden="1" ht="66.65" customHeight="1">
      <c r="A63" s="226"/>
      <c r="B63" s="238">
        <v>1225</v>
      </c>
      <c r="C63" s="264" t="s">
        <v>141</v>
      </c>
      <c r="D63" s="301">
        <v>58</v>
      </c>
      <c r="E63" s="301">
        <v>46</v>
      </c>
      <c r="F63" s="301">
        <v>39</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58</v>
      </c>
      <c r="E67" s="301">
        <v>46</v>
      </c>
      <c r="F67" s="301">
        <v>39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58</v>
      </c>
      <c r="E71" s="301">
        <v>46</v>
      </c>
      <c r="F71" s="301">
        <v>39</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58</v>
      </c>
      <c r="E73" s="301">
        <v>46</v>
      </c>
      <c r="F73" s="301">
        <v>39</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58</v>
      </c>
      <c r="E75" s="301">
        <v>46</v>
      </c>
      <c r="F75" s="301">
        <v>39</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58</v>
      </c>
      <c r="E77" s="301">
        <v>46</v>
      </c>
      <c r="F77" s="301">
        <v>39</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58</v>
      </c>
      <c r="E79" s="301">
        <v>46</v>
      </c>
      <c r="F79" s="301">
        <v>39</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58</v>
      </c>
      <c r="E82" s="301">
        <v>46</v>
      </c>
      <c r="F82" s="301">
        <v>39</v>
      </c>
      <c r="G82" s="207" t="s">
        <v>117</v>
      </c>
    </row>
    <row r="83" hidden="1" ht="45" customHeight="1">
      <c r="A83" s="226"/>
      <c r="B83" s="238">
        <v>1253</v>
      </c>
      <c r="C83" s="242" t="s">
        <v>161</v>
      </c>
      <c r="D83" s="301">
        <v>58</v>
      </c>
      <c r="E83" s="301">
        <v>46</v>
      </c>
      <c r="F83" s="301">
        <v>39</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415</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415</v>
      </c>
      <c r="AX2" s="0" t="s">
        <v>432</v>
      </c>
      <c r="AY2" s="304" t="s">
        <v>471</v>
      </c>
      <c r="AZ2" s="0" t="s">
        <v>472</v>
      </c>
      <c r="BA2" s="0" t="s">
        <v>285</v>
      </c>
      <c r="BB2" s="0" t="str">
        <f>SUBSTITUTE(SUBSTITUTE(BA2&amp;AX2," ",""),"-","")</f>
        <v>AHNIogAdoOdoOta</v>
      </c>
    </row>
    <row r="3">
      <c r="A3" s="98" t="s">
        <v>473</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415</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415</v>
      </c>
      <c r="AX4" s="0" t="s">
        <v>432</v>
      </c>
      <c r="AY4" s="304" t="s">
        <v>553</v>
      </c>
      <c r="AZ4" s="0" t="s">
        <v>554</v>
      </c>
      <c r="BA4" s="0" t="s">
        <v>285</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415</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415</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415</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415</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415</v>
      </c>
      <c r="AX9" s="0" t="s">
        <v>557</v>
      </c>
      <c r="AY9" s="0" t="s">
        <v>740</v>
      </c>
      <c r="AZ9" s="0" t="s">
        <v>741</v>
      </c>
      <c r="BA9" s="0" t="s">
        <v>285</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470</v>
      </c>
      <c r="AW10" s="0" t="s">
        <v>415</v>
      </c>
      <c r="AX10" s="0" t="s">
        <v>557</v>
      </c>
      <c r="AY10" s="0" t="s">
        <v>773</v>
      </c>
      <c r="AZ10" s="0" t="s">
        <v>774</v>
      </c>
      <c r="BA10" s="0" t="s">
        <v>285</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470</v>
      </c>
      <c r="AW11" s="0" t="s">
        <v>286</v>
      </c>
      <c r="AX11" s="0" t="s">
        <v>463</v>
      </c>
      <c r="AY11" s="0" t="s">
        <v>803</v>
      </c>
      <c r="AZ11" s="0" t="s">
        <v>804</v>
      </c>
      <c r="BA11" s="0" t="s">
        <v>285</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470</v>
      </c>
      <c r="AW12" s="0" t="s">
        <v>286</v>
      </c>
      <c r="AX12" s="0" t="s">
        <v>463</v>
      </c>
      <c r="AY12" s="0" t="s">
        <v>832</v>
      </c>
      <c r="AZ12" s="0" t="s">
        <v>833</v>
      </c>
      <c r="BA12" s="0" t="s">
        <v>285</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470</v>
      </c>
      <c r="AW13" s="0" t="s">
        <v>286</v>
      </c>
      <c r="AX13" s="0" t="s">
        <v>463</v>
      </c>
      <c r="AY13" s="0" t="s">
        <v>860</v>
      </c>
      <c r="AZ13" s="0" t="s">
        <v>861</v>
      </c>
      <c r="BA13" s="0" t="s">
        <v>285</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455</v>
      </c>
      <c r="AF14" s="59" t="s">
        <v>877</v>
      </c>
      <c r="AH14" s="59"/>
      <c r="AI14" s="59" t="s">
        <v>878</v>
      </c>
      <c r="AK14" s="59"/>
      <c r="AL14" s="59"/>
      <c r="AM14" s="59" t="s">
        <v>879</v>
      </c>
      <c r="AN14" s="59" t="s">
        <v>880</v>
      </c>
      <c r="AO14" s="59" t="s">
        <v>881</v>
      </c>
      <c r="AP14" s="59" t="s">
        <v>882</v>
      </c>
      <c r="AQ14" s="59" t="s">
        <v>883</v>
      </c>
      <c r="AR14" s="59" t="s">
        <v>884</v>
      </c>
      <c r="AS14" s="59" t="s">
        <v>885</v>
      </c>
      <c r="AV14" s="0" t="s">
        <v>470</v>
      </c>
      <c r="AW14" s="0" t="s">
        <v>286</v>
      </c>
      <c r="AX14" s="0" t="s">
        <v>463</v>
      </c>
      <c r="AY14" s="0" t="s">
        <v>886</v>
      </c>
      <c r="AZ14" s="0" t="s">
        <v>887</v>
      </c>
      <c r="BA14" s="0" t="s">
        <v>285</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470</v>
      </c>
      <c r="AW15" s="0" t="s">
        <v>286</v>
      </c>
      <c r="AX15" s="0" t="s">
        <v>463</v>
      </c>
      <c r="AY15" s="0" t="s">
        <v>911</v>
      </c>
      <c r="AZ15" s="0" t="s">
        <v>912</v>
      </c>
      <c r="BA15" s="0" t="s">
        <v>285</v>
      </c>
      <c r="BB15" s="0" t="str">
        <f t="shared" si="0"/>
        <v>AHNIoyAtisbo</v>
      </c>
      <c r="BE15" s="0">
        <v>180</v>
      </c>
      <c r="BF15" s="0">
        <v>199</v>
      </c>
      <c r="BG15" s="0">
        <v>70</v>
      </c>
    </row>
    <row r="16">
      <c r="D16" s="0" t="s">
        <v>413</v>
      </c>
      <c r="E16" s="0" t="s">
        <v>457</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470</v>
      </c>
      <c r="AW16" s="0" t="s">
        <v>286</v>
      </c>
      <c r="AX16" s="0" t="s">
        <v>463</v>
      </c>
      <c r="AY16" s="0" t="s">
        <v>935</v>
      </c>
      <c r="AZ16" s="0" t="s">
        <v>936</v>
      </c>
      <c r="BA16" s="0" t="s">
        <v>285</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470</v>
      </c>
      <c r="AW17" s="0" t="s">
        <v>286</v>
      </c>
      <c r="AX17" s="0" t="s">
        <v>505</v>
      </c>
      <c r="AY17" s="0" t="s">
        <v>289</v>
      </c>
      <c r="AZ17" s="0" t="s">
        <v>293</v>
      </c>
      <c r="BA17" s="0" t="s">
        <v>285</v>
      </c>
      <c r="BB17" s="0" t="str">
        <f t="shared" si="0"/>
        <v>AHNIoyIrepo</v>
      </c>
      <c r="BE17" s="0">
        <v>250</v>
      </c>
      <c r="BF17" s="0">
        <v>299</v>
      </c>
      <c r="BG17" s="0">
        <v>79</v>
      </c>
    </row>
    <row r="18">
      <c r="D18" s="0" t="s">
        <v>416</v>
      </c>
      <c r="E18" s="0" t="s">
        <v>541</v>
      </c>
      <c r="I18" s="59" t="s">
        <v>958</v>
      </c>
      <c r="J18" s="59" t="s">
        <v>959</v>
      </c>
      <c r="K18" s="59" t="s">
        <v>960</v>
      </c>
      <c r="L18" s="59" t="s">
        <v>961</v>
      </c>
      <c r="M18" s="59" t="s">
        <v>962</v>
      </c>
      <c r="O18" s="0" t="s">
        <v>963</v>
      </c>
      <c r="P18" s="59" t="s">
        <v>964</v>
      </c>
      <c r="Q18" s="59" t="s">
        <v>965</v>
      </c>
      <c r="T18" s="59" t="s">
        <v>966</v>
      </c>
      <c r="Y18" s="59" t="s">
        <v>967</v>
      </c>
      <c r="Z18" s="59" t="s">
        <v>968</v>
      </c>
      <c r="AA18" s="59" t="s">
        <v>969</v>
      </c>
      <c r="AD18" s="59" t="s">
        <v>970</v>
      </c>
      <c r="AI18" s="59" t="s">
        <v>971</v>
      </c>
      <c r="AK18" s="59"/>
      <c r="AL18" s="59"/>
      <c r="AM18" s="59" t="s">
        <v>972</v>
      </c>
      <c r="AN18" s="59"/>
      <c r="AO18" s="59" t="s">
        <v>973</v>
      </c>
      <c r="AP18" s="59" t="s">
        <v>974</v>
      </c>
      <c r="AR18" s="59" t="s">
        <v>975</v>
      </c>
      <c r="AV18" s="0" t="s">
        <v>470</v>
      </c>
      <c r="AW18" s="0" t="s">
        <v>286</v>
      </c>
      <c r="AX18" s="0" t="s">
        <v>505</v>
      </c>
      <c r="AY18" s="0" t="s">
        <v>976</v>
      </c>
      <c r="AZ18" s="0" t="s">
        <v>977</v>
      </c>
      <c r="BA18" s="0" t="s">
        <v>285</v>
      </c>
      <c r="BB18" s="0" t="str">
        <f t="shared" si="0"/>
        <v>AHNIoyIrepo</v>
      </c>
      <c r="BE18" s="0">
        <v>300</v>
      </c>
      <c r="BF18" s="0">
        <v>349</v>
      </c>
      <c r="BG18" s="0">
        <v>82</v>
      </c>
    </row>
    <row r="19">
      <c r="D19" s="0" t="s">
        <v>417</v>
      </c>
      <c r="E19" s="0" t="s">
        <v>581</v>
      </c>
      <c r="J19" s="59" t="s">
        <v>978</v>
      </c>
      <c r="K19" s="59" t="s">
        <v>979</v>
      </c>
      <c r="L19" s="59" t="s">
        <v>980</v>
      </c>
      <c r="M19" s="59" t="s">
        <v>981</v>
      </c>
      <c r="O19" s="0" t="s">
        <v>982</v>
      </c>
      <c r="P19" s="59" t="s">
        <v>983</v>
      </c>
      <c r="Q19" s="59" t="s">
        <v>984</v>
      </c>
      <c r="T19" s="59" t="s">
        <v>985</v>
      </c>
      <c r="Y19" s="59" t="s">
        <v>986</v>
      </c>
      <c r="Z19" s="59" t="s">
        <v>987</v>
      </c>
      <c r="AA19" s="59" t="s">
        <v>988</v>
      </c>
      <c r="AD19" s="59" t="s">
        <v>989</v>
      </c>
      <c r="AI19" s="59" t="s">
        <v>990</v>
      </c>
      <c r="AK19" s="59"/>
      <c r="AL19" s="59"/>
      <c r="AM19" s="59" t="s">
        <v>991</v>
      </c>
      <c r="AO19" s="59" t="s">
        <v>992</v>
      </c>
      <c r="AP19" s="59" t="s">
        <v>993</v>
      </c>
      <c r="AV19" s="0" t="s">
        <v>470</v>
      </c>
      <c r="AW19" s="0" t="s">
        <v>286</v>
      </c>
      <c r="AX19" s="0" t="s">
        <v>505</v>
      </c>
      <c r="AY19" s="0" t="s">
        <v>994</v>
      </c>
      <c r="AZ19" s="0" t="s">
        <v>995</v>
      </c>
      <c r="BA19" s="0" t="s">
        <v>285</v>
      </c>
      <c r="BB19" s="0" t="str">
        <f t="shared" si="0"/>
        <v>AHNIoyIrepo</v>
      </c>
      <c r="BE19" s="0">
        <v>350</v>
      </c>
      <c r="BF19" s="0">
        <v>399</v>
      </c>
      <c r="BG19" s="0">
        <v>85</v>
      </c>
    </row>
    <row r="20">
      <c r="D20" s="0" t="s">
        <v>286</v>
      </c>
      <c r="E20" s="0" t="s">
        <v>996</v>
      </c>
      <c r="J20" s="59" t="s">
        <v>997</v>
      </c>
      <c r="K20" s="59" t="s">
        <v>998</v>
      </c>
      <c r="L20" s="59" t="s">
        <v>999</v>
      </c>
      <c r="M20" s="59" t="s">
        <v>1000</v>
      </c>
      <c r="O20" s="0" t="s">
        <v>1001</v>
      </c>
      <c r="P20" s="59" t="s">
        <v>1002</v>
      </c>
      <c r="Y20" s="59" t="s">
        <v>1003</v>
      </c>
      <c r="Z20" s="59" t="s">
        <v>1004</v>
      </c>
      <c r="AA20" s="59" t="s">
        <v>1005</v>
      </c>
      <c r="AD20" s="59" t="s">
        <v>1006</v>
      </c>
      <c r="AI20" s="59" t="s">
        <v>1007</v>
      </c>
      <c r="AL20" s="59"/>
      <c r="AM20" s="59" t="s">
        <v>1008</v>
      </c>
      <c r="AO20" s="59" t="s">
        <v>1009</v>
      </c>
      <c r="AP20" s="59" t="s">
        <v>1010</v>
      </c>
      <c r="AV20" s="0" t="s">
        <v>470</v>
      </c>
      <c r="AW20" s="0" t="s">
        <v>286</v>
      </c>
      <c r="AX20" s="0" t="s">
        <v>505</v>
      </c>
      <c r="AY20" s="0" t="s">
        <v>1011</v>
      </c>
      <c r="AZ20" s="0" t="s">
        <v>1012</v>
      </c>
      <c r="BA20" s="0" t="s">
        <v>285</v>
      </c>
      <c r="BB20" s="0" t="str">
        <f t="shared" si="0"/>
        <v>AHNIoyIrepo</v>
      </c>
      <c r="BE20" s="0">
        <v>400</v>
      </c>
      <c r="BF20" s="0">
        <v>449</v>
      </c>
      <c r="BG20" s="0">
        <v>87</v>
      </c>
    </row>
    <row r="21">
      <c r="D21" s="58" t="s">
        <v>418</v>
      </c>
      <c r="E21" s="0" t="s">
        <v>657</v>
      </c>
      <c r="J21" s="59" t="s">
        <v>1013</v>
      </c>
      <c r="K21" s="59" t="s">
        <v>1014</v>
      </c>
      <c r="L21" s="59" t="s">
        <v>1015</v>
      </c>
      <c r="M21" s="59" t="s">
        <v>1016</v>
      </c>
      <c r="O21" s="0" t="s">
        <v>1017</v>
      </c>
      <c r="P21" s="59" t="s">
        <v>1018</v>
      </c>
      <c r="Y21" s="59" t="s">
        <v>1019</v>
      </c>
      <c r="Z21" s="59" t="s">
        <v>1020</v>
      </c>
      <c r="AA21" s="59" t="s">
        <v>1021</v>
      </c>
      <c r="AD21" s="59" t="s">
        <v>1022</v>
      </c>
      <c r="AE21" s="59"/>
      <c r="AI21" s="59" t="s">
        <v>1023</v>
      </c>
      <c r="AL21" s="59"/>
      <c r="AM21" s="59" t="s">
        <v>1024</v>
      </c>
      <c r="AO21" s="59" t="s">
        <v>1025</v>
      </c>
      <c r="AP21" s="59" t="s">
        <v>1026</v>
      </c>
      <c r="AV21" s="0" t="s">
        <v>470</v>
      </c>
      <c r="AW21" s="0" t="s">
        <v>286</v>
      </c>
      <c r="AX21" s="0" t="s">
        <v>546</v>
      </c>
      <c r="AY21" s="0" t="s">
        <v>1027</v>
      </c>
      <c r="AZ21" s="0" t="s">
        <v>1028</v>
      </c>
      <c r="BA21" s="0" t="s">
        <v>285</v>
      </c>
      <c r="BB21" s="0" t="str">
        <f t="shared" si="0"/>
        <v>AHNIoyIseyin</v>
      </c>
      <c r="BE21" s="0">
        <v>450</v>
      </c>
      <c r="BF21" s="0">
        <v>499</v>
      </c>
      <c r="BG21" s="0">
        <v>88</v>
      </c>
    </row>
    <row r="22">
      <c r="D22" s="58" t="s">
        <v>394</v>
      </c>
      <c r="E22" s="0" t="s">
        <v>693</v>
      </c>
      <c r="J22" s="59" t="s">
        <v>1029</v>
      </c>
      <c r="K22" s="59" t="s">
        <v>1030</v>
      </c>
      <c r="L22" s="59" t="s">
        <v>1031</v>
      </c>
      <c r="O22" s="0" t="s">
        <v>1032</v>
      </c>
      <c r="P22" s="59" t="s">
        <v>1033</v>
      </c>
      <c r="Y22" s="59" t="s">
        <v>1034</v>
      </c>
      <c r="Z22" s="59" t="s">
        <v>1035</v>
      </c>
      <c r="AA22" s="59" t="s">
        <v>1036</v>
      </c>
      <c r="AD22" s="59" t="s">
        <v>1037</v>
      </c>
      <c r="AE22" s="59"/>
      <c r="AI22" s="59" t="s">
        <v>1038</v>
      </c>
      <c r="AL22" s="59"/>
      <c r="AM22" s="59" t="s">
        <v>1039</v>
      </c>
      <c r="AO22" s="59" t="s">
        <v>1040</v>
      </c>
      <c r="AP22" s="59" t="s">
        <v>1041</v>
      </c>
      <c r="AV22" s="0" t="s">
        <v>470</v>
      </c>
      <c r="AW22" s="0" t="s">
        <v>286</v>
      </c>
      <c r="AX22" s="0" t="s">
        <v>546</v>
      </c>
      <c r="AY22" s="0" t="s">
        <v>1042</v>
      </c>
      <c r="AZ22" s="0" t="s">
        <v>1043</v>
      </c>
      <c r="BA22" s="0" t="s">
        <v>285</v>
      </c>
      <c r="BB22" s="0" t="str">
        <f t="shared" si="0"/>
        <v>AHNIoyIseyin</v>
      </c>
      <c r="BE22" s="0">
        <v>500</v>
      </c>
      <c r="BF22" s="0">
        <v>749</v>
      </c>
      <c r="BG22" s="0">
        <v>94</v>
      </c>
    </row>
    <row r="23">
      <c r="D23" s="58" t="s">
        <v>403</v>
      </c>
      <c r="E23" s="0" t="s">
        <v>728</v>
      </c>
      <c r="K23" s="59" t="s">
        <v>1044</v>
      </c>
      <c r="O23" s="0" t="s">
        <v>1045</v>
      </c>
      <c r="P23" s="59" t="s">
        <v>1046</v>
      </c>
      <c r="Y23" s="59" t="s">
        <v>1047</v>
      </c>
      <c r="Z23" s="59" t="s">
        <v>1048</v>
      </c>
      <c r="AE23" s="59"/>
      <c r="AI23" s="59" t="s">
        <v>1049</v>
      </c>
      <c r="AL23" s="59"/>
      <c r="AM23" s="59" t="s">
        <v>1050</v>
      </c>
      <c r="AO23" s="59" t="s">
        <v>1051</v>
      </c>
      <c r="AP23" s="59" t="s">
        <v>1052</v>
      </c>
      <c r="AV23" s="0" t="s">
        <v>470</v>
      </c>
      <c r="AW23" s="0" t="s">
        <v>286</v>
      </c>
      <c r="AX23" s="0" t="s">
        <v>546</v>
      </c>
      <c r="AY23" s="0" t="s">
        <v>1053</v>
      </c>
      <c r="AZ23" s="0" t="s">
        <v>1054</v>
      </c>
      <c r="BA23" s="0" t="s">
        <v>285</v>
      </c>
      <c r="BB23" s="0" t="str">
        <f t="shared" si="0"/>
        <v>AHNIoyIseyin</v>
      </c>
      <c r="BE23" s="0">
        <v>750</v>
      </c>
      <c r="BF23" s="0">
        <v>999</v>
      </c>
      <c r="BG23" s="0">
        <v>97</v>
      </c>
    </row>
    <row r="24">
      <c r="D24" s="58" t="s">
        <v>406</v>
      </c>
      <c r="E24" s="0" t="s">
        <v>761</v>
      </c>
      <c r="K24" s="59" t="s">
        <v>1055</v>
      </c>
      <c r="O24" s="0" t="s">
        <v>1056</v>
      </c>
      <c r="P24" s="59" t="s">
        <v>1057</v>
      </c>
      <c r="Y24" s="59" t="s">
        <v>1058</v>
      </c>
      <c r="Z24" s="59" t="s">
        <v>1059</v>
      </c>
      <c r="AE24" s="59"/>
      <c r="AI24" s="59" t="s">
        <v>1060</v>
      </c>
      <c r="AL24" s="59"/>
      <c r="AM24" s="59" t="s">
        <v>1061</v>
      </c>
      <c r="AO24" s="59" t="s">
        <v>1062</v>
      </c>
      <c r="AP24" s="59" t="s">
        <v>1063</v>
      </c>
      <c r="AV24" s="0" t="s">
        <v>470</v>
      </c>
      <c r="AW24" s="0" t="s">
        <v>286</v>
      </c>
      <c r="AX24" s="0" t="s">
        <v>546</v>
      </c>
      <c r="AY24" s="0" t="s">
        <v>1064</v>
      </c>
      <c r="AZ24" s="0" t="s">
        <v>1065</v>
      </c>
      <c r="BA24" s="0" t="s">
        <v>285</v>
      </c>
      <c r="BB24" s="0" t="str">
        <f t="shared" si="0"/>
        <v>AHNIoyIseyin</v>
      </c>
      <c r="BE24" s="0">
        <v>1000</v>
      </c>
      <c r="BF24" s="0">
        <v>4999</v>
      </c>
      <c r="BG24" s="0">
        <v>105</v>
      </c>
    </row>
    <row r="25">
      <c r="D25" s="58" t="s">
        <v>410</v>
      </c>
      <c r="E25" s="0" t="s">
        <v>793</v>
      </c>
      <c r="K25" s="59" t="s">
        <v>1066</v>
      </c>
      <c r="P25" s="59" t="s">
        <v>1067</v>
      </c>
      <c r="Y25" s="59" t="s">
        <v>1068</v>
      </c>
      <c r="Z25" s="59" t="s">
        <v>1069</v>
      </c>
      <c r="AE25" s="59"/>
      <c r="AI25" s="59" t="s">
        <v>1070</v>
      </c>
      <c r="AL25" s="59"/>
      <c r="AM25" s="59" t="s">
        <v>1071</v>
      </c>
      <c r="AV25" s="0" t="s">
        <v>470</v>
      </c>
      <c r="AW25" s="0" t="s">
        <v>286</v>
      </c>
      <c r="AX25" s="0" t="s">
        <v>546</v>
      </c>
      <c r="AY25" s="0" t="s">
        <v>1072</v>
      </c>
      <c r="AZ25" s="0" t="s">
        <v>1073</v>
      </c>
      <c r="BA25" s="0" t="s">
        <v>285</v>
      </c>
      <c r="BB25" s="0" t="str">
        <f t="shared" si="0"/>
        <v>AHNIoyIseyin</v>
      </c>
      <c r="BE25" s="0">
        <v>5000</v>
      </c>
      <c r="BF25" s="0">
        <v>1000000</v>
      </c>
      <c r="BG25" s="0">
        <v>107</v>
      </c>
    </row>
    <row r="26">
      <c r="D26" s="58" t="s">
        <v>398</v>
      </c>
      <c r="E26" s="0" t="s">
        <v>825</v>
      </c>
      <c r="K26" s="59" t="s">
        <v>1074</v>
      </c>
      <c r="P26" s="59" t="s">
        <v>1075</v>
      </c>
      <c r="Y26" s="59" t="s">
        <v>1076</v>
      </c>
      <c r="Z26" s="59" t="s">
        <v>1077</v>
      </c>
      <c r="AE26" s="59"/>
      <c r="AI26" s="59" t="s">
        <v>1078</v>
      </c>
      <c r="AL26" s="59"/>
      <c r="AM26" s="59" t="s">
        <v>1079</v>
      </c>
      <c r="AV26" s="0" t="s">
        <v>470</v>
      </c>
      <c r="AW26" s="0" t="s">
        <v>286</v>
      </c>
      <c r="AX26" s="0" t="s">
        <v>546</v>
      </c>
      <c r="AY26" s="0" t="s">
        <v>1080</v>
      </c>
      <c r="AZ26" s="0" t="s">
        <v>1081</v>
      </c>
      <c r="BA26" s="0" t="s">
        <v>285</v>
      </c>
      <c r="BB26" s="0" t="str">
        <f t="shared" si="0"/>
        <v>AHNIoyIseyin</v>
      </c>
    </row>
    <row r="27">
      <c r="D27" s="58" t="s">
        <v>401</v>
      </c>
      <c r="E27" s="0" t="s">
        <v>853</v>
      </c>
      <c r="K27" s="59" t="s">
        <v>1082</v>
      </c>
      <c r="P27" s="59" t="s">
        <v>1083</v>
      </c>
      <c r="Y27" s="59" t="s">
        <v>1084</v>
      </c>
      <c r="Z27" s="59" t="s">
        <v>1085</v>
      </c>
      <c r="AE27" s="59"/>
      <c r="AL27" s="59"/>
      <c r="AM27" s="59" t="s">
        <v>1086</v>
      </c>
      <c r="AV27" s="0" t="s">
        <v>470</v>
      </c>
      <c r="AW27" s="0" t="s">
        <v>286</v>
      </c>
      <c r="AX27" s="0" t="s">
        <v>586</v>
      </c>
      <c r="AY27" s="0" t="s">
        <v>1087</v>
      </c>
      <c r="AZ27" s="0" t="s">
        <v>1088</v>
      </c>
      <c r="BA27" s="0" t="s">
        <v>285</v>
      </c>
      <c r="BB27" s="0" t="str">
        <f t="shared" si="0"/>
        <v>AHNIoyIwajowa</v>
      </c>
    </row>
    <row r="28">
      <c r="D28" s="58" t="s">
        <v>404</v>
      </c>
      <c r="E28" s="0" t="s">
        <v>879</v>
      </c>
      <c r="K28" s="59" t="s">
        <v>1089</v>
      </c>
      <c r="P28" s="59" t="s">
        <v>1090</v>
      </c>
      <c r="Y28" s="59" t="s">
        <v>1091</v>
      </c>
      <c r="Z28" s="59" t="s">
        <v>1092</v>
      </c>
      <c r="AE28" s="59"/>
      <c r="AL28" s="59"/>
      <c r="AM28" s="59" t="s">
        <v>1093</v>
      </c>
      <c r="AV28" s="0" t="s">
        <v>470</v>
      </c>
      <c r="AW28" s="0" t="s">
        <v>286</v>
      </c>
      <c r="AX28" s="0" t="s">
        <v>586</v>
      </c>
      <c r="AY28" s="0" t="s">
        <v>1094</v>
      </c>
      <c r="AZ28" s="0" t="s">
        <v>1095</v>
      </c>
      <c r="BA28" s="0" t="s">
        <v>285</v>
      </c>
      <c r="BB28" s="0" t="str">
        <f t="shared" si="0"/>
        <v>AHNIoyIwajowa</v>
      </c>
    </row>
    <row r="29">
      <c r="D29" s="58" t="s">
        <v>403</v>
      </c>
      <c r="E29" s="0" t="s">
        <v>904</v>
      </c>
      <c r="K29" s="59" t="s">
        <v>1096</v>
      </c>
      <c r="AE29" s="59"/>
      <c r="AL29" s="59"/>
      <c r="AM29" s="59" t="s">
        <v>1097</v>
      </c>
      <c r="AV29" s="0" t="s">
        <v>470</v>
      </c>
      <c r="AW29" s="0" t="s">
        <v>286</v>
      </c>
      <c r="AX29" s="0" t="s">
        <v>586</v>
      </c>
      <c r="AY29" s="0" t="s">
        <v>1098</v>
      </c>
      <c r="AZ29" s="0" t="s">
        <v>1099</v>
      </c>
      <c r="BA29" s="0" t="s">
        <v>285</v>
      </c>
      <c r="BB29" s="0" t="str">
        <f t="shared" si="0"/>
        <v>AHNIoyIwajowa</v>
      </c>
    </row>
    <row r="30">
      <c r="D30" s="58" t="s">
        <v>406</v>
      </c>
      <c r="E30" s="0" t="s">
        <v>929</v>
      </c>
      <c r="K30" s="59" t="s">
        <v>1100</v>
      </c>
      <c r="AE30" s="59"/>
      <c r="AL30" s="59"/>
      <c r="AM30" s="59" t="s">
        <v>1101</v>
      </c>
      <c r="AV30" s="0" t="s">
        <v>470</v>
      </c>
      <c r="AW30" s="0" t="s">
        <v>286</v>
      </c>
      <c r="AX30" s="0" t="s">
        <v>625</v>
      </c>
      <c r="AY30" s="0" t="s">
        <v>1102</v>
      </c>
      <c r="AZ30" s="0" t="s">
        <v>1103</v>
      </c>
      <c r="BA30" s="0" t="s">
        <v>285</v>
      </c>
      <c r="BB30" s="0" t="str">
        <f t="shared" si="0"/>
        <v>AHNIoyKajola</v>
      </c>
    </row>
    <row r="31">
      <c r="D31" s="58" t="s">
        <v>407</v>
      </c>
      <c r="E31" s="0" t="s">
        <v>953</v>
      </c>
      <c r="K31" s="59" t="s">
        <v>1104</v>
      </c>
      <c r="AE31" s="59"/>
      <c r="AL31" s="59"/>
      <c r="AM31" s="59" t="s">
        <v>1105</v>
      </c>
      <c r="AV31" s="0" t="s">
        <v>470</v>
      </c>
      <c r="AW31" s="0" t="s">
        <v>286</v>
      </c>
      <c r="AX31" s="0" t="s">
        <v>625</v>
      </c>
      <c r="AY31" s="0" t="s">
        <v>1106</v>
      </c>
      <c r="AZ31" s="0" t="s">
        <v>1107</v>
      </c>
      <c r="BA31" s="0" t="s">
        <v>285</v>
      </c>
      <c r="BB31" s="0" t="str">
        <f t="shared" si="0"/>
        <v>AHNIoyKajola</v>
      </c>
    </row>
    <row r="32">
      <c r="D32" s="58" t="s">
        <v>410</v>
      </c>
      <c r="E32" s="0" t="s">
        <v>972</v>
      </c>
      <c r="K32" s="59" t="s">
        <v>1108</v>
      </c>
      <c r="AE32" s="59"/>
      <c r="AM32" s="59" t="s">
        <v>1109</v>
      </c>
      <c r="AV32" s="0" t="s">
        <v>470</v>
      </c>
      <c r="AW32" s="0" t="s">
        <v>286</v>
      </c>
      <c r="AX32" s="0" t="s">
        <v>625</v>
      </c>
      <c r="AY32" s="0" t="s">
        <v>1110</v>
      </c>
      <c r="AZ32" s="0" t="s">
        <v>1111</v>
      </c>
      <c r="BA32" s="0" t="s">
        <v>285</v>
      </c>
      <c r="BB32" s="0" t="str">
        <f t="shared" si="0"/>
        <v>AHNIoyKajola</v>
      </c>
    </row>
    <row r="33">
      <c r="D33" s="58" t="s">
        <v>394</v>
      </c>
      <c r="E33" s="0" t="s">
        <v>991</v>
      </c>
      <c r="AE33" s="59"/>
      <c r="AM33" s="59"/>
      <c r="AV33" s="0" t="s">
        <v>470</v>
      </c>
      <c r="AW33" s="0" t="s">
        <v>286</v>
      </c>
      <c r="AX33" s="0" t="s">
        <v>625</v>
      </c>
      <c r="AY33" s="0" t="s">
        <v>1112</v>
      </c>
      <c r="AZ33" s="0" t="s">
        <v>1113</v>
      </c>
      <c r="BA33" s="0" t="s">
        <v>285</v>
      </c>
      <c r="BB33" s="0" t="str">
        <f t="shared" si="0"/>
        <v>AHNIoyKajola</v>
      </c>
    </row>
    <row r="34">
      <c r="D34" s="58" t="s">
        <v>397</v>
      </c>
      <c r="E34" s="0" t="s">
        <v>1008</v>
      </c>
      <c r="AE34" s="59"/>
      <c r="AM34" s="59"/>
      <c r="AV34" s="0" t="s">
        <v>470</v>
      </c>
      <c r="AW34" s="0" t="s">
        <v>286</v>
      </c>
      <c r="AX34" s="0" t="s">
        <v>625</v>
      </c>
      <c r="AY34" s="0" t="s">
        <v>1114</v>
      </c>
      <c r="AZ34" s="0" t="s">
        <v>1115</v>
      </c>
      <c r="BA34" s="0" t="s">
        <v>285</v>
      </c>
      <c r="BB34" s="0" t="str">
        <f t="shared" si="0"/>
        <v>AHNIoyKajola</v>
      </c>
    </row>
    <row r="35">
      <c r="D35" s="58" t="s">
        <v>400</v>
      </c>
      <c r="E35" s="0" t="s">
        <v>1024</v>
      </c>
      <c r="AE35" s="59"/>
      <c r="AV35" s="0" t="s">
        <v>470</v>
      </c>
      <c r="AW35" s="0" t="s">
        <v>286</v>
      </c>
      <c r="AX35" s="0" t="s">
        <v>663</v>
      </c>
      <c r="AY35" s="0" t="s">
        <v>1116</v>
      </c>
      <c r="AZ35" s="0" t="s">
        <v>1117</v>
      </c>
      <c r="BA35" s="0" t="s">
        <v>285</v>
      </c>
      <c r="BB35" s="0" t="str">
        <f t="shared" si="0"/>
        <v>AHNIoyOgoOluwa</v>
      </c>
    </row>
    <row r="36">
      <c r="D36" s="58" t="s">
        <v>402</v>
      </c>
      <c r="E36" s="0" t="s">
        <v>1039</v>
      </c>
      <c r="AE36" s="59"/>
      <c r="AV36" s="0" t="s">
        <v>470</v>
      </c>
      <c r="AW36" s="0" t="s">
        <v>286</v>
      </c>
      <c r="AX36" s="0" t="s">
        <v>663</v>
      </c>
      <c r="AY36" s="0" t="s">
        <v>1118</v>
      </c>
      <c r="AZ36" s="0" t="s">
        <v>1119</v>
      </c>
      <c r="BA36" s="0" t="s">
        <v>285</v>
      </c>
      <c r="BB36" s="0" t="str">
        <f t="shared" si="0"/>
        <v>AHNIoyOgoOluwa</v>
      </c>
    </row>
    <row r="37">
      <c r="D37" s="58" t="s">
        <v>406</v>
      </c>
      <c r="E37" s="0" t="s">
        <v>1050</v>
      </c>
      <c r="AV37" s="0" t="s">
        <v>470</v>
      </c>
      <c r="AW37" s="0" t="s">
        <v>286</v>
      </c>
      <c r="AX37" s="0" t="s">
        <v>699</v>
      </c>
      <c r="AY37" s="0" t="s">
        <v>1120</v>
      </c>
      <c r="AZ37" s="0" t="s">
        <v>1121</v>
      </c>
      <c r="BA37" s="0" t="s">
        <v>285</v>
      </c>
      <c r="BB37" s="0" t="str">
        <f t="shared" si="0"/>
        <v>AHNIoyOlorunsogo</v>
      </c>
    </row>
    <row r="38">
      <c r="D38" s="58" t="s">
        <v>407</v>
      </c>
      <c r="E38" s="0" t="s">
        <v>1061</v>
      </c>
      <c r="AV38" s="0" t="s">
        <v>470</v>
      </c>
      <c r="AW38" s="0" t="s">
        <v>286</v>
      </c>
      <c r="AX38" s="0" t="s">
        <v>699</v>
      </c>
      <c r="AY38" s="0" t="s">
        <v>1122</v>
      </c>
      <c r="AZ38" s="0" t="s">
        <v>1123</v>
      </c>
      <c r="BA38" s="0" t="s">
        <v>285</v>
      </c>
      <c r="BB38" s="0" t="str">
        <f t="shared" si="0"/>
        <v>AHNIoyOlorunsogo</v>
      </c>
    </row>
    <row r="39">
      <c r="D39" s="58" t="s">
        <v>408</v>
      </c>
      <c r="E39" s="0" t="s">
        <v>1071</v>
      </c>
      <c r="AV39" s="0" t="s">
        <v>470</v>
      </c>
      <c r="AW39" s="0" t="s">
        <v>286</v>
      </c>
      <c r="AX39" s="0" t="s">
        <v>733</v>
      </c>
      <c r="AY39" s="0" t="s">
        <v>1124</v>
      </c>
      <c r="AZ39" s="0" t="s">
        <v>1125</v>
      </c>
      <c r="BA39" s="0" t="s">
        <v>285</v>
      </c>
      <c r="BB39" s="0" t="str">
        <f t="shared" si="0"/>
        <v>AHNIoyOrelope</v>
      </c>
    </row>
    <row r="40">
      <c r="D40" s="0" t="s">
        <v>413</v>
      </c>
      <c r="E40" s="0" t="s">
        <v>1079</v>
      </c>
      <c r="AV40" s="0" t="s">
        <v>470</v>
      </c>
      <c r="AW40" s="0" t="s">
        <v>286</v>
      </c>
      <c r="AX40" s="0" t="s">
        <v>733</v>
      </c>
      <c r="AY40" s="0" t="s">
        <v>1126</v>
      </c>
      <c r="AZ40" s="0" t="s">
        <v>1127</v>
      </c>
      <c r="BA40" s="0" t="s">
        <v>285</v>
      </c>
      <c r="BB40" s="0" t="str">
        <f t="shared" si="0"/>
        <v>AHNIoyOrelope</v>
      </c>
    </row>
    <row r="41">
      <c r="D41" s="0" t="s">
        <v>415</v>
      </c>
      <c r="E41" s="0" t="s">
        <v>1086</v>
      </c>
      <c r="AV41" s="0" t="s">
        <v>470</v>
      </c>
      <c r="AW41" s="0" t="s">
        <v>286</v>
      </c>
      <c r="AX41" s="0" t="s">
        <v>766</v>
      </c>
      <c r="AY41" s="0" t="s">
        <v>1128</v>
      </c>
      <c r="AZ41" s="0" t="s">
        <v>1129</v>
      </c>
      <c r="BA41" s="0" t="s">
        <v>285</v>
      </c>
      <c r="BB41" s="0" t="str">
        <f t="shared" si="0"/>
        <v>AHNIoyOriIre</v>
      </c>
    </row>
    <row r="42">
      <c r="D42" s="0" t="s">
        <v>416</v>
      </c>
      <c r="E42" s="0" t="s">
        <v>1093</v>
      </c>
      <c r="AV42" s="0" t="s">
        <v>470</v>
      </c>
      <c r="AW42" s="0" t="s">
        <v>286</v>
      </c>
      <c r="AX42" s="0" t="s">
        <v>796</v>
      </c>
      <c r="AY42" s="0" t="s">
        <v>1130</v>
      </c>
      <c r="AZ42" s="0" t="s">
        <v>1131</v>
      </c>
      <c r="BA42" s="0" t="s">
        <v>285</v>
      </c>
      <c r="BB42" s="0" t="str">
        <f t="shared" si="0"/>
        <v>AHNIoySakiEast</v>
      </c>
    </row>
    <row r="43">
      <c r="D43" s="0" t="s">
        <v>417</v>
      </c>
      <c r="E43" s="0" t="s">
        <v>1097</v>
      </c>
      <c r="AV43" s="0" t="s">
        <v>470</v>
      </c>
      <c r="AW43" s="0" t="s">
        <v>286</v>
      </c>
      <c r="AX43" s="0" t="s">
        <v>796</v>
      </c>
      <c r="AY43" s="0" t="s">
        <v>1132</v>
      </c>
      <c r="AZ43" s="0" t="s">
        <v>1133</v>
      </c>
      <c r="BA43" s="0" t="s">
        <v>285</v>
      </c>
      <c r="BB43" s="0" t="str">
        <f t="shared" si="0"/>
        <v>AHNIoySakiEast</v>
      </c>
    </row>
    <row r="44">
      <c r="D44" s="0" t="s">
        <v>402</v>
      </c>
      <c r="E44" s="0" t="s">
        <v>1101</v>
      </c>
      <c r="AV44" s="0" t="s">
        <v>470</v>
      </c>
      <c r="AW44" s="0" t="s">
        <v>286</v>
      </c>
      <c r="AX44" s="0" t="s">
        <v>796</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767</v>
      </c>
      <c r="AV54" s="0" t="s">
        <v>470</v>
      </c>
      <c r="AW54" s="0" t="s">
        <v>412</v>
      </c>
      <c r="AX54" s="0" t="s">
        <v>457</v>
      </c>
      <c r="AY54" s="0" t="s">
        <v>1154</v>
      </c>
      <c r="AZ54" s="0" t="s">
        <v>1155</v>
      </c>
      <c r="BA54" s="0" t="s">
        <v>473</v>
      </c>
      <c r="BB54" s="0" t="str">
        <f t="shared" si="0"/>
        <v>APINlaAlimosho</v>
      </c>
    </row>
    <row r="55">
      <c r="E55" s="0" t="s">
        <v>797</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751</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753</v>
      </c>
      <c r="AV73" s="0" t="s">
        <v>470</v>
      </c>
      <c r="AW73" s="0" t="s">
        <v>412</v>
      </c>
      <c r="AX73" s="0" t="s">
        <v>457</v>
      </c>
      <c r="AY73" s="0" t="s">
        <v>1192</v>
      </c>
      <c r="AZ73" s="0" t="s">
        <v>1193</v>
      </c>
      <c r="BA73" s="0" t="s">
        <v>473</v>
      </c>
      <c r="BB73" s="0" t="str">
        <f t="shared" si="1"/>
        <v>APINlaAlimosho</v>
      </c>
    </row>
    <row r="74">
      <c r="E74" s="0" t="s">
        <v>785</v>
      </c>
      <c r="AV74" s="0" t="s">
        <v>470</v>
      </c>
      <c r="AW74" s="0" t="s">
        <v>412</v>
      </c>
      <c r="AX74" s="0" t="s">
        <v>457</v>
      </c>
      <c r="AY74" s="0" t="s">
        <v>1194</v>
      </c>
      <c r="AZ74" s="0" t="s">
        <v>1195</v>
      </c>
      <c r="BA74" s="0" t="s">
        <v>473</v>
      </c>
      <c r="BB74" s="0" t="str">
        <f t="shared" si="1"/>
        <v>APINlaAlimosho</v>
      </c>
    </row>
    <row r="75">
      <c r="E75" s="0" t="s">
        <v>815</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755</v>
      </c>
      <c r="AV84" s="0" t="s">
        <v>470</v>
      </c>
      <c r="AW84" s="0" t="s">
        <v>412</v>
      </c>
      <c r="AX84" s="0" t="s">
        <v>457</v>
      </c>
      <c r="AY84" s="0" t="s">
        <v>1214</v>
      </c>
      <c r="AZ84" s="0" t="s">
        <v>1215</v>
      </c>
      <c r="BA84" s="0" t="s">
        <v>473</v>
      </c>
      <c r="BB84" s="0" t="str">
        <f t="shared" si="1"/>
        <v>APINlaAlimosho</v>
      </c>
    </row>
    <row r="85">
      <c r="E85" s="0" t="s">
        <v>787</v>
      </c>
      <c r="AV85" s="0" t="s">
        <v>470</v>
      </c>
      <c r="AW85" s="0" t="s">
        <v>412</v>
      </c>
      <c r="AX85" s="0" t="s">
        <v>457</v>
      </c>
      <c r="AY85" s="0" t="s">
        <v>1216</v>
      </c>
      <c r="AZ85" s="0" t="s">
        <v>1217</v>
      </c>
      <c r="BA85" s="0" t="s">
        <v>473</v>
      </c>
      <c r="BB85" s="0" t="str">
        <f t="shared" si="1"/>
        <v>APINlaAlimosho</v>
      </c>
    </row>
    <row r="86">
      <c r="E86" s="0" t="s">
        <v>817</v>
      </c>
      <c r="AV86" s="0" t="s">
        <v>470</v>
      </c>
      <c r="AW86" s="0" t="s">
        <v>412</v>
      </c>
      <c r="AX86" s="0" t="s">
        <v>500</v>
      </c>
      <c r="AY86" s="0" t="s">
        <v>1218</v>
      </c>
      <c r="AZ86" s="0" t="s">
        <v>1219</v>
      </c>
      <c r="BA86" s="0" t="s">
        <v>473</v>
      </c>
      <c r="BB86" s="0" t="str">
        <f t="shared" si="1"/>
        <v>APINlaAmuwoOdofin</v>
      </c>
    </row>
    <row r="87">
      <c r="E87" s="0" t="s">
        <v>845</v>
      </c>
      <c r="AV87" s="0" t="s">
        <v>470</v>
      </c>
      <c r="AW87" s="0" t="s">
        <v>412</v>
      </c>
      <c r="AX87" s="0" t="s">
        <v>500</v>
      </c>
      <c r="AY87" s="0" t="s">
        <v>1220</v>
      </c>
      <c r="AZ87" s="0" t="s">
        <v>1221</v>
      </c>
      <c r="BA87" s="0" t="s">
        <v>473</v>
      </c>
      <c r="BB87" s="0" t="str">
        <f t="shared" si="1"/>
        <v>APINlaAmuwoOdofin</v>
      </c>
    </row>
    <row r="88">
      <c r="E88" s="0" t="s">
        <v>873</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923</v>
      </c>
      <c r="AV90" s="0" t="s">
        <v>470</v>
      </c>
      <c r="AW90" s="0" t="s">
        <v>412</v>
      </c>
      <c r="AX90" s="0" t="s">
        <v>500</v>
      </c>
      <c r="AY90" s="0" t="s">
        <v>1227</v>
      </c>
      <c r="AZ90" s="0" t="s">
        <v>1228</v>
      </c>
      <c r="BA90" s="0" t="s">
        <v>473</v>
      </c>
      <c r="BB90" s="0" t="str">
        <f t="shared" si="1"/>
        <v>APINlaAmuwoOdofin</v>
      </c>
    </row>
    <row r="91">
      <c r="E91" s="0" t="s">
        <v>947</v>
      </c>
      <c r="AV91" s="0" t="s">
        <v>470</v>
      </c>
      <c r="AW91" s="0" t="s">
        <v>412</v>
      </c>
      <c r="AX91" s="0" t="s">
        <v>500</v>
      </c>
      <c r="AY91" s="0" t="s">
        <v>1229</v>
      </c>
      <c r="AZ91" s="0" t="s">
        <v>1230</v>
      </c>
      <c r="BA91" s="0" t="s">
        <v>473</v>
      </c>
      <c r="BB91" s="0" t="str">
        <f t="shared" si="1"/>
        <v>APINlaAmuwoOdofin</v>
      </c>
    </row>
    <row r="92">
      <c r="E92" s="0" t="s">
        <v>967</v>
      </c>
      <c r="AV92" s="0" t="s">
        <v>470</v>
      </c>
      <c r="AW92" s="0" t="s">
        <v>412</v>
      </c>
      <c r="AX92" s="0" t="s">
        <v>500</v>
      </c>
      <c r="AY92" s="0" t="s">
        <v>1231</v>
      </c>
      <c r="AZ92" s="0" t="s">
        <v>1232</v>
      </c>
      <c r="BA92" s="0" t="s">
        <v>473</v>
      </c>
      <c r="BB92" s="0" t="str">
        <f t="shared" si="1"/>
        <v>APINlaAmuwoOdofin</v>
      </c>
    </row>
    <row r="93">
      <c r="E93" s="0" t="s">
        <v>986</v>
      </c>
      <c r="AV93" s="0" t="s">
        <v>470</v>
      </c>
      <c r="AW93" s="0" t="s">
        <v>412</v>
      </c>
      <c r="AX93" s="0" t="s">
        <v>500</v>
      </c>
      <c r="AY93" s="0" t="s">
        <v>1233</v>
      </c>
      <c r="AZ93" s="0" t="s">
        <v>1234</v>
      </c>
      <c r="BA93" s="0" t="s">
        <v>473</v>
      </c>
      <c r="BB93" s="0" t="str">
        <f t="shared" si="1"/>
        <v>APINlaAmuwoOdofin</v>
      </c>
    </row>
    <row r="94">
      <c r="E94" s="0" t="s">
        <v>1003</v>
      </c>
      <c r="AV94" s="0" t="s">
        <v>470</v>
      </c>
      <c r="AW94" s="0" t="s">
        <v>412</v>
      </c>
      <c r="AX94" s="0" t="s">
        <v>500</v>
      </c>
      <c r="AY94" s="0" t="s">
        <v>1235</v>
      </c>
      <c r="AZ94" s="0" t="s">
        <v>1236</v>
      </c>
      <c r="BA94" s="0" t="s">
        <v>473</v>
      </c>
      <c r="BB94" s="0" t="str">
        <f t="shared" si="1"/>
        <v>APINlaAmuwoOdofin</v>
      </c>
    </row>
    <row r="95">
      <c r="E95" s="0" t="s">
        <v>1019</v>
      </c>
      <c r="AV95" s="0" t="s">
        <v>470</v>
      </c>
      <c r="AW95" s="0" t="s">
        <v>412</v>
      </c>
      <c r="AX95" s="0" t="s">
        <v>541</v>
      </c>
      <c r="AY95" s="0" t="s">
        <v>1237</v>
      </c>
      <c r="AZ95" s="0" t="s">
        <v>1238</v>
      </c>
      <c r="BA95" s="0" t="s">
        <v>473</v>
      </c>
      <c r="BB95" s="0" t="str">
        <f t="shared" si="1"/>
        <v>APINlaEpe</v>
      </c>
    </row>
    <row r="96">
      <c r="E96" s="0" t="s">
        <v>1034</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748</v>
      </c>
      <c r="AV105" s="0" t="s">
        <v>470</v>
      </c>
      <c r="AW105" s="0" t="s">
        <v>412</v>
      </c>
      <c r="AX105" s="0" t="s">
        <v>581</v>
      </c>
      <c r="AY105" s="0" t="s">
        <v>1257</v>
      </c>
      <c r="AZ105" s="0" t="s">
        <v>1258</v>
      </c>
      <c r="BA105" s="0" t="s">
        <v>473</v>
      </c>
      <c r="BB105" s="0" t="str">
        <f t="shared" si="1"/>
        <v>APINlaEtiOsa</v>
      </c>
    </row>
    <row r="106">
      <c r="E106" s="0" t="s">
        <v>780</v>
      </c>
      <c r="AV106" s="0" t="s">
        <v>470</v>
      </c>
      <c r="AW106" s="0" t="s">
        <v>412</v>
      </c>
      <c r="AX106" s="0" t="s">
        <v>996</v>
      </c>
      <c r="AY106" s="304" t="s">
        <v>1259</v>
      </c>
      <c r="AZ106" s="0" t="s">
        <v>1260</v>
      </c>
      <c r="BA106" s="0" t="s">
        <v>473</v>
      </c>
      <c r="BB106" s="0" t="str">
        <f t="shared" si="1"/>
        <v>APINlaIbejuLekki</v>
      </c>
    </row>
    <row r="107">
      <c r="E107" s="0" t="s">
        <v>810</v>
      </c>
      <c r="AV107" s="0" t="s">
        <v>470</v>
      </c>
      <c r="AW107" s="0" t="s">
        <v>412</v>
      </c>
      <c r="AX107" s="0" t="s">
        <v>996</v>
      </c>
      <c r="AY107" s="304" t="s">
        <v>1261</v>
      </c>
      <c r="AZ107" s="0" t="s">
        <v>1262</v>
      </c>
      <c r="BA107" s="0" t="s">
        <v>473</v>
      </c>
      <c r="BB107" s="0" t="str">
        <f t="shared" si="1"/>
        <v>APINlaIbejuLekki</v>
      </c>
    </row>
    <row r="108">
      <c r="E108" s="0" t="s">
        <v>839</v>
      </c>
      <c r="AV108" s="0" t="s">
        <v>470</v>
      </c>
      <c r="AW108" s="0" t="s">
        <v>412</v>
      </c>
      <c r="AX108" s="0" t="s">
        <v>996</v>
      </c>
      <c r="AY108" s="304" t="s">
        <v>1263</v>
      </c>
      <c r="AZ108" s="0" t="s">
        <v>1264</v>
      </c>
      <c r="BA108" s="0" t="s">
        <v>473</v>
      </c>
      <c r="BB108" s="0" t="str">
        <f t="shared" si="1"/>
        <v>APINlaIbejuLekki</v>
      </c>
    </row>
    <row r="109">
      <c r="E109" s="0" t="s">
        <v>867</v>
      </c>
      <c r="AV109" s="0" t="s">
        <v>470</v>
      </c>
      <c r="AW109" s="0" t="s">
        <v>412</v>
      </c>
      <c r="AX109" s="0" t="s">
        <v>996</v>
      </c>
      <c r="AY109" s="304" t="s">
        <v>1265</v>
      </c>
      <c r="AZ109" s="0" t="s">
        <v>1266</v>
      </c>
      <c r="BA109" s="0" t="s">
        <v>473</v>
      </c>
      <c r="BB109" s="0" t="str">
        <f t="shared" si="1"/>
        <v>APINlaIbejuLekki</v>
      </c>
    </row>
    <row r="110">
      <c r="E110" s="0" t="s">
        <v>893</v>
      </c>
      <c r="AV110" s="0" t="s">
        <v>470</v>
      </c>
      <c r="AW110" s="0" t="s">
        <v>412</v>
      </c>
      <c r="AX110" s="0" t="s">
        <v>657</v>
      </c>
      <c r="AY110" s="0" t="s">
        <v>1267</v>
      </c>
      <c r="AZ110" s="0" t="s">
        <v>1268</v>
      </c>
      <c r="BA110" s="0" t="s">
        <v>473</v>
      </c>
      <c r="BB110" s="0" t="str">
        <f t="shared" si="1"/>
        <v>APINlaIfakoIjaiye</v>
      </c>
    </row>
    <row r="111">
      <c r="E111" s="0" t="s">
        <v>918</v>
      </c>
      <c r="AV111" s="0" t="s">
        <v>470</v>
      </c>
      <c r="AW111" s="0" t="s">
        <v>412</v>
      </c>
      <c r="AX111" s="0" t="s">
        <v>657</v>
      </c>
      <c r="AY111" s="0" t="s">
        <v>1269</v>
      </c>
      <c r="AZ111" s="0" t="s">
        <v>1270</v>
      </c>
      <c r="BA111" s="0" t="s">
        <v>473</v>
      </c>
      <c r="BB111" s="0" t="str">
        <f t="shared" si="1"/>
        <v>APINlaIfakoIjaiye</v>
      </c>
    </row>
    <row r="112">
      <c r="E112" s="0" t="s">
        <v>942</v>
      </c>
      <c r="AV112" s="0" t="s">
        <v>470</v>
      </c>
      <c r="AW112" s="0" t="s">
        <v>412</v>
      </c>
      <c r="AX112" s="0" t="s">
        <v>657</v>
      </c>
      <c r="AY112" s="0" t="s">
        <v>1271</v>
      </c>
      <c r="AZ112" s="0" t="s">
        <v>1272</v>
      </c>
      <c r="BA112" s="0" t="s">
        <v>473</v>
      </c>
      <c r="BB112" s="0" t="str">
        <f t="shared" si="1"/>
        <v>APINlaIfakoIjaiye</v>
      </c>
    </row>
    <row r="113">
      <c r="E113" s="0" t="s">
        <v>963</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1109</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761</v>
      </c>
      <c r="AY147" s="0" t="s">
        <v>1344</v>
      </c>
      <c r="AZ147" s="0" t="s">
        <v>1345</v>
      </c>
      <c r="BA147" s="0" t="s">
        <v>473</v>
      </c>
      <c r="BB147" s="0" t="str">
        <f t="shared" si="2"/>
        <v>APINlaMushin</v>
      </c>
    </row>
    <row r="148">
      <c r="E148" s="0" t="s">
        <v>826</v>
      </c>
      <c r="AV148" s="0" t="s">
        <v>470</v>
      </c>
      <c r="AW148" s="0" t="s">
        <v>412</v>
      </c>
      <c r="AX148" s="0" t="s">
        <v>761</v>
      </c>
      <c r="AY148" s="0" t="s">
        <v>1346</v>
      </c>
      <c r="AZ148" s="0" t="s">
        <v>1347</v>
      </c>
      <c r="BA148" s="0" t="s">
        <v>473</v>
      </c>
      <c r="BB148" s="0" t="str">
        <f t="shared" si="2"/>
        <v>APINlaMushin</v>
      </c>
    </row>
    <row r="149">
      <c r="E149" s="0" t="s">
        <v>587</v>
      </c>
      <c r="AV149" s="0" t="s">
        <v>470</v>
      </c>
      <c r="AW149" s="0" t="s">
        <v>412</v>
      </c>
      <c r="AX149" s="0" t="s">
        <v>761</v>
      </c>
      <c r="AY149" s="0" t="s">
        <v>1348</v>
      </c>
      <c r="AZ149" s="0" t="s">
        <v>1349</v>
      </c>
      <c r="BA149" s="0" t="s">
        <v>473</v>
      </c>
      <c r="BB149" s="0" t="str">
        <f t="shared" si="2"/>
        <v>APINlaMushin</v>
      </c>
    </row>
    <row r="150">
      <c r="E150" s="0" t="s">
        <v>626</v>
      </c>
      <c r="AV150" s="0" t="s">
        <v>470</v>
      </c>
      <c r="AW150" s="0" t="s">
        <v>412</v>
      </c>
      <c r="AX150" s="0" t="s">
        <v>761</v>
      </c>
      <c r="AY150" s="0" t="s">
        <v>1350</v>
      </c>
      <c r="AZ150" s="0" t="s">
        <v>1351</v>
      </c>
      <c r="BA150" s="0" t="s">
        <v>473</v>
      </c>
      <c r="BB150" s="0" t="str">
        <f t="shared" si="2"/>
        <v>APINlaMushin</v>
      </c>
    </row>
    <row r="151">
      <c r="E151" s="0" t="s">
        <v>767</v>
      </c>
      <c r="AV151" s="0" t="s">
        <v>470</v>
      </c>
      <c r="AW151" s="0" t="s">
        <v>412</v>
      </c>
      <c r="AX151" s="0" t="s">
        <v>761</v>
      </c>
      <c r="AY151" s="0" t="s">
        <v>1352</v>
      </c>
      <c r="AZ151" s="0" t="s">
        <v>1353</v>
      </c>
      <c r="BA151" s="0" t="s">
        <v>473</v>
      </c>
      <c r="BB151" s="0" t="str">
        <f t="shared" si="2"/>
        <v>APINlaMushin</v>
      </c>
    </row>
    <row r="152">
      <c r="E152" s="0" t="s">
        <v>797</v>
      </c>
      <c r="AV152" s="0" t="s">
        <v>470</v>
      </c>
      <c r="AW152" s="0" t="s">
        <v>412</v>
      </c>
      <c r="AX152" s="0" t="s">
        <v>761</v>
      </c>
      <c r="AY152" s="0" t="s">
        <v>1354</v>
      </c>
      <c r="AZ152" s="0" t="s">
        <v>1355</v>
      </c>
      <c r="BA152" s="0" t="s">
        <v>473</v>
      </c>
      <c r="BB152" s="0" t="str">
        <f t="shared" si="2"/>
        <v>APINlaMushin</v>
      </c>
    </row>
    <row r="153">
      <c r="E153" s="0" t="s">
        <v>982</v>
      </c>
      <c r="AV153" s="0" t="s">
        <v>470</v>
      </c>
      <c r="AW153" s="0" t="s">
        <v>412</v>
      </c>
      <c r="AX153" s="0" t="s">
        <v>761</v>
      </c>
      <c r="AY153" s="0" t="s">
        <v>1356</v>
      </c>
      <c r="AZ153" s="0" t="s">
        <v>1357</v>
      </c>
      <c r="BA153" s="0" t="s">
        <v>473</v>
      </c>
      <c r="BB153" s="0" t="str">
        <f t="shared" si="2"/>
        <v>APINlaMushin</v>
      </c>
    </row>
    <row r="154">
      <c r="E154" s="0" t="s">
        <v>439</v>
      </c>
      <c r="AV154" s="0" t="s">
        <v>470</v>
      </c>
      <c r="AW154" s="0" t="s">
        <v>412</v>
      </c>
      <c r="AX154" s="0" t="s">
        <v>761</v>
      </c>
      <c r="AY154" s="0" t="s">
        <v>1358</v>
      </c>
      <c r="AZ154" s="0" t="s">
        <v>1359</v>
      </c>
      <c r="BA154" s="0" t="s">
        <v>473</v>
      </c>
      <c r="BB154" s="0" t="str">
        <f t="shared" si="2"/>
        <v>APINlaMushin</v>
      </c>
    </row>
    <row r="155">
      <c r="E155" s="0" t="s">
        <v>1001</v>
      </c>
      <c r="AV155" s="0" t="s">
        <v>470</v>
      </c>
      <c r="AW155" s="0" t="s">
        <v>412</v>
      </c>
      <c r="AX155" s="0" t="s">
        <v>761</v>
      </c>
      <c r="AY155" s="0" t="s">
        <v>1360</v>
      </c>
      <c r="AZ155" s="0" t="s">
        <v>1361</v>
      </c>
      <c r="BA155" s="0" t="s">
        <v>473</v>
      </c>
      <c r="BB155" s="0" t="str">
        <f t="shared" si="2"/>
        <v>APINlaMushin</v>
      </c>
    </row>
    <row r="156">
      <c r="E156" s="0" t="s">
        <v>482</v>
      </c>
      <c r="AV156" s="0" t="s">
        <v>470</v>
      </c>
      <c r="AW156" s="0" t="s">
        <v>412</v>
      </c>
      <c r="AX156" s="0" t="s">
        <v>761</v>
      </c>
      <c r="AY156" s="0" t="s">
        <v>1362</v>
      </c>
      <c r="AZ156" s="0" t="s">
        <v>1363</v>
      </c>
      <c r="BA156" s="0" t="s">
        <v>473</v>
      </c>
      <c r="BB156" s="0" t="str">
        <f t="shared" si="2"/>
        <v>APINlaMushin</v>
      </c>
    </row>
    <row r="157">
      <c r="E157" s="0" t="s">
        <v>523</v>
      </c>
      <c r="AV157" s="0" t="s">
        <v>470</v>
      </c>
      <c r="AW157" s="0" t="s">
        <v>412</v>
      </c>
      <c r="AX157" s="0" t="s">
        <v>761</v>
      </c>
      <c r="AY157" s="0" t="s">
        <v>1364</v>
      </c>
      <c r="AZ157" s="0" t="s">
        <v>1365</v>
      </c>
      <c r="BA157" s="0" t="s">
        <v>473</v>
      </c>
      <c r="BB157" s="0" t="str">
        <f t="shared" si="2"/>
        <v>APINlaMushin</v>
      </c>
    </row>
    <row r="158">
      <c r="E158" s="0" t="s">
        <v>564</v>
      </c>
      <c r="AV158" s="0" t="s">
        <v>470</v>
      </c>
      <c r="AW158" s="0" t="s">
        <v>412</v>
      </c>
      <c r="AX158" s="0" t="s">
        <v>761</v>
      </c>
      <c r="AY158" s="0" t="s">
        <v>1366</v>
      </c>
      <c r="AZ158" s="0" t="s">
        <v>1367</v>
      </c>
      <c r="BA158" s="0" t="s">
        <v>473</v>
      </c>
      <c r="BB158" s="0" t="str">
        <f t="shared" si="2"/>
        <v>APINlaMushin</v>
      </c>
    </row>
    <row r="159">
      <c r="E159" s="0" t="s">
        <v>602</v>
      </c>
      <c r="AV159" s="0" t="s">
        <v>470</v>
      </c>
      <c r="AW159" s="0" t="s">
        <v>412</v>
      </c>
      <c r="AX159" s="0" t="s">
        <v>761</v>
      </c>
      <c r="AY159" s="0" t="s">
        <v>1368</v>
      </c>
      <c r="AZ159" s="0" t="s">
        <v>1369</v>
      </c>
      <c r="BA159" s="0" t="s">
        <v>473</v>
      </c>
      <c r="BB159" s="0" t="str">
        <f t="shared" si="2"/>
        <v>APINlaMushin</v>
      </c>
    </row>
    <row r="160">
      <c r="E160" s="0" t="s">
        <v>641</v>
      </c>
      <c r="AV160" s="0" t="s">
        <v>470</v>
      </c>
      <c r="AW160" s="0" t="s">
        <v>412</v>
      </c>
      <c r="AX160" s="0" t="s">
        <v>761</v>
      </c>
      <c r="AY160" s="0" t="s">
        <v>1370</v>
      </c>
      <c r="AZ160" s="0" t="s">
        <v>1371</v>
      </c>
      <c r="BA160" s="0" t="s">
        <v>473</v>
      </c>
      <c r="BB160" s="0" t="str">
        <f t="shared" si="2"/>
        <v>APINlaMushin</v>
      </c>
    </row>
    <row r="161">
      <c r="E161" s="0" t="s">
        <v>748</v>
      </c>
      <c r="AV161" s="0" t="s">
        <v>470</v>
      </c>
      <c r="AW161" s="0" t="s">
        <v>412</v>
      </c>
      <c r="AX161" s="0" t="s">
        <v>793</v>
      </c>
      <c r="AY161" s="0" t="s">
        <v>1372</v>
      </c>
      <c r="AZ161" s="0" t="s">
        <v>1373</v>
      </c>
      <c r="BA161" s="0" t="s">
        <v>473</v>
      </c>
      <c r="BB161" s="0" t="str">
        <f t="shared" si="2"/>
        <v>APINlaOshodiIsolo</v>
      </c>
    </row>
    <row r="162">
      <c r="E162" s="0" t="s">
        <v>780</v>
      </c>
      <c r="AV162" s="0" t="s">
        <v>470</v>
      </c>
      <c r="AW162" s="0" t="s">
        <v>412</v>
      </c>
      <c r="AX162" s="0" t="s">
        <v>793</v>
      </c>
      <c r="AY162" s="0" t="s">
        <v>1374</v>
      </c>
      <c r="AZ162" s="0" t="s">
        <v>1375</v>
      </c>
      <c r="BA162" s="0" t="s">
        <v>473</v>
      </c>
      <c r="BB162" s="0" t="str">
        <f t="shared" si="2"/>
        <v>APINlaOshodiIsolo</v>
      </c>
    </row>
    <row r="163">
      <c r="E163" s="0" t="s">
        <v>810</v>
      </c>
      <c r="AV163" s="0" t="s">
        <v>470</v>
      </c>
      <c r="AW163" s="0" t="s">
        <v>412</v>
      </c>
      <c r="AX163" s="0" t="s">
        <v>793</v>
      </c>
      <c r="AY163" s="0" t="s">
        <v>1376</v>
      </c>
      <c r="AZ163" s="0" t="s">
        <v>1377</v>
      </c>
      <c r="BA163" s="0" t="s">
        <v>473</v>
      </c>
      <c r="BB163" s="0" t="str">
        <f t="shared" si="2"/>
        <v>APINlaOshodiIsolo</v>
      </c>
    </row>
    <row r="164">
      <c r="E164" s="0" t="s">
        <v>1017</v>
      </c>
      <c r="AV164" s="0" t="s">
        <v>470</v>
      </c>
      <c r="AW164" s="0" t="s">
        <v>412</v>
      </c>
      <c r="AX164" s="0" t="s">
        <v>793</v>
      </c>
      <c r="AY164" s="0" t="s">
        <v>1378</v>
      </c>
      <c r="AZ164" s="0" t="s">
        <v>1379</v>
      </c>
      <c r="BA164" s="0" t="s">
        <v>473</v>
      </c>
      <c r="BB164" s="0" t="str">
        <f t="shared" si="2"/>
        <v>APINlaOshodiIsolo</v>
      </c>
    </row>
    <row r="165">
      <c r="E165" s="0" t="s">
        <v>1032</v>
      </c>
      <c r="AV165" s="0" t="s">
        <v>470</v>
      </c>
      <c r="AW165" s="0" t="s">
        <v>412</v>
      </c>
      <c r="AX165" s="0" t="s">
        <v>793</v>
      </c>
      <c r="AY165" s="0" t="s">
        <v>1380</v>
      </c>
      <c r="AZ165" s="0" t="s">
        <v>1381</v>
      </c>
      <c r="BA165" s="0" t="s">
        <v>473</v>
      </c>
      <c r="BB165" s="0" t="str">
        <f t="shared" si="2"/>
        <v>APINlaOshodiIsolo</v>
      </c>
    </row>
    <row r="166">
      <c r="E166" s="0" t="s">
        <v>1045</v>
      </c>
      <c r="AV166" s="0" t="s">
        <v>470</v>
      </c>
      <c r="AW166" s="0" t="s">
        <v>412</v>
      </c>
      <c r="AX166" s="0" t="s">
        <v>793</v>
      </c>
      <c r="AY166" s="0" t="s">
        <v>1382</v>
      </c>
      <c r="AZ166" s="0" t="s">
        <v>1383</v>
      </c>
      <c r="BA166" s="0" t="s">
        <v>473</v>
      </c>
      <c r="BB166" s="0" t="str">
        <f t="shared" si="2"/>
        <v>APINlaOshodiIsolo</v>
      </c>
    </row>
    <row r="167">
      <c r="E167" s="0" t="s">
        <v>839</v>
      </c>
      <c r="AV167" s="0" t="s">
        <v>470</v>
      </c>
      <c r="AW167" s="0" t="s">
        <v>412</v>
      </c>
      <c r="AX167" s="0" t="s">
        <v>793</v>
      </c>
      <c r="AY167" s="0" t="s">
        <v>1384</v>
      </c>
      <c r="AZ167" s="0" t="s">
        <v>1385</v>
      </c>
      <c r="BA167" s="0" t="s">
        <v>473</v>
      </c>
      <c r="BB167" s="0" t="str">
        <f t="shared" si="2"/>
        <v>APINlaOshodiIsolo</v>
      </c>
    </row>
    <row r="168">
      <c r="E168" s="0" t="s">
        <v>867</v>
      </c>
      <c r="AV168" s="0" t="s">
        <v>470</v>
      </c>
      <c r="AW168" s="0" t="s">
        <v>412</v>
      </c>
      <c r="AX168" s="0" t="s">
        <v>793</v>
      </c>
      <c r="AY168" s="0" t="s">
        <v>1386</v>
      </c>
      <c r="AZ168" s="0" t="s">
        <v>1387</v>
      </c>
      <c r="BA168" s="0" t="s">
        <v>473</v>
      </c>
      <c r="BB168" s="0" t="str">
        <f t="shared" si="2"/>
        <v>APINlaOshodiIsolo</v>
      </c>
    </row>
    <row r="169">
      <c r="E169" s="0" t="s">
        <v>893</v>
      </c>
      <c r="AV169" s="0" t="s">
        <v>470</v>
      </c>
      <c r="AW169" s="0" t="s">
        <v>412</v>
      </c>
      <c r="AX169" s="0" t="s">
        <v>793</v>
      </c>
      <c r="AY169" s="0" t="s">
        <v>1388</v>
      </c>
      <c r="AZ169" s="0" t="s">
        <v>1389</v>
      </c>
      <c r="BA169" s="0" t="s">
        <v>473</v>
      </c>
      <c r="BB169" s="0" t="str">
        <f t="shared" si="2"/>
        <v>APINlaOshodiIsolo</v>
      </c>
    </row>
    <row r="170">
      <c r="E170" s="0" t="s">
        <v>918</v>
      </c>
      <c r="AV170" s="0" t="s">
        <v>470</v>
      </c>
      <c r="AW170" s="0" t="s">
        <v>412</v>
      </c>
      <c r="AX170" s="0" t="s">
        <v>793</v>
      </c>
      <c r="AY170" s="0" t="s">
        <v>1390</v>
      </c>
      <c r="AZ170" s="0" t="s">
        <v>1391</v>
      </c>
      <c r="BA170" s="0" t="s">
        <v>473</v>
      </c>
      <c r="BB170" s="0" t="str">
        <f t="shared" si="2"/>
        <v>APINlaOshodiIsolo</v>
      </c>
    </row>
    <row r="171">
      <c r="E171" s="0" t="s">
        <v>963</v>
      </c>
      <c r="AV171" s="0" t="s">
        <v>470</v>
      </c>
      <c r="AW171" s="0" t="s">
        <v>412</v>
      </c>
      <c r="AX171" s="0" t="s">
        <v>793</v>
      </c>
      <c r="AY171" s="0" t="s">
        <v>1392</v>
      </c>
      <c r="AZ171" s="0" t="s">
        <v>1393</v>
      </c>
      <c r="BA171" s="0" t="s">
        <v>473</v>
      </c>
      <c r="BB171" s="0" t="str">
        <f t="shared" si="2"/>
        <v>APINlaOshodiIsolo</v>
      </c>
    </row>
    <row r="172">
      <c r="E172" s="0" t="s">
        <v>448</v>
      </c>
      <c r="AV172" s="0" t="s">
        <v>470</v>
      </c>
      <c r="AW172" s="0" t="s">
        <v>412</v>
      </c>
      <c r="AX172" s="0" t="s">
        <v>793</v>
      </c>
      <c r="AY172" s="0" t="s">
        <v>1394</v>
      </c>
      <c r="AZ172" s="0" t="s">
        <v>1395</v>
      </c>
      <c r="BA172" s="0" t="s">
        <v>473</v>
      </c>
      <c r="BB172" s="0" t="str">
        <f t="shared" si="2"/>
        <v>APINlaOshodiIsolo</v>
      </c>
    </row>
    <row r="173">
      <c r="E173" s="0" t="s">
        <v>491</v>
      </c>
      <c r="AV173" s="0" t="s">
        <v>470</v>
      </c>
      <c r="AW173" s="0" t="s">
        <v>412</v>
      </c>
      <c r="AX173" s="0" t="s">
        <v>793</v>
      </c>
      <c r="AY173" s="0" t="s">
        <v>1396</v>
      </c>
      <c r="AZ173" s="0" t="s">
        <v>1397</v>
      </c>
      <c r="BA173" s="0" t="s">
        <v>473</v>
      </c>
      <c r="BB173" s="0" t="str">
        <f t="shared" si="2"/>
        <v>APINlaOshodiIsolo</v>
      </c>
    </row>
    <row r="174">
      <c r="E174" s="0" t="s">
        <v>532</v>
      </c>
      <c r="AV174" s="0" t="s">
        <v>470</v>
      </c>
      <c r="AW174" s="0" t="s">
        <v>412</v>
      </c>
      <c r="AX174" s="0" t="s">
        <v>793</v>
      </c>
      <c r="AY174" s="0" t="s">
        <v>1398</v>
      </c>
      <c r="AZ174" s="0" t="s">
        <v>1399</v>
      </c>
      <c r="BA174" s="0" t="s">
        <v>473</v>
      </c>
      <c r="BB174" s="0" t="str">
        <f t="shared" si="2"/>
        <v>APINlaOshodiIsolo</v>
      </c>
    </row>
    <row r="175">
      <c r="E175" s="0" t="s">
        <v>573</v>
      </c>
      <c r="AV175" s="0" t="s">
        <v>470</v>
      </c>
      <c r="AW175" s="0" t="s">
        <v>286</v>
      </c>
      <c r="AX175" s="0" t="s">
        <v>825</v>
      </c>
      <c r="AY175" s="0" t="s">
        <v>1400</v>
      </c>
      <c r="AZ175" s="0" t="s">
        <v>1401</v>
      </c>
      <c r="BA175" s="0" t="s">
        <v>473</v>
      </c>
      <c r="BB175" s="0" t="str">
        <f t="shared" si="2"/>
        <v>APINoyAfijio</v>
      </c>
    </row>
    <row r="176">
      <c r="E176" s="0" t="s">
        <v>611</v>
      </c>
      <c r="AV176" s="0" t="s">
        <v>470</v>
      </c>
      <c r="AW176" s="0" t="s">
        <v>286</v>
      </c>
      <c r="AX176" s="0" t="s">
        <v>853</v>
      </c>
      <c r="AY176" s="0" t="s">
        <v>1402</v>
      </c>
      <c r="AZ176" s="0" t="s">
        <v>1403</v>
      </c>
      <c r="BA176" s="0" t="s">
        <v>473</v>
      </c>
      <c r="BB176" s="0" t="str">
        <f t="shared" si="2"/>
        <v>APINoyAkinyele</v>
      </c>
    </row>
    <row r="177">
      <c r="E177" s="0" t="s">
        <v>650</v>
      </c>
      <c r="AV177" s="0" t="s">
        <v>470</v>
      </c>
      <c r="AW177" s="0" t="s">
        <v>286</v>
      </c>
      <c r="AX177" s="0" t="s">
        <v>879</v>
      </c>
      <c r="AY177" s="0" t="s">
        <v>1404</v>
      </c>
      <c r="AZ177" s="0" t="s">
        <v>1405</v>
      </c>
      <c r="BA177" s="0" t="s">
        <v>473</v>
      </c>
      <c r="BB177" s="0" t="str">
        <f t="shared" si="2"/>
        <v>APINoyAtiba</v>
      </c>
    </row>
    <row r="178">
      <c r="E178" s="0" t="s">
        <v>686</v>
      </c>
      <c r="AV178" s="0" t="s">
        <v>470</v>
      </c>
      <c r="AW178" s="0" t="s">
        <v>286</v>
      </c>
      <c r="AX178" s="0" t="s">
        <v>904</v>
      </c>
      <c r="AY178" s="0" t="s">
        <v>1406</v>
      </c>
      <c r="AZ178" s="0" t="s">
        <v>1407</v>
      </c>
      <c r="BA178" s="0" t="s">
        <v>473</v>
      </c>
      <c r="BB178" s="0" t="str">
        <f t="shared" si="2"/>
        <v>APINoyIbadanNorth</v>
      </c>
    </row>
    <row r="179">
      <c r="E179" s="0" t="s">
        <v>721</v>
      </c>
      <c r="AV179" s="0" t="s">
        <v>470</v>
      </c>
      <c r="AW179" s="0" t="s">
        <v>286</v>
      </c>
      <c r="AX179" s="0" t="s">
        <v>904</v>
      </c>
      <c r="AY179" s="0" t="s">
        <v>1408</v>
      </c>
      <c r="AZ179" s="0" t="s">
        <v>1409</v>
      </c>
      <c r="BA179" s="0" t="s">
        <v>473</v>
      </c>
      <c r="BB179" s="0" t="str">
        <f t="shared" si="2"/>
        <v>APINoyIbadanNorth</v>
      </c>
    </row>
    <row r="180">
      <c r="E180" s="0" t="s">
        <v>754</v>
      </c>
      <c r="AV180" s="0" t="s">
        <v>470</v>
      </c>
      <c r="AW180" s="0" t="s">
        <v>286</v>
      </c>
      <c r="AX180" s="0" t="s">
        <v>904</v>
      </c>
      <c r="AY180" s="0" t="s">
        <v>1410</v>
      </c>
      <c r="AZ180" s="0" t="s">
        <v>1411</v>
      </c>
      <c r="BA180" s="0" t="s">
        <v>473</v>
      </c>
      <c r="BB180" s="0" t="str">
        <f t="shared" si="2"/>
        <v>APINoyIbadanNorth</v>
      </c>
    </row>
    <row r="181">
      <c r="E181" s="0" t="s">
        <v>451</v>
      </c>
      <c r="AV181" s="0" t="s">
        <v>470</v>
      </c>
      <c r="AW181" s="0" t="s">
        <v>286</v>
      </c>
      <c r="AX181" s="0" t="s">
        <v>904</v>
      </c>
      <c r="AY181" s="0" t="s">
        <v>1412</v>
      </c>
      <c r="AZ181" s="0" t="s">
        <v>1413</v>
      </c>
      <c r="BA181" s="0" t="s">
        <v>473</v>
      </c>
      <c r="BB181" s="0" t="str">
        <f t="shared" si="2"/>
        <v>APINoyIbadanNorth</v>
      </c>
    </row>
    <row r="182">
      <c r="E182" s="0" t="s">
        <v>724</v>
      </c>
      <c r="AV182" s="0" t="s">
        <v>470</v>
      </c>
      <c r="AW182" s="0" t="s">
        <v>286</v>
      </c>
      <c r="AX182" s="0" t="s">
        <v>904</v>
      </c>
      <c r="AY182" s="0" t="s">
        <v>1414</v>
      </c>
      <c r="AZ182" s="0" t="s">
        <v>1415</v>
      </c>
      <c r="BA182" s="0" t="s">
        <v>473</v>
      </c>
      <c r="BB182" s="0" t="str">
        <f t="shared" si="2"/>
        <v>APINoyIbadanNorth</v>
      </c>
    </row>
    <row r="183">
      <c r="E183" s="0" t="s">
        <v>757</v>
      </c>
      <c r="AV183" s="0" t="s">
        <v>470</v>
      </c>
      <c r="AW183" s="0" t="s">
        <v>286</v>
      </c>
      <c r="AX183" s="0" t="s">
        <v>929</v>
      </c>
      <c r="AY183" s="0" t="s">
        <v>1416</v>
      </c>
      <c r="AZ183" s="0" t="s">
        <v>1417</v>
      </c>
      <c r="BA183" s="0" t="s">
        <v>473</v>
      </c>
      <c r="BB183" s="0" t="str">
        <f t="shared" si="2"/>
        <v>APINoyIbadanNorthEast</v>
      </c>
    </row>
    <row r="184">
      <c r="E184" s="0" t="s">
        <v>494</v>
      </c>
      <c r="AV184" s="0" t="s">
        <v>470</v>
      </c>
      <c r="AW184" s="0" t="s">
        <v>286</v>
      </c>
      <c r="AX184" s="0" t="s">
        <v>929</v>
      </c>
      <c r="AY184" s="0" t="s">
        <v>1418</v>
      </c>
      <c r="AZ184" s="0" t="s">
        <v>1419</v>
      </c>
      <c r="BA184" s="0" t="s">
        <v>473</v>
      </c>
      <c r="BB184" s="0" t="str">
        <f t="shared" si="2"/>
        <v>APINoyIbadanNorthEast</v>
      </c>
    </row>
    <row r="185">
      <c r="E185" s="0" t="s">
        <v>789</v>
      </c>
      <c r="AV185" s="0" t="s">
        <v>470</v>
      </c>
      <c r="AW185" s="0" t="s">
        <v>286</v>
      </c>
      <c r="AX185" s="0" t="s">
        <v>953</v>
      </c>
      <c r="AY185" s="0" t="s">
        <v>1420</v>
      </c>
      <c r="AZ185" s="0" t="s">
        <v>1421</v>
      </c>
      <c r="BA185" s="0" t="s">
        <v>473</v>
      </c>
      <c r="BB185" s="0" t="str">
        <f t="shared" si="2"/>
        <v>APINoyIbadanNorthWest</v>
      </c>
    </row>
    <row r="186">
      <c r="E186" s="0" t="s">
        <v>819</v>
      </c>
      <c r="AV186" s="0" t="s">
        <v>470</v>
      </c>
      <c r="AW186" s="0" t="s">
        <v>286</v>
      </c>
      <c r="AX186" s="0" t="s">
        <v>953</v>
      </c>
      <c r="AY186" s="0" t="s">
        <v>1422</v>
      </c>
      <c r="AZ186" s="0" t="s">
        <v>1423</v>
      </c>
      <c r="BA186" s="0" t="s">
        <v>473</v>
      </c>
      <c r="BB186" s="0" t="str">
        <f t="shared" si="2"/>
        <v>APINoyIbadanNorthWest</v>
      </c>
    </row>
    <row r="187">
      <c r="E187" s="0" t="s">
        <v>535</v>
      </c>
      <c r="AV187" s="0" t="s">
        <v>470</v>
      </c>
      <c r="AW187" s="0" t="s">
        <v>286</v>
      </c>
      <c r="AX187" s="0" t="s">
        <v>972</v>
      </c>
      <c r="AY187" s="0" t="s">
        <v>1424</v>
      </c>
      <c r="AZ187" s="0" t="s">
        <v>1425</v>
      </c>
      <c r="BA187" s="0" t="s">
        <v>473</v>
      </c>
      <c r="BB187" s="0" t="str">
        <f t="shared" si="2"/>
        <v>APINoyIbadanSouthEast</v>
      </c>
    </row>
    <row r="188">
      <c r="E188" s="0" t="s">
        <v>847</v>
      </c>
      <c r="AV188" s="0" t="s">
        <v>470</v>
      </c>
      <c r="AW188" s="0" t="s">
        <v>286</v>
      </c>
      <c r="AX188" s="0" t="s">
        <v>972</v>
      </c>
      <c r="AY188" s="0" t="s">
        <v>1426</v>
      </c>
      <c r="AZ188" s="0" t="s">
        <v>1427</v>
      </c>
      <c r="BA188" s="0" t="s">
        <v>473</v>
      </c>
      <c r="BB188" s="0" t="str">
        <f t="shared" si="2"/>
        <v>APINoyIbadanSouthEast</v>
      </c>
    </row>
    <row r="189">
      <c r="E189" s="0" t="s">
        <v>875</v>
      </c>
      <c r="AV189" s="0" t="s">
        <v>470</v>
      </c>
      <c r="AW189" s="0" t="s">
        <v>286</v>
      </c>
      <c r="AX189" s="0" t="s">
        <v>972</v>
      </c>
      <c r="AY189" s="0" t="s">
        <v>1428</v>
      </c>
      <c r="AZ189" s="0" t="s">
        <v>1429</v>
      </c>
      <c r="BA189" s="0" t="s">
        <v>473</v>
      </c>
      <c r="BB189" s="0" t="str">
        <f t="shared" si="2"/>
        <v>APINoyIbadanSouthEast</v>
      </c>
    </row>
    <row r="190">
      <c r="E190" s="0" t="s">
        <v>900</v>
      </c>
      <c r="AV190" s="0" t="s">
        <v>470</v>
      </c>
      <c r="AW190" s="0" t="s">
        <v>286</v>
      </c>
      <c r="AX190" s="0" t="s">
        <v>972</v>
      </c>
      <c r="AY190" s="0" t="s">
        <v>1430</v>
      </c>
      <c r="AZ190" s="0" t="s">
        <v>1431</v>
      </c>
      <c r="BA190" s="0" t="s">
        <v>473</v>
      </c>
      <c r="BB190" s="0" t="str">
        <f t="shared" si="2"/>
        <v>APINoyIbadanSouthEast</v>
      </c>
    </row>
    <row r="191">
      <c r="E191" s="0" t="s">
        <v>576</v>
      </c>
      <c r="AV191" s="0" t="s">
        <v>470</v>
      </c>
      <c r="AW191" s="0" t="s">
        <v>286</v>
      </c>
      <c r="AX191" s="0" t="s">
        <v>972</v>
      </c>
      <c r="AY191" s="0" t="s">
        <v>1432</v>
      </c>
      <c r="AZ191" s="0" t="s">
        <v>1433</v>
      </c>
      <c r="BA191" s="0" t="s">
        <v>473</v>
      </c>
      <c r="BB191" s="0" t="str">
        <f t="shared" si="2"/>
        <v>APINoyIbadanSouthEast</v>
      </c>
    </row>
    <row r="192">
      <c r="E192" s="0" t="s">
        <v>653</v>
      </c>
      <c r="AV192" s="0" t="s">
        <v>470</v>
      </c>
      <c r="AW192" s="0" t="s">
        <v>286</v>
      </c>
      <c r="AX192" s="0" t="s">
        <v>972</v>
      </c>
      <c r="AY192" s="0" t="s">
        <v>1434</v>
      </c>
      <c r="AZ192" s="0" t="s">
        <v>1435</v>
      </c>
      <c r="BA192" s="0" t="s">
        <v>473</v>
      </c>
      <c r="BB192" s="0" t="str">
        <f t="shared" si="2"/>
        <v>APINoyIbadanSouthEast</v>
      </c>
    </row>
    <row r="193">
      <c r="E193" s="0" t="s">
        <v>925</v>
      </c>
      <c r="AV193" s="0" t="s">
        <v>470</v>
      </c>
      <c r="AW193" s="0" t="s">
        <v>286</v>
      </c>
      <c r="AX193" s="0" t="s">
        <v>991</v>
      </c>
      <c r="AY193" s="0" t="s">
        <v>1436</v>
      </c>
      <c r="AZ193" s="0" t="s">
        <v>1437</v>
      </c>
      <c r="BA193" s="0" t="s">
        <v>473</v>
      </c>
      <c r="BB193" s="0" t="str">
        <f t="shared" si="2"/>
        <v>APINoyIbadanSouthWest</v>
      </c>
    </row>
    <row r="194">
      <c r="E194" s="0" t="s">
        <v>689</v>
      </c>
      <c r="AV194" s="0" t="s">
        <v>470</v>
      </c>
      <c r="AW194" s="0" t="s">
        <v>286</v>
      </c>
      <c r="AX194" s="0" t="s">
        <v>991</v>
      </c>
      <c r="AY194" s="0" t="s">
        <v>1438</v>
      </c>
      <c r="AZ194" s="0" t="s">
        <v>1439</v>
      </c>
      <c r="BA194" s="0" t="s">
        <v>473</v>
      </c>
      <c r="BB194" s="0" t="str">
        <f t="shared" si="2"/>
        <v>APINoyIbadanSouthWest</v>
      </c>
    </row>
    <row r="195">
      <c r="E195" s="0" t="s">
        <v>949</v>
      </c>
      <c r="AV195" s="0" t="s">
        <v>470</v>
      </c>
      <c r="AW195" s="0" t="s">
        <v>286</v>
      </c>
      <c r="AX195" s="0" t="s">
        <v>1008</v>
      </c>
      <c r="AY195" s="0" t="s">
        <v>1440</v>
      </c>
      <c r="AZ195" s="0" t="s">
        <v>1441</v>
      </c>
      <c r="BA195" s="0" t="s">
        <v>473</v>
      </c>
      <c r="BB195" s="0" t="str">
        <f ref="BB195:BB258" t="shared" si="3">SUBSTITUTE(SUBSTITUTE(BA195&amp;AX195," ",""),"-","")</f>
        <v>APINoyIbarapaCentral</v>
      </c>
    </row>
    <row r="196">
      <c r="E196" s="0" t="s">
        <v>1442</v>
      </c>
      <c r="AV196" s="0" t="s">
        <v>470</v>
      </c>
      <c r="AW196" s="0" t="s">
        <v>286</v>
      </c>
      <c r="AX196" s="0" t="s">
        <v>1024</v>
      </c>
      <c r="AY196" s="0" t="s">
        <v>1443</v>
      </c>
      <c r="AZ196" s="0" t="s">
        <v>1444</v>
      </c>
      <c r="BA196" s="0" t="s">
        <v>473</v>
      </c>
      <c r="BB196" s="0" t="str">
        <f t="shared" si="3"/>
        <v>APINoyIdo</v>
      </c>
    </row>
    <row r="197">
      <c r="E197" s="0" t="s">
        <v>617</v>
      </c>
      <c r="AV197" s="0" t="s">
        <v>470</v>
      </c>
      <c r="AW197" s="0" t="s">
        <v>286</v>
      </c>
      <c r="AX197" s="0" t="s">
        <v>1039</v>
      </c>
      <c r="AY197" s="0" t="s">
        <v>1445</v>
      </c>
      <c r="AZ197" s="0" t="s">
        <v>1446</v>
      </c>
      <c r="BA197" s="0" t="s">
        <v>473</v>
      </c>
      <c r="BB197" s="0" t="str">
        <f t="shared" si="3"/>
        <v>APINoyItesiwaju</v>
      </c>
    </row>
    <row r="198">
      <c r="E198" s="0" t="s">
        <v>655</v>
      </c>
      <c r="AV198" s="0" t="s">
        <v>470</v>
      </c>
      <c r="AW198" s="0" t="s">
        <v>286</v>
      </c>
      <c r="AX198" s="0" t="s">
        <v>1039</v>
      </c>
      <c r="AY198" s="0" t="s">
        <v>1447</v>
      </c>
      <c r="AZ198" s="0" t="s">
        <v>1448</v>
      </c>
      <c r="BA198" s="0" t="s">
        <v>473</v>
      </c>
      <c r="BB198" s="0" t="str">
        <f t="shared" si="3"/>
        <v>APINoyItesiwaju</v>
      </c>
    </row>
    <row r="199">
      <c r="E199" s="0" t="s">
        <v>1301</v>
      </c>
      <c r="AV199" s="0" t="s">
        <v>470</v>
      </c>
      <c r="AW199" s="0" t="s">
        <v>286</v>
      </c>
      <c r="AX199" s="0" t="s">
        <v>1050</v>
      </c>
      <c r="AY199" s="0" t="s">
        <v>1449</v>
      </c>
      <c r="AZ199" s="0" t="s">
        <v>1450</v>
      </c>
      <c r="BA199" s="0" t="s">
        <v>473</v>
      </c>
      <c r="BB199" s="0" t="str">
        <f t="shared" si="3"/>
        <v>APINoyLagelu</v>
      </c>
    </row>
    <row r="200">
      <c r="E200" s="0" t="s">
        <v>691</v>
      </c>
      <c r="AV200" s="0" t="s">
        <v>470</v>
      </c>
      <c r="AW200" s="0" t="s">
        <v>286</v>
      </c>
      <c r="AX200" s="0" t="s">
        <v>1050</v>
      </c>
      <c r="AY200" s="0" t="s">
        <v>1451</v>
      </c>
      <c r="AZ200" s="0" t="s">
        <v>1452</v>
      </c>
      <c r="BA200" s="0" t="s">
        <v>473</v>
      </c>
      <c r="BB200" s="0" t="str">
        <f t="shared" si="3"/>
        <v>APINoyLagelu</v>
      </c>
    </row>
    <row r="201">
      <c r="E201" s="0" t="s">
        <v>1304</v>
      </c>
      <c r="AV201" s="0" t="s">
        <v>470</v>
      </c>
      <c r="AW201" s="0" t="s">
        <v>286</v>
      </c>
      <c r="AX201" s="0" t="s">
        <v>1061</v>
      </c>
      <c r="AY201" s="0" t="s">
        <v>1453</v>
      </c>
      <c r="AZ201" s="0" t="s">
        <v>1454</v>
      </c>
      <c r="BA201" s="0" t="s">
        <v>473</v>
      </c>
      <c r="BB201" s="0" t="str">
        <f t="shared" si="3"/>
        <v>APINoyOgbomosoNorth</v>
      </c>
    </row>
    <row r="202">
      <c r="E202" s="0" t="s">
        <v>726</v>
      </c>
      <c r="AV202" s="0" t="s">
        <v>470</v>
      </c>
      <c r="AW202" s="0" t="s">
        <v>286</v>
      </c>
      <c r="AX202" s="0" t="s">
        <v>1061</v>
      </c>
      <c r="AY202" s="0" t="s">
        <v>1455</v>
      </c>
      <c r="AZ202" s="0" t="s">
        <v>1456</v>
      </c>
      <c r="BA202" s="0" t="s">
        <v>473</v>
      </c>
      <c r="BB202" s="0" t="str">
        <f t="shared" si="3"/>
        <v>APINoyOgbomosoNorth</v>
      </c>
    </row>
    <row r="203">
      <c r="E203" s="0" t="s">
        <v>759</v>
      </c>
      <c r="AV203" s="0" t="s">
        <v>470</v>
      </c>
      <c r="AW203" s="0" t="s">
        <v>286</v>
      </c>
      <c r="AX203" s="0" t="s">
        <v>1071</v>
      </c>
      <c r="AY203" s="0" t="s">
        <v>1457</v>
      </c>
      <c r="AZ203" s="0" t="s">
        <v>1458</v>
      </c>
      <c r="BA203" s="0" t="s">
        <v>473</v>
      </c>
      <c r="BB203" s="0" t="str">
        <f t="shared" si="3"/>
        <v>APINoyOgbomosoSouth</v>
      </c>
    </row>
    <row r="204">
      <c r="E204" s="0" t="s">
        <v>791</v>
      </c>
      <c r="AV204" s="0" t="s">
        <v>470</v>
      </c>
      <c r="AW204" s="0" t="s">
        <v>286</v>
      </c>
      <c r="AX204" s="0" t="s">
        <v>1079</v>
      </c>
      <c r="AY204" s="0" t="s">
        <v>1459</v>
      </c>
      <c r="AZ204" s="0" t="s">
        <v>1460</v>
      </c>
      <c r="BA204" s="0" t="s">
        <v>473</v>
      </c>
      <c r="BB204" s="0" t="str">
        <f t="shared" si="3"/>
        <v>APINoyOluyole</v>
      </c>
    </row>
    <row r="205">
      <c r="E205" s="0" t="s">
        <v>821</v>
      </c>
      <c r="AV205" s="0" t="s">
        <v>470</v>
      </c>
      <c r="AW205" s="0" t="s">
        <v>286</v>
      </c>
      <c r="AX205" s="0" t="s">
        <v>1086</v>
      </c>
      <c r="AY205" s="0" t="s">
        <v>1461</v>
      </c>
      <c r="AZ205" s="0" t="s">
        <v>1462</v>
      </c>
      <c r="BA205" s="0" t="s">
        <v>473</v>
      </c>
      <c r="BB205" s="0" t="str">
        <f t="shared" si="3"/>
        <v>APINoyOnaAra</v>
      </c>
    </row>
    <row r="206">
      <c r="E206" s="0" t="s">
        <v>849</v>
      </c>
      <c r="AV206" s="0" t="s">
        <v>470</v>
      </c>
      <c r="AW206" s="0" t="s">
        <v>286</v>
      </c>
      <c r="AX206" s="0" t="s">
        <v>1086</v>
      </c>
      <c r="AY206" s="0" t="s">
        <v>1463</v>
      </c>
      <c r="AZ206" s="0" t="s">
        <v>1464</v>
      </c>
      <c r="BA206" s="0" t="s">
        <v>473</v>
      </c>
      <c r="BB206" s="0" t="str">
        <f t="shared" si="3"/>
        <v>APINoyOnaAra</v>
      </c>
    </row>
    <row r="207">
      <c r="E207" s="0" t="s">
        <v>455</v>
      </c>
      <c r="AV207" s="0" t="s">
        <v>470</v>
      </c>
      <c r="AW207" s="0" t="s">
        <v>286</v>
      </c>
      <c r="AX207" s="0" t="s">
        <v>1093</v>
      </c>
      <c r="AY207" s="0" t="s">
        <v>1465</v>
      </c>
      <c r="AZ207" s="0" t="s">
        <v>1466</v>
      </c>
      <c r="BA207" s="0" t="s">
        <v>473</v>
      </c>
      <c r="BB207" s="0" t="str">
        <f t="shared" si="3"/>
        <v>APINoyOyoEast</v>
      </c>
    </row>
    <row r="208">
      <c r="E208" s="0" t="s">
        <v>498</v>
      </c>
      <c r="AV208" s="0" t="s">
        <v>470</v>
      </c>
      <c r="AW208" s="0" t="s">
        <v>286</v>
      </c>
      <c r="AX208" s="0" t="s">
        <v>1097</v>
      </c>
      <c r="AY208" s="0" t="s">
        <v>1467</v>
      </c>
      <c r="AZ208" s="0" t="s">
        <v>1468</v>
      </c>
      <c r="BA208" s="0" t="s">
        <v>473</v>
      </c>
      <c r="BB208" s="0" t="str">
        <f t="shared" si="3"/>
        <v>APINoyOyoWest</v>
      </c>
    </row>
    <row r="209">
      <c r="E209" s="0" t="s">
        <v>539</v>
      </c>
      <c r="AV209" s="0" t="s">
        <v>470</v>
      </c>
      <c r="AW209" s="0" t="s">
        <v>286</v>
      </c>
      <c r="AX209" s="0" t="s">
        <v>1101</v>
      </c>
      <c r="AY209" s="0" t="s">
        <v>1469</v>
      </c>
      <c r="AZ209" s="0" t="s">
        <v>1470</v>
      </c>
      <c r="BA209" s="0" t="s">
        <v>473</v>
      </c>
      <c r="BB209" s="0" t="str">
        <f t="shared" si="3"/>
        <v>APINoySakiWest</v>
      </c>
    </row>
    <row r="210">
      <c r="E210" s="0" t="s">
        <v>783</v>
      </c>
      <c r="AV210" s="0" t="s">
        <v>470</v>
      </c>
      <c r="AW210" s="0" t="s">
        <v>286</v>
      </c>
      <c r="AX210" s="0" t="s">
        <v>1105</v>
      </c>
      <c r="AY210" s="0" t="s">
        <v>1471</v>
      </c>
      <c r="AZ210" s="0" t="s">
        <v>1472</v>
      </c>
      <c r="BA210" s="0" t="s">
        <v>473</v>
      </c>
      <c r="BB210" s="0" t="str">
        <f t="shared" si="3"/>
        <v>APINoySurulere</v>
      </c>
    </row>
    <row r="211">
      <c r="E211" s="0" t="s">
        <v>813</v>
      </c>
      <c r="AV211" s="0" t="s">
        <v>470</v>
      </c>
      <c r="AW211" s="0" t="s">
        <v>418</v>
      </c>
      <c r="AX211" s="0" t="s">
        <v>464</v>
      </c>
      <c r="AY211" s="0" t="s">
        <v>1473</v>
      </c>
      <c r="AZ211" s="0" t="s">
        <v>1474</v>
      </c>
      <c r="BA211" s="0" t="s">
        <v>473</v>
      </c>
      <c r="BB211" s="0" t="str">
        <f t="shared" si="3"/>
        <v>APINplBarkinLadi</v>
      </c>
    </row>
    <row r="212">
      <c r="E212" s="0" t="s">
        <v>842</v>
      </c>
      <c r="AV212" s="0" t="s">
        <v>470</v>
      </c>
      <c r="AW212" s="0" t="s">
        <v>418</v>
      </c>
      <c r="AX212" s="0" t="s">
        <v>506</v>
      </c>
      <c r="AY212" s="0" t="s">
        <v>1475</v>
      </c>
      <c r="AZ212" s="0" t="s">
        <v>1476</v>
      </c>
      <c r="BA212" s="0" t="s">
        <v>473</v>
      </c>
      <c r="BB212" s="0" t="str">
        <f t="shared" si="3"/>
        <v>APINplBassa</v>
      </c>
    </row>
    <row r="213">
      <c r="E213" s="0" t="s">
        <v>870</v>
      </c>
      <c r="AV213" s="0" t="s">
        <v>470</v>
      </c>
      <c r="AW213" s="0" t="s">
        <v>418</v>
      </c>
      <c r="AX213" s="0" t="s">
        <v>547</v>
      </c>
      <c r="AY213" s="0" t="s">
        <v>1477</v>
      </c>
      <c r="AZ213" s="0" t="s">
        <v>1478</v>
      </c>
      <c r="BA213" s="0" t="s">
        <v>473</v>
      </c>
      <c r="BB213" s="0" t="str">
        <f t="shared" si="3"/>
        <v>APINplJosEast</v>
      </c>
    </row>
    <row r="214">
      <c r="E214" s="0" t="s">
        <v>844</v>
      </c>
      <c r="AV214" s="0" t="s">
        <v>470</v>
      </c>
      <c r="AW214" s="0" t="s">
        <v>418</v>
      </c>
      <c r="AX214" s="0" t="s">
        <v>547</v>
      </c>
      <c r="AY214" s="0" t="s">
        <v>1479</v>
      </c>
      <c r="AZ214" s="0" t="s">
        <v>1480</v>
      </c>
      <c r="BA214" s="0" t="s">
        <v>473</v>
      </c>
      <c r="BB214" s="0" t="str">
        <f t="shared" si="3"/>
        <v>APINplJosEast</v>
      </c>
    </row>
    <row r="215">
      <c r="E215" s="0" t="s">
        <v>872</v>
      </c>
      <c r="AV215" s="0" t="s">
        <v>470</v>
      </c>
      <c r="AW215" s="0" t="s">
        <v>418</v>
      </c>
      <c r="AX215" s="0" t="s">
        <v>587</v>
      </c>
      <c r="AY215" s="0" t="s">
        <v>1481</v>
      </c>
      <c r="AZ215" s="0" t="s">
        <v>1482</v>
      </c>
      <c r="BA215" s="0" t="s">
        <v>473</v>
      </c>
      <c r="BB215" s="0" t="str">
        <f t="shared" si="3"/>
        <v>APINplJosNorth</v>
      </c>
    </row>
    <row r="216">
      <c r="E216" s="0" t="s">
        <v>897</v>
      </c>
      <c r="AV216" s="0" t="s">
        <v>470</v>
      </c>
      <c r="AW216" s="0" t="s">
        <v>418</v>
      </c>
      <c r="AX216" s="0" t="s">
        <v>587</v>
      </c>
      <c r="AY216" s="0" t="s">
        <v>1483</v>
      </c>
      <c r="AZ216" s="0" t="s">
        <v>1484</v>
      </c>
      <c r="BA216" s="0" t="s">
        <v>473</v>
      </c>
      <c r="BB216" s="0" t="str">
        <f t="shared" si="3"/>
        <v>APINplJosNorth</v>
      </c>
    </row>
    <row r="217">
      <c r="E217" s="0" t="s">
        <v>922</v>
      </c>
      <c r="AV217" s="0" t="s">
        <v>470</v>
      </c>
      <c r="AW217" s="0" t="s">
        <v>418</v>
      </c>
      <c r="AX217" s="0" t="s">
        <v>587</v>
      </c>
      <c r="AY217" s="0" t="s">
        <v>1485</v>
      </c>
      <c r="AZ217" s="0" t="s">
        <v>1486</v>
      </c>
      <c r="BA217" s="0" t="s">
        <v>473</v>
      </c>
      <c r="BB217" s="0" t="str">
        <f t="shared" si="3"/>
        <v>APINplJosNorth</v>
      </c>
    </row>
    <row r="218">
      <c r="E218" s="0" t="s">
        <v>946</v>
      </c>
      <c r="AV218" s="0" t="s">
        <v>470</v>
      </c>
      <c r="AW218" s="0" t="s">
        <v>418</v>
      </c>
      <c r="AX218" s="0" t="s">
        <v>587</v>
      </c>
      <c r="AY218" s="0" t="s">
        <v>1487</v>
      </c>
      <c r="AZ218" s="0" t="s">
        <v>1488</v>
      </c>
      <c r="BA218" s="0" t="s">
        <v>473</v>
      </c>
      <c r="BB218" s="0" t="str">
        <f t="shared" si="3"/>
        <v>APINplJosNorth</v>
      </c>
    </row>
    <row r="219">
      <c r="E219" s="0" t="s">
        <v>1047</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1068</v>
      </c>
      <c r="AV221" s="0" t="s">
        <v>470</v>
      </c>
      <c r="AW221" s="0" t="s">
        <v>418</v>
      </c>
      <c r="AX221" s="0" t="s">
        <v>587</v>
      </c>
      <c r="AY221" s="0" t="s">
        <v>1494</v>
      </c>
      <c r="AZ221" s="0" t="s">
        <v>1495</v>
      </c>
      <c r="BA221" s="0" t="s">
        <v>473</v>
      </c>
      <c r="BB221" s="0" t="str">
        <f t="shared" si="3"/>
        <v>APINplJosNorth</v>
      </c>
    </row>
    <row r="222">
      <c r="E222" s="0" t="s">
        <v>1076</v>
      </c>
      <c r="AV222" s="0" t="s">
        <v>470</v>
      </c>
      <c r="AW222" s="0" t="s">
        <v>418</v>
      </c>
      <c r="AX222" s="0" t="s">
        <v>626</v>
      </c>
      <c r="AY222" s="0" t="s">
        <v>1496</v>
      </c>
      <c r="AZ222" s="0" t="s">
        <v>1497</v>
      </c>
      <c r="BA222" s="0" t="s">
        <v>473</v>
      </c>
      <c r="BB222" s="0" t="str">
        <f t="shared" si="3"/>
        <v>APINplJosSouth</v>
      </c>
    </row>
    <row r="223">
      <c r="E223" s="0" t="s">
        <v>1084</v>
      </c>
      <c r="AV223" s="0" t="s">
        <v>470</v>
      </c>
      <c r="AW223" s="0" t="s">
        <v>418</v>
      </c>
      <c r="AX223" s="0" t="s">
        <v>626</v>
      </c>
      <c r="AY223" s="0" t="s">
        <v>1498</v>
      </c>
      <c r="AZ223" s="0" t="s">
        <v>1499</v>
      </c>
      <c r="BA223" s="0" t="s">
        <v>473</v>
      </c>
      <c r="BB223" s="0" t="str">
        <f t="shared" si="3"/>
        <v>APINplJosSouth</v>
      </c>
    </row>
    <row r="224">
      <c r="E224" s="0" t="s">
        <v>1091</v>
      </c>
      <c r="AV224" s="0" t="s">
        <v>470</v>
      </c>
      <c r="AW224" s="0" t="s">
        <v>418</v>
      </c>
      <c r="AX224" s="0" t="s">
        <v>626</v>
      </c>
      <c r="AY224" s="0" t="s">
        <v>1500</v>
      </c>
      <c r="AZ224" s="0" t="s">
        <v>1501</v>
      </c>
      <c r="BA224" s="0" t="s">
        <v>473</v>
      </c>
      <c r="BB224" s="0" t="str">
        <f t="shared" si="3"/>
        <v>APINplJosSouth</v>
      </c>
    </row>
    <row r="225">
      <c r="E225" s="0" t="s">
        <v>786</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969</v>
      </c>
      <c r="AV227" s="0" t="s">
        <v>470</v>
      </c>
      <c r="AW227" s="0" t="s">
        <v>418</v>
      </c>
      <c r="AX227" s="0" t="s">
        <v>700</v>
      </c>
      <c r="AY227" s="0" t="s">
        <v>1507</v>
      </c>
      <c r="AZ227" s="0" t="s">
        <v>1508</v>
      </c>
      <c r="BA227" s="0" t="s">
        <v>473</v>
      </c>
      <c r="BB227" s="0" t="str">
        <f t="shared" si="3"/>
        <v>APINplMangu</v>
      </c>
    </row>
    <row r="228">
      <c r="E228" s="0" t="s">
        <v>988</v>
      </c>
      <c r="AV228" s="0" t="s">
        <v>470</v>
      </c>
      <c r="AW228" s="0" t="s">
        <v>418</v>
      </c>
      <c r="AX228" s="0" t="s">
        <v>700</v>
      </c>
      <c r="AY228" s="0" t="s">
        <v>1509</v>
      </c>
      <c r="AZ228" s="0" t="s">
        <v>1510</v>
      </c>
      <c r="BA228" s="0" t="s">
        <v>473</v>
      </c>
      <c r="BB228" s="0" t="str">
        <f t="shared" si="3"/>
        <v>APINplMangu</v>
      </c>
    </row>
    <row r="229">
      <c r="E229" s="0" t="s">
        <v>1005</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1021</v>
      </c>
      <c r="AV231" s="0" t="s">
        <v>470</v>
      </c>
      <c r="AW231" s="0" t="s">
        <v>418</v>
      </c>
      <c r="AX231" s="0" t="s">
        <v>734</v>
      </c>
      <c r="AY231" s="0" t="s">
        <v>1515</v>
      </c>
      <c r="AZ231" s="0" t="s">
        <v>1516</v>
      </c>
      <c r="BA231" s="0" t="s">
        <v>473</v>
      </c>
      <c r="BB231" s="0" t="str">
        <f t="shared" si="3"/>
        <v>APINplPankshin</v>
      </c>
    </row>
    <row r="232">
      <c r="E232" s="0" t="s">
        <v>1036</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797</v>
      </c>
      <c r="AY233" s="0" t="s">
        <v>1520</v>
      </c>
      <c r="AZ233" s="0" t="s">
        <v>1521</v>
      </c>
      <c r="BA233" s="0" t="s">
        <v>473</v>
      </c>
      <c r="BB233" s="0" t="str">
        <f t="shared" si="3"/>
        <v>APINplShendam</v>
      </c>
    </row>
    <row r="234">
      <c r="E234" s="0" t="s">
        <v>495</v>
      </c>
      <c r="AV234" s="0" t="s">
        <v>470</v>
      </c>
      <c r="AW234" s="0" t="s">
        <v>418</v>
      </c>
      <c r="AX234" s="0" t="s">
        <v>797</v>
      </c>
      <c r="AY234" s="0" t="s">
        <v>1522</v>
      </c>
      <c r="AZ234" s="0" t="s">
        <v>1523</v>
      </c>
      <c r="BA234" s="0" t="s">
        <v>473</v>
      </c>
      <c r="BB234" s="0" t="str">
        <f t="shared" si="3"/>
        <v>APINplShendam</v>
      </c>
    </row>
    <row r="235">
      <c r="E235" s="0" t="s">
        <v>536</v>
      </c>
      <c r="AV235" s="0" t="s">
        <v>470</v>
      </c>
      <c r="AW235" s="0" t="s">
        <v>418</v>
      </c>
      <c r="AX235" s="0" t="s">
        <v>797</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810</v>
      </c>
      <c r="AV240" s="0" t="s">
        <v>470</v>
      </c>
      <c r="AW240" s="0" t="s">
        <v>398</v>
      </c>
      <c r="AX240" s="0" t="s">
        <v>443</v>
      </c>
      <c r="AY240" s="0" t="s">
        <v>1534</v>
      </c>
      <c r="AZ240" s="0" t="s">
        <v>1535</v>
      </c>
      <c r="BA240" s="0" t="s">
        <v>555</v>
      </c>
      <c r="BB240" s="0" t="str">
        <f t="shared" si="3"/>
        <v>CCCRNebAbakaliki</v>
      </c>
    </row>
    <row r="241">
      <c r="E241" s="0" t="s">
        <v>1056</v>
      </c>
      <c r="AV241" s="0" t="s">
        <v>470</v>
      </c>
      <c r="AW241" s="0" t="s">
        <v>398</v>
      </c>
      <c r="AX241" s="0" t="s">
        <v>443</v>
      </c>
      <c r="AY241" s="0" t="s">
        <v>1536</v>
      </c>
      <c r="AZ241" s="0" t="s">
        <v>1537</v>
      </c>
      <c r="BA241" s="0" t="s">
        <v>555</v>
      </c>
      <c r="BB241" s="0" t="str">
        <f t="shared" si="3"/>
        <v>CCCRNebAbakaliki</v>
      </c>
    </row>
    <row r="242">
      <c r="E242" s="0" t="s">
        <v>942</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949</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762</v>
      </c>
      <c r="AV272" s="0" t="s">
        <v>470</v>
      </c>
      <c r="AW272" s="0" t="s">
        <v>398</v>
      </c>
      <c r="AX272" s="0" t="s">
        <v>683</v>
      </c>
      <c r="AY272" s="0" t="s">
        <v>1598</v>
      </c>
      <c r="AZ272" s="0" t="s">
        <v>1599</v>
      </c>
      <c r="BA272" s="0" t="s">
        <v>555</v>
      </c>
      <c r="BB272" s="0" t="str">
        <f t="shared" si="4"/>
        <v>CCCRNebOhaozara</v>
      </c>
    </row>
    <row r="273">
      <c r="E273" s="0" t="s">
        <v>794</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823</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751</v>
      </c>
      <c r="AY278" s="0" t="s">
        <v>1610</v>
      </c>
      <c r="AZ278" s="0" t="s">
        <v>1611</v>
      </c>
      <c r="BA278" s="0" t="s">
        <v>555</v>
      </c>
      <c r="BB278" s="0" t="str">
        <f t="shared" si="4"/>
        <v>CCCRNebOnicha</v>
      </c>
    </row>
    <row r="279">
      <c r="E279" s="0" t="s">
        <v>731</v>
      </c>
      <c r="AV279" s="0" t="s">
        <v>470</v>
      </c>
      <c r="AW279" s="0" t="s">
        <v>398</v>
      </c>
      <c r="AX279" s="0" t="s">
        <v>751</v>
      </c>
      <c r="AY279" s="0" t="s">
        <v>1612</v>
      </c>
      <c r="AZ279" s="0" t="s">
        <v>1613</v>
      </c>
      <c r="BA279" s="0" t="s">
        <v>555</v>
      </c>
      <c r="BB279" s="0" t="str">
        <f t="shared" si="4"/>
        <v>CCCRNebOnicha</v>
      </c>
    </row>
    <row r="280">
      <c r="E280" s="0" t="s">
        <v>764</v>
      </c>
      <c r="AV280" s="0" t="s">
        <v>470</v>
      </c>
      <c r="AW280" s="0" t="s">
        <v>398</v>
      </c>
      <c r="AX280" s="0" t="s">
        <v>751</v>
      </c>
      <c r="AY280" s="0" t="s">
        <v>1614</v>
      </c>
      <c r="AZ280" s="0" t="s">
        <v>1615</v>
      </c>
      <c r="BA280" s="0" t="s">
        <v>555</v>
      </c>
      <c r="BB280" s="0" t="str">
        <f t="shared" si="4"/>
        <v>CCCRNebOnicha</v>
      </c>
    </row>
    <row r="281">
      <c r="E281" s="0" t="s">
        <v>623</v>
      </c>
      <c r="AV281" s="0" t="s">
        <v>470</v>
      </c>
      <c r="AW281" s="0" t="s">
        <v>398</v>
      </c>
      <c r="AX281" s="0" t="s">
        <v>751</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765</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794</v>
      </c>
      <c r="AV296" s="0" t="s">
        <v>470</v>
      </c>
      <c r="AW296" s="0" t="s">
        <v>401</v>
      </c>
      <c r="AX296" s="0" t="s">
        <v>489</v>
      </c>
      <c r="AY296" s="0" t="s">
        <v>1646</v>
      </c>
      <c r="AZ296" s="0" t="s">
        <v>1647</v>
      </c>
      <c r="BA296" s="0" t="s">
        <v>555</v>
      </c>
      <c r="BB296" s="0" t="str">
        <f t="shared" si="4"/>
        <v>CCCRNenEnuguNorth</v>
      </c>
    </row>
    <row r="297">
      <c r="E297" s="0" t="s">
        <v>851</v>
      </c>
      <c r="AV297" s="0" t="s">
        <v>470</v>
      </c>
      <c r="AW297" s="0" t="s">
        <v>401</v>
      </c>
      <c r="AX297" s="0" t="s">
        <v>489</v>
      </c>
      <c r="AY297" s="0" t="s">
        <v>1648</v>
      </c>
      <c r="AZ297" s="0" t="s">
        <v>1649</v>
      </c>
      <c r="BA297" s="0" t="s">
        <v>555</v>
      </c>
      <c r="BB297" s="0" t="str">
        <f t="shared" si="4"/>
        <v>CCCRNenEnuguNorth</v>
      </c>
    </row>
    <row r="298">
      <c r="E298" s="0" t="s">
        <v>854</v>
      </c>
      <c r="AV298" s="0" t="s">
        <v>470</v>
      </c>
      <c r="AW298" s="0" t="s">
        <v>401</v>
      </c>
      <c r="AX298" s="0" t="s">
        <v>530</v>
      </c>
      <c r="AY298" s="0" t="s">
        <v>1650</v>
      </c>
      <c r="AZ298" s="0" t="s">
        <v>1651</v>
      </c>
      <c r="BA298" s="0" t="s">
        <v>555</v>
      </c>
      <c r="BB298" s="0" t="str">
        <f t="shared" si="4"/>
        <v>CCCRNenEnuguSouth</v>
      </c>
    </row>
    <row r="299">
      <c r="E299" s="0" t="s">
        <v>880</v>
      </c>
      <c r="AV299" s="0" t="s">
        <v>470</v>
      </c>
      <c r="AW299" s="0" t="s">
        <v>401</v>
      </c>
      <c r="AX299" s="0" t="s">
        <v>530</v>
      </c>
      <c r="AY299" s="0" t="s">
        <v>1652</v>
      </c>
      <c r="AZ299" s="0" t="s">
        <v>1653</v>
      </c>
      <c r="BA299" s="0" t="s">
        <v>555</v>
      </c>
      <c r="BB299" s="0" t="str">
        <f t="shared" si="4"/>
        <v>CCCRNenEnuguSouth</v>
      </c>
    </row>
    <row r="300">
      <c r="E300" s="0" t="s">
        <v>905</v>
      </c>
      <c r="AV300" s="0" t="s">
        <v>470</v>
      </c>
      <c r="AW300" s="0" t="s">
        <v>401</v>
      </c>
      <c r="AX300" s="0" t="s">
        <v>530</v>
      </c>
      <c r="AY300" s="0" t="s">
        <v>1654</v>
      </c>
      <c r="AZ300" s="0" t="s">
        <v>1655</v>
      </c>
      <c r="BA300" s="0" t="s">
        <v>555</v>
      </c>
      <c r="BB300" s="0" t="str">
        <f t="shared" si="4"/>
        <v>CCCRNenEnuguSouth</v>
      </c>
    </row>
    <row r="301">
      <c r="E301" s="0" t="s">
        <v>930</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753</v>
      </c>
      <c r="AY325" s="0" t="s">
        <v>1704</v>
      </c>
      <c r="AZ325" s="0" t="s">
        <v>1705</v>
      </c>
      <c r="BA325" s="0" t="s">
        <v>555</v>
      </c>
      <c r="BB325" s="0" t="str">
        <f t="shared" si="5"/>
        <v>CCCRNenNkanuWest</v>
      </c>
    </row>
    <row r="326">
      <c r="AV326" s="0" t="s">
        <v>470</v>
      </c>
      <c r="AW326" s="0" t="s">
        <v>401</v>
      </c>
      <c r="AX326" s="0" t="s">
        <v>753</v>
      </c>
      <c r="AY326" s="0" t="s">
        <v>1706</v>
      </c>
      <c r="AZ326" s="0" t="s">
        <v>1707</v>
      </c>
      <c r="BA326" s="0" t="s">
        <v>555</v>
      </c>
      <c r="BB326" s="0" t="str">
        <f t="shared" si="5"/>
        <v>CCCRNenNkanuWest</v>
      </c>
    </row>
    <row r="327">
      <c r="AV327" s="0" t="s">
        <v>470</v>
      </c>
      <c r="AW327" s="0" t="s">
        <v>401</v>
      </c>
      <c r="AX327" s="0" t="s">
        <v>753</v>
      </c>
      <c r="AY327" s="0" t="s">
        <v>1708</v>
      </c>
      <c r="AZ327" s="0" t="s">
        <v>1709</v>
      </c>
      <c r="BA327" s="0" t="s">
        <v>555</v>
      </c>
      <c r="BB327" s="0" t="str">
        <f t="shared" si="5"/>
        <v>CCCRNenNkanuWest</v>
      </c>
    </row>
    <row r="328">
      <c r="AV328" s="0" t="s">
        <v>470</v>
      </c>
      <c r="AW328" s="0" t="s">
        <v>401</v>
      </c>
      <c r="AX328" s="0" t="s">
        <v>785</v>
      </c>
      <c r="AY328" s="0" t="s">
        <v>1710</v>
      </c>
      <c r="AZ328" s="0" t="s">
        <v>1711</v>
      </c>
      <c r="BA328" s="0" t="s">
        <v>555</v>
      </c>
      <c r="BB328" s="0" t="str">
        <f t="shared" si="5"/>
        <v>CCCRNenNsukka</v>
      </c>
    </row>
    <row r="329">
      <c r="AV329" s="0" t="s">
        <v>470</v>
      </c>
      <c r="AW329" s="0" t="s">
        <v>401</v>
      </c>
      <c r="AX329" s="0" t="s">
        <v>785</v>
      </c>
      <c r="AY329" s="0" t="s">
        <v>1712</v>
      </c>
      <c r="AZ329" s="0" t="s">
        <v>1713</v>
      </c>
      <c r="BA329" s="0" t="s">
        <v>555</v>
      </c>
      <c r="BB329" s="0" t="str">
        <f t="shared" si="5"/>
        <v>CCCRNenNsukka</v>
      </c>
    </row>
    <row r="330">
      <c r="AV330" s="0" t="s">
        <v>470</v>
      </c>
      <c r="AW330" s="0" t="s">
        <v>401</v>
      </c>
      <c r="AX330" s="0" t="s">
        <v>785</v>
      </c>
      <c r="AY330" s="0" t="s">
        <v>1714</v>
      </c>
      <c r="AZ330" s="0" t="s">
        <v>1715</v>
      </c>
      <c r="BA330" s="0" t="s">
        <v>555</v>
      </c>
      <c r="BB330" s="0" t="str">
        <f t="shared" si="5"/>
        <v>CCCRNenNsukka</v>
      </c>
    </row>
    <row r="331">
      <c r="AV331" s="0" t="s">
        <v>470</v>
      </c>
      <c r="AW331" s="0" t="s">
        <v>401</v>
      </c>
      <c r="AX331" s="0" t="s">
        <v>785</v>
      </c>
      <c r="AY331" s="0" t="s">
        <v>1716</v>
      </c>
      <c r="AZ331" s="0" t="s">
        <v>1717</v>
      </c>
      <c r="BA331" s="0" t="s">
        <v>555</v>
      </c>
      <c r="BB331" s="0" t="str">
        <f t="shared" si="5"/>
        <v>CCCRNenNsukka</v>
      </c>
    </row>
    <row r="332">
      <c r="AV332" s="0" t="s">
        <v>470</v>
      </c>
      <c r="AW332" s="0" t="s">
        <v>401</v>
      </c>
      <c r="AX332" s="0" t="s">
        <v>785</v>
      </c>
      <c r="AY332" s="0" t="s">
        <v>1718</v>
      </c>
      <c r="AZ332" s="0" t="s">
        <v>1719</v>
      </c>
      <c r="BA332" s="0" t="s">
        <v>555</v>
      </c>
      <c r="BB332" s="0" t="str">
        <f t="shared" si="5"/>
        <v>CCCRNenNsukka</v>
      </c>
    </row>
    <row r="333">
      <c r="AV333" s="0" t="s">
        <v>470</v>
      </c>
      <c r="AW333" s="0" t="s">
        <v>401</v>
      </c>
      <c r="AX333" s="0" t="s">
        <v>785</v>
      </c>
      <c r="AY333" s="0" t="s">
        <v>1720</v>
      </c>
      <c r="AZ333" s="0" t="s">
        <v>1721</v>
      </c>
      <c r="BA333" s="0" t="s">
        <v>555</v>
      </c>
      <c r="BB333" s="0" t="str">
        <f t="shared" si="5"/>
        <v>CCCRNenNsukka</v>
      </c>
    </row>
    <row r="334">
      <c r="AV334" s="0" t="s">
        <v>470</v>
      </c>
      <c r="AW334" s="0" t="s">
        <v>401</v>
      </c>
      <c r="AX334" s="0" t="s">
        <v>785</v>
      </c>
      <c r="AY334" s="0" t="s">
        <v>1722</v>
      </c>
      <c r="AZ334" s="0" t="s">
        <v>1723</v>
      </c>
      <c r="BA334" s="0" t="s">
        <v>555</v>
      </c>
      <c r="BB334" s="0" t="str">
        <f t="shared" si="5"/>
        <v>CCCRNenNsukka</v>
      </c>
    </row>
    <row r="335">
      <c r="AV335" s="0" t="s">
        <v>470</v>
      </c>
      <c r="AW335" s="0" t="s">
        <v>401</v>
      </c>
      <c r="AX335" s="0" t="s">
        <v>785</v>
      </c>
      <c r="AY335" s="0" t="s">
        <v>1724</v>
      </c>
      <c r="AZ335" s="0" t="s">
        <v>1725</v>
      </c>
      <c r="BA335" s="0" t="s">
        <v>555</v>
      </c>
      <c r="BB335" s="0" t="str">
        <f t="shared" si="5"/>
        <v>CCCRNenNsukka</v>
      </c>
    </row>
    <row r="336">
      <c r="AV336" s="0" t="s">
        <v>470</v>
      </c>
      <c r="AW336" s="0" t="s">
        <v>401</v>
      </c>
      <c r="AX336" s="0" t="s">
        <v>785</v>
      </c>
      <c r="AY336" s="0" t="s">
        <v>1726</v>
      </c>
      <c r="AZ336" s="0" t="s">
        <v>1727</v>
      </c>
      <c r="BA336" s="0" t="s">
        <v>555</v>
      </c>
      <c r="BB336" s="0" t="str">
        <f t="shared" si="5"/>
        <v>CCCRNenNsukka</v>
      </c>
    </row>
    <row r="337">
      <c r="AV337" s="0" t="s">
        <v>470</v>
      </c>
      <c r="AW337" s="0" t="s">
        <v>401</v>
      </c>
      <c r="AX337" s="0" t="s">
        <v>785</v>
      </c>
      <c r="AY337" s="0" t="s">
        <v>1728</v>
      </c>
      <c r="AZ337" s="0" t="s">
        <v>1729</v>
      </c>
      <c r="BA337" s="0" t="s">
        <v>555</v>
      </c>
      <c r="BB337" s="0" t="str">
        <f t="shared" si="5"/>
        <v>CCCRNenNsukka</v>
      </c>
    </row>
    <row r="338">
      <c r="AV338" s="0" t="s">
        <v>470</v>
      </c>
      <c r="AW338" s="0" t="s">
        <v>401</v>
      </c>
      <c r="AX338" s="0" t="s">
        <v>815</v>
      </c>
      <c r="AY338" s="0" t="s">
        <v>1730</v>
      </c>
      <c r="AZ338" s="0" t="s">
        <v>1731</v>
      </c>
      <c r="BA338" s="0" t="s">
        <v>555</v>
      </c>
      <c r="BB338" s="0" t="str">
        <f t="shared" si="5"/>
        <v>CCCRNenUdenu</v>
      </c>
    </row>
    <row r="339">
      <c r="AV339" s="0" t="s">
        <v>470</v>
      </c>
      <c r="AW339" s="0" t="s">
        <v>401</v>
      </c>
      <c r="AX339" s="0" t="s">
        <v>815</v>
      </c>
      <c r="AY339" s="0" t="s">
        <v>1732</v>
      </c>
      <c r="AZ339" s="0" t="s">
        <v>1733</v>
      </c>
      <c r="BA339" s="0" t="s">
        <v>555</v>
      </c>
      <c r="BB339" s="0" t="str">
        <f t="shared" si="5"/>
        <v>CCCRNenUdenu</v>
      </c>
    </row>
    <row r="340">
      <c r="AV340" s="0" t="s">
        <v>470</v>
      </c>
      <c r="AW340" s="0" t="s">
        <v>401</v>
      </c>
      <c r="AX340" s="0" t="s">
        <v>815</v>
      </c>
      <c r="AY340" s="0" t="s">
        <v>1734</v>
      </c>
      <c r="AZ340" s="0" t="s">
        <v>1735</v>
      </c>
      <c r="BA340" s="0" t="s">
        <v>555</v>
      </c>
      <c r="BB340" s="0" t="str">
        <f t="shared" si="5"/>
        <v>CCCRNenUdenu</v>
      </c>
    </row>
    <row r="341">
      <c r="AV341" s="0" t="s">
        <v>470</v>
      </c>
      <c r="AW341" s="0" t="s">
        <v>401</v>
      </c>
      <c r="AX341" s="0" t="s">
        <v>815</v>
      </c>
      <c r="AY341" s="0" t="s">
        <v>1736</v>
      </c>
      <c r="AZ341" s="0" t="s">
        <v>1737</v>
      </c>
      <c r="BA341" s="0" t="s">
        <v>555</v>
      </c>
      <c r="BB341" s="0" t="str">
        <f t="shared" si="5"/>
        <v>CCCRNenUdenu</v>
      </c>
    </row>
    <row r="342">
      <c r="AV342" s="0" t="s">
        <v>470</v>
      </c>
      <c r="AW342" s="0" t="s">
        <v>401</v>
      </c>
      <c r="AX342" s="0" t="s">
        <v>815</v>
      </c>
      <c r="AY342" s="0" t="s">
        <v>1738</v>
      </c>
      <c r="AZ342" s="0" t="s">
        <v>1739</v>
      </c>
      <c r="BA342" s="0" t="s">
        <v>555</v>
      </c>
      <c r="BB342" s="0" t="str">
        <f t="shared" si="5"/>
        <v>CCCRNenUdenu</v>
      </c>
    </row>
    <row r="343">
      <c r="AV343" s="0" t="s">
        <v>470</v>
      </c>
      <c r="AW343" s="0" t="s">
        <v>401</v>
      </c>
      <c r="AX343" s="0" t="s">
        <v>815</v>
      </c>
      <c r="AY343" s="0" t="s">
        <v>1740</v>
      </c>
      <c r="AZ343" s="0" t="s">
        <v>1741</v>
      </c>
      <c r="BA343" s="0" t="s">
        <v>555</v>
      </c>
      <c r="BB343" s="0" t="str">
        <f t="shared" si="5"/>
        <v>CCCRNenUdenu</v>
      </c>
    </row>
    <row r="344">
      <c r="AV344" s="0" t="s">
        <v>470</v>
      </c>
      <c r="AW344" s="0" t="s">
        <v>401</v>
      </c>
      <c r="AX344" s="0" t="s">
        <v>815</v>
      </c>
      <c r="AY344" s="0" t="s">
        <v>1742</v>
      </c>
      <c r="AZ344" s="0" t="s">
        <v>1743</v>
      </c>
      <c r="BA344" s="0" t="s">
        <v>555</v>
      </c>
      <c r="BB344" s="0" t="str">
        <f t="shared" si="5"/>
        <v>CCCRNenUdenu</v>
      </c>
    </row>
    <row r="345">
      <c r="AV345" s="0" t="s">
        <v>470</v>
      </c>
      <c r="AW345" s="0" t="s">
        <v>401</v>
      </c>
      <c r="AX345" s="0" t="s">
        <v>815</v>
      </c>
      <c r="AY345" s="0" t="s">
        <v>1744</v>
      </c>
      <c r="AZ345" s="0" t="s">
        <v>1745</v>
      </c>
      <c r="BA345" s="0" t="s">
        <v>555</v>
      </c>
      <c r="BB345" s="0" t="str">
        <f t="shared" si="5"/>
        <v>CCCRNenUdenu</v>
      </c>
    </row>
    <row r="346">
      <c r="AV346" s="0" t="s">
        <v>470</v>
      </c>
      <c r="AW346" s="0" t="s">
        <v>401</v>
      </c>
      <c r="AX346" s="0" t="s">
        <v>815</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755</v>
      </c>
      <c r="AY374" s="0" t="s">
        <v>1802</v>
      </c>
      <c r="AZ374" s="0" t="s">
        <v>1803</v>
      </c>
      <c r="BA374" s="0" t="s">
        <v>555</v>
      </c>
      <c r="BB374" s="0" t="str">
        <f t="shared" si="5"/>
        <v>CCCRNimNgorOkpala</v>
      </c>
    </row>
    <row r="375">
      <c r="AV375" s="0" t="s">
        <v>470</v>
      </c>
      <c r="AW375" s="0" t="s">
        <v>404</v>
      </c>
      <c r="AX375" s="0" t="s">
        <v>755</v>
      </c>
      <c r="AY375" s="0" t="s">
        <v>1804</v>
      </c>
      <c r="AZ375" s="0" t="s">
        <v>1805</v>
      </c>
      <c r="BA375" s="0" t="s">
        <v>555</v>
      </c>
      <c r="BB375" s="0" t="str">
        <f t="shared" si="5"/>
        <v>CCCRNimNgorOkpala</v>
      </c>
    </row>
    <row r="376">
      <c r="AV376" s="0" t="s">
        <v>470</v>
      </c>
      <c r="AW376" s="0" t="s">
        <v>404</v>
      </c>
      <c r="AX376" s="0" t="s">
        <v>755</v>
      </c>
      <c r="AY376" s="0" t="s">
        <v>1806</v>
      </c>
      <c r="AZ376" s="0" t="s">
        <v>1807</v>
      </c>
      <c r="BA376" s="0" t="s">
        <v>555</v>
      </c>
      <c r="BB376" s="0" t="str">
        <f t="shared" si="5"/>
        <v>CCCRNimNgorOkpala</v>
      </c>
    </row>
    <row r="377">
      <c r="AV377" s="0" t="s">
        <v>470</v>
      </c>
      <c r="AW377" s="0" t="s">
        <v>404</v>
      </c>
      <c r="AX377" s="0" t="s">
        <v>755</v>
      </c>
      <c r="AY377" s="0" t="s">
        <v>1808</v>
      </c>
      <c r="AZ377" s="0" t="s">
        <v>1809</v>
      </c>
      <c r="BA377" s="0" t="s">
        <v>555</v>
      </c>
      <c r="BB377" s="0" t="str">
        <f t="shared" si="5"/>
        <v>CCCRNimNgorOkpala</v>
      </c>
    </row>
    <row r="378">
      <c r="AV378" s="0" t="s">
        <v>470</v>
      </c>
      <c r="AW378" s="0" t="s">
        <v>404</v>
      </c>
      <c r="AX378" s="0" t="s">
        <v>787</v>
      </c>
      <c r="AY378" s="0" t="s">
        <v>1810</v>
      </c>
      <c r="AZ378" s="0" t="s">
        <v>1811</v>
      </c>
      <c r="BA378" s="0" t="s">
        <v>555</v>
      </c>
      <c r="BB378" s="0" t="str">
        <f t="shared" si="5"/>
        <v>CCCRNimNjaba</v>
      </c>
    </row>
    <row r="379">
      <c r="AV379" s="0" t="s">
        <v>470</v>
      </c>
      <c r="AW379" s="0" t="s">
        <v>404</v>
      </c>
      <c r="AX379" s="0" t="s">
        <v>787</v>
      </c>
      <c r="AY379" s="0" t="s">
        <v>1812</v>
      </c>
      <c r="AZ379" s="0" t="s">
        <v>1813</v>
      </c>
      <c r="BA379" s="0" t="s">
        <v>555</v>
      </c>
      <c r="BB379" s="0" t="str">
        <f t="shared" si="5"/>
        <v>CCCRNimNjaba</v>
      </c>
    </row>
    <row r="380">
      <c r="AV380" s="0" t="s">
        <v>470</v>
      </c>
      <c r="AW380" s="0" t="s">
        <v>404</v>
      </c>
      <c r="AX380" s="0" t="s">
        <v>817</v>
      </c>
      <c r="AY380" s="0" t="s">
        <v>1814</v>
      </c>
      <c r="AZ380" s="0" t="s">
        <v>1815</v>
      </c>
      <c r="BA380" s="0" t="s">
        <v>555</v>
      </c>
      <c r="BB380" s="0" t="str">
        <f t="shared" si="5"/>
        <v>CCCRNimNkwerre</v>
      </c>
    </row>
    <row r="381">
      <c r="AV381" s="0" t="s">
        <v>470</v>
      </c>
      <c r="AW381" s="0" t="s">
        <v>404</v>
      </c>
      <c r="AX381" s="0" t="s">
        <v>817</v>
      </c>
      <c r="AY381" s="0" t="s">
        <v>1816</v>
      </c>
      <c r="AZ381" s="0" t="s">
        <v>1817</v>
      </c>
      <c r="BA381" s="0" t="s">
        <v>555</v>
      </c>
      <c r="BB381" s="0" t="str">
        <f t="shared" si="5"/>
        <v>CCCRNimNkwerre</v>
      </c>
    </row>
    <row r="382">
      <c r="AV382" s="0" t="s">
        <v>470</v>
      </c>
      <c r="AW382" s="0" t="s">
        <v>404</v>
      </c>
      <c r="AX382" s="0" t="s">
        <v>817</v>
      </c>
      <c r="AY382" s="0" t="s">
        <v>1818</v>
      </c>
      <c r="AZ382" s="0" t="s">
        <v>1819</v>
      </c>
      <c r="BA382" s="0" t="s">
        <v>555</v>
      </c>
      <c r="BB382" s="0" t="str">
        <f t="shared" si="5"/>
        <v>CCCRNimNkwerre</v>
      </c>
    </row>
    <row r="383">
      <c r="AV383" s="0" t="s">
        <v>470</v>
      </c>
      <c r="AW383" s="0" t="s">
        <v>404</v>
      </c>
      <c r="AX383" s="0" t="s">
        <v>817</v>
      </c>
      <c r="AY383" s="0" t="s">
        <v>1820</v>
      </c>
      <c r="AZ383" s="0" t="s">
        <v>1821</v>
      </c>
      <c r="BA383" s="0" t="s">
        <v>555</v>
      </c>
      <c r="BB383" s="0" t="str">
        <f t="shared" si="5"/>
        <v>CCCRNimNkwerre</v>
      </c>
    </row>
    <row r="384">
      <c r="AV384" s="0" t="s">
        <v>470</v>
      </c>
      <c r="AW384" s="0" t="s">
        <v>404</v>
      </c>
      <c r="AX384" s="0" t="s">
        <v>817</v>
      </c>
      <c r="AY384" s="0" t="s">
        <v>1822</v>
      </c>
      <c r="AZ384" s="0" t="s">
        <v>1823</v>
      </c>
      <c r="BA384" s="0" t="s">
        <v>555</v>
      </c>
      <c r="BB384" s="0" t="str">
        <f t="shared" si="5"/>
        <v>CCCRNimNkwerre</v>
      </c>
    </row>
    <row r="385">
      <c r="AV385" s="0" t="s">
        <v>470</v>
      </c>
      <c r="AW385" s="0" t="s">
        <v>404</v>
      </c>
      <c r="AX385" s="0" t="s">
        <v>845</v>
      </c>
      <c r="AY385" s="0" t="s">
        <v>1824</v>
      </c>
      <c r="AZ385" s="0" t="s">
        <v>1825</v>
      </c>
      <c r="BA385" s="0" t="s">
        <v>555</v>
      </c>
      <c r="BB385" s="0" t="str">
        <f t="shared" si="5"/>
        <v>CCCRNimNwangele</v>
      </c>
    </row>
    <row r="386">
      <c r="AV386" s="0" t="s">
        <v>470</v>
      </c>
      <c r="AW386" s="0" t="s">
        <v>404</v>
      </c>
      <c r="AX386" s="0" t="s">
        <v>845</v>
      </c>
      <c r="AY386" s="0" t="s">
        <v>1826</v>
      </c>
      <c r="AZ386" s="0" t="s">
        <v>1827</v>
      </c>
      <c r="BA386" s="0" t="s">
        <v>555</v>
      </c>
      <c r="BB386" s="0" t="str">
        <f t="shared" si="5"/>
        <v>CCCRNimNwangele</v>
      </c>
    </row>
    <row r="387">
      <c r="AV387" s="0" t="s">
        <v>470</v>
      </c>
      <c r="AW387" s="0" t="s">
        <v>404</v>
      </c>
      <c r="AX387" s="0" t="s">
        <v>845</v>
      </c>
      <c r="AY387" s="0" t="s">
        <v>1828</v>
      </c>
      <c r="AZ387" s="0" t="s">
        <v>1829</v>
      </c>
      <c r="BA387" s="0" t="s">
        <v>555</v>
      </c>
      <c r="BB387" s="0" t="str">
        <f ref="BB387:BB450" t="shared" si="6">SUBSTITUTE(SUBSTITUTE(BA387&amp;AX387," ",""),"-","")</f>
        <v>CCCRNimNwangele</v>
      </c>
    </row>
    <row r="388">
      <c r="AV388" s="0" t="s">
        <v>470</v>
      </c>
      <c r="AW388" s="0" t="s">
        <v>404</v>
      </c>
      <c r="AX388" s="0" t="s">
        <v>873</v>
      </c>
      <c r="AY388" s="0" t="s">
        <v>1830</v>
      </c>
      <c r="AZ388" s="0" t="s">
        <v>1831</v>
      </c>
      <c r="BA388" s="0" t="s">
        <v>555</v>
      </c>
      <c r="BB388" s="0" t="str">
        <f t="shared" si="6"/>
        <v>CCCRNimOguta</v>
      </c>
    </row>
    <row r="389">
      <c r="AV389" s="0" t="s">
        <v>470</v>
      </c>
      <c r="AW389" s="0" t="s">
        <v>404</v>
      </c>
      <c r="AX389" s="0" t="s">
        <v>873</v>
      </c>
      <c r="AY389" s="0" t="s">
        <v>1832</v>
      </c>
      <c r="AZ389" s="0" t="s">
        <v>1833</v>
      </c>
      <c r="BA389" s="0" t="s">
        <v>555</v>
      </c>
      <c r="BB389" s="0" t="str">
        <f t="shared" si="6"/>
        <v>CCCRNimOguta</v>
      </c>
    </row>
    <row r="390">
      <c r="AV390" s="0" t="s">
        <v>470</v>
      </c>
      <c r="AW390" s="0" t="s">
        <v>404</v>
      </c>
      <c r="AX390" s="0" t="s">
        <v>873</v>
      </c>
      <c r="AY390" s="0" t="s">
        <v>1834</v>
      </c>
      <c r="AZ390" s="0" t="s">
        <v>1835</v>
      </c>
      <c r="BA390" s="0" t="s">
        <v>555</v>
      </c>
      <c r="BB390" s="0" t="str">
        <f t="shared" si="6"/>
        <v>CCCRNimOguta</v>
      </c>
    </row>
    <row r="391">
      <c r="AV391" s="0" t="s">
        <v>470</v>
      </c>
      <c r="AW391" s="0" t="s">
        <v>404</v>
      </c>
      <c r="AX391" s="0" t="s">
        <v>873</v>
      </c>
      <c r="AY391" s="0" t="s">
        <v>1836</v>
      </c>
      <c r="AZ391" s="0" t="s">
        <v>1837</v>
      </c>
      <c r="BA391" s="0" t="s">
        <v>555</v>
      </c>
      <c r="BB391" s="0" t="str">
        <f t="shared" si="6"/>
        <v>CCCRNimOguta</v>
      </c>
    </row>
    <row r="392">
      <c r="AV392" s="0" t="s">
        <v>470</v>
      </c>
      <c r="AW392" s="0" t="s">
        <v>404</v>
      </c>
      <c r="AX392" s="0" t="s">
        <v>873</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923</v>
      </c>
      <c r="AY398" s="0" t="s">
        <v>1850</v>
      </c>
      <c r="AZ398" s="0" t="s">
        <v>1851</v>
      </c>
      <c r="BA398" s="0" t="s">
        <v>555</v>
      </c>
      <c r="BB398" s="0" t="str">
        <f t="shared" si="6"/>
        <v>CCCRNimOrlu</v>
      </c>
    </row>
    <row r="399">
      <c r="AV399" s="0" t="s">
        <v>470</v>
      </c>
      <c r="AW399" s="0" t="s">
        <v>404</v>
      </c>
      <c r="AX399" s="0" t="s">
        <v>923</v>
      </c>
      <c r="AY399" s="0" t="s">
        <v>1852</v>
      </c>
      <c r="AZ399" s="0" t="s">
        <v>1853</v>
      </c>
      <c r="BA399" s="0" t="s">
        <v>555</v>
      </c>
      <c r="BB399" s="0" t="str">
        <f t="shared" si="6"/>
        <v>CCCRNimOrlu</v>
      </c>
    </row>
    <row r="400">
      <c r="AV400" s="0" t="s">
        <v>470</v>
      </c>
      <c r="AW400" s="0" t="s">
        <v>404</v>
      </c>
      <c r="AX400" s="0" t="s">
        <v>923</v>
      </c>
      <c r="AY400" s="0" t="s">
        <v>1854</v>
      </c>
      <c r="AZ400" s="0" t="s">
        <v>1855</v>
      </c>
      <c r="BA400" s="0" t="s">
        <v>555</v>
      </c>
      <c r="BB400" s="0" t="str">
        <f t="shared" si="6"/>
        <v>CCCRNimOrlu</v>
      </c>
    </row>
    <row r="401">
      <c r="AV401" s="0" t="s">
        <v>470</v>
      </c>
      <c r="AW401" s="0" t="s">
        <v>404</v>
      </c>
      <c r="AX401" s="0" t="s">
        <v>923</v>
      </c>
      <c r="AY401" s="0" t="s">
        <v>1856</v>
      </c>
      <c r="AZ401" s="0" t="s">
        <v>1857</v>
      </c>
      <c r="BA401" s="0" t="s">
        <v>555</v>
      </c>
      <c r="BB401" s="0" t="str">
        <f t="shared" si="6"/>
        <v>CCCRNimOrlu</v>
      </c>
    </row>
    <row r="402">
      <c r="AV402" s="0" t="s">
        <v>470</v>
      </c>
      <c r="AW402" s="0" t="s">
        <v>404</v>
      </c>
      <c r="AX402" s="0" t="s">
        <v>923</v>
      </c>
      <c r="AY402" s="0" t="s">
        <v>1858</v>
      </c>
      <c r="AZ402" s="0" t="s">
        <v>1859</v>
      </c>
      <c r="BA402" s="0" t="s">
        <v>555</v>
      </c>
      <c r="BB402" s="0" t="str">
        <f t="shared" si="6"/>
        <v>CCCRNimOrlu</v>
      </c>
    </row>
    <row r="403">
      <c r="AV403" s="0" t="s">
        <v>470</v>
      </c>
      <c r="AW403" s="0" t="s">
        <v>404</v>
      </c>
      <c r="AX403" s="0" t="s">
        <v>947</v>
      </c>
      <c r="AY403" s="0" t="s">
        <v>1860</v>
      </c>
      <c r="AZ403" s="0" t="s">
        <v>1861</v>
      </c>
      <c r="BA403" s="0" t="s">
        <v>555</v>
      </c>
      <c r="BB403" s="0" t="str">
        <f t="shared" si="6"/>
        <v>CCCRNimOrsu</v>
      </c>
    </row>
    <row r="404">
      <c r="AV404" s="0" t="s">
        <v>470</v>
      </c>
      <c r="AW404" s="0" t="s">
        <v>404</v>
      </c>
      <c r="AX404" s="0" t="s">
        <v>967</v>
      </c>
      <c r="AY404" s="0" t="s">
        <v>1862</v>
      </c>
      <c r="AZ404" s="0" t="s">
        <v>1863</v>
      </c>
      <c r="BA404" s="0" t="s">
        <v>555</v>
      </c>
      <c r="BB404" s="0" t="str">
        <f t="shared" si="6"/>
        <v>CCCRNimOruEast</v>
      </c>
    </row>
    <row r="405">
      <c r="AV405" s="0" t="s">
        <v>470</v>
      </c>
      <c r="AW405" s="0" t="s">
        <v>404</v>
      </c>
      <c r="AX405" s="0" t="s">
        <v>967</v>
      </c>
      <c r="AY405" s="0" t="s">
        <v>1864</v>
      </c>
      <c r="AZ405" s="0" t="s">
        <v>1865</v>
      </c>
      <c r="BA405" s="0" t="s">
        <v>555</v>
      </c>
      <c r="BB405" s="0" t="str">
        <f t="shared" si="6"/>
        <v>CCCRNimOruEast</v>
      </c>
    </row>
    <row r="406">
      <c r="AV406" s="0" t="s">
        <v>470</v>
      </c>
      <c r="AW406" s="0" t="s">
        <v>404</v>
      </c>
      <c r="AX406" s="0" t="s">
        <v>967</v>
      </c>
      <c r="AY406" s="0" t="s">
        <v>1866</v>
      </c>
      <c r="AZ406" s="0" t="s">
        <v>1867</v>
      </c>
      <c r="BA406" s="0" t="s">
        <v>555</v>
      </c>
      <c r="BB406" s="0" t="str">
        <f t="shared" si="6"/>
        <v>CCCRNimOruEast</v>
      </c>
    </row>
    <row r="407">
      <c r="AV407" s="0" t="s">
        <v>470</v>
      </c>
      <c r="AW407" s="0" t="s">
        <v>404</v>
      </c>
      <c r="AX407" s="0" t="s">
        <v>967</v>
      </c>
      <c r="AY407" s="0" t="s">
        <v>1868</v>
      </c>
      <c r="AZ407" s="0" t="s">
        <v>1869</v>
      </c>
      <c r="BA407" s="0" t="s">
        <v>555</v>
      </c>
      <c r="BB407" s="0" t="str">
        <f t="shared" si="6"/>
        <v>CCCRNimOruEast</v>
      </c>
    </row>
    <row r="408">
      <c r="AV408" s="0" t="s">
        <v>470</v>
      </c>
      <c r="AW408" s="0" t="s">
        <v>404</v>
      </c>
      <c r="AX408" s="0" t="s">
        <v>967</v>
      </c>
      <c r="AY408" s="0" t="s">
        <v>1870</v>
      </c>
      <c r="AZ408" s="0" t="s">
        <v>1871</v>
      </c>
      <c r="BA408" s="0" t="s">
        <v>555</v>
      </c>
      <c r="BB408" s="0" t="str">
        <f t="shared" si="6"/>
        <v>CCCRNimOruEast</v>
      </c>
    </row>
    <row r="409">
      <c r="AV409" s="0" t="s">
        <v>470</v>
      </c>
      <c r="AW409" s="0" t="s">
        <v>404</v>
      </c>
      <c r="AX409" s="0" t="s">
        <v>986</v>
      </c>
      <c r="AY409" s="0" t="s">
        <v>1872</v>
      </c>
      <c r="AZ409" s="0" t="s">
        <v>1873</v>
      </c>
      <c r="BA409" s="0" t="s">
        <v>555</v>
      </c>
      <c r="BB409" s="0" t="str">
        <f t="shared" si="6"/>
        <v>CCCRNimOruWest</v>
      </c>
    </row>
    <row r="410">
      <c r="AV410" s="0" t="s">
        <v>470</v>
      </c>
      <c r="AW410" s="0" t="s">
        <v>404</v>
      </c>
      <c r="AX410" s="0" t="s">
        <v>1003</v>
      </c>
      <c r="AY410" s="0" t="s">
        <v>1874</v>
      </c>
      <c r="AZ410" s="0" t="s">
        <v>1875</v>
      </c>
      <c r="BA410" s="0" t="s">
        <v>555</v>
      </c>
      <c r="BB410" s="0" t="str">
        <f t="shared" si="6"/>
        <v>CCCRNimOwerriMunicipal</v>
      </c>
    </row>
    <row r="411">
      <c r="AV411" s="0" t="s">
        <v>470</v>
      </c>
      <c r="AW411" s="0" t="s">
        <v>404</v>
      </c>
      <c r="AX411" s="0" t="s">
        <v>1003</v>
      </c>
      <c r="AY411" s="0" t="s">
        <v>1876</v>
      </c>
      <c r="AZ411" s="0" t="s">
        <v>1877</v>
      </c>
      <c r="BA411" s="0" t="s">
        <v>555</v>
      </c>
      <c r="BB411" s="0" t="str">
        <f t="shared" si="6"/>
        <v>CCCRNimOwerriMunicipal</v>
      </c>
    </row>
    <row r="412">
      <c r="AV412" s="0" t="s">
        <v>470</v>
      </c>
      <c r="AW412" s="0" t="s">
        <v>404</v>
      </c>
      <c r="AX412" s="0" t="s">
        <v>1003</v>
      </c>
      <c r="AY412" s="0" t="s">
        <v>1878</v>
      </c>
      <c r="AZ412" s="0" t="s">
        <v>1879</v>
      </c>
      <c r="BA412" s="0" t="s">
        <v>555</v>
      </c>
      <c r="BB412" s="0" t="str">
        <f t="shared" si="6"/>
        <v>CCCRNimOwerriMunicipal</v>
      </c>
    </row>
    <row r="413">
      <c r="AV413" s="0" t="s">
        <v>470</v>
      </c>
      <c r="AW413" s="0" t="s">
        <v>404</v>
      </c>
      <c r="AX413" s="0" t="s">
        <v>1003</v>
      </c>
      <c r="AY413" s="0" t="s">
        <v>1880</v>
      </c>
      <c r="AZ413" s="0" t="s">
        <v>1881</v>
      </c>
      <c r="BA413" s="0" t="s">
        <v>555</v>
      </c>
      <c r="BB413" s="0" t="str">
        <f t="shared" si="6"/>
        <v>CCCRNimOwerriMunicipal</v>
      </c>
    </row>
    <row r="414">
      <c r="AV414" s="0" t="s">
        <v>470</v>
      </c>
      <c r="AW414" s="0" t="s">
        <v>404</v>
      </c>
      <c r="AX414" s="0" t="s">
        <v>1003</v>
      </c>
      <c r="AY414" s="0" t="s">
        <v>1882</v>
      </c>
      <c r="AZ414" s="0" t="s">
        <v>1883</v>
      </c>
      <c r="BA414" s="0" t="s">
        <v>555</v>
      </c>
      <c r="BB414" s="0" t="str">
        <f t="shared" si="6"/>
        <v>CCCRNimOwerriMunicipal</v>
      </c>
    </row>
    <row r="415">
      <c r="AV415" s="0" t="s">
        <v>470</v>
      </c>
      <c r="AW415" s="0" t="s">
        <v>404</v>
      </c>
      <c r="AX415" s="0" t="s">
        <v>1019</v>
      </c>
      <c r="AY415" s="0" t="s">
        <v>1884</v>
      </c>
      <c r="AZ415" s="0" t="s">
        <v>1885</v>
      </c>
      <c r="BA415" s="0" t="s">
        <v>555</v>
      </c>
      <c r="BB415" s="0" t="str">
        <f t="shared" si="6"/>
        <v>CCCRNimOwerriNorth</v>
      </c>
    </row>
    <row r="416">
      <c r="AV416" s="0" t="s">
        <v>470</v>
      </c>
      <c r="AW416" s="0" t="s">
        <v>404</v>
      </c>
      <c r="AX416" s="0" t="s">
        <v>1019</v>
      </c>
      <c r="AY416" s="0" t="s">
        <v>1886</v>
      </c>
      <c r="AZ416" s="0" t="s">
        <v>1887</v>
      </c>
      <c r="BA416" s="0" t="s">
        <v>555</v>
      </c>
      <c r="BB416" s="0" t="str">
        <f t="shared" si="6"/>
        <v>CCCRNimOwerriNorth</v>
      </c>
    </row>
    <row r="417">
      <c r="AV417" s="0" t="s">
        <v>470</v>
      </c>
      <c r="AW417" s="0" t="s">
        <v>404</v>
      </c>
      <c r="AX417" s="0" t="s">
        <v>1019</v>
      </c>
      <c r="AY417" s="0" t="s">
        <v>1888</v>
      </c>
      <c r="AZ417" s="0" t="s">
        <v>1889</v>
      </c>
      <c r="BA417" s="0" t="s">
        <v>555</v>
      </c>
      <c r="BB417" s="0" t="str">
        <f t="shared" si="6"/>
        <v>CCCRNimOwerriNorth</v>
      </c>
    </row>
    <row r="418">
      <c r="AV418" s="0" t="s">
        <v>470</v>
      </c>
      <c r="AW418" s="0" t="s">
        <v>404</v>
      </c>
      <c r="AX418" s="0" t="s">
        <v>1019</v>
      </c>
      <c r="AY418" s="0" t="s">
        <v>1890</v>
      </c>
      <c r="AZ418" s="0" t="s">
        <v>1891</v>
      </c>
      <c r="BA418" s="0" t="s">
        <v>555</v>
      </c>
      <c r="BB418" s="0" t="str">
        <f t="shared" si="6"/>
        <v>CCCRNimOwerriNorth</v>
      </c>
    </row>
    <row r="419">
      <c r="AV419" s="0" t="s">
        <v>470</v>
      </c>
      <c r="AW419" s="0" t="s">
        <v>404</v>
      </c>
      <c r="AX419" s="0" t="s">
        <v>1019</v>
      </c>
      <c r="AY419" s="0" t="s">
        <v>1892</v>
      </c>
      <c r="AZ419" s="0" t="s">
        <v>1893</v>
      </c>
      <c r="BA419" s="0" t="s">
        <v>555</v>
      </c>
      <c r="BB419" s="0" t="str">
        <f t="shared" si="6"/>
        <v>CCCRNimOwerriNorth</v>
      </c>
    </row>
    <row r="420">
      <c r="AV420" s="0" t="s">
        <v>470</v>
      </c>
      <c r="AW420" s="0" t="s">
        <v>404</v>
      </c>
      <c r="AX420" s="0" t="s">
        <v>1034</v>
      </c>
      <c r="AY420" s="0" t="s">
        <v>1894</v>
      </c>
      <c r="AZ420" s="0" t="s">
        <v>1895</v>
      </c>
      <c r="BA420" s="0" t="s">
        <v>555</v>
      </c>
      <c r="BB420" s="0" t="str">
        <f t="shared" si="6"/>
        <v>CCCRNimOwerriWest</v>
      </c>
    </row>
    <row r="421">
      <c r="AV421" s="0" t="s">
        <v>470</v>
      </c>
      <c r="AW421" s="0" t="s">
        <v>404</v>
      </c>
      <c r="AX421" s="0" t="s">
        <v>1034</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748</v>
      </c>
      <c r="AY442" s="0" t="s">
        <v>1938</v>
      </c>
      <c r="AZ442" s="0" t="s">
        <v>1939</v>
      </c>
      <c r="BA442" s="0" t="s">
        <v>514</v>
      </c>
      <c r="BB442" s="0" t="str">
        <f t="shared" si="6"/>
        <v>CCFNbeKwande</v>
      </c>
    </row>
    <row r="443">
      <c r="AV443" s="0" t="s">
        <v>470</v>
      </c>
      <c r="AW443" s="0" t="s">
        <v>394</v>
      </c>
      <c r="AX443" s="0" t="s">
        <v>748</v>
      </c>
      <c r="AY443" s="0" t="s">
        <v>1940</v>
      </c>
      <c r="AZ443" s="0" t="s">
        <v>1941</v>
      </c>
      <c r="BA443" s="0" t="s">
        <v>514</v>
      </c>
      <c r="BB443" s="0" t="str">
        <f t="shared" si="6"/>
        <v>CCFNbeKwande</v>
      </c>
    </row>
    <row r="444">
      <c r="AV444" s="0" t="s">
        <v>470</v>
      </c>
      <c r="AW444" s="0" t="s">
        <v>394</v>
      </c>
      <c r="AX444" s="0" t="s">
        <v>748</v>
      </c>
      <c r="AY444" s="0" t="s">
        <v>1942</v>
      </c>
      <c r="AZ444" s="0" t="s">
        <v>1943</v>
      </c>
      <c r="BA444" s="0" t="s">
        <v>514</v>
      </c>
      <c r="BB444" s="0" t="str">
        <f t="shared" si="6"/>
        <v>CCFNbeKwande</v>
      </c>
    </row>
    <row r="445">
      <c r="AV445" s="0" t="s">
        <v>470</v>
      </c>
      <c r="AW445" s="0" t="s">
        <v>394</v>
      </c>
      <c r="AX445" s="0" t="s">
        <v>748</v>
      </c>
      <c r="AY445" s="0" t="s">
        <v>1944</v>
      </c>
      <c r="AZ445" s="0" t="s">
        <v>1945</v>
      </c>
      <c r="BA445" s="0" t="s">
        <v>514</v>
      </c>
      <c r="BB445" s="0" t="str">
        <f t="shared" si="6"/>
        <v>CCFNbeKwande</v>
      </c>
    </row>
    <row r="446">
      <c r="AV446" s="0" t="s">
        <v>470</v>
      </c>
      <c r="AW446" s="0" t="s">
        <v>394</v>
      </c>
      <c r="AX446" s="0" t="s">
        <v>780</v>
      </c>
      <c r="AY446" s="0" t="s">
        <v>1946</v>
      </c>
      <c r="AZ446" s="0" t="s">
        <v>1947</v>
      </c>
      <c r="BA446" s="0" t="s">
        <v>514</v>
      </c>
      <c r="BB446" s="0" t="str">
        <f t="shared" si="6"/>
        <v>CCFNbeLogo</v>
      </c>
    </row>
    <row r="447">
      <c r="AV447" s="0" t="s">
        <v>470</v>
      </c>
      <c r="AW447" s="0" t="s">
        <v>394</v>
      </c>
      <c r="AX447" s="0" t="s">
        <v>780</v>
      </c>
      <c r="AY447" s="0" t="s">
        <v>1948</v>
      </c>
      <c r="AZ447" s="0" t="s">
        <v>1949</v>
      </c>
      <c r="BA447" s="0" t="s">
        <v>514</v>
      </c>
      <c r="BB447" s="0" t="str">
        <f t="shared" si="6"/>
        <v>CCFNbeLogo</v>
      </c>
    </row>
    <row r="448">
      <c r="AV448" s="0" t="s">
        <v>470</v>
      </c>
      <c r="AW448" s="0" t="s">
        <v>394</v>
      </c>
      <c r="AX448" s="0" t="s">
        <v>810</v>
      </c>
      <c r="AY448" s="0" t="s">
        <v>1950</v>
      </c>
      <c r="AZ448" s="0" t="s">
        <v>1951</v>
      </c>
      <c r="BA448" s="0" t="s">
        <v>514</v>
      </c>
      <c r="BB448" s="0" t="str">
        <f t="shared" si="6"/>
        <v>CCFNbeMakurdi</v>
      </c>
    </row>
    <row r="449">
      <c r="AV449" s="0" t="s">
        <v>470</v>
      </c>
      <c r="AW449" s="0" t="s">
        <v>394</v>
      </c>
      <c r="AX449" s="0" t="s">
        <v>839</v>
      </c>
      <c r="AY449" s="0" t="s">
        <v>1952</v>
      </c>
      <c r="AZ449" s="0" t="s">
        <v>1953</v>
      </c>
      <c r="BA449" s="0" t="s">
        <v>514</v>
      </c>
      <c r="BB449" s="0" t="str">
        <f t="shared" si="6"/>
        <v>CCFNbeOkpokwu</v>
      </c>
    </row>
    <row r="450">
      <c r="AV450" s="0" t="s">
        <v>470</v>
      </c>
      <c r="AW450" s="0" t="s">
        <v>394</v>
      </c>
      <c r="AX450" s="0" t="s">
        <v>839</v>
      </c>
      <c r="AY450" s="0" t="s">
        <v>1954</v>
      </c>
      <c r="AZ450" s="0" t="s">
        <v>1955</v>
      </c>
      <c r="BA450" s="0" t="s">
        <v>514</v>
      </c>
      <c r="BB450" s="0" t="str">
        <f t="shared" si="6"/>
        <v>CCFNbeOkpokwu</v>
      </c>
    </row>
    <row r="451">
      <c r="AV451" s="0" t="s">
        <v>470</v>
      </c>
      <c r="AW451" s="0" t="s">
        <v>394</v>
      </c>
      <c r="AX451" s="0" t="s">
        <v>839</v>
      </c>
      <c r="AY451" s="0" t="s">
        <v>1956</v>
      </c>
      <c r="AZ451" s="0" t="s">
        <v>1957</v>
      </c>
      <c r="BA451" s="0" t="s">
        <v>514</v>
      </c>
      <c r="BB451" s="0" t="str">
        <f ref="BB451:BB514" t="shared" si="7">SUBSTITUTE(SUBSTITUTE(BA451&amp;AX451," ",""),"-","")</f>
        <v>CCFNbeOkpokwu</v>
      </c>
    </row>
    <row r="452">
      <c r="AV452" s="0" t="s">
        <v>470</v>
      </c>
      <c r="AW452" s="0" t="s">
        <v>394</v>
      </c>
      <c r="AX452" s="0" t="s">
        <v>867</v>
      </c>
      <c r="AY452" s="0" t="s">
        <v>1958</v>
      </c>
      <c r="AZ452" s="0" t="s">
        <v>1959</v>
      </c>
      <c r="BA452" s="0" t="s">
        <v>514</v>
      </c>
      <c r="BB452" s="0" t="str">
        <f t="shared" si="7"/>
        <v>CCFNbeOtukpo</v>
      </c>
    </row>
    <row r="453">
      <c r="AV453" s="0" t="s">
        <v>470</v>
      </c>
      <c r="AW453" s="0" t="s">
        <v>394</v>
      </c>
      <c r="AX453" s="0" t="s">
        <v>867</v>
      </c>
      <c r="AY453" s="0" t="s">
        <v>1960</v>
      </c>
      <c r="AZ453" s="0" t="s">
        <v>1961</v>
      </c>
      <c r="BA453" s="0" t="s">
        <v>514</v>
      </c>
      <c r="BB453" s="0" t="str">
        <f t="shared" si="7"/>
        <v>CCFNbeOtukpo</v>
      </c>
    </row>
    <row r="454">
      <c r="AV454" s="0" t="s">
        <v>470</v>
      </c>
      <c r="AW454" s="0" t="s">
        <v>394</v>
      </c>
      <c r="AX454" s="0" t="s">
        <v>867</v>
      </c>
      <c r="AY454" s="0" t="s">
        <v>1962</v>
      </c>
      <c r="AZ454" s="0" t="s">
        <v>1963</v>
      </c>
      <c r="BA454" s="0" t="s">
        <v>514</v>
      </c>
      <c r="BB454" s="0" t="str">
        <f t="shared" si="7"/>
        <v>CCFNbeOtukpo</v>
      </c>
    </row>
    <row r="455">
      <c r="AV455" s="0" t="s">
        <v>470</v>
      </c>
      <c r="AW455" s="0" t="s">
        <v>394</v>
      </c>
      <c r="AX455" s="0" t="s">
        <v>893</v>
      </c>
      <c r="AY455" s="0" t="s">
        <v>1964</v>
      </c>
      <c r="AZ455" s="0" t="s">
        <v>1965</v>
      </c>
      <c r="BA455" s="0" t="s">
        <v>514</v>
      </c>
      <c r="BB455" s="0" t="str">
        <f t="shared" si="7"/>
        <v>CCFNbeTarka</v>
      </c>
    </row>
    <row r="456">
      <c r="AV456" s="0" t="s">
        <v>470</v>
      </c>
      <c r="AW456" s="0" t="s">
        <v>394</v>
      </c>
      <c r="AX456" s="0" t="s">
        <v>893</v>
      </c>
      <c r="AY456" s="0" t="s">
        <v>1966</v>
      </c>
      <c r="AZ456" s="0" t="s">
        <v>1967</v>
      </c>
      <c r="BA456" s="0" t="s">
        <v>514</v>
      </c>
      <c r="BB456" s="0" t="str">
        <f t="shared" si="7"/>
        <v>CCFNbeTarka</v>
      </c>
    </row>
    <row r="457">
      <c r="AV457" s="0" t="s">
        <v>470</v>
      </c>
      <c r="AW457" s="0" t="s">
        <v>394</v>
      </c>
      <c r="AX457" s="0" t="s">
        <v>918</v>
      </c>
      <c r="AY457" s="0" t="s">
        <v>1968</v>
      </c>
      <c r="AZ457" s="0" t="s">
        <v>1969</v>
      </c>
      <c r="BA457" s="0" t="s">
        <v>514</v>
      </c>
      <c r="BB457" s="0" t="str">
        <f t="shared" si="7"/>
        <v>CCFNbeUkum</v>
      </c>
    </row>
    <row r="458">
      <c r="AV458" s="0" t="s">
        <v>470</v>
      </c>
      <c r="AW458" s="0" t="s">
        <v>394</v>
      </c>
      <c r="AX458" s="0" t="s">
        <v>918</v>
      </c>
      <c r="AY458" s="0" t="s">
        <v>1970</v>
      </c>
      <c r="AZ458" s="0" t="s">
        <v>1971</v>
      </c>
      <c r="BA458" s="0" t="s">
        <v>514</v>
      </c>
      <c r="BB458" s="0" t="str">
        <f t="shared" si="7"/>
        <v>CCFNbeUkum</v>
      </c>
    </row>
    <row r="459">
      <c r="AV459" s="0" t="s">
        <v>470</v>
      </c>
      <c r="AW459" s="0" t="s">
        <v>394</v>
      </c>
      <c r="AX459" s="0" t="s">
        <v>918</v>
      </c>
      <c r="AY459" s="0" t="s">
        <v>1972</v>
      </c>
      <c r="AZ459" s="0" t="s">
        <v>1973</v>
      </c>
      <c r="BA459" s="0" t="s">
        <v>514</v>
      </c>
      <c r="BB459" s="0" t="str">
        <f t="shared" si="7"/>
        <v>CCFNbeUkum</v>
      </c>
    </row>
    <row r="460">
      <c r="AV460" s="0" t="s">
        <v>470</v>
      </c>
      <c r="AW460" s="0" t="s">
        <v>394</v>
      </c>
      <c r="AX460" s="0" t="s">
        <v>942</v>
      </c>
      <c r="AY460" s="0" t="s">
        <v>1974</v>
      </c>
      <c r="AZ460" s="0" t="s">
        <v>1975</v>
      </c>
      <c r="BA460" s="0" t="s">
        <v>514</v>
      </c>
      <c r="BB460" s="0" t="str">
        <f t="shared" si="7"/>
        <v>CCFNbeUshongo</v>
      </c>
    </row>
    <row r="461">
      <c r="AV461" s="0" t="s">
        <v>470</v>
      </c>
      <c r="AW461" s="0" t="s">
        <v>394</v>
      </c>
      <c r="AX461" s="0" t="s">
        <v>942</v>
      </c>
      <c r="AY461" s="0" t="s">
        <v>1976</v>
      </c>
      <c r="AZ461" s="0" t="s">
        <v>1977</v>
      </c>
      <c r="BA461" s="0" t="s">
        <v>514</v>
      </c>
      <c r="BB461" s="0" t="str">
        <f t="shared" si="7"/>
        <v>CCFNbeUshongo</v>
      </c>
    </row>
    <row r="462">
      <c r="AV462" s="0" t="s">
        <v>470</v>
      </c>
      <c r="AW462" s="0" t="s">
        <v>394</v>
      </c>
      <c r="AX462" s="0" t="s">
        <v>942</v>
      </c>
      <c r="AY462" s="0" t="s">
        <v>1978</v>
      </c>
      <c r="AZ462" s="0" t="s">
        <v>1979</v>
      </c>
      <c r="BA462" s="0" t="s">
        <v>514</v>
      </c>
      <c r="BB462" s="0" t="str">
        <f t="shared" si="7"/>
        <v>CCFNbeUshongo</v>
      </c>
    </row>
    <row r="463">
      <c r="AV463" s="0" t="s">
        <v>470</v>
      </c>
      <c r="AW463" s="0" t="s">
        <v>394</v>
      </c>
      <c r="AX463" s="0" t="s">
        <v>942</v>
      </c>
      <c r="AY463" s="0" t="s">
        <v>1980</v>
      </c>
      <c r="AZ463" s="0" t="s">
        <v>1981</v>
      </c>
      <c r="BA463" s="0" t="s">
        <v>514</v>
      </c>
      <c r="BB463" s="0" t="str">
        <f t="shared" si="7"/>
        <v>CCFNbeUshongo</v>
      </c>
    </row>
    <row r="464">
      <c r="AV464" s="0" t="s">
        <v>470</v>
      </c>
      <c r="AW464" s="0" t="s">
        <v>394</v>
      </c>
      <c r="AX464" s="0" t="s">
        <v>942</v>
      </c>
      <c r="AY464" s="0" t="s">
        <v>1982</v>
      </c>
      <c r="AZ464" s="0" t="s">
        <v>1983</v>
      </c>
      <c r="BA464" s="0" t="s">
        <v>514</v>
      </c>
      <c r="BB464" s="0" t="str">
        <f t="shared" si="7"/>
        <v>CCFNbeUshongo</v>
      </c>
    </row>
    <row r="465">
      <c r="AV465" s="0" t="s">
        <v>470</v>
      </c>
      <c r="AW465" s="0" t="s">
        <v>394</v>
      </c>
      <c r="AX465" s="0" t="s">
        <v>942</v>
      </c>
      <c r="AY465" s="0" t="s">
        <v>1984</v>
      </c>
      <c r="AZ465" s="0" t="s">
        <v>1985</v>
      </c>
      <c r="BA465" s="0" t="s">
        <v>514</v>
      </c>
      <c r="BB465" s="0" t="str">
        <f t="shared" si="7"/>
        <v>CCFNbeUshongo</v>
      </c>
    </row>
    <row r="466">
      <c r="AV466" s="0" t="s">
        <v>470</v>
      </c>
      <c r="AW466" s="0" t="s">
        <v>394</v>
      </c>
      <c r="AX466" s="0" t="s">
        <v>942</v>
      </c>
      <c r="AY466" s="0" t="s">
        <v>1986</v>
      </c>
      <c r="AZ466" s="0" t="s">
        <v>1987</v>
      </c>
      <c r="BA466" s="0" t="s">
        <v>514</v>
      </c>
      <c r="BB466" s="0" t="str">
        <f t="shared" si="7"/>
        <v>CCFNbeUshongo</v>
      </c>
    </row>
    <row r="467">
      <c r="AV467" s="0" t="s">
        <v>470</v>
      </c>
      <c r="AW467" s="0" t="s">
        <v>394</v>
      </c>
      <c r="AX467" s="0" t="s">
        <v>963</v>
      </c>
      <c r="AY467" s="0" t="s">
        <v>1988</v>
      </c>
      <c r="AZ467" s="0" t="s">
        <v>1989</v>
      </c>
      <c r="BA467" s="0" t="s">
        <v>514</v>
      </c>
      <c r="BB467" s="0" t="str">
        <f t="shared" si="7"/>
        <v>CCFNbeVandeikya</v>
      </c>
    </row>
    <row r="468">
      <c r="AV468" s="0" t="s">
        <v>470</v>
      </c>
      <c r="AW468" s="0" t="s">
        <v>394</v>
      </c>
      <c r="AX468" s="0" t="s">
        <v>963</v>
      </c>
      <c r="AY468" s="0" t="s">
        <v>1990</v>
      </c>
      <c r="AZ468" s="0" t="s">
        <v>1991</v>
      </c>
      <c r="BA468" s="0" t="s">
        <v>514</v>
      </c>
      <c r="BB468" s="0" t="str">
        <f t="shared" si="7"/>
        <v>CCFNbeVandeikya</v>
      </c>
    </row>
    <row r="469">
      <c r="AV469" s="0" t="s">
        <v>470</v>
      </c>
      <c r="AW469" s="0" t="s">
        <v>394</v>
      </c>
      <c r="AX469" s="0" t="s">
        <v>963</v>
      </c>
      <c r="AY469" s="0" t="s">
        <v>1992</v>
      </c>
      <c r="AZ469" s="0" t="s">
        <v>1993</v>
      </c>
      <c r="BA469" s="0" t="s">
        <v>514</v>
      </c>
      <c r="BB469" s="0" t="str">
        <f t="shared" si="7"/>
        <v>CCFNbeVandeikya</v>
      </c>
    </row>
    <row r="470">
      <c r="AV470" s="0" t="s">
        <v>470</v>
      </c>
      <c r="AW470" s="0" t="s">
        <v>394</v>
      </c>
      <c r="AX470" s="0" t="s">
        <v>963</v>
      </c>
      <c r="AY470" s="0" t="s">
        <v>1994</v>
      </c>
      <c r="AZ470" s="0" t="s">
        <v>1995</v>
      </c>
      <c r="BA470" s="0" t="s">
        <v>514</v>
      </c>
      <c r="BB470" s="0" t="str">
        <f t="shared" si="7"/>
        <v>CCFNbeVandeikya</v>
      </c>
    </row>
    <row r="471">
      <c r="AV471" s="0" t="s">
        <v>470</v>
      </c>
      <c r="AW471" s="0" t="s">
        <v>394</v>
      </c>
      <c r="AX471" s="0" t="s">
        <v>963</v>
      </c>
      <c r="AY471" s="0" t="s">
        <v>1996</v>
      </c>
      <c r="AZ471" s="0" t="s">
        <v>1997</v>
      </c>
      <c r="BA471" s="0" t="s">
        <v>514</v>
      </c>
      <c r="BB471" s="0" t="str">
        <f t="shared" si="7"/>
        <v>CCFNbeVandeikya</v>
      </c>
    </row>
    <row r="472">
      <c r="AV472" s="0" t="s">
        <v>470</v>
      </c>
      <c r="AW472" s="0" t="s">
        <v>394</v>
      </c>
      <c r="AX472" s="0" t="s">
        <v>963</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415</v>
      </c>
      <c r="AX517" s="0" t="s">
        <v>622</v>
      </c>
      <c r="AY517" s="0" t="s">
        <v>2089</v>
      </c>
      <c r="AZ517" s="0" t="s">
        <v>2090</v>
      </c>
      <c r="BA517" s="0" t="s">
        <v>514</v>
      </c>
      <c r="BB517" s="0" t="str">
        <f t="shared" si="8"/>
        <v>CCFNogIfo</v>
      </c>
    </row>
    <row r="518">
      <c r="AV518" s="0" t="s">
        <v>470</v>
      </c>
      <c r="AW518" s="0" t="s">
        <v>415</v>
      </c>
      <c r="AX518" s="0" t="s">
        <v>516</v>
      </c>
      <c r="AY518" s="0" t="s">
        <v>2091</v>
      </c>
      <c r="AZ518" s="0" t="s">
        <v>2092</v>
      </c>
      <c r="BA518" s="0" t="s">
        <v>514</v>
      </c>
      <c r="BB518" s="0" t="str">
        <f t="shared" si="8"/>
        <v>CCFNogYewaNorth</v>
      </c>
    </row>
    <row r="519">
      <c r="AV519" s="0" t="s">
        <v>470</v>
      </c>
      <c r="AW519" s="0" t="s">
        <v>416</v>
      </c>
      <c r="AX519" s="0" t="s">
        <v>461</v>
      </c>
      <c r="AY519" s="0" t="s">
        <v>2093</v>
      </c>
      <c r="AZ519" s="0" t="s">
        <v>2094</v>
      </c>
      <c r="BA519" s="0" t="s">
        <v>514</v>
      </c>
      <c r="BB519" s="0" t="str">
        <f t="shared" si="8"/>
        <v>CCFNonAkokoSouthWest</v>
      </c>
    </row>
    <row r="520">
      <c r="AV520" s="0" t="s">
        <v>470</v>
      </c>
      <c r="AW520" s="0" t="s">
        <v>416</v>
      </c>
      <c r="AX520" s="0" t="s">
        <v>503</v>
      </c>
      <c r="AY520" s="0" t="s">
        <v>2095</v>
      </c>
      <c r="AZ520" s="0" t="s">
        <v>2096</v>
      </c>
      <c r="BA520" s="0" t="s">
        <v>514</v>
      </c>
      <c r="BB520" s="0" t="str">
        <f t="shared" si="8"/>
        <v>CCFNonEseOdo</v>
      </c>
    </row>
    <row r="521">
      <c r="AV521" s="0" t="s">
        <v>470</v>
      </c>
      <c r="AW521" s="0" t="s">
        <v>416</v>
      </c>
      <c r="AX521" s="0" t="s">
        <v>544</v>
      </c>
      <c r="AY521" s="0" t="s">
        <v>2097</v>
      </c>
      <c r="AZ521" s="0" t="s">
        <v>2098</v>
      </c>
      <c r="BA521" s="0" t="s">
        <v>514</v>
      </c>
      <c r="BB521" s="0" t="str">
        <f t="shared" si="8"/>
        <v>CCFNonOndoWest</v>
      </c>
    </row>
    <row r="522">
      <c r="AV522" s="0" t="s">
        <v>470</v>
      </c>
      <c r="AW522" s="0" t="s">
        <v>416</v>
      </c>
      <c r="AX522" s="0" t="s">
        <v>584</v>
      </c>
      <c r="AY522" s="0" t="s">
        <v>2099</v>
      </c>
      <c r="AZ522" s="0" t="s">
        <v>2100</v>
      </c>
      <c r="BA522" s="0" t="s">
        <v>514</v>
      </c>
      <c r="BB522" s="0" t="str">
        <f t="shared" si="8"/>
        <v>CCFNonOwo</v>
      </c>
    </row>
    <row r="523">
      <c r="AV523" s="0" t="s">
        <v>470</v>
      </c>
      <c r="AW523" s="0" t="s">
        <v>417</v>
      </c>
      <c r="AX523" s="0" t="s">
        <v>462</v>
      </c>
      <c r="AY523" s="0" t="s">
        <v>2101</v>
      </c>
      <c r="AZ523" s="0" t="s">
        <v>2102</v>
      </c>
      <c r="BA523" s="0" t="s">
        <v>514</v>
      </c>
      <c r="BB523" s="0" t="str">
        <f t="shared" si="8"/>
        <v>CCFNosIfeNorth</v>
      </c>
    </row>
    <row r="524">
      <c r="AV524" s="0" t="s">
        <v>470</v>
      </c>
      <c r="AW524" s="0" t="s">
        <v>417</v>
      </c>
      <c r="AX524" s="0" t="s">
        <v>504</v>
      </c>
      <c r="AY524" s="0" t="s">
        <v>2103</v>
      </c>
      <c r="AZ524" s="0" t="s">
        <v>2104</v>
      </c>
      <c r="BA524" s="0" t="s">
        <v>514</v>
      </c>
      <c r="BB524" s="0" t="str">
        <f t="shared" si="8"/>
        <v>CCFNosIsokan</v>
      </c>
    </row>
    <row r="525">
      <c r="AV525" s="0" t="s">
        <v>470</v>
      </c>
      <c r="AW525" s="0" t="s">
        <v>417</v>
      </c>
      <c r="AX525" s="0" t="s">
        <v>545</v>
      </c>
      <c r="AY525" s="0" t="s">
        <v>2105</v>
      </c>
      <c r="AZ525" s="0" t="s">
        <v>2106</v>
      </c>
      <c r="BA525" s="0" t="s">
        <v>514</v>
      </c>
      <c r="BB525" s="0" t="str">
        <f t="shared" si="8"/>
        <v>CCFNosIwo</v>
      </c>
    </row>
    <row r="526">
      <c r="AV526" s="0" t="s">
        <v>470</v>
      </c>
      <c r="AW526" s="0" t="s">
        <v>286</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826</v>
      </c>
      <c r="AY529" s="0" t="s">
        <v>2113</v>
      </c>
      <c r="AZ529" s="0" t="s">
        <v>2114</v>
      </c>
      <c r="BA529" s="0" t="s">
        <v>514</v>
      </c>
      <c r="BB529" s="0" t="str">
        <f t="shared" si="8"/>
        <v>CCFNplBokkos</v>
      </c>
    </row>
    <row r="530">
      <c r="AV530" s="0" t="s">
        <v>470</v>
      </c>
      <c r="AW530" s="0" t="s">
        <v>418</v>
      </c>
      <c r="AX530" s="0" t="s">
        <v>826</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797</v>
      </c>
      <c r="AY536" s="0" t="s">
        <v>2127</v>
      </c>
      <c r="AZ536" s="0" t="s">
        <v>2128</v>
      </c>
      <c r="BA536" s="0" t="s">
        <v>514</v>
      </c>
      <c r="BB536" s="0" t="str">
        <f t="shared" si="8"/>
        <v>CCFNplShendam</v>
      </c>
    </row>
    <row r="537">
      <c r="AV537" s="0" t="s">
        <v>470</v>
      </c>
      <c r="AW537" s="0" t="s">
        <v>394</v>
      </c>
      <c r="AX537" s="0" t="s">
        <v>982</v>
      </c>
      <c r="AY537" s="0" t="s">
        <v>2129</v>
      </c>
      <c r="AZ537" s="0" t="s">
        <v>2130</v>
      </c>
      <c r="BA537" s="0" t="s">
        <v>595</v>
      </c>
      <c r="BB537" s="0" t="str">
        <f t="shared" si="8"/>
        <v>CIHPbeAdo</v>
      </c>
    </row>
    <row r="538">
      <c r="AV538" s="0" t="s">
        <v>470</v>
      </c>
      <c r="AW538" s="0" t="s">
        <v>394</v>
      </c>
      <c r="AX538" s="0" t="s">
        <v>982</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1001</v>
      </c>
      <c r="AY540" s="0" t="s">
        <v>2135</v>
      </c>
      <c r="AZ540" s="0" t="s">
        <v>2136</v>
      </c>
      <c r="BA540" s="0" t="s">
        <v>595</v>
      </c>
      <c r="BB540" s="0" t="str">
        <f t="shared" si="8"/>
        <v>CIHPbeApa</v>
      </c>
    </row>
    <row r="541">
      <c r="AV541" s="0" t="s">
        <v>470</v>
      </c>
      <c r="AW541" s="0" t="s">
        <v>394</v>
      </c>
      <c r="AX541" s="0" t="s">
        <v>1001</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748</v>
      </c>
      <c r="AY631" s="0" t="s">
        <v>2315</v>
      </c>
      <c r="AZ631" s="0" t="s">
        <v>2316</v>
      </c>
      <c r="BA631" s="0" t="s">
        <v>595</v>
      </c>
      <c r="BB631" s="0" t="str">
        <f t="shared" si="9"/>
        <v>CIHPbeKwande</v>
      </c>
    </row>
    <row r="632">
      <c r="AV632" s="0" t="s">
        <v>470</v>
      </c>
      <c r="AW632" s="0" t="s">
        <v>394</v>
      </c>
      <c r="AX632" s="0" t="s">
        <v>748</v>
      </c>
      <c r="AY632" s="0" t="s">
        <v>2317</v>
      </c>
      <c r="AZ632" s="0" t="s">
        <v>2318</v>
      </c>
      <c r="BA632" s="0" t="s">
        <v>595</v>
      </c>
      <c r="BB632" s="0" t="str">
        <f t="shared" si="9"/>
        <v>CIHPbeKwande</v>
      </c>
    </row>
    <row r="633">
      <c r="AV633" s="0" t="s">
        <v>470</v>
      </c>
      <c r="AW633" s="0" t="s">
        <v>394</v>
      </c>
      <c r="AX633" s="0" t="s">
        <v>748</v>
      </c>
      <c r="AY633" s="0" t="s">
        <v>2319</v>
      </c>
      <c r="AZ633" s="0" t="s">
        <v>2320</v>
      </c>
      <c r="BA633" s="0" t="s">
        <v>595</v>
      </c>
      <c r="BB633" s="0" t="str">
        <f t="shared" si="9"/>
        <v>CIHPbeKwande</v>
      </c>
    </row>
    <row r="634">
      <c r="AV634" s="0" t="s">
        <v>470</v>
      </c>
      <c r="AW634" s="0" t="s">
        <v>394</v>
      </c>
      <c r="AX634" s="0" t="s">
        <v>748</v>
      </c>
      <c r="AY634" s="0" t="s">
        <v>2321</v>
      </c>
      <c r="AZ634" s="0" t="s">
        <v>2322</v>
      </c>
      <c r="BA634" s="0" t="s">
        <v>595</v>
      </c>
      <c r="BB634" s="0" t="str">
        <f t="shared" si="9"/>
        <v>CIHPbeKwande</v>
      </c>
    </row>
    <row r="635">
      <c r="AV635" s="0" t="s">
        <v>470</v>
      </c>
      <c r="AW635" s="0" t="s">
        <v>394</v>
      </c>
      <c r="AX635" s="0" t="s">
        <v>748</v>
      </c>
      <c r="AY635" s="0" t="s">
        <v>2323</v>
      </c>
      <c r="AZ635" s="0" t="s">
        <v>2324</v>
      </c>
      <c r="BA635" s="0" t="s">
        <v>595</v>
      </c>
      <c r="BB635" s="0" t="str">
        <f t="shared" si="9"/>
        <v>CIHPbeKwande</v>
      </c>
    </row>
    <row r="636">
      <c r="AV636" s="0" t="s">
        <v>470</v>
      </c>
      <c r="AW636" s="0" t="s">
        <v>394</v>
      </c>
      <c r="AX636" s="0" t="s">
        <v>748</v>
      </c>
      <c r="AY636" s="0" t="s">
        <v>2325</v>
      </c>
      <c r="AZ636" s="0" t="s">
        <v>2326</v>
      </c>
      <c r="BA636" s="0" t="s">
        <v>595</v>
      </c>
      <c r="BB636" s="0" t="str">
        <f t="shared" si="9"/>
        <v>CIHPbeKwande</v>
      </c>
    </row>
    <row r="637">
      <c r="AV637" s="0" t="s">
        <v>470</v>
      </c>
      <c r="AW637" s="0" t="s">
        <v>394</v>
      </c>
      <c r="AX637" s="0" t="s">
        <v>748</v>
      </c>
      <c r="AY637" s="0" t="s">
        <v>2327</v>
      </c>
      <c r="AZ637" s="0" t="s">
        <v>2328</v>
      </c>
      <c r="BA637" s="0" t="s">
        <v>595</v>
      </c>
      <c r="BB637" s="0" t="str">
        <f t="shared" si="9"/>
        <v>CIHPbeKwande</v>
      </c>
    </row>
    <row r="638">
      <c r="AV638" s="0" t="s">
        <v>470</v>
      </c>
      <c r="AW638" s="0" t="s">
        <v>394</v>
      </c>
      <c r="AX638" s="0" t="s">
        <v>748</v>
      </c>
      <c r="AY638" s="0" t="s">
        <v>2329</v>
      </c>
      <c r="AZ638" s="0" t="s">
        <v>2330</v>
      </c>
      <c r="BA638" s="0" t="s">
        <v>595</v>
      </c>
      <c r="BB638" s="0" t="str">
        <f t="shared" si="9"/>
        <v>CIHPbeKwande</v>
      </c>
    </row>
    <row r="639">
      <c r="AV639" s="0" t="s">
        <v>470</v>
      </c>
      <c r="AW639" s="0" t="s">
        <v>394</v>
      </c>
      <c r="AX639" s="0" t="s">
        <v>748</v>
      </c>
      <c r="AY639" s="0" t="s">
        <v>2331</v>
      </c>
      <c r="AZ639" s="0" t="s">
        <v>2332</v>
      </c>
      <c r="BA639" s="0" t="s">
        <v>595</v>
      </c>
      <c r="BB639" s="0" t="str">
        <f t="shared" si="9"/>
        <v>CIHPbeKwande</v>
      </c>
    </row>
    <row r="640">
      <c r="AV640" s="0" t="s">
        <v>470</v>
      </c>
      <c r="AW640" s="0" t="s">
        <v>394</v>
      </c>
      <c r="AX640" s="0" t="s">
        <v>748</v>
      </c>
      <c r="AY640" s="0" t="s">
        <v>2333</v>
      </c>
      <c r="AZ640" s="0" t="s">
        <v>2334</v>
      </c>
      <c r="BA640" s="0" t="s">
        <v>595</v>
      </c>
      <c r="BB640" s="0" t="str">
        <f t="shared" si="9"/>
        <v>CIHPbeKwande</v>
      </c>
    </row>
    <row r="641">
      <c r="AV641" s="0" t="s">
        <v>470</v>
      </c>
      <c r="AW641" s="0" t="s">
        <v>394</v>
      </c>
      <c r="AX641" s="0" t="s">
        <v>748</v>
      </c>
      <c r="AY641" s="0" t="s">
        <v>2335</v>
      </c>
      <c r="AZ641" s="0" t="s">
        <v>2336</v>
      </c>
      <c r="BA641" s="0" t="s">
        <v>595</v>
      </c>
      <c r="BB641" s="0" t="str">
        <f t="shared" si="9"/>
        <v>CIHPbeKwande</v>
      </c>
    </row>
    <row r="642">
      <c r="AV642" s="0" t="s">
        <v>470</v>
      </c>
      <c r="AW642" s="0" t="s">
        <v>394</v>
      </c>
      <c r="AX642" s="0" t="s">
        <v>748</v>
      </c>
      <c r="AY642" s="0" t="s">
        <v>2337</v>
      </c>
      <c r="AZ642" s="0" t="s">
        <v>2338</v>
      </c>
      <c r="BA642" s="0" t="s">
        <v>595</v>
      </c>
      <c r="BB642" s="0" t="str">
        <f t="shared" si="9"/>
        <v>CIHPbeKwande</v>
      </c>
    </row>
    <row r="643">
      <c r="AV643" s="0" t="s">
        <v>470</v>
      </c>
      <c r="AW643" s="0" t="s">
        <v>394</v>
      </c>
      <c r="AX643" s="0" t="s">
        <v>780</v>
      </c>
      <c r="AY643" s="0" t="s">
        <v>2339</v>
      </c>
      <c r="AZ643" s="0" t="s">
        <v>2340</v>
      </c>
      <c r="BA643" s="0" t="s">
        <v>595</v>
      </c>
      <c r="BB643" s="0" t="str">
        <f ref="BB643:BB706" t="shared" si="10">SUBSTITUTE(SUBSTITUTE(BA643&amp;AX643," ",""),"-","")</f>
        <v>CIHPbeLogo</v>
      </c>
    </row>
    <row r="644">
      <c r="AV644" s="0" t="s">
        <v>470</v>
      </c>
      <c r="AW644" s="0" t="s">
        <v>394</v>
      </c>
      <c r="AX644" s="0" t="s">
        <v>780</v>
      </c>
      <c r="AY644" s="0" t="s">
        <v>2341</v>
      </c>
      <c r="AZ644" s="0" t="s">
        <v>2342</v>
      </c>
      <c r="BA644" s="0" t="s">
        <v>595</v>
      </c>
      <c r="BB644" s="0" t="str">
        <f t="shared" si="10"/>
        <v>CIHPbeLogo</v>
      </c>
    </row>
    <row r="645">
      <c r="AV645" s="0" t="s">
        <v>470</v>
      </c>
      <c r="AW645" s="0" t="s">
        <v>394</v>
      </c>
      <c r="AX645" s="0" t="s">
        <v>780</v>
      </c>
      <c r="AY645" s="0" t="s">
        <v>2343</v>
      </c>
      <c r="AZ645" s="0" t="s">
        <v>2344</v>
      </c>
      <c r="BA645" s="0" t="s">
        <v>595</v>
      </c>
      <c r="BB645" s="0" t="str">
        <f t="shared" si="10"/>
        <v>CIHPbeLogo</v>
      </c>
    </row>
    <row r="646">
      <c r="AV646" s="0" t="s">
        <v>470</v>
      </c>
      <c r="AW646" s="0" t="s">
        <v>394</v>
      </c>
      <c r="AX646" s="0" t="s">
        <v>780</v>
      </c>
      <c r="AY646" s="0" t="s">
        <v>2345</v>
      </c>
      <c r="AZ646" s="0" t="s">
        <v>2346</v>
      </c>
      <c r="BA646" s="0" t="s">
        <v>595</v>
      </c>
      <c r="BB646" s="0" t="str">
        <f t="shared" si="10"/>
        <v>CIHPbeLogo</v>
      </c>
    </row>
    <row r="647">
      <c r="AV647" s="0" t="s">
        <v>470</v>
      </c>
      <c r="AW647" s="0" t="s">
        <v>394</v>
      </c>
      <c r="AX647" s="0" t="s">
        <v>780</v>
      </c>
      <c r="AY647" s="0" t="s">
        <v>2347</v>
      </c>
      <c r="AZ647" s="0" t="s">
        <v>2348</v>
      </c>
      <c r="BA647" s="0" t="s">
        <v>595</v>
      </c>
      <c r="BB647" s="0" t="str">
        <f t="shared" si="10"/>
        <v>CIHPbeLogo</v>
      </c>
    </row>
    <row r="648">
      <c r="AV648" s="0" t="s">
        <v>470</v>
      </c>
      <c r="AW648" s="0" t="s">
        <v>394</v>
      </c>
      <c r="AX648" s="0" t="s">
        <v>780</v>
      </c>
      <c r="AY648" s="0" t="s">
        <v>2349</v>
      </c>
      <c r="AZ648" s="0" t="s">
        <v>2350</v>
      </c>
      <c r="BA648" s="0" t="s">
        <v>595</v>
      </c>
      <c r="BB648" s="0" t="str">
        <f t="shared" si="10"/>
        <v>CIHPbeLogo</v>
      </c>
    </row>
    <row r="649">
      <c r="AV649" s="0" t="s">
        <v>470</v>
      </c>
      <c r="AW649" s="0" t="s">
        <v>394</v>
      </c>
      <c r="AX649" s="0" t="s">
        <v>780</v>
      </c>
      <c r="AY649" s="0" t="s">
        <v>2351</v>
      </c>
      <c r="AZ649" s="0" t="s">
        <v>2352</v>
      </c>
      <c r="BA649" s="0" t="s">
        <v>595</v>
      </c>
      <c r="BB649" s="0" t="str">
        <f t="shared" si="10"/>
        <v>CIHPbeLogo</v>
      </c>
    </row>
    <row r="650">
      <c r="AV650" s="0" t="s">
        <v>470</v>
      </c>
      <c r="AW650" s="0" t="s">
        <v>394</v>
      </c>
      <c r="AX650" s="0" t="s">
        <v>780</v>
      </c>
      <c r="AY650" s="0" t="s">
        <v>2353</v>
      </c>
      <c r="AZ650" s="0" t="s">
        <v>2354</v>
      </c>
      <c r="BA650" s="0" t="s">
        <v>595</v>
      </c>
      <c r="BB650" s="0" t="str">
        <f t="shared" si="10"/>
        <v>CIHPbeLogo</v>
      </c>
    </row>
    <row r="651">
      <c r="AV651" s="0" t="s">
        <v>470</v>
      </c>
      <c r="AW651" s="0" t="s">
        <v>394</v>
      </c>
      <c r="AX651" s="0" t="s">
        <v>780</v>
      </c>
      <c r="AY651" s="0" t="s">
        <v>2355</v>
      </c>
      <c r="AZ651" s="0" t="s">
        <v>2356</v>
      </c>
      <c r="BA651" s="0" t="s">
        <v>595</v>
      </c>
      <c r="BB651" s="0" t="str">
        <f t="shared" si="10"/>
        <v>CIHPbeLogo</v>
      </c>
    </row>
    <row r="652">
      <c r="AV652" s="0" t="s">
        <v>470</v>
      </c>
      <c r="AW652" s="0" t="s">
        <v>394</v>
      </c>
      <c r="AX652" s="0" t="s">
        <v>780</v>
      </c>
      <c r="AY652" s="0" t="s">
        <v>2357</v>
      </c>
      <c r="AZ652" s="0" t="s">
        <v>2358</v>
      </c>
      <c r="BA652" s="0" t="s">
        <v>595</v>
      </c>
      <c r="BB652" s="0" t="str">
        <f t="shared" si="10"/>
        <v>CIHPbeLogo</v>
      </c>
    </row>
    <row r="653">
      <c r="AV653" s="0" t="s">
        <v>470</v>
      </c>
      <c r="AW653" s="0" t="s">
        <v>394</v>
      </c>
      <c r="AX653" s="0" t="s">
        <v>780</v>
      </c>
      <c r="AY653" s="0" t="s">
        <v>2359</v>
      </c>
      <c r="AZ653" s="0" t="s">
        <v>2360</v>
      </c>
      <c r="BA653" s="0" t="s">
        <v>595</v>
      </c>
      <c r="BB653" s="0" t="str">
        <f t="shared" si="10"/>
        <v>CIHPbeLogo</v>
      </c>
    </row>
    <row r="654">
      <c r="AV654" s="0" t="s">
        <v>470</v>
      </c>
      <c r="AW654" s="0" t="s">
        <v>394</v>
      </c>
      <c r="AX654" s="0" t="s">
        <v>780</v>
      </c>
      <c r="AY654" s="0" t="s">
        <v>2361</v>
      </c>
      <c r="AZ654" s="0" t="s">
        <v>2362</v>
      </c>
      <c r="BA654" s="0" t="s">
        <v>595</v>
      </c>
      <c r="BB654" s="0" t="str">
        <f t="shared" si="10"/>
        <v>CIHPbeLogo</v>
      </c>
    </row>
    <row r="655">
      <c r="AV655" s="0" t="s">
        <v>470</v>
      </c>
      <c r="AW655" s="0" t="s">
        <v>394</v>
      </c>
      <c r="AX655" s="0" t="s">
        <v>780</v>
      </c>
      <c r="AY655" s="0" t="s">
        <v>2363</v>
      </c>
      <c r="AZ655" s="0" t="s">
        <v>2364</v>
      </c>
      <c r="BA655" s="0" t="s">
        <v>595</v>
      </c>
      <c r="BB655" s="0" t="str">
        <f t="shared" si="10"/>
        <v>CIHPbeLogo</v>
      </c>
    </row>
    <row r="656">
      <c r="AV656" s="0" t="s">
        <v>470</v>
      </c>
      <c r="AW656" s="0" t="s">
        <v>394</v>
      </c>
      <c r="AX656" s="0" t="s">
        <v>780</v>
      </c>
      <c r="AY656" s="0" t="s">
        <v>2365</v>
      </c>
      <c r="AZ656" s="0" t="s">
        <v>2366</v>
      </c>
      <c r="BA656" s="0" t="s">
        <v>595</v>
      </c>
      <c r="BB656" s="0" t="str">
        <f t="shared" si="10"/>
        <v>CIHPbeLogo</v>
      </c>
    </row>
    <row r="657">
      <c r="AV657" s="0" t="s">
        <v>470</v>
      </c>
      <c r="AW657" s="0" t="s">
        <v>394</v>
      </c>
      <c r="AX657" s="0" t="s">
        <v>780</v>
      </c>
      <c r="AY657" s="0" t="s">
        <v>2367</v>
      </c>
      <c r="AZ657" s="0" t="s">
        <v>2368</v>
      </c>
      <c r="BA657" s="0" t="s">
        <v>595</v>
      </c>
      <c r="BB657" s="0" t="str">
        <f t="shared" si="10"/>
        <v>CIHPbeLogo</v>
      </c>
    </row>
    <row r="658">
      <c r="AV658" s="0" t="s">
        <v>470</v>
      </c>
      <c r="AW658" s="0" t="s">
        <v>394</v>
      </c>
      <c r="AX658" s="0" t="s">
        <v>780</v>
      </c>
      <c r="AY658" s="0" t="s">
        <v>2369</v>
      </c>
      <c r="AZ658" s="0" t="s">
        <v>2370</v>
      </c>
      <c r="BA658" s="0" t="s">
        <v>595</v>
      </c>
      <c r="BB658" s="0" t="str">
        <f t="shared" si="10"/>
        <v>CIHPbeLogo</v>
      </c>
    </row>
    <row r="659">
      <c r="AV659" s="0" t="s">
        <v>470</v>
      </c>
      <c r="AW659" s="0" t="s">
        <v>394</v>
      </c>
      <c r="AX659" s="0" t="s">
        <v>780</v>
      </c>
      <c r="AY659" s="0" t="s">
        <v>2371</v>
      </c>
      <c r="AZ659" s="0" t="s">
        <v>2372</v>
      </c>
      <c r="BA659" s="0" t="s">
        <v>595</v>
      </c>
      <c r="BB659" s="0" t="str">
        <f t="shared" si="10"/>
        <v>CIHPbeLogo</v>
      </c>
    </row>
    <row r="660">
      <c r="AV660" s="0" t="s">
        <v>470</v>
      </c>
      <c r="AW660" s="0" t="s">
        <v>394</v>
      </c>
      <c r="AX660" s="0" t="s">
        <v>780</v>
      </c>
      <c r="AY660" s="0" t="s">
        <v>2373</v>
      </c>
      <c r="AZ660" s="0" t="s">
        <v>2374</v>
      </c>
      <c r="BA660" s="0" t="s">
        <v>595</v>
      </c>
      <c r="BB660" s="0" t="str">
        <f t="shared" si="10"/>
        <v>CIHPbeLogo</v>
      </c>
    </row>
    <row r="661">
      <c r="AV661" s="0" t="s">
        <v>470</v>
      </c>
      <c r="AW661" s="0" t="s">
        <v>394</v>
      </c>
      <c r="AX661" s="0" t="s">
        <v>780</v>
      </c>
      <c r="AY661" s="0" t="s">
        <v>2375</v>
      </c>
      <c r="AZ661" s="0" t="s">
        <v>2376</v>
      </c>
      <c r="BA661" s="0" t="s">
        <v>595</v>
      </c>
      <c r="BB661" s="0" t="str">
        <f t="shared" si="10"/>
        <v>CIHPbeLogo</v>
      </c>
    </row>
    <row r="662">
      <c r="AV662" s="0" t="s">
        <v>470</v>
      </c>
      <c r="AW662" s="0" t="s">
        <v>394</v>
      </c>
      <c r="AX662" s="0" t="s">
        <v>780</v>
      </c>
      <c r="AY662" s="0" t="s">
        <v>2377</v>
      </c>
      <c r="AZ662" s="0" t="s">
        <v>2378</v>
      </c>
      <c r="BA662" s="0" t="s">
        <v>595</v>
      </c>
      <c r="BB662" s="0" t="str">
        <f t="shared" si="10"/>
        <v>CIHPbeLogo</v>
      </c>
    </row>
    <row r="663">
      <c r="AV663" s="0" t="s">
        <v>470</v>
      </c>
      <c r="AW663" s="0" t="s">
        <v>394</v>
      </c>
      <c r="AX663" s="0" t="s">
        <v>780</v>
      </c>
      <c r="AY663" s="0" t="s">
        <v>2379</v>
      </c>
      <c r="AZ663" s="0" t="s">
        <v>2380</v>
      </c>
      <c r="BA663" s="0" t="s">
        <v>595</v>
      </c>
      <c r="BB663" s="0" t="str">
        <f t="shared" si="10"/>
        <v>CIHPbeLogo</v>
      </c>
    </row>
    <row r="664">
      <c r="AV664" s="0" t="s">
        <v>470</v>
      </c>
      <c r="AW664" s="0" t="s">
        <v>394</v>
      </c>
      <c r="AX664" s="0" t="s">
        <v>780</v>
      </c>
      <c r="AY664" s="0" t="s">
        <v>2381</v>
      </c>
      <c r="AZ664" s="0" t="s">
        <v>2382</v>
      </c>
      <c r="BA664" s="0" t="s">
        <v>595</v>
      </c>
      <c r="BB664" s="0" t="str">
        <f t="shared" si="10"/>
        <v>CIHPbeLogo</v>
      </c>
    </row>
    <row r="665">
      <c r="AV665" s="0" t="s">
        <v>470</v>
      </c>
      <c r="AW665" s="0" t="s">
        <v>394</v>
      </c>
      <c r="AX665" s="0" t="s">
        <v>780</v>
      </c>
      <c r="AY665" s="0" t="s">
        <v>2383</v>
      </c>
      <c r="AZ665" s="0" t="s">
        <v>2384</v>
      </c>
      <c r="BA665" s="0" t="s">
        <v>595</v>
      </c>
      <c r="BB665" s="0" t="str">
        <f t="shared" si="10"/>
        <v>CIHPbeLogo</v>
      </c>
    </row>
    <row r="666">
      <c r="AV666" s="0" t="s">
        <v>470</v>
      </c>
      <c r="AW666" s="0" t="s">
        <v>394</v>
      </c>
      <c r="AX666" s="0" t="s">
        <v>780</v>
      </c>
      <c r="AY666" s="0" t="s">
        <v>2385</v>
      </c>
      <c r="AZ666" s="0" t="s">
        <v>2386</v>
      </c>
      <c r="BA666" s="0" t="s">
        <v>595</v>
      </c>
      <c r="BB666" s="0" t="str">
        <f t="shared" si="10"/>
        <v>CIHPbeLogo</v>
      </c>
    </row>
    <row r="667">
      <c r="AV667" s="0" t="s">
        <v>470</v>
      </c>
      <c r="AW667" s="0" t="s">
        <v>394</v>
      </c>
      <c r="AX667" s="0" t="s">
        <v>780</v>
      </c>
      <c r="AY667" s="0" t="s">
        <v>2387</v>
      </c>
      <c r="AZ667" s="0" t="s">
        <v>2388</v>
      </c>
      <c r="BA667" s="0" t="s">
        <v>595</v>
      </c>
      <c r="BB667" s="0" t="str">
        <f t="shared" si="10"/>
        <v>CIHPbeLogo</v>
      </c>
    </row>
    <row r="668">
      <c r="AV668" s="0" t="s">
        <v>470</v>
      </c>
      <c r="AW668" s="0" t="s">
        <v>394</v>
      </c>
      <c r="AX668" s="0" t="s">
        <v>780</v>
      </c>
      <c r="AY668" s="0" t="s">
        <v>2389</v>
      </c>
      <c r="AZ668" s="0" t="s">
        <v>2390</v>
      </c>
      <c r="BA668" s="0" t="s">
        <v>595</v>
      </c>
      <c r="BB668" s="0" t="str">
        <f t="shared" si="10"/>
        <v>CIHPbeLogo</v>
      </c>
    </row>
    <row r="669">
      <c r="AV669" s="0" t="s">
        <v>470</v>
      </c>
      <c r="AW669" s="0" t="s">
        <v>394</v>
      </c>
      <c r="AX669" s="0" t="s">
        <v>780</v>
      </c>
      <c r="AY669" s="0" t="s">
        <v>2391</v>
      </c>
      <c r="AZ669" s="0" t="s">
        <v>2392</v>
      </c>
      <c r="BA669" s="0" t="s">
        <v>595</v>
      </c>
      <c r="BB669" s="0" t="str">
        <f t="shared" si="10"/>
        <v>CIHPbeLogo</v>
      </c>
    </row>
    <row r="670">
      <c r="AV670" s="0" t="s">
        <v>470</v>
      </c>
      <c r="AW670" s="0" t="s">
        <v>394</v>
      </c>
      <c r="AX670" s="0" t="s">
        <v>780</v>
      </c>
      <c r="AY670" s="0" t="s">
        <v>2393</v>
      </c>
      <c r="AZ670" s="0" t="s">
        <v>2394</v>
      </c>
      <c r="BA670" s="0" t="s">
        <v>595</v>
      </c>
      <c r="BB670" s="0" t="str">
        <f t="shared" si="10"/>
        <v>CIHPbeLogo</v>
      </c>
    </row>
    <row r="671">
      <c r="AV671" s="0" t="s">
        <v>470</v>
      </c>
      <c r="AW671" s="0" t="s">
        <v>394</v>
      </c>
      <c r="AX671" s="0" t="s">
        <v>780</v>
      </c>
      <c r="AY671" s="0" t="s">
        <v>2395</v>
      </c>
      <c r="AZ671" s="0" t="s">
        <v>2396</v>
      </c>
      <c r="BA671" s="0" t="s">
        <v>595</v>
      </c>
      <c r="BB671" s="0" t="str">
        <f t="shared" si="10"/>
        <v>CIHPbeLogo</v>
      </c>
    </row>
    <row r="672">
      <c r="AV672" s="0" t="s">
        <v>470</v>
      </c>
      <c r="AW672" s="0" t="s">
        <v>394</v>
      </c>
      <c r="AX672" s="0" t="s">
        <v>780</v>
      </c>
      <c r="AY672" s="0" t="s">
        <v>2397</v>
      </c>
      <c r="AZ672" s="0" t="s">
        <v>2398</v>
      </c>
      <c r="BA672" s="0" t="s">
        <v>595</v>
      </c>
      <c r="BB672" s="0" t="str">
        <f t="shared" si="10"/>
        <v>CIHPbeLogo</v>
      </c>
    </row>
    <row r="673">
      <c r="AV673" s="0" t="s">
        <v>470</v>
      </c>
      <c r="AW673" s="0" t="s">
        <v>394</v>
      </c>
      <c r="AX673" s="0" t="s">
        <v>780</v>
      </c>
      <c r="AY673" s="0" t="s">
        <v>2399</v>
      </c>
      <c r="AZ673" s="0" t="s">
        <v>2400</v>
      </c>
      <c r="BA673" s="0" t="s">
        <v>595</v>
      </c>
      <c r="BB673" s="0" t="str">
        <f t="shared" si="10"/>
        <v>CIHPbeLogo</v>
      </c>
    </row>
    <row r="674">
      <c r="AV674" s="0" t="s">
        <v>470</v>
      </c>
      <c r="AW674" s="0" t="s">
        <v>394</v>
      </c>
      <c r="AX674" s="0" t="s">
        <v>780</v>
      </c>
      <c r="AY674" s="0" t="s">
        <v>2401</v>
      </c>
      <c r="AZ674" s="0" t="s">
        <v>2402</v>
      </c>
      <c r="BA674" s="0" t="s">
        <v>595</v>
      </c>
      <c r="BB674" s="0" t="str">
        <f t="shared" si="10"/>
        <v>CIHPbeLogo</v>
      </c>
    </row>
    <row r="675">
      <c r="AV675" s="0" t="s">
        <v>470</v>
      </c>
      <c r="AW675" s="0" t="s">
        <v>394</v>
      </c>
      <c r="AX675" s="0" t="s">
        <v>780</v>
      </c>
      <c r="AY675" s="0" t="s">
        <v>2403</v>
      </c>
      <c r="AZ675" s="0" t="s">
        <v>2404</v>
      </c>
      <c r="BA675" s="0" t="s">
        <v>595</v>
      </c>
      <c r="BB675" s="0" t="str">
        <f t="shared" si="10"/>
        <v>CIHPbeLogo</v>
      </c>
    </row>
    <row r="676">
      <c r="AV676" s="0" t="s">
        <v>470</v>
      </c>
      <c r="AW676" s="0" t="s">
        <v>394</v>
      </c>
      <c r="AX676" s="0" t="s">
        <v>810</v>
      </c>
      <c r="AY676" s="0" t="s">
        <v>2405</v>
      </c>
      <c r="AZ676" s="0" t="s">
        <v>2406</v>
      </c>
      <c r="BA676" s="0" t="s">
        <v>595</v>
      </c>
      <c r="BB676" s="0" t="str">
        <f t="shared" si="10"/>
        <v>CIHPbeMakurdi</v>
      </c>
    </row>
    <row r="677">
      <c r="AV677" s="0" t="s">
        <v>470</v>
      </c>
      <c r="AW677" s="0" t="s">
        <v>394</v>
      </c>
      <c r="AX677" s="0" t="s">
        <v>810</v>
      </c>
      <c r="AY677" s="0" t="s">
        <v>2407</v>
      </c>
      <c r="AZ677" s="0" t="s">
        <v>2408</v>
      </c>
      <c r="BA677" s="0" t="s">
        <v>595</v>
      </c>
      <c r="BB677" s="0" t="str">
        <f t="shared" si="10"/>
        <v>CIHPbeMakurdi</v>
      </c>
    </row>
    <row r="678">
      <c r="AV678" s="0" t="s">
        <v>470</v>
      </c>
      <c r="AW678" s="0" t="s">
        <v>394</v>
      </c>
      <c r="AX678" s="0" t="s">
        <v>810</v>
      </c>
      <c r="AY678" s="0" t="s">
        <v>2409</v>
      </c>
      <c r="AZ678" s="0" t="s">
        <v>2410</v>
      </c>
      <c r="BA678" s="0" t="s">
        <v>595</v>
      </c>
      <c r="BB678" s="0" t="str">
        <f t="shared" si="10"/>
        <v>CIHPbeMakurdi</v>
      </c>
    </row>
    <row r="679">
      <c r="AV679" s="0" t="s">
        <v>470</v>
      </c>
      <c r="AW679" s="0" t="s">
        <v>394</v>
      </c>
      <c r="AX679" s="0" t="s">
        <v>810</v>
      </c>
      <c r="AY679" s="0" t="s">
        <v>2411</v>
      </c>
      <c r="AZ679" s="0" t="s">
        <v>2412</v>
      </c>
      <c r="BA679" s="0" t="s">
        <v>595</v>
      </c>
      <c r="BB679" s="0" t="str">
        <f t="shared" si="10"/>
        <v>CIHPbeMakurdi</v>
      </c>
    </row>
    <row r="680">
      <c r="AV680" s="0" t="s">
        <v>470</v>
      </c>
      <c r="AW680" s="0" t="s">
        <v>394</v>
      </c>
      <c r="AX680" s="0" t="s">
        <v>810</v>
      </c>
      <c r="AY680" s="0" t="s">
        <v>2413</v>
      </c>
      <c r="AZ680" s="0" t="s">
        <v>2414</v>
      </c>
      <c r="BA680" s="0" t="s">
        <v>595</v>
      </c>
      <c r="BB680" s="0" t="str">
        <f t="shared" si="10"/>
        <v>CIHPbeMakurdi</v>
      </c>
    </row>
    <row r="681">
      <c r="AV681" s="0" t="s">
        <v>470</v>
      </c>
      <c r="AW681" s="0" t="s">
        <v>394</v>
      </c>
      <c r="AX681" s="0" t="s">
        <v>810</v>
      </c>
      <c r="AY681" s="0" t="s">
        <v>2415</v>
      </c>
      <c r="AZ681" s="0" t="s">
        <v>2416</v>
      </c>
      <c r="BA681" s="0" t="s">
        <v>595</v>
      </c>
      <c r="BB681" s="0" t="str">
        <f t="shared" si="10"/>
        <v>CIHPbeMakurdi</v>
      </c>
    </row>
    <row r="682">
      <c r="AV682" s="0" t="s">
        <v>470</v>
      </c>
      <c r="AW682" s="0" t="s">
        <v>394</v>
      </c>
      <c r="AX682" s="0" t="s">
        <v>1017</v>
      </c>
      <c r="AY682" s="0" t="s">
        <v>2417</v>
      </c>
      <c r="AZ682" s="0" t="s">
        <v>2418</v>
      </c>
      <c r="BA682" s="0" t="s">
        <v>595</v>
      </c>
      <c r="BB682" s="0" t="str">
        <f t="shared" si="10"/>
        <v>CIHPbeObi</v>
      </c>
    </row>
    <row r="683">
      <c r="AV683" s="0" t="s">
        <v>470</v>
      </c>
      <c r="AW683" s="0" t="s">
        <v>394</v>
      </c>
      <c r="AX683" s="0" t="s">
        <v>1017</v>
      </c>
      <c r="AY683" s="0" t="s">
        <v>2419</v>
      </c>
      <c r="AZ683" s="0" t="s">
        <v>2420</v>
      </c>
      <c r="BA683" s="0" t="s">
        <v>595</v>
      </c>
      <c r="BB683" s="0" t="str">
        <f t="shared" si="10"/>
        <v>CIHPbeObi</v>
      </c>
    </row>
    <row r="684">
      <c r="AV684" s="0" t="s">
        <v>470</v>
      </c>
      <c r="AW684" s="0" t="s">
        <v>394</v>
      </c>
      <c r="AX684" s="0" t="s">
        <v>1017</v>
      </c>
      <c r="AY684" s="0" t="s">
        <v>2421</v>
      </c>
      <c r="AZ684" s="0" t="s">
        <v>2422</v>
      </c>
      <c r="BA684" s="0" t="s">
        <v>595</v>
      </c>
      <c r="BB684" s="0" t="str">
        <f t="shared" si="10"/>
        <v>CIHPbeObi</v>
      </c>
    </row>
    <row r="685">
      <c r="AV685" s="0" t="s">
        <v>470</v>
      </c>
      <c r="AW685" s="0" t="s">
        <v>394</v>
      </c>
      <c r="AX685" s="0" t="s">
        <v>1017</v>
      </c>
      <c r="AY685" s="0" t="s">
        <v>2423</v>
      </c>
      <c r="AZ685" s="0" t="s">
        <v>2424</v>
      </c>
      <c r="BA685" s="0" t="s">
        <v>595</v>
      </c>
      <c r="BB685" s="0" t="str">
        <f t="shared" si="10"/>
        <v>CIHPbeObi</v>
      </c>
    </row>
    <row r="686">
      <c r="AV686" s="0" t="s">
        <v>470</v>
      </c>
      <c r="AW686" s="0" t="s">
        <v>394</v>
      </c>
      <c r="AX686" s="0" t="s">
        <v>1017</v>
      </c>
      <c r="AY686" s="0" t="s">
        <v>2425</v>
      </c>
      <c r="AZ686" s="0" t="s">
        <v>2426</v>
      </c>
      <c r="BA686" s="0" t="s">
        <v>595</v>
      </c>
      <c r="BB686" s="0" t="str">
        <f t="shared" si="10"/>
        <v>CIHPbeObi</v>
      </c>
    </row>
    <row r="687">
      <c r="AV687" s="0" t="s">
        <v>470</v>
      </c>
      <c r="AW687" s="0" t="s">
        <v>394</v>
      </c>
      <c r="AX687" s="0" t="s">
        <v>1032</v>
      </c>
      <c r="AY687" s="0" t="s">
        <v>2427</v>
      </c>
      <c r="AZ687" s="0" t="s">
        <v>2428</v>
      </c>
      <c r="BA687" s="0" t="s">
        <v>595</v>
      </c>
      <c r="BB687" s="0" t="str">
        <f t="shared" si="10"/>
        <v>CIHPbeOgbadibo</v>
      </c>
    </row>
    <row r="688">
      <c r="AV688" s="0" t="s">
        <v>470</v>
      </c>
      <c r="AW688" s="0" t="s">
        <v>394</v>
      </c>
      <c r="AX688" s="0" t="s">
        <v>1045</v>
      </c>
      <c r="AY688" s="0" t="s">
        <v>2429</v>
      </c>
      <c r="AZ688" s="0" t="s">
        <v>2430</v>
      </c>
      <c r="BA688" s="0" t="s">
        <v>595</v>
      </c>
      <c r="BB688" s="0" t="str">
        <f t="shared" si="10"/>
        <v>CIHPbeOhimini</v>
      </c>
    </row>
    <row r="689">
      <c r="AV689" s="0" t="s">
        <v>470</v>
      </c>
      <c r="AW689" s="0" t="s">
        <v>394</v>
      </c>
      <c r="AX689" s="0" t="s">
        <v>1045</v>
      </c>
      <c r="AY689" s="0" t="s">
        <v>2431</v>
      </c>
      <c r="AZ689" s="0" t="s">
        <v>2432</v>
      </c>
      <c r="BA689" s="0" t="s">
        <v>595</v>
      </c>
      <c r="BB689" s="0" t="str">
        <f t="shared" si="10"/>
        <v>CIHPbeOhimini</v>
      </c>
    </row>
    <row r="690">
      <c r="AV690" s="0" t="s">
        <v>470</v>
      </c>
      <c r="AW690" s="0" t="s">
        <v>394</v>
      </c>
      <c r="AX690" s="0" t="s">
        <v>839</v>
      </c>
      <c r="AY690" s="0" t="s">
        <v>2433</v>
      </c>
      <c r="AZ690" s="0" t="s">
        <v>2434</v>
      </c>
      <c r="BA690" s="0" t="s">
        <v>595</v>
      </c>
      <c r="BB690" s="0" t="str">
        <f t="shared" si="10"/>
        <v>CIHPbeOkpokwu</v>
      </c>
    </row>
    <row r="691">
      <c r="AV691" s="0" t="s">
        <v>470</v>
      </c>
      <c r="AW691" s="0" t="s">
        <v>394</v>
      </c>
      <c r="AX691" s="0" t="s">
        <v>839</v>
      </c>
      <c r="AY691" s="0" t="s">
        <v>2435</v>
      </c>
      <c r="AZ691" s="0" t="s">
        <v>2436</v>
      </c>
      <c r="BA691" s="0" t="s">
        <v>595</v>
      </c>
      <c r="BB691" s="0" t="str">
        <f t="shared" si="10"/>
        <v>CIHPbeOkpokwu</v>
      </c>
    </row>
    <row r="692">
      <c r="AV692" s="0" t="s">
        <v>470</v>
      </c>
      <c r="AW692" s="0" t="s">
        <v>394</v>
      </c>
      <c r="AX692" s="0" t="s">
        <v>867</v>
      </c>
      <c r="AY692" s="0" t="s">
        <v>2437</v>
      </c>
      <c r="AZ692" s="0" t="s">
        <v>2438</v>
      </c>
      <c r="BA692" s="0" t="s">
        <v>595</v>
      </c>
      <c r="BB692" s="0" t="str">
        <f t="shared" si="10"/>
        <v>CIHPbeOtukpo</v>
      </c>
    </row>
    <row r="693">
      <c r="AV693" s="0" t="s">
        <v>470</v>
      </c>
      <c r="AW693" s="0" t="s">
        <v>394</v>
      </c>
      <c r="AX693" s="0" t="s">
        <v>867</v>
      </c>
      <c r="AY693" s="0" t="s">
        <v>2439</v>
      </c>
      <c r="AZ693" s="0" t="s">
        <v>2440</v>
      </c>
      <c r="BA693" s="0" t="s">
        <v>595</v>
      </c>
      <c r="BB693" s="0" t="str">
        <f t="shared" si="10"/>
        <v>CIHPbeOtukpo</v>
      </c>
    </row>
    <row r="694">
      <c r="AV694" s="0" t="s">
        <v>470</v>
      </c>
      <c r="AW694" s="0" t="s">
        <v>394</v>
      </c>
      <c r="AX694" s="0" t="s">
        <v>867</v>
      </c>
      <c r="AY694" s="0" t="s">
        <v>2441</v>
      </c>
      <c r="AZ694" s="0" t="s">
        <v>2442</v>
      </c>
      <c r="BA694" s="0" t="s">
        <v>595</v>
      </c>
      <c r="BB694" s="0" t="str">
        <f t="shared" si="10"/>
        <v>CIHPbeOtukpo</v>
      </c>
    </row>
    <row r="695">
      <c r="AV695" s="0" t="s">
        <v>470</v>
      </c>
      <c r="AW695" s="0" t="s">
        <v>394</v>
      </c>
      <c r="AX695" s="0" t="s">
        <v>867</v>
      </c>
      <c r="AY695" s="0" t="s">
        <v>2443</v>
      </c>
      <c r="AZ695" s="0" t="s">
        <v>2444</v>
      </c>
      <c r="BA695" s="0" t="s">
        <v>595</v>
      </c>
      <c r="BB695" s="0" t="str">
        <f t="shared" si="10"/>
        <v>CIHPbeOtukpo</v>
      </c>
    </row>
    <row r="696">
      <c r="AV696" s="0" t="s">
        <v>470</v>
      </c>
      <c r="AW696" s="0" t="s">
        <v>394</v>
      </c>
      <c r="AX696" s="0" t="s">
        <v>867</v>
      </c>
      <c r="AY696" s="0" t="s">
        <v>2445</v>
      </c>
      <c r="AZ696" s="0" t="s">
        <v>2446</v>
      </c>
      <c r="BA696" s="0" t="s">
        <v>595</v>
      </c>
      <c r="BB696" s="0" t="str">
        <f t="shared" si="10"/>
        <v>CIHPbeOtukpo</v>
      </c>
    </row>
    <row r="697">
      <c r="AV697" s="0" t="s">
        <v>470</v>
      </c>
      <c r="AW697" s="0" t="s">
        <v>394</v>
      </c>
      <c r="AX697" s="0" t="s">
        <v>867</v>
      </c>
      <c r="AY697" s="0" t="s">
        <v>2447</v>
      </c>
      <c r="AZ697" s="0" t="s">
        <v>2448</v>
      </c>
      <c r="BA697" s="0" t="s">
        <v>595</v>
      </c>
      <c r="BB697" s="0" t="str">
        <f t="shared" si="10"/>
        <v>CIHPbeOtukpo</v>
      </c>
    </row>
    <row r="698">
      <c r="AV698" s="0" t="s">
        <v>470</v>
      </c>
      <c r="AW698" s="0" t="s">
        <v>394</v>
      </c>
      <c r="AX698" s="0" t="s">
        <v>867</v>
      </c>
      <c r="AY698" s="0" t="s">
        <v>2449</v>
      </c>
      <c r="AZ698" s="0" t="s">
        <v>2450</v>
      </c>
      <c r="BA698" s="0" t="s">
        <v>595</v>
      </c>
      <c r="BB698" s="0" t="str">
        <f t="shared" si="10"/>
        <v>CIHPbeOtukpo</v>
      </c>
    </row>
    <row r="699">
      <c r="AV699" s="0" t="s">
        <v>470</v>
      </c>
      <c r="AW699" s="0" t="s">
        <v>394</v>
      </c>
      <c r="AX699" s="0" t="s">
        <v>867</v>
      </c>
      <c r="AY699" s="0" t="s">
        <v>2451</v>
      </c>
      <c r="AZ699" s="0" t="s">
        <v>2452</v>
      </c>
      <c r="BA699" s="0" t="s">
        <v>595</v>
      </c>
      <c r="BB699" s="0" t="str">
        <f t="shared" si="10"/>
        <v>CIHPbeOtukpo</v>
      </c>
    </row>
    <row r="700">
      <c r="AV700" s="0" t="s">
        <v>470</v>
      </c>
      <c r="AW700" s="0" t="s">
        <v>394</v>
      </c>
      <c r="AX700" s="0" t="s">
        <v>893</v>
      </c>
      <c r="AY700" s="0" t="s">
        <v>2453</v>
      </c>
      <c r="AZ700" s="0" t="s">
        <v>2454</v>
      </c>
      <c r="BA700" s="0" t="s">
        <v>595</v>
      </c>
      <c r="BB700" s="0" t="str">
        <f t="shared" si="10"/>
        <v>CIHPbeTarka</v>
      </c>
    </row>
    <row r="701">
      <c r="AV701" s="0" t="s">
        <v>470</v>
      </c>
      <c r="AW701" s="0" t="s">
        <v>394</v>
      </c>
      <c r="AX701" s="0" t="s">
        <v>893</v>
      </c>
      <c r="AY701" s="0" t="s">
        <v>2455</v>
      </c>
      <c r="AZ701" s="0" t="s">
        <v>2456</v>
      </c>
      <c r="BA701" s="0" t="s">
        <v>595</v>
      </c>
      <c r="BB701" s="0" t="str">
        <f t="shared" si="10"/>
        <v>CIHPbeTarka</v>
      </c>
    </row>
    <row r="702">
      <c r="AV702" s="0" t="s">
        <v>470</v>
      </c>
      <c r="AW702" s="0" t="s">
        <v>394</v>
      </c>
      <c r="AX702" s="0" t="s">
        <v>893</v>
      </c>
      <c r="AY702" s="0" t="s">
        <v>2457</v>
      </c>
      <c r="AZ702" s="0" t="s">
        <v>2458</v>
      </c>
      <c r="BA702" s="0" t="s">
        <v>595</v>
      </c>
      <c r="BB702" s="0" t="str">
        <f t="shared" si="10"/>
        <v>CIHPbeTarka</v>
      </c>
    </row>
    <row r="703">
      <c r="AV703" s="0" t="s">
        <v>470</v>
      </c>
      <c r="AW703" s="0" t="s">
        <v>394</v>
      </c>
      <c r="AX703" s="0" t="s">
        <v>893</v>
      </c>
      <c r="AY703" s="0" t="s">
        <v>2459</v>
      </c>
      <c r="AZ703" s="0" t="s">
        <v>2460</v>
      </c>
      <c r="BA703" s="0" t="s">
        <v>595</v>
      </c>
      <c r="BB703" s="0" t="str">
        <f t="shared" si="10"/>
        <v>CIHPbeTarka</v>
      </c>
    </row>
    <row r="704">
      <c r="AV704" s="0" t="s">
        <v>470</v>
      </c>
      <c r="AW704" s="0" t="s">
        <v>394</v>
      </c>
      <c r="AX704" s="0" t="s">
        <v>893</v>
      </c>
      <c r="AY704" s="0" t="s">
        <v>2461</v>
      </c>
      <c r="AZ704" s="0" t="s">
        <v>2462</v>
      </c>
      <c r="BA704" s="0" t="s">
        <v>595</v>
      </c>
      <c r="BB704" s="0" t="str">
        <f t="shared" si="10"/>
        <v>CIHPbeTarka</v>
      </c>
    </row>
    <row r="705">
      <c r="AV705" s="0" t="s">
        <v>470</v>
      </c>
      <c r="AW705" s="0" t="s">
        <v>394</v>
      </c>
      <c r="AX705" s="0" t="s">
        <v>893</v>
      </c>
      <c r="AY705" s="0" t="s">
        <v>2463</v>
      </c>
      <c r="AZ705" s="0" t="s">
        <v>2464</v>
      </c>
      <c r="BA705" s="0" t="s">
        <v>595</v>
      </c>
      <c r="BB705" s="0" t="str">
        <f t="shared" si="10"/>
        <v>CIHPbeTarka</v>
      </c>
    </row>
    <row r="706">
      <c r="AV706" s="0" t="s">
        <v>470</v>
      </c>
      <c r="AW706" s="0" t="s">
        <v>394</v>
      </c>
      <c r="AX706" s="0" t="s">
        <v>893</v>
      </c>
      <c r="AY706" s="0" t="s">
        <v>2465</v>
      </c>
      <c r="AZ706" s="0" t="s">
        <v>2466</v>
      </c>
      <c r="BA706" s="0" t="s">
        <v>595</v>
      </c>
      <c r="BB706" s="0" t="str">
        <f t="shared" si="10"/>
        <v>CIHPbeTarka</v>
      </c>
    </row>
    <row r="707">
      <c r="AV707" s="0" t="s">
        <v>470</v>
      </c>
      <c r="AW707" s="0" t="s">
        <v>394</v>
      </c>
      <c r="AX707" s="0" t="s">
        <v>893</v>
      </c>
      <c r="AY707" s="0" t="s">
        <v>2467</v>
      </c>
      <c r="AZ707" s="0" t="s">
        <v>2468</v>
      </c>
      <c r="BA707" s="0" t="s">
        <v>595</v>
      </c>
      <c r="BB707" s="0" t="str">
        <f ref="BB707:BB770" t="shared" si="11">SUBSTITUTE(SUBSTITUTE(BA707&amp;AX707," ",""),"-","")</f>
        <v>CIHPbeTarka</v>
      </c>
    </row>
    <row r="708">
      <c r="AV708" s="0" t="s">
        <v>470</v>
      </c>
      <c r="AW708" s="0" t="s">
        <v>394</v>
      </c>
      <c r="AX708" s="0" t="s">
        <v>893</v>
      </c>
      <c r="AY708" s="0" t="s">
        <v>2469</v>
      </c>
      <c r="AZ708" s="0" t="s">
        <v>2470</v>
      </c>
      <c r="BA708" s="0" t="s">
        <v>595</v>
      </c>
      <c r="BB708" s="0" t="str">
        <f t="shared" si="11"/>
        <v>CIHPbeTarka</v>
      </c>
    </row>
    <row r="709">
      <c r="AV709" s="0" t="s">
        <v>470</v>
      </c>
      <c r="AW709" s="0" t="s">
        <v>394</v>
      </c>
      <c r="AX709" s="0" t="s">
        <v>893</v>
      </c>
      <c r="AY709" s="0" t="s">
        <v>2471</v>
      </c>
      <c r="AZ709" s="0" t="s">
        <v>2472</v>
      </c>
      <c r="BA709" s="0" t="s">
        <v>595</v>
      </c>
      <c r="BB709" s="0" t="str">
        <f t="shared" si="11"/>
        <v>CIHPbeTarka</v>
      </c>
    </row>
    <row r="710">
      <c r="AV710" s="0" t="s">
        <v>470</v>
      </c>
      <c r="AW710" s="0" t="s">
        <v>394</v>
      </c>
      <c r="AX710" s="0" t="s">
        <v>893</v>
      </c>
      <c r="AY710" s="0" t="s">
        <v>2473</v>
      </c>
      <c r="AZ710" s="0" t="s">
        <v>2474</v>
      </c>
      <c r="BA710" s="0" t="s">
        <v>595</v>
      </c>
      <c r="BB710" s="0" t="str">
        <f t="shared" si="11"/>
        <v>CIHPbeTarka</v>
      </c>
    </row>
    <row r="711">
      <c r="AV711" s="0" t="s">
        <v>470</v>
      </c>
      <c r="AW711" s="0" t="s">
        <v>394</v>
      </c>
      <c r="AX711" s="0" t="s">
        <v>893</v>
      </c>
      <c r="AY711" s="0" t="s">
        <v>2475</v>
      </c>
      <c r="AZ711" s="0" t="s">
        <v>2476</v>
      </c>
      <c r="BA711" s="0" t="s">
        <v>595</v>
      </c>
      <c r="BB711" s="0" t="str">
        <f t="shared" si="11"/>
        <v>CIHPbeTarka</v>
      </c>
    </row>
    <row r="712">
      <c r="AV712" s="0" t="s">
        <v>470</v>
      </c>
      <c r="AW712" s="0" t="s">
        <v>394</v>
      </c>
      <c r="AX712" s="0" t="s">
        <v>893</v>
      </c>
      <c r="AY712" s="0" t="s">
        <v>2477</v>
      </c>
      <c r="AZ712" s="0" t="s">
        <v>2478</v>
      </c>
      <c r="BA712" s="0" t="s">
        <v>595</v>
      </c>
      <c r="BB712" s="0" t="str">
        <f t="shared" si="11"/>
        <v>CIHPbeTarka</v>
      </c>
    </row>
    <row r="713">
      <c r="AV713" s="0" t="s">
        <v>470</v>
      </c>
      <c r="AW713" s="0" t="s">
        <v>394</v>
      </c>
      <c r="AX713" s="0" t="s">
        <v>893</v>
      </c>
      <c r="AY713" s="0" t="s">
        <v>2479</v>
      </c>
      <c r="AZ713" s="0" t="s">
        <v>2480</v>
      </c>
      <c r="BA713" s="0" t="s">
        <v>595</v>
      </c>
      <c r="BB713" s="0" t="str">
        <f t="shared" si="11"/>
        <v>CIHPbeTarka</v>
      </c>
    </row>
    <row r="714">
      <c r="AV714" s="0" t="s">
        <v>470</v>
      </c>
      <c r="AW714" s="0" t="s">
        <v>394</v>
      </c>
      <c r="AX714" s="0" t="s">
        <v>893</v>
      </c>
      <c r="AY714" s="0" t="s">
        <v>2481</v>
      </c>
      <c r="AZ714" s="0" t="s">
        <v>2482</v>
      </c>
      <c r="BA714" s="0" t="s">
        <v>595</v>
      </c>
      <c r="BB714" s="0" t="str">
        <f t="shared" si="11"/>
        <v>CIHPbeTarka</v>
      </c>
    </row>
    <row r="715">
      <c r="AV715" s="0" t="s">
        <v>470</v>
      </c>
      <c r="AW715" s="0" t="s">
        <v>394</v>
      </c>
      <c r="AX715" s="0" t="s">
        <v>893</v>
      </c>
      <c r="AY715" s="0" t="s">
        <v>2483</v>
      </c>
      <c r="AZ715" s="0" t="s">
        <v>2484</v>
      </c>
      <c r="BA715" s="0" t="s">
        <v>595</v>
      </c>
      <c r="BB715" s="0" t="str">
        <f t="shared" si="11"/>
        <v>CIHPbeTarka</v>
      </c>
    </row>
    <row r="716">
      <c r="AV716" s="0" t="s">
        <v>470</v>
      </c>
      <c r="AW716" s="0" t="s">
        <v>394</v>
      </c>
      <c r="AX716" s="0" t="s">
        <v>893</v>
      </c>
      <c r="AY716" s="0" t="s">
        <v>2485</v>
      </c>
      <c r="AZ716" s="0" t="s">
        <v>2486</v>
      </c>
      <c r="BA716" s="0" t="s">
        <v>595</v>
      </c>
      <c r="BB716" s="0" t="str">
        <f t="shared" si="11"/>
        <v>CIHPbeTarka</v>
      </c>
    </row>
    <row r="717">
      <c r="AV717" s="0" t="s">
        <v>470</v>
      </c>
      <c r="AW717" s="0" t="s">
        <v>394</v>
      </c>
      <c r="AX717" s="0" t="s">
        <v>893</v>
      </c>
      <c r="AY717" s="0" t="s">
        <v>2487</v>
      </c>
      <c r="AZ717" s="0" t="s">
        <v>2488</v>
      </c>
      <c r="BA717" s="0" t="s">
        <v>595</v>
      </c>
      <c r="BB717" s="0" t="str">
        <f t="shared" si="11"/>
        <v>CIHPbeTarka</v>
      </c>
    </row>
    <row r="718">
      <c r="AV718" s="0" t="s">
        <v>470</v>
      </c>
      <c r="AW718" s="0" t="s">
        <v>394</v>
      </c>
      <c r="AX718" s="0" t="s">
        <v>893</v>
      </c>
      <c r="AY718" s="0" t="s">
        <v>2489</v>
      </c>
      <c r="AZ718" s="0" t="s">
        <v>2490</v>
      </c>
      <c r="BA718" s="0" t="s">
        <v>595</v>
      </c>
      <c r="BB718" s="0" t="str">
        <f t="shared" si="11"/>
        <v>CIHPbeTarka</v>
      </c>
    </row>
    <row r="719">
      <c r="AV719" s="0" t="s">
        <v>470</v>
      </c>
      <c r="AW719" s="0" t="s">
        <v>394</v>
      </c>
      <c r="AX719" s="0" t="s">
        <v>893</v>
      </c>
      <c r="AY719" s="0" t="s">
        <v>2491</v>
      </c>
      <c r="AZ719" s="0" t="s">
        <v>2492</v>
      </c>
      <c r="BA719" s="0" t="s">
        <v>595</v>
      </c>
      <c r="BB719" s="0" t="str">
        <f t="shared" si="11"/>
        <v>CIHPbeTarka</v>
      </c>
    </row>
    <row r="720">
      <c r="AV720" s="0" t="s">
        <v>470</v>
      </c>
      <c r="AW720" s="0" t="s">
        <v>394</v>
      </c>
      <c r="AX720" s="0" t="s">
        <v>918</v>
      </c>
      <c r="AY720" s="0" t="s">
        <v>2493</v>
      </c>
      <c r="AZ720" s="0" t="s">
        <v>2494</v>
      </c>
      <c r="BA720" s="0" t="s">
        <v>595</v>
      </c>
      <c r="BB720" s="0" t="str">
        <f t="shared" si="11"/>
        <v>CIHPbeUkum</v>
      </c>
    </row>
    <row r="721">
      <c r="AV721" s="0" t="s">
        <v>470</v>
      </c>
      <c r="AW721" s="0" t="s">
        <v>394</v>
      </c>
      <c r="AX721" s="0" t="s">
        <v>918</v>
      </c>
      <c r="AY721" s="0" t="s">
        <v>2495</v>
      </c>
      <c r="AZ721" s="0" t="s">
        <v>2496</v>
      </c>
      <c r="BA721" s="0" t="s">
        <v>595</v>
      </c>
      <c r="BB721" s="0" t="str">
        <f t="shared" si="11"/>
        <v>CIHPbeUkum</v>
      </c>
    </row>
    <row r="722">
      <c r="AV722" s="0" t="s">
        <v>470</v>
      </c>
      <c r="AW722" s="0" t="s">
        <v>394</v>
      </c>
      <c r="AX722" s="0" t="s">
        <v>918</v>
      </c>
      <c r="AY722" s="0" t="s">
        <v>2497</v>
      </c>
      <c r="AZ722" s="0" t="s">
        <v>2498</v>
      </c>
      <c r="BA722" s="0" t="s">
        <v>595</v>
      </c>
      <c r="BB722" s="0" t="str">
        <f t="shared" si="11"/>
        <v>CIHPbeUkum</v>
      </c>
    </row>
    <row r="723">
      <c r="AV723" s="0" t="s">
        <v>470</v>
      </c>
      <c r="AW723" s="0" t="s">
        <v>394</v>
      </c>
      <c r="AX723" s="0" t="s">
        <v>918</v>
      </c>
      <c r="AY723" s="0" t="s">
        <v>2499</v>
      </c>
      <c r="AZ723" s="0" t="s">
        <v>2500</v>
      </c>
      <c r="BA723" s="0" t="s">
        <v>595</v>
      </c>
      <c r="BB723" s="0" t="str">
        <f t="shared" si="11"/>
        <v>CIHPbeUkum</v>
      </c>
    </row>
    <row r="724">
      <c r="AV724" s="0" t="s">
        <v>470</v>
      </c>
      <c r="AW724" s="0" t="s">
        <v>394</v>
      </c>
      <c r="AX724" s="0" t="s">
        <v>918</v>
      </c>
      <c r="AY724" s="0" t="s">
        <v>2501</v>
      </c>
      <c r="AZ724" s="0" t="s">
        <v>2502</v>
      </c>
      <c r="BA724" s="0" t="s">
        <v>595</v>
      </c>
      <c r="BB724" s="0" t="str">
        <f t="shared" si="11"/>
        <v>CIHPbeUkum</v>
      </c>
    </row>
    <row r="725">
      <c r="AV725" s="0" t="s">
        <v>470</v>
      </c>
      <c r="AW725" s="0" t="s">
        <v>394</v>
      </c>
      <c r="AX725" s="0" t="s">
        <v>918</v>
      </c>
      <c r="AY725" s="0" t="s">
        <v>2503</v>
      </c>
      <c r="AZ725" s="0" t="s">
        <v>2504</v>
      </c>
      <c r="BA725" s="0" t="s">
        <v>595</v>
      </c>
      <c r="BB725" s="0" t="str">
        <f t="shared" si="11"/>
        <v>CIHPbeUkum</v>
      </c>
    </row>
    <row r="726">
      <c r="AV726" s="0" t="s">
        <v>470</v>
      </c>
      <c r="AW726" s="0" t="s">
        <v>394</v>
      </c>
      <c r="AX726" s="0" t="s">
        <v>918</v>
      </c>
      <c r="AY726" s="0" t="s">
        <v>2505</v>
      </c>
      <c r="AZ726" s="0" t="s">
        <v>2506</v>
      </c>
      <c r="BA726" s="0" t="s">
        <v>595</v>
      </c>
      <c r="BB726" s="0" t="str">
        <f t="shared" si="11"/>
        <v>CIHPbeUkum</v>
      </c>
    </row>
    <row r="727">
      <c r="AV727" s="0" t="s">
        <v>470</v>
      </c>
      <c r="AW727" s="0" t="s">
        <v>394</v>
      </c>
      <c r="AX727" s="0" t="s">
        <v>918</v>
      </c>
      <c r="AY727" s="0" t="s">
        <v>2507</v>
      </c>
      <c r="AZ727" s="0" t="s">
        <v>2508</v>
      </c>
      <c r="BA727" s="0" t="s">
        <v>595</v>
      </c>
      <c r="BB727" s="0" t="str">
        <f t="shared" si="11"/>
        <v>CIHPbeUkum</v>
      </c>
    </row>
    <row r="728">
      <c r="AV728" s="0" t="s">
        <v>470</v>
      </c>
      <c r="AW728" s="0" t="s">
        <v>394</v>
      </c>
      <c r="AX728" s="0" t="s">
        <v>918</v>
      </c>
      <c r="AY728" s="0" t="s">
        <v>2509</v>
      </c>
      <c r="AZ728" s="0" t="s">
        <v>2510</v>
      </c>
      <c r="BA728" s="0" t="s">
        <v>595</v>
      </c>
      <c r="BB728" s="0" t="str">
        <f t="shared" si="11"/>
        <v>CIHPbeUkum</v>
      </c>
    </row>
    <row r="729">
      <c r="AV729" s="0" t="s">
        <v>470</v>
      </c>
      <c r="AW729" s="0" t="s">
        <v>394</v>
      </c>
      <c r="AX729" s="0" t="s">
        <v>918</v>
      </c>
      <c r="AY729" s="0" t="s">
        <v>2511</v>
      </c>
      <c r="AZ729" s="0" t="s">
        <v>2512</v>
      </c>
      <c r="BA729" s="0" t="s">
        <v>595</v>
      </c>
      <c r="BB729" s="0" t="str">
        <f t="shared" si="11"/>
        <v>CIHPbeUkum</v>
      </c>
    </row>
    <row r="730">
      <c r="AV730" s="0" t="s">
        <v>470</v>
      </c>
      <c r="AW730" s="0" t="s">
        <v>394</v>
      </c>
      <c r="AX730" s="0" t="s">
        <v>918</v>
      </c>
      <c r="AY730" s="0" t="s">
        <v>2513</v>
      </c>
      <c r="AZ730" s="0" t="s">
        <v>2514</v>
      </c>
      <c r="BA730" s="0" t="s">
        <v>595</v>
      </c>
      <c r="BB730" s="0" t="str">
        <f t="shared" si="11"/>
        <v>CIHPbeUkum</v>
      </c>
    </row>
    <row r="731">
      <c r="AV731" s="0" t="s">
        <v>470</v>
      </c>
      <c r="AW731" s="0" t="s">
        <v>394</v>
      </c>
      <c r="AX731" s="0" t="s">
        <v>918</v>
      </c>
      <c r="AY731" s="0" t="s">
        <v>2515</v>
      </c>
      <c r="AZ731" s="0" t="s">
        <v>2516</v>
      </c>
      <c r="BA731" s="0" t="s">
        <v>595</v>
      </c>
      <c r="BB731" s="0" t="str">
        <f t="shared" si="11"/>
        <v>CIHPbeUkum</v>
      </c>
    </row>
    <row r="732">
      <c r="AV732" s="0" t="s">
        <v>470</v>
      </c>
      <c r="AW732" s="0" t="s">
        <v>394</v>
      </c>
      <c r="AX732" s="0" t="s">
        <v>918</v>
      </c>
      <c r="AY732" s="0" t="s">
        <v>2517</v>
      </c>
      <c r="AZ732" s="0" t="s">
        <v>2518</v>
      </c>
      <c r="BA732" s="0" t="s">
        <v>595</v>
      </c>
      <c r="BB732" s="0" t="str">
        <f t="shared" si="11"/>
        <v>CIHPbeUkum</v>
      </c>
    </row>
    <row r="733">
      <c r="AV733" s="0" t="s">
        <v>470</v>
      </c>
      <c r="AW733" s="0" t="s">
        <v>394</v>
      </c>
      <c r="AX733" s="0" t="s">
        <v>918</v>
      </c>
      <c r="AY733" s="0" t="s">
        <v>2519</v>
      </c>
      <c r="AZ733" s="0" t="s">
        <v>2520</v>
      </c>
      <c r="BA733" s="0" t="s">
        <v>595</v>
      </c>
      <c r="BB733" s="0" t="str">
        <f t="shared" si="11"/>
        <v>CIHPbeUkum</v>
      </c>
    </row>
    <row r="734">
      <c r="AV734" s="0" t="s">
        <v>470</v>
      </c>
      <c r="AW734" s="0" t="s">
        <v>394</v>
      </c>
      <c r="AX734" s="0" t="s">
        <v>918</v>
      </c>
      <c r="AY734" s="0" t="s">
        <v>2521</v>
      </c>
      <c r="AZ734" s="0" t="s">
        <v>2522</v>
      </c>
      <c r="BA734" s="0" t="s">
        <v>595</v>
      </c>
      <c r="BB734" s="0" t="str">
        <f t="shared" si="11"/>
        <v>CIHPbeUkum</v>
      </c>
    </row>
    <row r="735">
      <c r="AV735" s="0" t="s">
        <v>470</v>
      </c>
      <c r="AW735" s="0" t="s">
        <v>394</v>
      </c>
      <c r="AX735" s="0" t="s">
        <v>918</v>
      </c>
      <c r="AY735" s="0" t="s">
        <v>2523</v>
      </c>
      <c r="AZ735" s="0" t="s">
        <v>2524</v>
      </c>
      <c r="BA735" s="0" t="s">
        <v>595</v>
      </c>
      <c r="BB735" s="0" t="str">
        <f t="shared" si="11"/>
        <v>CIHPbeUkum</v>
      </c>
    </row>
    <row r="736">
      <c r="AV736" s="0" t="s">
        <v>470</v>
      </c>
      <c r="AW736" s="0" t="s">
        <v>394</v>
      </c>
      <c r="AX736" s="0" t="s">
        <v>963</v>
      </c>
      <c r="AY736" s="0" t="s">
        <v>2525</v>
      </c>
      <c r="AZ736" s="0" t="s">
        <v>2526</v>
      </c>
      <c r="BA736" s="0" t="s">
        <v>595</v>
      </c>
      <c r="BB736" s="0" t="str">
        <f t="shared" si="11"/>
        <v>CIHPbeVandeikya</v>
      </c>
    </row>
    <row r="737">
      <c r="AV737" s="0" t="s">
        <v>470</v>
      </c>
      <c r="AW737" s="0" t="s">
        <v>394</v>
      </c>
      <c r="AX737" s="0" t="s">
        <v>963</v>
      </c>
      <c r="AY737" s="0" t="s">
        <v>2527</v>
      </c>
      <c r="AZ737" s="0" t="s">
        <v>2528</v>
      </c>
      <c r="BA737" s="0" t="s">
        <v>595</v>
      </c>
      <c r="BB737" s="0" t="str">
        <f t="shared" si="11"/>
        <v>CIHPbeVandeikya</v>
      </c>
    </row>
    <row r="738">
      <c r="AV738" s="0" t="s">
        <v>470</v>
      </c>
      <c r="AW738" s="0" t="s">
        <v>394</v>
      </c>
      <c r="AX738" s="0" t="s">
        <v>963</v>
      </c>
      <c r="AY738" s="0" t="s">
        <v>2529</v>
      </c>
      <c r="AZ738" s="0" t="s">
        <v>2530</v>
      </c>
      <c r="BA738" s="0" t="s">
        <v>595</v>
      </c>
      <c r="BB738" s="0" t="str">
        <f t="shared" si="11"/>
        <v>CIHPbeVandeikya</v>
      </c>
    </row>
    <row r="739">
      <c r="AV739" s="0" t="s">
        <v>470</v>
      </c>
      <c r="AW739" s="0" t="s">
        <v>394</v>
      </c>
      <c r="AX739" s="0" t="s">
        <v>963</v>
      </c>
      <c r="AY739" s="0" t="s">
        <v>2531</v>
      </c>
      <c r="AZ739" s="0" t="s">
        <v>2532</v>
      </c>
      <c r="BA739" s="0" t="s">
        <v>595</v>
      </c>
      <c r="BB739" s="0" t="str">
        <f t="shared" si="11"/>
        <v>CIHPbeVandeikya</v>
      </c>
    </row>
    <row r="740">
      <c r="AV740" s="0" t="s">
        <v>470</v>
      </c>
      <c r="AW740" s="0" t="s">
        <v>394</v>
      </c>
      <c r="AX740" s="0" t="s">
        <v>963</v>
      </c>
      <c r="AY740" s="0" t="s">
        <v>2533</v>
      </c>
      <c r="AZ740" s="0" t="s">
        <v>2534</v>
      </c>
      <c r="BA740" s="0" t="s">
        <v>595</v>
      </c>
      <c r="BB740" s="0" t="str">
        <f t="shared" si="11"/>
        <v>CIHPbeVandeikya</v>
      </c>
    </row>
    <row r="741">
      <c r="AV741" s="0" t="s">
        <v>470</v>
      </c>
      <c r="AW741" s="0" t="s">
        <v>394</v>
      </c>
      <c r="AX741" s="0" t="s">
        <v>963</v>
      </c>
      <c r="AY741" s="0" t="s">
        <v>2535</v>
      </c>
      <c r="AZ741" s="0" t="s">
        <v>2536</v>
      </c>
      <c r="BA741" s="0" t="s">
        <v>595</v>
      </c>
      <c r="BB741" s="0" t="str">
        <f t="shared" si="11"/>
        <v>CIHPbeVandeikya</v>
      </c>
    </row>
    <row r="742">
      <c r="AV742" s="0" t="s">
        <v>470</v>
      </c>
      <c r="AW742" s="0" t="s">
        <v>394</v>
      </c>
      <c r="AX742" s="0" t="s">
        <v>963</v>
      </c>
      <c r="AY742" s="0" t="s">
        <v>2537</v>
      </c>
      <c r="AZ742" s="0" t="s">
        <v>2538</v>
      </c>
      <c r="BA742" s="0" t="s">
        <v>595</v>
      </c>
      <c r="BB742" s="0" t="str">
        <f t="shared" si="11"/>
        <v>CIHPbeVandeikya</v>
      </c>
    </row>
    <row r="743">
      <c r="AV743" s="0" t="s">
        <v>470</v>
      </c>
      <c r="AW743" s="0" t="s">
        <v>394</v>
      </c>
      <c r="AX743" s="0" t="s">
        <v>963</v>
      </c>
      <c r="AY743" s="0" t="s">
        <v>2539</v>
      </c>
      <c r="AZ743" s="0" t="s">
        <v>2540</v>
      </c>
      <c r="BA743" s="0" t="s">
        <v>595</v>
      </c>
      <c r="BB743" s="0" t="str">
        <f t="shared" si="11"/>
        <v>CIHPbeVandeikya</v>
      </c>
    </row>
    <row r="744">
      <c r="AV744" s="0" t="s">
        <v>470</v>
      </c>
      <c r="AW744" s="0" t="s">
        <v>394</v>
      </c>
      <c r="AX744" s="0" t="s">
        <v>963</v>
      </c>
      <c r="AY744" s="0" t="s">
        <v>2541</v>
      </c>
      <c r="AZ744" s="0" t="s">
        <v>2542</v>
      </c>
      <c r="BA744" s="0" t="s">
        <v>595</v>
      </c>
      <c r="BB744" s="0" t="str">
        <f t="shared" si="11"/>
        <v>CIHPbeVandeikya</v>
      </c>
    </row>
    <row r="745">
      <c r="AV745" s="0" t="s">
        <v>470</v>
      </c>
      <c r="AW745" s="0" t="s">
        <v>394</v>
      </c>
      <c r="AX745" s="0" t="s">
        <v>963</v>
      </c>
      <c r="AY745" s="0" t="s">
        <v>2543</v>
      </c>
      <c r="AZ745" s="0" t="s">
        <v>2544</v>
      </c>
      <c r="BA745" s="0" t="s">
        <v>595</v>
      </c>
      <c r="BB745" s="0" t="str">
        <f t="shared" si="11"/>
        <v>CIHPbeVandeikya</v>
      </c>
    </row>
    <row r="746">
      <c r="AV746" s="0" t="s">
        <v>470</v>
      </c>
      <c r="AW746" s="0" t="s">
        <v>394</v>
      </c>
      <c r="AX746" s="0" t="s">
        <v>963</v>
      </c>
      <c r="AY746" s="0" t="s">
        <v>2545</v>
      </c>
      <c r="AZ746" s="0" t="s">
        <v>2546</v>
      </c>
      <c r="BA746" s="0" t="s">
        <v>595</v>
      </c>
      <c r="BB746" s="0" t="str">
        <f t="shared" si="11"/>
        <v>CIHPbeVandeikya</v>
      </c>
    </row>
    <row r="747">
      <c r="AV747" s="0" t="s">
        <v>470</v>
      </c>
      <c r="AW747" s="0" t="s">
        <v>394</v>
      </c>
      <c r="AX747" s="0" t="s">
        <v>963</v>
      </c>
      <c r="AY747" s="0" t="s">
        <v>2547</v>
      </c>
      <c r="AZ747" s="0" t="s">
        <v>2548</v>
      </c>
      <c r="BA747" s="0" t="s">
        <v>595</v>
      </c>
      <c r="BB747" s="0" t="str">
        <f t="shared" si="11"/>
        <v>CIHPbeVandeikya</v>
      </c>
    </row>
    <row r="748">
      <c r="AV748" s="0" t="s">
        <v>470</v>
      </c>
      <c r="AW748" s="0" t="s">
        <v>394</v>
      </c>
      <c r="AX748" s="0" t="s">
        <v>963</v>
      </c>
      <c r="AY748" s="0" t="s">
        <v>2549</v>
      </c>
      <c r="AZ748" s="0" t="s">
        <v>2550</v>
      </c>
      <c r="BA748" s="0" t="s">
        <v>595</v>
      </c>
      <c r="BB748" s="0" t="str">
        <f t="shared" si="11"/>
        <v>CIHPbeVandeikya</v>
      </c>
    </row>
    <row r="749">
      <c r="AV749" s="0" t="s">
        <v>470</v>
      </c>
      <c r="AW749" s="0" t="s">
        <v>394</v>
      </c>
      <c r="AX749" s="0" t="s">
        <v>963</v>
      </c>
      <c r="AY749" s="0" t="s">
        <v>2551</v>
      </c>
      <c r="AZ749" s="0" t="s">
        <v>2552</v>
      </c>
      <c r="BA749" s="0" t="s">
        <v>595</v>
      </c>
      <c r="BB749" s="0" t="str">
        <f t="shared" si="11"/>
        <v>CIHPbeVandeikya</v>
      </c>
    </row>
    <row r="750">
      <c r="AV750" s="0" t="s">
        <v>470</v>
      </c>
      <c r="AW750" s="0" t="s">
        <v>394</v>
      </c>
      <c r="AX750" s="0" t="s">
        <v>963</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754</v>
      </c>
      <c r="AY789" s="0" t="s">
        <v>2631</v>
      </c>
      <c r="AZ789" s="0" t="s">
        <v>2632</v>
      </c>
      <c r="BA789" s="0" t="s">
        <v>595</v>
      </c>
      <c r="BB789" s="0" t="str">
        <f t="shared" si="12"/>
        <v>CIHPgoShongom</v>
      </c>
    </row>
    <row r="790">
      <c r="AV790" s="0" t="s">
        <v>470</v>
      </c>
      <c r="AW790" s="0" t="s">
        <v>403</v>
      </c>
      <c r="AX790" s="0" t="s">
        <v>754</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757</v>
      </c>
      <c r="AY798" s="0" t="s">
        <v>2649</v>
      </c>
      <c r="AZ798" s="0" t="s">
        <v>2650</v>
      </c>
      <c r="BA798" s="0" t="s">
        <v>595</v>
      </c>
      <c r="BB798" s="0" t="str">
        <f t="shared" si="12"/>
        <v>CIHPkdJaba</v>
      </c>
    </row>
    <row r="799">
      <c r="AV799" s="0" t="s">
        <v>470</v>
      </c>
      <c r="AW799" s="0" t="s">
        <v>406</v>
      </c>
      <c r="AX799" s="0" t="s">
        <v>757</v>
      </c>
      <c r="AY799" s="0" t="s">
        <v>2651</v>
      </c>
      <c r="AZ799" s="0" t="s">
        <v>2652</v>
      </c>
      <c r="BA799" s="0" t="s">
        <v>595</v>
      </c>
      <c r="BB799" s="0" t="str">
        <f t="shared" si="12"/>
        <v>CIHPkdJaba</v>
      </c>
    </row>
    <row r="800">
      <c r="AV800" s="0" t="s">
        <v>470</v>
      </c>
      <c r="AW800" s="0" t="s">
        <v>406</v>
      </c>
      <c r="AX800" s="0" t="s">
        <v>757</v>
      </c>
      <c r="AY800" s="0" t="s">
        <v>2653</v>
      </c>
      <c r="AZ800" s="0" t="s">
        <v>2654</v>
      </c>
      <c r="BA800" s="0" t="s">
        <v>595</v>
      </c>
      <c r="BB800" s="0" t="str">
        <f t="shared" si="12"/>
        <v>CIHPkdJaba</v>
      </c>
    </row>
    <row r="801">
      <c r="AV801" s="0" t="s">
        <v>470</v>
      </c>
      <c r="AW801" s="0" t="s">
        <v>406</v>
      </c>
      <c r="AX801" s="0" t="s">
        <v>757</v>
      </c>
      <c r="AY801" s="0" t="s">
        <v>2655</v>
      </c>
      <c r="AZ801" s="0" t="s">
        <v>2656</v>
      </c>
      <c r="BA801" s="0" t="s">
        <v>595</v>
      </c>
      <c r="BB801" s="0" t="str">
        <f t="shared" si="12"/>
        <v>CIHPkdJaba</v>
      </c>
    </row>
    <row r="802">
      <c r="AV802" s="0" t="s">
        <v>470</v>
      </c>
      <c r="AW802" s="0" t="s">
        <v>406</v>
      </c>
      <c r="AX802" s="0" t="s">
        <v>757</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789</v>
      </c>
      <c r="AY813" s="0" t="s">
        <v>2679</v>
      </c>
      <c r="AZ813" s="0" t="s">
        <v>2680</v>
      </c>
      <c r="BA813" s="0" t="s">
        <v>595</v>
      </c>
      <c r="BB813" s="0" t="str">
        <f t="shared" si="12"/>
        <v>CIHPkdKachia</v>
      </c>
    </row>
    <row r="814">
      <c r="AV814" s="0" t="s">
        <v>470</v>
      </c>
      <c r="AW814" s="0" t="s">
        <v>406</v>
      </c>
      <c r="AX814" s="0" t="s">
        <v>789</v>
      </c>
      <c r="AY814" s="0" t="s">
        <v>2681</v>
      </c>
      <c r="AZ814" s="0" t="s">
        <v>2682</v>
      </c>
      <c r="BA814" s="0" t="s">
        <v>595</v>
      </c>
      <c r="BB814" s="0" t="str">
        <f t="shared" si="12"/>
        <v>CIHPkdKachia</v>
      </c>
    </row>
    <row r="815">
      <c r="AV815" s="0" t="s">
        <v>470</v>
      </c>
      <c r="AW815" s="0" t="s">
        <v>406</v>
      </c>
      <c r="AX815" s="0" t="s">
        <v>789</v>
      </c>
      <c r="AY815" s="0" t="s">
        <v>2683</v>
      </c>
      <c r="AZ815" s="0" t="s">
        <v>2684</v>
      </c>
      <c r="BA815" s="0" t="s">
        <v>595</v>
      </c>
      <c r="BB815" s="0" t="str">
        <f t="shared" si="12"/>
        <v>CIHPkdKachia</v>
      </c>
    </row>
    <row r="816">
      <c r="AV816" s="0" t="s">
        <v>470</v>
      </c>
      <c r="AW816" s="0" t="s">
        <v>406</v>
      </c>
      <c r="AX816" s="0" t="s">
        <v>819</v>
      </c>
      <c r="AY816" s="0" t="s">
        <v>2685</v>
      </c>
      <c r="AZ816" s="0" t="s">
        <v>2686</v>
      </c>
      <c r="BA816" s="0" t="s">
        <v>595</v>
      </c>
      <c r="BB816" s="0" t="str">
        <f t="shared" si="12"/>
        <v>CIHPkdKadunaNorth</v>
      </c>
    </row>
    <row r="817">
      <c r="AV817" s="0" t="s">
        <v>470</v>
      </c>
      <c r="AW817" s="0" t="s">
        <v>406</v>
      </c>
      <c r="AX817" s="0" t="s">
        <v>819</v>
      </c>
      <c r="AY817" s="0" t="s">
        <v>2687</v>
      </c>
      <c r="AZ817" s="0" t="s">
        <v>2688</v>
      </c>
      <c r="BA817" s="0" t="s">
        <v>595</v>
      </c>
      <c r="BB817" s="0" t="str">
        <f t="shared" si="12"/>
        <v>CIHPkdKadunaNorth</v>
      </c>
    </row>
    <row r="818">
      <c r="AV818" s="0" t="s">
        <v>470</v>
      </c>
      <c r="AW818" s="0" t="s">
        <v>406</v>
      </c>
      <c r="AX818" s="0" t="s">
        <v>819</v>
      </c>
      <c r="AY818" s="0" t="s">
        <v>2689</v>
      </c>
      <c r="AZ818" s="0" t="s">
        <v>2690</v>
      </c>
      <c r="BA818" s="0" t="s">
        <v>595</v>
      </c>
      <c r="BB818" s="0" t="str">
        <f t="shared" si="12"/>
        <v>CIHPkdKadunaNorth</v>
      </c>
    </row>
    <row r="819">
      <c r="AV819" s="0" t="s">
        <v>470</v>
      </c>
      <c r="AW819" s="0" t="s">
        <v>406</v>
      </c>
      <c r="AX819" s="0" t="s">
        <v>819</v>
      </c>
      <c r="AY819" s="0" t="s">
        <v>2691</v>
      </c>
      <c r="AZ819" s="0" t="s">
        <v>2692</v>
      </c>
      <c r="BA819" s="0" t="s">
        <v>595</v>
      </c>
      <c r="BB819" s="0" t="str">
        <f t="shared" si="12"/>
        <v>CIHPkdKadunaNorth</v>
      </c>
    </row>
    <row r="820">
      <c r="AV820" s="0" t="s">
        <v>470</v>
      </c>
      <c r="AW820" s="0" t="s">
        <v>406</v>
      </c>
      <c r="AX820" s="0" t="s">
        <v>819</v>
      </c>
      <c r="AY820" s="0" t="s">
        <v>2693</v>
      </c>
      <c r="AZ820" s="0" t="s">
        <v>2694</v>
      </c>
      <c r="BA820" s="0" t="s">
        <v>595</v>
      </c>
      <c r="BB820" s="0" t="str">
        <f t="shared" si="12"/>
        <v>CIHPkdKadunaNorth</v>
      </c>
    </row>
    <row r="821">
      <c r="AV821" s="0" t="s">
        <v>470</v>
      </c>
      <c r="AW821" s="0" t="s">
        <v>406</v>
      </c>
      <c r="AX821" s="0" t="s">
        <v>819</v>
      </c>
      <c r="AY821" s="0" t="s">
        <v>2695</v>
      </c>
      <c r="AZ821" s="0" t="s">
        <v>2696</v>
      </c>
      <c r="BA821" s="0" t="s">
        <v>595</v>
      </c>
      <c r="BB821" s="0" t="str">
        <f t="shared" si="12"/>
        <v>CIHPkdKadunaNorth</v>
      </c>
    </row>
    <row r="822">
      <c r="AV822" s="0" t="s">
        <v>470</v>
      </c>
      <c r="AW822" s="0" t="s">
        <v>406</v>
      </c>
      <c r="AX822" s="0" t="s">
        <v>819</v>
      </c>
      <c r="AY822" s="0" t="s">
        <v>2697</v>
      </c>
      <c r="AZ822" s="0" t="s">
        <v>2698</v>
      </c>
      <c r="BA822" s="0" t="s">
        <v>595</v>
      </c>
      <c r="BB822" s="0" t="str">
        <f t="shared" si="12"/>
        <v>CIHPkdKadunaNorth</v>
      </c>
    </row>
    <row r="823">
      <c r="AV823" s="0" t="s">
        <v>470</v>
      </c>
      <c r="AW823" s="0" t="s">
        <v>406</v>
      </c>
      <c r="AX823" s="0" t="s">
        <v>819</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847</v>
      </c>
      <c r="AY837" s="0" t="s">
        <v>2727</v>
      </c>
      <c r="AZ837" s="0" t="s">
        <v>2728</v>
      </c>
      <c r="BA837" s="0" t="s">
        <v>595</v>
      </c>
      <c r="BB837" s="0" t="str">
        <f t="shared" si="13"/>
        <v>CIHPkdKagarko</v>
      </c>
    </row>
    <row r="838">
      <c r="AV838" s="0" t="s">
        <v>470</v>
      </c>
      <c r="AW838" s="0" t="s">
        <v>406</v>
      </c>
      <c r="AX838" s="0" t="s">
        <v>847</v>
      </c>
      <c r="AY838" s="0" t="s">
        <v>2729</v>
      </c>
      <c r="AZ838" s="0" t="s">
        <v>2730</v>
      </c>
      <c r="BA838" s="0" t="s">
        <v>595</v>
      </c>
      <c r="BB838" s="0" t="str">
        <f t="shared" si="13"/>
        <v>CIHPkdKagarko</v>
      </c>
    </row>
    <row r="839">
      <c r="AV839" s="0" t="s">
        <v>470</v>
      </c>
      <c r="AW839" s="0" t="s">
        <v>406</v>
      </c>
      <c r="AX839" s="0" t="s">
        <v>875</v>
      </c>
      <c r="AY839" s="0" t="s">
        <v>2731</v>
      </c>
      <c r="AZ839" s="0" t="s">
        <v>2732</v>
      </c>
      <c r="BA839" s="0" t="s">
        <v>595</v>
      </c>
      <c r="BB839" s="0" t="str">
        <f t="shared" si="13"/>
        <v>CIHPkdKajuru</v>
      </c>
    </row>
    <row r="840">
      <c r="AV840" s="0" t="s">
        <v>470</v>
      </c>
      <c r="AW840" s="0" t="s">
        <v>406</v>
      </c>
      <c r="AX840" s="0" t="s">
        <v>900</v>
      </c>
      <c r="AY840" s="0" t="s">
        <v>2733</v>
      </c>
      <c r="AZ840" s="0" t="s">
        <v>2734</v>
      </c>
      <c r="BA840" s="0" t="s">
        <v>595</v>
      </c>
      <c r="BB840" s="0" t="str">
        <f t="shared" si="13"/>
        <v>CIHPkdKaura</v>
      </c>
    </row>
    <row r="841">
      <c r="AV841" s="0" t="s">
        <v>470</v>
      </c>
      <c r="AW841" s="0" t="s">
        <v>406</v>
      </c>
      <c r="AX841" s="0" t="s">
        <v>900</v>
      </c>
      <c r="AY841" s="0" t="s">
        <v>2735</v>
      </c>
      <c r="AZ841" s="0" t="s">
        <v>2736</v>
      </c>
      <c r="BA841" s="0" t="s">
        <v>595</v>
      </c>
      <c r="BB841" s="0" t="str">
        <f t="shared" si="13"/>
        <v>CIHPkdKaura</v>
      </c>
    </row>
    <row r="842">
      <c r="AV842" s="0" t="s">
        <v>470</v>
      </c>
      <c r="AW842" s="0" t="s">
        <v>406</v>
      </c>
      <c r="AX842" s="0" t="s">
        <v>900</v>
      </c>
      <c r="AY842" s="0" t="s">
        <v>2737</v>
      </c>
      <c r="AZ842" s="0" t="s">
        <v>2738</v>
      </c>
      <c r="BA842" s="0" t="s">
        <v>595</v>
      </c>
      <c r="BB842" s="0" t="str">
        <f t="shared" si="13"/>
        <v>CIHPkdKaura</v>
      </c>
    </row>
    <row r="843">
      <c r="AV843" s="0" t="s">
        <v>470</v>
      </c>
      <c r="AW843" s="0" t="s">
        <v>406</v>
      </c>
      <c r="AX843" s="0" t="s">
        <v>900</v>
      </c>
      <c r="AY843" s="0" t="s">
        <v>2739</v>
      </c>
      <c r="AZ843" s="0" t="s">
        <v>2740</v>
      </c>
      <c r="BA843" s="0" t="s">
        <v>595</v>
      </c>
      <c r="BB843" s="0" t="str">
        <f t="shared" si="13"/>
        <v>CIHPkdKaura</v>
      </c>
    </row>
    <row r="844">
      <c r="AV844" s="0" t="s">
        <v>470</v>
      </c>
      <c r="AW844" s="0" t="s">
        <v>406</v>
      </c>
      <c r="AX844" s="0" t="s">
        <v>900</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925</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949</v>
      </c>
      <c r="AY856" s="0" t="s">
        <v>2765</v>
      </c>
      <c r="AZ856" s="0" t="s">
        <v>2766</v>
      </c>
      <c r="BA856" s="0" t="s">
        <v>595</v>
      </c>
      <c r="BB856" s="0" t="str">
        <f t="shared" si="13"/>
        <v>CIHPkdZaria</v>
      </c>
    </row>
    <row r="857">
      <c r="AV857" s="0" t="s">
        <v>470</v>
      </c>
      <c r="AW857" s="0" t="s">
        <v>406</v>
      </c>
      <c r="AX857" s="0" t="s">
        <v>949</v>
      </c>
      <c r="AY857" s="0" t="s">
        <v>2767</v>
      </c>
      <c r="AZ857" s="0" t="s">
        <v>2768</v>
      </c>
      <c r="BA857" s="0" t="s">
        <v>595</v>
      </c>
      <c r="BB857" s="0" t="str">
        <f t="shared" si="13"/>
        <v>CIHPkdZaria</v>
      </c>
    </row>
    <row r="858">
      <c r="AV858" s="0" t="s">
        <v>470</v>
      </c>
      <c r="AW858" s="0" t="s">
        <v>406</v>
      </c>
      <c r="AX858" s="0" t="s">
        <v>949</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759</v>
      </c>
      <c r="AY876" s="0" t="s">
        <v>2805</v>
      </c>
      <c r="AZ876" s="0" t="s">
        <v>2806</v>
      </c>
      <c r="BA876" s="0" t="s">
        <v>595</v>
      </c>
      <c r="BB876" s="0" t="str">
        <f t="shared" si="13"/>
        <v>CIHPkoKogi</v>
      </c>
    </row>
    <row r="877">
      <c r="AV877" s="0" t="s">
        <v>470</v>
      </c>
      <c r="AW877" s="0" t="s">
        <v>410</v>
      </c>
      <c r="AX877" s="0" t="s">
        <v>759</v>
      </c>
      <c r="AY877" s="0" t="s">
        <v>2807</v>
      </c>
      <c r="AZ877" s="0" t="s">
        <v>2808</v>
      </c>
      <c r="BA877" s="0" t="s">
        <v>595</v>
      </c>
      <c r="BB877" s="0" t="str">
        <f t="shared" si="13"/>
        <v>CIHPkoKogi</v>
      </c>
    </row>
    <row r="878">
      <c r="AV878" s="0" t="s">
        <v>470</v>
      </c>
      <c r="AW878" s="0" t="s">
        <v>410</v>
      </c>
      <c r="AX878" s="0" t="s">
        <v>759</v>
      </c>
      <c r="AY878" s="0" t="s">
        <v>2809</v>
      </c>
      <c r="AZ878" s="0" t="s">
        <v>2810</v>
      </c>
      <c r="BA878" s="0" t="s">
        <v>595</v>
      </c>
      <c r="BB878" s="0" t="str">
        <f t="shared" si="13"/>
        <v>CIHPkoKogi</v>
      </c>
    </row>
    <row r="879">
      <c r="AV879" s="0" t="s">
        <v>470</v>
      </c>
      <c r="AW879" s="0" t="s">
        <v>410</v>
      </c>
      <c r="AX879" s="0" t="s">
        <v>791</v>
      </c>
      <c r="AY879" s="0" t="s">
        <v>2811</v>
      </c>
      <c r="AZ879" s="0" t="s">
        <v>2812</v>
      </c>
      <c r="BA879" s="0" t="s">
        <v>595</v>
      </c>
      <c r="BB879" s="0" t="str">
        <f t="shared" si="13"/>
        <v>CIHPkoLokoja</v>
      </c>
    </row>
    <row r="880">
      <c r="AV880" s="0" t="s">
        <v>470</v>
      </c>
      <c r="AW880" s="0" t="s">
        <v>410</v>
      </c>
      <c r="AX880" s="0" t="s">
        <v>791</v>
      </c>
      <c r="AY880" s="0" t="s">
        <v>2813</v>
      </c>
      <c r="AZ880" s="0" t="s">
        <v>2814</v>
      </c>
      <c r="BA880" s="0" t="s">
        <v>595</v>
      </c>
      <c r="BB880" s="0" t="str">
        <f t="shared" si="13"/>
        <v>CIHPkoLokoja</v>
      </c>
    </row>
    <row r="881">
      <c r="AV881" s="0" t="s">
        <v>470</v>
      </c>
      <c r="AW881" s="0" t="s">
        <v>410</v>
      </c>
      <c r="AX881" s="0" t="s">
        <v>821</v>
      </c>
      <c r="AY881" s="0" t="s">
        <v>2815</v>
      </c>
      <c r="AZ881" s="0" t="s">
        <v>2816</v>
      </c>
      <c r="BA881" s="0" t="s">
        <v>595</v>
      </c>
      <c r="BB881" s="0" t="str">
        <f t="shared" si="13"/>
        <v>CIHPkoOfu</v>
      </c>
    </row>
    <row r="882">
      <c r="AV882" s="0" t="s">
        <v>470</v>
      </c>
      <c r="AW882" s="0" t="s">
        <v>410</v>
      </c>
      <c r="AX882" s="0" t="s">
        <v>821</v>
      </c>
      <c r="AY882" s="0" t="s">
        <v>2817</v>
      </c>
      <c r="AZ882" s="0" t="s">
        <v>2818</v>
      </c>
      <c r="BA882" s="0" t="s">
        <v>595</v>
      </c>
      <c r="BB882" s="0" t="str">
        <f t="shared" si="13"/>
        <v>CIHPkoOfu</v>
      </c>
    </row>
    <row r="883">
      <c r="AV883" s="0" t="s">
        <v>470</v>
      </c>
      <c r="AW883" s="0" t="s">
        <v>410</v>
      </c>
      <c r="AX883" s="0" t="s">
        <v>849</v>
      </c>
      <c r="AY883" s="0" t="s">
        <v>2819</v>
      </c>
      <c r="AZ883" s="0" t="s">
        <v>2820</v>
      </c>
      <c r="BA883" s="0" t="s">
        <v>595</v>
      </c>
      <c r="BB883" s="0" t="str">
        <f t="shared" si="13"/>
        <v>CIHPkoOkehi</v>
      </c>
    </row>
    <row r="884">
      <c r="AV884" s="0" t="s">
        <v>470</v>
      </c>
      <c r="AW884" s="0" t="s">
        <v>410</v>
      </c>
      <c r="AX884" s="0" t="s">
        <v>849</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783</v>
      </c>
      <c r="AY893" s="0" t="s">
        <v>2839</v>
      </c>
      <c r="AZ893" s="0" t="s">
        <v>2840</v>
      </c>
      <c r="BA893" s="0" t="s">
        <v>634</v>
      </c>
      <c r="BB893" s="0" t="str">
        <f t="shared" si="13"/>
        <v>ECEWSebEzzaNorth</v>
      </c>
    </row>
    <row r="894">
      <c r="AV894" s="0" t="s">
        <v>470</v>
      </c>
      <c r="AW894" s="0" t="s">
        <v>398</v>
      </c>
      <c r="AX894" s="0" t="s">
        <v>813</v>
      </c>
      <c r="AY894" s="0" t="s">
        <v>2841</v>
      </c>
      <c r="AZ894" s="0" t="s">
        <v>2842</v>
      </c>
      <c r="BA894" s="0" t="s">
        <v>634</v>
      </c>
      <c r="BB894" s="0" t="str">
        <f t="shared" si="13"/>
        <v>ECEWSebEzzaSouth</v>
      </c>
    </row>
    <row r="895">
      <c r="AV895" s="0" t="s">
        <v>470</v>
      </c>
      <c r="AW895" s="0" t="s">
        <v>398</v>
      </c>
      <c r="AX895" s="0" t="s">
        <v>813</v>
      </c>
      <c r="AY895" s="0" t="s">
        <v>2843</v>
      </c>
      <c r="AZ895" s="0" t="s">
        <v>2844</v>
      </c>
      <c r="BA895" s="0" t="s">
        <v>634</v>
      </c>
      <c r="BB895" s="0" t="str">
        <f t="shared" si="13"/>
        <v>ECEWSebEzzaSouth</v>
      </c>
    </row>
    <row r="896">
      <c r="AV896" s="0" t="s">
        <v>470</v>
      </c>
      <c r="AW896" s="0" t="s">
        <v>398</v>
      </c>
      <c r="AX896" s="0" t="s">
        <v>813</v>
      </c>
      <c r="AY896" s="0" t="s">
        <v>2845</v>
      </c>
      <c r="AZ896" s="0" t="s">
        <v>2846</v>
      </c>
      <c r="BA896" s="0" t="s">
        <v>634</v>
      </c>
      <c r="BB896" s="0" t="str">
        <f t="shared" si="13"/>
        <v>ECEWSebEzzaSouth</v>
      </c>
    </row>
    <row r="897">
      <c r="AV897" s="0" t="s">
        <v>470</v>
      </c>
      <c r="AW897" s="0" t="s">
        <v>398</v>
      </c>
      <c r="AX897" s="0" t="s">
        <v>842</v>
      </c>
      <c r="AY897" s="0" t="s">
        <v>2847</v>
      </c>
      <c r="AZ897" s="0" t="s">
        <v>2848</v>
      </c>
      <c r="BA897" s="0" t="s">
        <v>634</v>
      </c>
      <c r="BB897" s="0" t="str">
        <f t="shared" si="13"/>
        <v>ECEWSebIkwo</v>
      </c>
    </row>
    <row r="898">
      <c r="AV898" s="0" t="s">
        <v>470</v>
      </c>
      <c r="AW898" s="0" t="s">
        <v>398</v>
      </c>
      <c r="AX898" s="0" t="s">
        <v>842</v>
      </c>
      <c r="AY898" s="0" t="s">
        <v>2849</v>
      </c>
      <c r="AZ898" s="0" t="s">
        <v>2850</v>
      </c>
      <c r="BA898" s="0" t="s">
        <v>634</v>
      </c>
      <c r="BB898" s="0" t="str">
        <f t="shared" si="13"/>
        <v>ECEWSebIkwo</v>
      </c>
    </row>
    <row r="899">
      <c r="AV899" s="0" t="s">
        <v>470</v>
      </c>
      <c r="AW899" s="0" t="s">
        <v>398</v>
      </c>
      <c r="AX899" s="0" t="s">
        <v>842</v>
      </c>
      <c r="AY899" s="0" t="s">
        <v>2851</v>
      </c>
      <c r="AZ899" s="0" t="s">
        <v>2852</v>
      </c>
      <c r="BA899" s="0" t="s">
        <v>634</v>
      </c>
      <c r="BB899" s="0" t="str">
        <f ref="BB899:BB962" t="shared" si="14">SUBSTITUTE(SUBSTITUTE(BA899&amp;AX899," ",""),"-","")</f>
        <v>ECEWSebIkwo</v>
      </c>
    </row>
    <row r="900">
      <c r="AV900" s="0" t="s">
        <v>470</v>
      </c>
      <c r="AW900" s="0" t="s">
        <v>398</v>
      </c>
      <c r="AX900" s="0" t="s">
        <v>870</v>
      </c>
      <c r="AY900" s="0" t="s">
        <v>2853</v>
      </c>
      <c r="AZ900" s="0" t="s">
        <v>2854</v>
      </c>
      <c r="BA900" s="0" t="s">
        <v>634</v>
      </c>
      <c r="BB900" s="0" t="str">
        <f t="shared" si="14"/>
        <v>ECEWSebIshielu</v>
      </c>
    </row>
    <row r="901">
      <c r="AV901" s="0" t="s">
        <v>470</v>
      </c>
      <c r="AW901" s="0" t="s">
        <v>398</v>
      </c>
      <c r="AX901" s="0" t="s">
        <v>870</v>
      </c>
      <c r="AY901" s="0" t="s">
        <v>2855</v>
      </c>
      <c r="AZ901" s="0" t="s">
        <v>2856</v>
      </c>
      <c r="BA901" s="0" t="s">
        <v>634</v>
      </c>
      <c r="BB901" s="0" t="str">
        <f t="shared" si="14"/>
        <v>ECEWSebIshielu</v>
      </c>
    </row>
    <row r="902">
      <c r="AV902" s="0" t="s">
        <v>470</v>
      </c>
      <c r="AW902" s="0" t="s">
        <v>401</v>
      </c>
      <c r="AX902" s="0" t="s">
        <v>844</v>
      </c>
      <c r="AY902" s="0" t="s">
        <v>2857</v>
      </c>
      <c r="AZ902" s="0" t="s">
        <v>2858</v>
      </c>
      <c r="BA902" s="0" t="s">
        <v>634</v>
      </c>
      <c r="BB902" s="0" t="str">
        <f t="shared" si="14"/>
        <v>ECEWSenAninri</v>
      </c>
    </row>
    <row r="903">
      <c r="AV903" s="0" t="s">
        <v>470</v>
      </c>
      <c r="AW903" s="0" t="s">
        <v>401</v>
      </c>
      <c r="AX903" s="0" t="s">
        <v>844</v>
      </c>
      <c r="AY903" s="0" t="s">
        <v>2859</v>
      </c>
      <c r="AZ903" s="0" t="s">
        <v>2860</v>
      </c>
      <c r="BA903" s="0" t="s">
        <v>634</v>
      </c>
      <c r="BB903" s="0" t="str">
        <f t="shared" si="14"/>
        <v>ECEWSenAninri</v>
      </c>
    </row>
    <row r="904">
      <c r="AV904" s="0" t="s">
        <v>470</v>
      </c>
      <c r="AW904" s="0" t="s">
        <v>401</v>
      </c>
      <c r="AX904" s="0" t="s">
        <v>844</v>
      </c>
      <c r="AY904" s="0" t="s">
        <v>2861</v>
      </c>
      <c r="AZ904" s="0" t="s">
        <v>2862</v>
      </c>
      <c r="BA904" s="0" t="s">
        <v>634</v>
      </c>
      <c r="BB904" s="0" t="str">
        <f t="shared" si="14"/>
        <v>ECEWSenAninri</v>
      </c>
    </row>
    <row r="905">
      <c r="AV905" s="0" t="s">
        <v>470</v>
      </c>
      <c r="AW905" s="0" t="s">
        <v>401</v>
      </c>
      <c r="AX905" s="0" t="s">
        <v>844</v>
      </c>
      <c r="AY905" s="0" t="s">
        <v>2863</v>
      </c>
      <c r="AZ905" s="0" t="s">
        <v>2864</v>
      </c>
      <c r="BA905" s="0" t="s">
        <v>634</v>
      </c>
      <c r="BB905" s="0" t="str">
        <f t="shared" si="14"/>
        <v>ECEWSenAninri</v>
      </c>
    </row>
    <row r="906">
      <c r="AV906" s="0" t="s">
        <v>470</v>
      </c>
      <c r="AW906" s="0" t="s">
        <v>401</v>
      </c>
      <c r="AX906" s="0" t="s">
        <v>844</v>
      </c>
      <c r="AY906" s="0" t="s">
        <v>2865</v>
      </c>
      <c r="AZ906" s="0" t="s">
        <v>2866</v>
      </c>
      <c r="BA906" s="0" t="s">
        <v>634</v>
      </c>
      <c r="BB906" s="0" t="str">
        <f t="shared" si="14"/>
        <v>ECEWSenAninri</v>
      </c>
    </row>
    <row r="907">
      <c r="AV907" s="0" t="s">
        <v>470</v>
      </c>
      <c r="AW907" s="0" t="s">
        <v>401</v>
      </c>
      <c r="AX907" s="0" t="s">
        <v>844</v>
      </c>
      <c r="AY907" s="0" t="s">
        <v>2867</v>
      </c>
      <c r="AZ907" s="0" t="s">
        <v>2868</v>
      </c>
      <c r="BA907" s="0" t="s">
        <v>634</v>
      </c>
      <c r="BB907" s="0" t="str">
        <f t="shared" si="14"/>
        <v>ECEWSenAninri</v>
      </c>
    </row>
    <row r="908">
      <c r="AV908" s="0" t="s">
        <v>470</v>
      </c>
      <c r="AW908" s="0" t="s">
        <v>401</v>
      </c>
      <c r="AX908" s="0" t="s">
        <v>844</v>
      </c>
      <c r="AY908" s="0" t="s">
        <v>2869</v>
      </c>
      <c r="AZ908" s="0" t="s">
        <v>2870</v>
      </c>
      <c r="BA908" s="0" t="s">
        <v>634</v>
      </c>
      <c r="BB908" s="0" t="str">
        <f t="shared" si="14"/>
        <v>ECEWSenAninri</v>
      </c>
    </row>
    <row r="909">
      <c r="AV909" s="0" t="s">
        <v>470</v>
      </c>
      <c r="AW909" s="0" t="s">
        <v>401</v>
      </c>
      <c r="AX909" s="0" t="s">
        <v>872</v>
      </c>
      <c r="AY909" s="0" t="s">
        <v>2871</v>
      </c>
      <c r="AZ909" s="0" t="s">
        <v>2872</v>
      </c>
      <c r="BA909" s="0" t="s">
        <v>634</v>
      </c>
      <c r="BB909" s="0" t="str">
        <f t="shared" si="14"/>
        <v>ECEWSenAwgu</v>
      </c>
    </row>
    <row r="910">
      <c r="AV910" s="0" t="s">
        <v>470</v>
      </c>
      <c r="AW910" s="0" t="s">
        <v>401</v>
      </c>
      <c r="AX910" s="0" t="s">
        <v>872</v>
      </c>
      <c r="AY910" s="0" t="s">
        <v>2873</v>
      </c>
      <c r="AZ910" s="0" t="s">
        <v>2874</v>
      </c>
      <c r="BA910" s="0" t="s">
        <v>634</v>
      </c>
      <c r="BB910" s="0" t="str">
        <f t="shared" si="14"/>
        <v>ECEWSenAwgu</v>
      </c>
    </row>
    <row r="911">
      <c r="AV911" s="0" t="s">
        <v>470</v>
      </c>
      <c r="AW911" s="0" t="s">
        <v>401</v>
      </c>
      <c r="AX911" s="0" t="s">
        <v>872</v>
      </c>
      <c r="AY911" s="0" t="s">
        <v>2875</v>
      </c>
      <c r="AZ911" s="0" t="s">
        <v>2876</v>
      </c>
      <c r="BA911" s="0" t="s">
        <v>634</v>
      </c>
      <c r="BB911" s="0" t="str">
        <f t="shared" si="14"/>
        <v>ECEWSenAwgu</v>
      </c>
    </row>
    <row r="912">
      <c r="AV912" s="0" t="s">
        <v>470</v>
      </c>
      <c r="AW912" s="0" t="s">
        <v>401</v>
      </c>
      <c r="AX912" s="0" t="s">
        <v>872</v>
      </c>
      <c r="AY912" s="0" t="s">
        <v>2877</v>
      </c>
      <c r="AZ912" s="0" t="s">
        <v>2878</v>
      </c>
      <c r="BA912" s="0" t="s">
        <v>634</v>
      </c>
      <c r="BB912" s="0" t="str">
        <f t="shared" si="14"/>
        <v>ECEWSenAwgu</v>
      </c>
    </row>
    <row r="913">
      <c r="AV913" s="0" t="s">
        <v>470</v>
      </c>
      <c r="AW913" s="0" t="s">
        <v>401</v>
      </c>
      <c r="AX913" s="0" t="s">
        <v>897</v>
      </c>
      <c r="AY913" s="0" t="s">
        <v>2879</v>
      </c>
      <c r="AZ913" s="0" t="s">
        <v>2880</v>
      </c>
      <c r="BA913" s="0" t="s">
        <v>634</v>
      </c>
      <c r="BB913" s="0" t="str">
        <f t="shared" si="14"/>
        <v>ECEWSenEzeagu</v>
      </c>
    </row>
    <row r="914">
      <c r="AV914" s="0" t="s">
        <v>470</v>
      </c>
      <c r="AW914" s="0" t="s">
        <v>401</v>
      </c>
      <c r="AX914" s="0" t="s">
        <v>897</v>
      </c>
      <c r="AY914" s="0" t="s">
        <v>2881</v>
      </c>
      <c r="AZ914" s="0" t="s">
        <v>2882</v>
      </c>
      <c r="BA914" s="0" t="s">
        <v>634</v>
      </c>
      <c r="BB914" s="0" t="str">
        <f t="shared" si="14"/>
        <v>ECEWSenEzeagu</v>
      </c>
    </row>
    <row r="915">
      <c r="AV915" s="0" t="s">
        <v>470</v>
      </c>
      <c r="AW915" s="0" t="s">
        <v>401</v>
      </c>
      <c r="AX915" s="0" t="s">
        <v>922</v>
      </c>
      <c r="AY915" s="0" t="s">
        <v>2883</v>
      </c>
      <c r="AZ915" s="0" t="s">
        <v>2884</v>
      </c>
      <c r="BA915" s="0" t="s">
        <v>634</v>
      </c>
      <c r="BB915" s="0" t="str">
        <f t="shared" si="14"/>
        <v>ECEWSenOjiRiver</v>
      </c>
    </row>
    <row r="916">
      <c r="AV916" s="0" t="s">
        <v>470</v>
      </c>
      <c r="AW916" s="0" t="s">
        <v>401</v>
      </c>
      <c r="AX916" s="0" t="s">
        <v>922</v>
      </c>
      <c r="AY916" s="0" t="s">
        <v>2885</v>
      </c>
      <c r="AZ916" s="0" t="s">
        <v>2886</v>
      </c>
      <c r="BA916" s="0" t="s">
        <v>634</v>
      </c>
      <c r="BB916" s="0" t="str">
        <f t="shared" si="14"/>
        <v>ECEWSenOjiRiver</v>
      </c>
    </row>
    <row r="917">
      <c r="AV917" s="0" t="s">
        <v>470</v>
      </c>
      <c r="AW917" s="0" t="s">
        <v>401</v>
      </c>
      <c r="AX917" s="0" t="s">
        <v>922</v>
      </c>
      <c r="AY917" s="0" t="s">
        <v>2887</v>
      </c>
      <c r="AZ917" s="0" t="s">
        <v>2888</v>
      </c>
      <c r="BA917" s="0" t="s">
        <v>634</v>
      </c>
      <c r="BB917" s="0" t="str">
        <f t="shared" si="14"/>
        <v>ECEWSenOjiRiver</v>
      </c>
    </row>
    <row r="918">
      <c r="AV918" s="0" t="s">
        <v>470</v>
      </c>
      <c r="AW918" s="0" t="s">
        <v>401</v>
      </c>
      <c r="AX918" s="0" t="s">
        <v>922</v>
      </c>
      <c r="AY918" s="0" t="s">
        <v>2889</v>
      </c>
      <c r="AZ918" s="0" t="s">
        <v>2890</v>
      </c>
      <c r="BA918" s="0" t="s">
        <v>634</v>
      </c>
      <c r="BB918" s="0" t="str">
        <f t="shared" si="14"/>
        <v>ECEWSenOjiRiver</v>
      </c>
    </row>
    <row r="919">
      <c r="AV919" s="0" t="s">
        <v>470</v>
      </c>
      <c r="AW919" s="0" t="s">
        <v>401</v>
      </c>
      <c r="AX919" s="0" t="s">
        <v>946</v>
      </c>
      <c r="AY919" s="0" t="s">
        <v>2891</v>
      </c>
      <c r="AZ919" s="0" t="s">
        <v>2892</v>
      </c>
      <c r="BA919" s="0" t="s">
        <v>634</v>
      </c>
      <c r="BB919" s="0" t="str">
        <f t="shared" si="14"/>
        <v>ECEWSenUdi</v>
      </c>
    </row>
    <row r="920">
      <c r="AV920" s="0" t="s">
        <v>470</v>
      </c>
      <c r="AW920" s="0" t="s">
        <v>401</v>
      </c>
      <c r="AX920" s="0" t="s">
        <v>946</v>
      </c>
      <c r="AY920" s="0" t="s">
        <v>2893</v>
      </c>
      <c r="AZ920" s="0" t="s">
        <v>2894</v>
      </c>
      <c r="BA920" s="0" t="s">
        <v>634</v>
      </c>
      <c r="BB920" s="0" t="str">
        <f t="shared" si="14"/>
        <v>ECEWSenUdi</v>
      </c>
    </row>
    <row r="921">
      <c r="AV921" s="0" t="s">
        <v>470</v>
      </c>
      <c r="AW921" s="0" t="s">
        <v>401</v>
      </c>
      <c r="AX921" s="0" t="s">
        <v>946</v>
      </c>
      <c r="AY921" s="0" t="s">
        <v>2895</v>
      </c>
      <c r="AZ921" s="0" t="s">
        <v>2896</v>
      </c>
      <c r="BA921" s="0" t="s">
        <v>634</v>
      </c>
      <c r="BB921" s="0" t="str">
        <f t="shared" si="14"/>
        <v>ECEWSenUdi</v>
      </c>
    </row>
    <row r="922">
      <c r="AV922" s="0" t="s">
        <v>470</v>
      </c>
      <c r="AW922" s="0" t="s">
        <v>401</v>
      </c>
      <c r="AX922" s="0" t="s">
        <v>946</v>
      </c>
      <c r="AY922" s="0" t="s">
        <v>2897</v>
      </c>
      <c r="AZ922" s="0" t="s">
        <v>2898</v>
      </c>
      <c r="BA922" s="0" t="s">
        <v>634</v>
      </c>
      <c r="BB922" s="0" t="str">
        <f t="shared" si="14"/>
        <v>ECEWSenUdi</v>
      </c>
    </row>
    <row r="923">
      <c r="AV923" s="0" t="s">
        <v>470</v>
      </c>
      <c r="AW923" s="0" t="s">
        <v>401</v>
      </c>
      <c r="AX923" s="0" t="s">
        <v>946</v>
      </c>
      <c r="AY923" s="0" t="s">
        <v>2899</v>
      </c>
      <c r="AZ923" s="0" t="s">
        <v>2900</v>
      </c>
      <c r="BA923" s="0" t="s">
        <v>634</v>
      </c>
      <c r="BB923" s="0" t="str">
        <f t="shared" si="14"/>
        <v>ECEWSenUdi</v>
      </c>
    </row>
    <row r="924">
      <c r="AV924" s="0" t="s">
        <v>470</v>
      </c>
      <c r="AW924" s="0" t="s">
        <v>401</v>
      </c>
      <c r="AX924" s="0" t="s">
        <v>946</v>
      </c>
      <c r="AY924" s="0" t="s">
        <v>2901</v>
      </c>
      <c r="AZ924" s="0" t="s">
        <v>2902</v>
      </c>
      <c r="BA924" s="0" t="s">
        <v>634</v>
      </c>
      <c r="BB924" s="0" t="str">
        <f t="shared" si="14"/>
        <v>ECEWSenUdi</v>
      </c>
    </row>
    <row r="925">
      <c r="AV925" s="0" t="s">
        <v>470</v>
      </c>
      <c r="AW925" s="0" t="s">
        <v>401</v>
      </c>
      <c r="AX925" s="0" t="s">
        <v>946</v>
      </c>
      <c r="AY925" s="0" t="s">
        <v>2903</v>
      </c>
      <c r="AZ925" s="0" t="s">
        <v>2904</v>
      </c>
      <c r="BA925" s="0" t="s">
        <v>634</v>
      </c>
      <c r="BB925" s="0" t="str">
        <f t="shared" si="14"/>
        <v>ECEWSenUdi</v>
      </c>
    </row>
    <row r="926">
      <c r="AV926" s="0" t="s">
        <v>470</v>
      </c>
      <c r="AW926" s="0" t="s">
        <v>401</v>
      </c>
      <c r="AX926" s="0" t="s">
        <v>946</v>
      </c>
      <c r="AY926" s="0" t="s">
        <v>2905</v>
      </c>
      <c r="AZ926" s="0" t="s">
        <v>2906</v>
      </c>
      <c r="BA926" s="0" t="s">
        <v>634</v>
      </c>
      <c r="BB926" s="0" t="str">
        <f t="shared" si="14"/>
        <v>ECEWSenUdi</v>
      </c>
    </row>
    <row r="927">
      <c r="AV927" s="0" t="s">
        <v>470</v>
      </c>
      <c r="AW927" s="0" t="s">
        <v>401</v>
      </c>
      <c r="AX927" s="0" t="s">
        <v>946</v>
      </c>
      <c r="AY927" s="0" t="s">
        <v>2907</v>
      </c>
      <c r="AZ927" s="0" t="s">
        <v>2908</v>
      </c>
      <c r="BA927" s="0" t="s">
        <v>634</v>
      </c>
      <c r="BB927" s="0" t="str">
        <f t="shared" si="14"/>
        <v>ECEWSenUdi</v>
      </c>
    </row>
    <row r="928">
      <c r="AV928" s="0" t="s">
        <v>470</v>
      </c>
      <c r="AW928" s="0" t="s">
        <v>401</v>
      </c>
      <c r="AX928" s="0" t="s">
        <v>946</v>
      </c>
      <c r="AY928" s="0" t="s">
        <v>2909</v>
      </c>
      <c r="AZ928" s="0" t="s">
        <v>2910</v>
      </c>
      <c r="BA928" s="0" t="s">
        <v>634</v>
      </c>
      <c r="BB928" s="0" t="str">
        <f t="shared" si="14"/>
        <v>ECEWSenUdi</v>
      </c>
    </row>
    <row r="929">
      <c r="AV929" s="0" t="s">
        <v>470</v>
      </c>
      <c r="AW929" s="0" t="s">
        <v>404</v>
      </c>
      <c r="AX929" s="0" t="s">
        <v>1047</v>
      </c>
      <c r="AY929" s="0" t="s">
        <v>2911</v>
      </c>
      <c r="AZ929" s="0" t="s">
        <v>2912</v>
      </c>
      <c r="BA929" s="0" t="s">
        <v>634</v>
      </c>
      <c r="BB929" s="0" t="str">
        <f t="shared" si="14"/>
        <v>ECEWSimEhimeMbano</v>
      </c>
    </row>
    <row r="930">
      <c r="AV930" s="0" t="s">
        <v>470</v>
      </c>
      <c r="AW930" s="0" t="s">
        <v>404</v>
      </c>
      <c r="AX930" s="0" t="s">
        <v>1047</v>
      </c>
      <c r="AY930" s="0" t="s">
        <v>2913</v>
      </c>
      <c r="AZ930" s="0" t="s">
        <v>2914</v>
      </c>
      <c r="BA930" s="0" t="s">
        <v>634</v>
      </c>
      <c r="BB930" s="0" t="str">
        <f t="shared" si="14"/>
        <v>ECEWSimEhimeMbano</v>
      </c>
    </row>
    <row r="931">
      <c r="AV931" s="0" t="s">
        <v>470</v>
      </c>
      <c r="AW931" s="0" t="s">
        <v>404</v>
      </c>
      <c r="AX931" s="0" t="s">
        <v>1047</v>
      </c>
      <c r="AY931" s="0" t="s">
        <v>2915</v>
      </c>
      <c r="AZ931" s="0" t="s">
        <v>2916</v>
      </c>
      <c r="BA931" s="0" t="s">
        <v>634</v>
      </c>
      <c r="BB931" s="0" t="str">
        <f t="shared" si="14"/>
        <v>ECEWSimEhimeMbano</v>
      </c>
    </row>
    <row r="932">
      <c r="AV932" s="0" t="s">
        <v>470</v>
      </c>
      <c r="AW932" s="0" t="s">
        <v>404</v>
      </c>
      <c r="AX932" s="0" t="s">
        <v>1047</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1068</v>
      </c>
      <c r="AY936" s="0" t="s">
        <v>2924</v>
      </c>
      <c r="AZ936" s="0" t="s">
        <v>2925</v>
      </c>
      <c r="BA936" s="0" t="s">
        <v>634</v>
      </c>
      <c r="BB936" s="0" t="str">
        <f t="shared" si="14"/>
        <v>ECEWSimIsialaMbano</v>
      </c>
    </row>
    <row r="937">
      <c r="AV937" s="0" t="s">
        <v>470</v>
      </c>
      <c r="AW937" s="0" t="s">
        <v>404</v>
      </c>
      <c r="AX937" s="0" t="s">
        <v>1076</v>
      </c>
      <c r="AY937" s="0" t="s">
        <v>2926</v>
      </c>
      <c r="AZ937" s="0" t="s">
        <v>2927</v>
      </c>
      <c r="BA937" s="0" t="s">
        <v>634</v>
      </c>
      <c r="BB937" s="0" t="str">
        <f t="shared" si="14"/>
        <v>ECEWSimObowo</v>
      </c>
    </row>
    <row r="938">
      <c r="AV938" s="0" t="s">
        <v>470</v>
      </c>
      <c r="AW938" s="0" t="s">
        <v>404</v>
      </c>
      <c r="AX938" s="0" t="s">
        <v>1076</v>
      </c>
      <c r="AY938" s="0" t="s">
        <v>2928</v>
      </c>
      <c r="AZ938" s="0" t="s">
        <v>2929</v>
      </c>
      <c r="BA938" s="0" t="s">
        <v>634</v>
      </c>
      <c r="BB938" s="0" t="str">
        <f t="shared" si="14"/>
        <v>ECEWSimObowo</v>
      </c>
    </row>
    <row r="939">
      <c r="AV939" s="0" t="s">
        <v>470</v>
      </c>
      <c r="AW939" s="0" t="s">
        <v>404</v>
      </c>
      <c r="AX939" s="0" t="s">
        <v>1084</v>
      </c>
      <c r="AY939" s="0" t="s">
        <v>2930</v>
      </c>
      <c r="AZ939" s="0" t="s">
        <v>2931</v>
      </c>
      <c r="BA939" s="0" t="s">
        <v>634</v>
      </c>
      <c r="BB939" s="0" t="str">
        <f t="shared" si="14"/>
        <v>ECEWSimOkigwe</v>
      </c>
    </row>
    <row r="940">
      <c r="AV940" s="0" t="s">
        <v>470</v>
      </c>
      <c r="AW940" s="0" t="s">
        <v>404</v>
      </c>
      <c r="AX940" s="0" t="s">
        <v>1084</v>
      </c>
      <c r="AY940" s="0" t="s">
        <v>2932</v>
      </c>
      <c r="AZ940" s="0" t="s">
        <v>2933</v>
      </c>
      <c r="BA940" s="0" t="s">
        <v>634</v>
      </c>
      <c r="BB940" s="0" t="str">
        <f t="shared" si="14"/>
        <v>ECEWSimOkigwe</v>
      </c>
    </row>
    <row r="941">
      <c r="AV941" s="0" t="s">
        <v>470</v>
      </c>
      <c r="AW941" s="0" t="s">
        <v>404</v>
      </c>
      <c r="AX941" s="0" t="s">
        <v>1084</v>
      </c>
      <c r="AY941" s="0" t="s">
        <v>2934</v>
      </c>
      <c r="AZ941" s="0" t="s">
        <v>2935</v>
      </c>
      <c r="BA941" s="0" t="s">
        <v>634</v>
      </c>
      <c r="BB941" s="0" t="str">
        <f t="shared" si="14"/>
        <v>ECEWSimOkigwe</v>
      </c>
    </row>
    <row r="942">
      <c r="AV942" s="0" t="s">
        <v>470</v>
      </c>
      <c r="AW942" s="0" t="s">
        <v>404</v>
      </c>
      <c r="AX942" s="0" t="s">
        <v>1091</v>
      </c>
      <c r="AY942" s="0" t="s">
        <v>2936</v>
      </c>
      <c r="AZ942" s="0" t="s">
        <v>2937</v>
      </c>
      <c r="BA942" s="0" t="s">
        <v>634</v>
      </c>
      <c r="BB942" s="0" t="str">
        <f t="shared" si="14"/>
        <v>ECEWSimOnuimo</v>
      </c>
    </row>
    <row r="943">
      <c r="AV943" s="0" t="s">
        <v>470</v>
      </c>
      <c r="AW943" s="0" t="s">
        <v>404</v>
      </c>
      <c r="AX943" s="0" t="s">
        <v>1091</v>
      </c>
      <c r="AY943" s="0" t="s">
        <v>2938</v>
      </c>
      <c r="AZ943" s="0" t="s">
        <v>2939</v>
      </c>
      <c r="BA943" s="0" t="s">
        <v>634</v>
      </c>
      <c r="BB943" s="0" t="str">
        <f t="shared" si="14"/>
        <v>ECEWSimOnuimo</v>
      </c>
    </row>
    <row r="944">
      <c r="AV944" s="0" t="s">
        <v>470</v>
      </c>
      <c r="AW944" s="0" t="s">
        <v>403</v>
      </c>
      <c r="AX944" s="0" t="s">
        <v>786</v>
      </c>
      <c r="AY944" s="0" t="s">
        <v>2940</v>
      </c>
      <c r="AZ944" s="0" t="s">
        <v>2941</v>
      </c>
      <c r="BA944" s="0" t="s">
        <v>672</v>
      </c>
      <c r="BB944" s="0" t="str">
        <f t="shared" si="14"/>
        <v>FGHINgoAkko</v>
      </c>
    </row>
    <row r="945">
      <c r="AV945" s="0" t="s">
        <v>470</v>
      </c>
      <c r="AW945" s="0" t="s">
        <v>403</v>
      </c>
      <c r="AX945" s="0" t="s">
        <v>786</v>
      </c>
      <c r="AY945" s="0" t="s">
        <v>2942</v>
      </c>
      <c r="AZ945" s="0" t="s">
        <v>2943</v>
      </c>
      <c r="BA945" s="0" t="s">
        <v>672</v>
      </c>
      <c r="BB945" s="0" t="str">
        <f t="shared" si="14"/>
        <v>FGHINgoAkko</v>
      </c>
    </row>
    <row r="946">
      <c r="AV946" s="0" t="s">
        <v>470</v>
      </c>
      <c r="AW946" s="0" t="s">
        <v>403</v>
      </c>
      <c r="AX946" s="0" t="s">
        <v>786</v>
      </c>
      <c r="AY946" s="0" t="s">
        <v>2944</v>
      </c>
      <c r="AZ946" s="0" t="s">
        <v>2945</v>
      </c>
      <c r="BA946" s="0" t="s">
        <v>672</v>
      </c>
      <c r="BB946" s="0" t="str">
        <f t="shared" si="14"/>
        <v>FGHINgoAkko</v>
      </c>
    </row>
    <row r="947">
      <c r="AV947" s="0" t="s">
        <v>470</v>
      </c>
      <c r="AW947" s="0" t="s">
        <v>403</v>
      </c>
      <c r="AX947" s="0" t="s">
        <v>786</v>
      </c>
      <c r="AY947" s="0" t="s">
        <v>2946</v>
      </c>
      <c r="AZ947" s="0" t="s">
        <v>2947</v>
      </c>
      <c r="BA947" s="0" t="s">
        <v>672</v>
      </c>
      <c r="BB947" s="0" t="str">
        <f t="shared" si="14"/>
        <v>FGHINgoAkko</v>
      </c>
    </row>
    <row r="948">
      <c r="AV948" s="0" t="s">
        <v>470</v>
      </c>
      <c r="AW948" s="0" t="s">
        <v>403</v>
      </c>
      <c r="AX948" s="0" t="s">
        <v>786</v>
      </c>
      <c r="AY948" s="0" t="s">
        <v>2948</v>
      </c>
      <c r="AZ948" s="0" t="s">
        <v>2949</v>
      </c>
      <c r="BA948" s="0" t="s">
        <v>672</v>
      </c>
      <c r="BB948" s="0" t="str">
        <f t="shared" si="14"/>
        <v>FGHINgoAkko</v>
      </c>
    </row>
    <row r="949">
      <c r="AV949" s="0" t="s">
        <v>470</v>
      </c>
      <c r="AW949" s="0" t="s">
        <v>403</v>
      </c>
      <c r="AX949" s="0" t="s">
        <v>786</v>
      </c>
      <c r="AY949" s="0" t="s">
        <v>2950</v>
      </c>
      <c r="AZ949" s="0" t="s">
        <v>2951</v>
      </c>
      <c r="BA949" s="0" t="s">
        <v>672</v>
      </c>
      <c r="BB949" s="0" t="str">
        <f t="shared" si="14"/>
        <v>FGHINgoAkko</v>
      </c>
    </row>
    <row r="950">
      <c r="AV950" s="0" t="s">
        <v>470</v>
      </c>
      <c r="AW950" s="0" t="s">
        <v>403</v>
      </c>
      <c r="AX950" s="0" t="s">
        <v>786</v>
      </c>
      <c r="AY950" s="0" t="s">
        <v>2952</v>
      </c>
      <c r="AZ950" s="0" t="s">
        <v>2953</v>
      </c>
      <c r="BA950" s="0" t="s">
        <v>672</v>
      </c>
      <c r="BB950" s="0" t="str">
        <f t="shared" si="14"/>
        <v>FGHINgoAkko</v>
      </c>
    </row>
    <row r="951">
      <c r="AV951" s="0" t="s">
        <v>470</v>
      </c>
      <c r="AW951" s="0" t="s">
        <v>403</v>
      </c>
      <c r="AX951" s="0" t="s">
        <v>786</v>
      </c>
      <c r="AY951" s="0" t="s">
        <v>2954</v>
      </c>
      <c r="AZ951" s="0" t="s">
        <v>2955</v>
      </c>
      <c r="BA951" s="0" t="s">
        <v>672</v>
      </c>
      <c r="BB951" s="0" t="str">
        <f t="shared" si="14"/>
        <v>FGHINgoAkko</v>
      </c>
    </row>
    <row r="952">
      <c r="AV952" s="0" t="s">
        <v>470</v>
      </c>
      <c r="AW952" s="0" t="s">
        <v>403</v>
      </c>
      <c r="AX952" s="0" t="s">
        <v>786</v>
      </c>
      <c r="AY952" s="0" t="s">
        <v>2956</v>
      </c>
      <c r="AZ952" s="0" t="s">
        <v>2957</v>
      </c>
      <c r="BA952" s="0" t="s">
        <v>672</v>
      </c>
      <c r="BB952" s="0" t="str">
        <f t="shared" si="14"/>
        <v>FGHINgoAkko</v>
      </c>
    </row>
    <row r="953">
      <c r="AV953" s="0" t="s">
        <v>470</v>
      </c>
      <c r="AW953" s="0" t="s">
        <v>403</v>
      </c>
      <c r="AX953" s="0" t="s">
        <v>786</v>
      </c>
      <c r="AY953" s="0" t="s">
        <v>2958</v>
      </c>
      <c r="AZ953" s="0" t="s">
        <v>2959</v>
      </c>
      <c r="BA953" s="0" t="s">
        <v>672</v>
      </c>
      <c r="BB953" s="0" t="str">
        <f t="shared" si="14"/>
        <v>FGHINgoAkko</v>
      </c>
    </row>
    <row r="954">
      <c r="AV954" s="0" t="s">
        <v>470</v>
      </c>
      <c r="AW954" s="0" t="s">
        <v>403</v>
      </c>
      <c r="AX954" s="0" t="s">
        <v>786</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969</v>
      </c>
      <c r="AY967" s="0" t="s">
        <v>2986</v>
      </c>
      <c r="AZ967" s="0" t="s">
        <v>2987</v>
      </c>
      <c r="BA967" s="0" t="s">
        <v>672</v>
      </c>
      <c r="BB967" s="0" t="str">
        <f t="shared" si="15"/>
        <v>FGHINkdBirninGwari</v>
      </c>
    </row>
    <row r="968">
      <c r="AV968" s="0" t="s">
        <v>470</v>
      </c>
      <c r="AW968" s="0" t="s">
        <v>406</v>
      </c>
      <c r="AX968" s="0" t="s">
        <v>969</v>
      </c>
      <c r="AY968" s="0" t="s">
        <v>2988</v>
      </c>
      <c r="AZ968" s="0" t="s">
        <v>2989</v>
      </c>
      <c r="BA968" s="0" t="s">
        <v>672</v>
      </c>
      <c r="BB968" s="0" t="str">
        <f t="shared" si="15"/>
        <v>FGHINkdBirninGwari</v>
      </c>
    </row>
    <row r="969">
      <c r="AV969" s="0" t="s">
        <v>470</v>
      </c>
      <c r="AW969" s="0" t="s">
        <v>406</v>
      </c>
      <c r="AX969" s="0" t="s">
        <v>969</v>
      </c>
      <c r="AY969" s="0" t="s">
        <v>2990</v>
      </c>
      <c r="AZ969" s="0" t="s">
        <v>2991</v>
      </c>
      <c r="BA969" s="0" t="s">
        <v>672</v>
      </c>
      <c r="BB969" s="0" t="str">
        <f t="shared" si="15"/>
        <v>FGHINkdBirninGwari</v>
      </c>
    </row>
    <row r="970">
      <c r="AV970" s="0" t="s">
        <v>470</v>
      </c>
      <c r="AW970" s="0" t="s">
        <v>406</v>
      </c>
      <c r="AX970" s="0" t="s">
        <v>969</v>
      </c>
      <c r="AY970" s="0" t="s">
        <v>2992</v>
      </c>
      <c r="AZ970" s="0" t="s">
        <v>2993</v>
      </c>
      <c r="BA970" s="0" t="s">
        <v>672</v>
      </c>
      <c r="BB970" s="0" t="str">
        <f t="shared" si="15"/>
        <v>FGHINkdBirninGwari</v>
      </c>
    </row>
    <row r="971">
      <c r="AV971" s="0" t="s">
        <v>470</v>
      </c>
      <c r="AW971" s="0" t="s">
        <v>406</v>
      </c>
      <c r="AX971" s="0" t="s">
        <v>969</v>
      </c>
      <c r="AY971" s="0" t="s">
        <v>2994</v>
      </c>
      <c r="AZ971" s="0" t="s">
        <v>2995</v>
      </c>
      <c r="BA971" s="0" t="s">
        <v>672</v>
      </c>
      <c r="BB971" s="0" t="str">
        <f t="shared" si="15"/>
        <v>FGHINkdBirninGwari</v>
      </c>
    </row>
    <row r="972">
      <c r="AV972" s="0" t="s">
        <v>470</v>
      </c>
      <c r="AW972" s="0" t="s">
        <v>406</v>
      </c>
      <c r="AX972" s="0" t="s">
        <v>969</v>
      </c>
      <c r="AY972" s="0" t="s">
        <v>2996</v>
      </c>
      <c r="AZ972" s="0" t="s">
        <v>2997</v>
      </c>
      <c r="BA972" s="0" t="s">
        <v>672</v>
      </c>
      <c r="BB972" s="0" t="str">
        <f t="shared" si="15"/>
        <v>FGHINkdBirninGwari</v>
      </c>
    </row>
    <row r="973">
      <c r="AV973" s="0" t="s">
        <v>470</v>
      </c>
      <c r="AW973" s="0" t="s">
        <v>406</v>
      </c>
      <c r="AX973" s="0" t="s">
        <v>969</v>
      </c>
      <c r="AY973" s="0" t="s">
        <v>2998</v>
      </c>
      <c r="AZ973" s="0" t="s">
        <v>2999</v>
      </c>
      <c r="BA973" s="0" t="s">
        <v>672</v>
      </c>
      <c r="BB973" s="0" t="str">
        <f t="shared" si="15"/>
        <v>FGHINkdBirninGwari</v>
      </c>
    </row>
    <row r="974">
      <c r="AV974" s="0" t="s">
        <v>470</v>
      </c>
      <c r="AW974" s="0" t="s">
        <v>406</v>
      </c>
      <c r="AX974" s="0" t="s">
        <v>969</v>
      </c>
      <c r="AY974" s="0" t="s">
        <v>3000</v>
      </c>
      <c r="AZ974" s="0" t="s">
        <v>3001</v>
      </c>
      <c r="BA974" s="0" t="s">
        <v>672</v>
      </c>
      <c r="BB974" s="0" t="str">
        <f t="shared" si="15"/>
        <v>FGHINkdBirninGwari</v>
      </c>
    </row>
    <row r="975">
      <c r="AV975" s="0" t="s">
        <v>470</v>
      </c>
      <c r="AW975" s="0" t="s">
        <v>406</v>
      </c>
      <c r="AX975" s="0" t="s">
        <v>969</v>
      </c>
      <c r="AY975" s="0" t="s">
        <v>3002</v>
      </c>
      <c r="AZ975" s="0" t="s">
        <v>3003</v>
      </c>
      <c r="BA975" s="0" t="s">
        <v>672</v>
      </c>
      <c r="BB975" s="0" t="str">
        <f t="shared" si="15"/>
        <v>FGHINkdBirninGwari</v>
      </c>
    </row>
    <row r="976">
      <c r="AV976" s="0" t="s">
        <v>470</v>
      </c>
      <c r="AW976" s="0" t="s">
        <v>406</v>
      </c>
      <c r="AX976" s="0" t="s">
        <v>969</v>
      </c>
      <c r="AY976" s="0" t="s">
        <v>3004</v>
      </c>
      <c r="AZ976" s="0" t="s">
        <v>3005</v>
      </c>
      <c r="BA976" s="0" t="s">
        <v>672</v>
      </c>
      <c r="BB976" s="0" t="str">
        <f t="shared" si="15"/>
        <v>FGHINkdBirninGwari</v>
      </c>
    </row>
    <row r="977">
      <c r="AV977" s="0" t="s">
        <v>470</v>
      </c>
      <c r="AW977" s="0" t="s">
        <v>406</v>
      </c>
      <c r="AX977" s="0" t="s">
        <v>988</v>
      </c>
      <c r="AY977" s="0" t="s">
        <v>3006</v>
      </c>
      <c r="AZ977" s="0" t="s">
        <v>3007</v>
      </c>
      <c r="BA977" s="0" t="s">
        <v>672</v>
      </c>
      <c r="BB977" s="0" t="str">
        <f t="shared" si="15"/>
        <v>FGHINkdGiwa</v>
      </c>
    </row>
    <row r="978">
      <c r="AV978" s="0" t="s">
        <v>470</v>
      </c>
      <c r="AW978" s="0" t="s">
        <v>406</v>
      </c>
      <c r="AX978" s="0" t="s">
        <v>988</v>
      </c>
      <c r="AY978" s="0" t="s">
        <v>3008</v>
      </c>
      <c r="AZ978" s="0" t="s">
        <v>3009</v>
      </c>
      <c r="BA978" s="0" t="s">
        <v>672</v>
      </c>
      <c r="BB978" s="0" t="str">
        <f t="shared" si="15"/>
        <v>FGHINkdGiwa</v>
      </c>
    </row>
    <row r="979">
      <c r="AV979" s="0" t="s">
        <v>470</v>
      </c>
      <c r="AW979" s="0" t="s">
        <v>406</v>
      </c>
      <c r="AX979" s="0" t="s">
        <v>1005</v>
      </c>
      <c r="AY979" s="0" t="s">
        <v>3010</v>
      </c>
      <c r="AZ979" s="0" t="s">
        <v>3011</v>
      </c>
      <c r="BA979" s="0" t="s">
        <v>672</v>
      </c>
      <c r="BB979" s="0" t="str">
        <f t="shared" si="15"/>
        <v>FGHINkdKauru</v>
      </c>
    </row>
    <row r="980">
      <c r="AV980" s="0" t="s">
        <v>470</v>
      </c>
      <c r="AW980" s="0" t="s">
        <v>406</v>
      </c>
      <c r="AX980" s="0" t="s">
        <v>1005</v>
      </c>
      <c r="AY980" s="0" t="s">
        <v>3012</v>
      </c>
      <c r="AZ980" s="0" t="s">
        <v>3013</v>
      </c>
      <c r="BA980" s="0" t="s">
        <v>672</v>
      </c>
      <c r="BB980" s="0" t="str">
        <f t="shared" si="15"/>
        <v>FGHINkdKauru</v>
      </c>
    </row>
    <row r="981">
      <c r="AV981" s="0" t="s">
        <v>470</v>
      </c>
      <c r="AW981" s="0" t="s">
        <v>406</v>
      </c>
      <c r="AX981" s="0" t="s">
        <v>1005</v>
      </c>
      <c r="AY981" s="0" t="s">
        <v>3014</v>
      </c>
      <c r="AZ981" s="0" t="s">
        <v>3015</v>
      </c>
      <c r="BA981" s="0" t="s">
        <v>672</v>
      </c>
      <c r="BB981" s="0" t="str">
        <f t="shared" si="15"/>
        <v>FGHINkdKauru</v>
      </c>
    </row>
    <row r="982">
      <c r="AV982" s="0" t="s">
        <v>470</v>
      </c>
      <c r="AW982" s="0" t="s">
        <v>406</v>
      </c>
      <c r="AX982" s="0" t="s">
        <v>1005</v>
      </c>
      <c r="AY982" s="0" t="s">
        <v>3016</v>
      </c>
      <c r="AZ982" s="0" t="s">
        <v>3017</v>
      </c>
      <c r="BA982" s="0" t="s">
        <v>672</v>
      </c>
      <c r="BB982" s="0" t="str">
        <f t="shared" si="15"/>
        <v>FGHINkdKauru</v>
      </c>
    </row>
    <row r="983">
      <c r="AV983" s="0" t="s">
        <v>470</v>
      </c>
      <c r="AW983" s="0" t="s">
        <v>406</v>
      </c>
      <c r="AX983" s="0" t="s">
        <v>1005</v>
      </c>
      <c r="AY983" s="0" t="s">
        <v>3018</v>
      </c>
      <c r="AZ983" s="0" t="s">
        <v>3019</v>
      </c>
      <c r="BA983" s="0" t="s">
        <v>672</v>
      </c>
      <c r="BB983" s="0" t="str">
        <f t="shared" si="15"/>
        <v>FGHINkdKauru</v>
      </c>
    </row>
    <row r="984">
      <c r="AV984" s="0" t="s">
        <v>470</v>
      </c>
      <c r="AW984" s="0" t="s">
        <v>406</v>
      </c>
      <c r="AX984" s="0" t="s">
        <v>1005</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1021</v>
      </c>
      <c r="AY996" s="0" t="s">
        <v>3043</v>
      </c>
      <c r="AZ996" s="0" t="s">
        <v>3044</v>
      </c>
      <c r="BA996" s="0" t="s">
        <v>672</v>
      </c>
      <c r="BB996" s="0" t="str">
        <f t="shared" si="15"/>
        <v>FGHINkdMakarfi</v>
      </c>
    </row>
    <row r="997">
      <c r="AV997" s="0" t="s">
        <v>470</v>
      </c>
      <c r="AW997" s="0" t="s">
        <v>406</v>
      </c>
      <c r="AX997" s="0" t="s">
        <v>1021</v>
      </c>
      <c r="AY997" s="0" t="s">
        <v>3045</v>
      </c>
      <c r="AZ997" s="0" t="s">
        <v>3046</v>
      </c>
      <c r="BA997" s="0" t="s">
        <v>672</v>
      </c>
      <c r="BB997" s="0" t="str">
        <f t="shared" si="15"/>
        <v>FGHINkdMakarfi</v>
      </c>
    </row>
    <row r="998">
      <c r="AV998" s="0" t="s">
        <v>470</v>
      </c>
      <c r="AW998" s="0" t="s">
        <v>406</v>
      </c>
      <c r="AX998" s="0" t="s">
        <v>1021</v>
      </c>
      <c r="AY998" s="0" t="s">
        <v>3047</v>
      </c>
      <c r="AZ998" s="0" t="s">
        <v>3048</v>
      </c>
      <c r="BA998" s="0" t="s">
        <v>672</v>
      </c>
      <c r="BB998" s="0" t="str">
        <f t="shared" si="15"/>
        <v>FGHINkdMakarfi</v>
      </c>
    </row>
    <row r="999">
      <c r="AV999" s="0" t="s">
        <v>470</v>
      </c>
      <c r="AW999" s="0" t="s">
        <v>406</v>
      </c>
      <c r="AX999" s="0" t="s">
        <v>1021</v>
      </c>
      <c r="AY999" s="0" t="s">
        <v>3049</v>
      </c>
      <c r="AZ999" s="0" t="s">
        <v>3050</v>
      </c>
      <c r="BA999" s="0" t="s">
        <v>672</v>
      </c>
      <c r="BB999" s="0" t="str">
        <f t="shared" si="15"/>
        <v>FGHINkdMakarfi</v>
      </c>
    </row>
    <row r="1000">
      <c r="AV1000" s="0" t="s">
        <v>470</v>
      </c>
      <c r="AW1000" s="0" t="s">
        <v>406</v>
      </c>
      <c r="AX1000" s="0" t="s">
        <v>1021</v>
      </c>
      <c r="AY1000" s="0" t="s">
        <v>3051</v>
      </c>
      <c r="AZ1000" s="0" t="s">
        <v>3052</v>
      </c>
      <c r="BA1000" s="0" t="s">
        <v>672</v>
      </c>
      <c r="BB1000" s="0" t="str">
        <f t="shared" si="15"/>
        <v>FGHINkdMakarfi</v>
      </c>
    </row>
    <row r="1001">
      <c r="AV1001" s="0" t="s">
        <v>470</v>
      </c>
      <c r="AW1001" s="0" t="s">
        <v>406</v>
      </c>
      <c r="AX1001" s="0" t="s">
        <v>1021</v>
      </c>
      <c r="AY1001" s="0" t="s">
        <v>3053</v>
      </c>
      <c r="AZ1001" s="0" t="s">
        <v>3054</v>
      </c>
      <c r="BA1001" s="0" t="s">
        <v>672</v>
      </c>
      <c r="BB1001" s="0" t="str">
        <f t="shared" si="15"/>
        <v>FGHINkdMakarfi</v>
      </c>
    </row>
    <row r="1002">
      <c r="AV1002" s="0" t="s">
        <v>470</v>
      </c>
      <c r="AW1002" s="0" t="s">
        <v>406</v>
      </c>
      <c r="AX1002" s="0" t="s">
        <v>1021</v>
      </c>
      <c r="AY1002" s="0" t="s">
        <v>3055</v>
      </c>
      <c r="AZ1002" s="0" t="s">
        <v>3056</v>
      </c>
      <c r="BA1002" s="0" t="s">
        <v>672</v>
      </c>
      <c r="BB1002" s="0" t="str">
        <f t="shared" si="15"/>
        <v>FGHINkdMakarfi</v>
      </c>
    </row>
    <row r="1003">
      <c r="AV1003" s="0" t="s">
        <v>470</v>
      </c>
      <c r="AW1003" s="0" t="s">
        <v>406</v>
      </c>
      <c r="AX1003" s="0" t="s">
        <v>1021</v>
      </c>
      <c r="AY1003" s="0" t="s">
        <v>3057</v>
      </c>
      <c r="AZ1003" s="0" t="s">
        <v>3058</v>
      </c>
      <c r="BA1003" s="0" t="s">
        <v>672</v>
      </c>
      <c r="BB1003" s="0" t="str">
        <f t="shared" si="15"/>
        <v>FGHINkdMakarfi</v>
      </c>
    </row>
    <row r="1004">
      <c r="AV1004" s="0" t="s">
        <v>470</v>
      </c>
      <c r="AW1004" s="0" t="s">
        <v>406</v>
      </c>
      <c r="AX1004" s="0" t="s">
        <v>1036</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810</v>
      </c>
      <c r="AY1071" s="0" t="s">
        <v>3192</v>
      </c>
      <c r="AZ1071" s="0" t="s">
        <v>3193</v>
      </c>
      <c r="BA1071" s="0" t="s">
        <v>708</v>
      </c>
      <c r="BB1071" s="0" t="str">
        <f t="shared" si="16"/>
        <v>IHVNbeMakurdi</v>
      </c>
    </row>
    <row r="1072">
      <c r="AV1072" s="0" t="s">
        <v>470</v>
      </c>
      <c r="AW1072" s="0" t="s">
        <v>394</v>
      </c>
      <c r="AX1072" s="0" t="s">
        <v>810</v>
      </c>
      <c r="AY1072" s="0" t="s">
        <v>3194</v>
      </c>
      <c r="AZ1072" s="0" t="s">
        <v>3195</v>
      </c>
      <c r="BA1072" s="0" t="s">
        <v>708</v>
      </c>
      <c r="BB1072" s="0" t="str">
        <f t="shared" si="16"/>
        <v>IHVNbeMakurdi</v>
      </c>
    </row>
    <row r="1073">
      <c r="AV1073" s="0" t="s">
        <v>470</v>
      </c>
      <c r="AW1073" s="0" t="s">
        <v>394</v>
      </c>
      <c r="AX1073" s="0" t="s">
        <v>810</v>
      </c>
      <c r="AY1073" s="0" t="s">
        <v>3196</v>
      </c>
      <c r="AZ1073" s="0" t="s">
        <v>3197</v>
      </c>
      <c r="BA1073" s="0" t="s">
        <v>708</v>
      </c>
      <c r="BB1073" s="0" t="str">
        <f t="shared" si="16"/>
        <v>IHVNbeMakurdi</v>
      </c>
    </row>
    <row r="1074">
      <c r="AV1074" s="0" t="s">
        <v>470</v>
      </c>
      <c r="AW1074" s="0" t="s">
        <v>394</v>
      </c>
      <c r="AX1074" s="0" t="s">
        <v>810</v>
      </c>
      <c r="AY1074" s="0" t="s">
        <v>3198</v>
      </c>
      <c r="AZ1074" s="0" t="s">
        <v>3199</v>
      </c>
      <c r="BA1074" s="0" t="s">
        <v>708</v>
      </c>
      <c r="BB1074" s="0" t="str">
        <f t="shared" si="16"/>
        <v>IHVNbeMakurdi</v>
      </c>
    </row>
    <row r="1075">
      <c r="AV1075" s="0" t="s">
        <v>470</v>
      </c>
      <c r="AW1075" s="0" t="s">
        <v>394</v>
      </c>
      <c r="AX1075" s="0" t="s">
        <v>810</v>
      </c>
      <c r="AY1075" s="0" t="s">
        <v>3200</v>
      </c>
      <c r="AZ1075" s="0" t="s">
        <v>3201</v>
      </c>
      <c r="BA1075" s="0" t="s">
        <v>708</v>
      </c>
      <c r="BB1075" s="0" t="str">
        <f t="shared" si="16"/>
        <v>IHVNbeMakurdi</v>
      </c>
    </row>
    <row r="1076">
      <c r="AV1076" s="0" t="s">
        <v>470</v>
      </c>
      <c r="AW1076" s="0" t="s">
        <v>394</v>
      </c>
      <c r="AX1076" s="0" t="s">
        <v>810</v>
      </c>
      <c r="AY1076" s="0" t="s">
        <v>3202</v>
      </c>
      <c r="AZ1076" s="0" t="s">
        <v>3203</v>
      </c>
      <c r="BA1076" s="0" t="s">
        <v>708</v>
      </c>
      <c r="BB1076" s="0" t="str">
        <f t="shared" si="16"/>
        <v>IHVNbeMakurdi</v>
      </c>
    </row>
    <row r="1077">
      <c r="AV1077" s="0" t="s">
        <v>470</v>
      </c>
      <c r="AW1077" s="0" t="s">
        <v>394</v>
      </c>
      <c r="AX1077" s="0" t="s">
        <v>810</v>
      </c>
      <c r="AY1077" s="0" t="s">
        <v>3204</v>
      </c>
      <c r="AZ1077" s="0" t="s">
        <v>3205</v>
      </c>
      <c r="BA1077" s="0" t="s">
        <v>708</v>
      </c>
      <c r="BB1077" s="0" t="str">
        <f t="shared" si="16"/>
        <v>IHVNbeMakurdi</v>
      </c>
    </row>
    <row r="1078">
      <c r="AV1078" s="0" t="s">
        <v>470</v>
      </c>
      <c r="AW1078" s="0" t="s">
        <v>394</v>
      </c>
      <c r="AX1078" s="0" t="s">
        <v>810</v>
      </c>
      <c r="AY1078" s="0" t="s">
        <v>3206</v>
      </c>
      <c r="AZ1078" s="0" t="s">
        <v>3207</v>
      </c>
      <c r="BA1078" s="0" t="s">
        <v>708</v>
      </c>
      <c r="BB1078" s="0" t="str">
        <f t="shared" si="16"/>
        <v>IHVNbeMakurdi</v>
      </c>
    </row>
    <row r="1079">
      <c r="AV1079" s="0" t="s">
        <v>470</v>
      </c>
      <c r="AW1079" s="0" t="s">
        <v>394</v>
      </c>
      <c r="AX1079" s="0" t="s">
        <v>810</v>
      </c>
      <c r="AY1079" s="0" t="s">
        <v>3208</v>
      </c>
      <c r="AZ1079" s="0" t="s">
        <v>3209</v>
      </c>
      <c r="BA1079" s="0" t="s">
        <v>708</v>
      </c>
      <c r="BB1079" s="0" t="str">
        <f t="shared" si="16"/>
        <v>IHVNbeMakurdi</v>
      </c>
    </row>
    <row r="1080">
      <c r="AV1080" s="0" t="s">
        <v>470</v>
      </c>
      <c r="AW1080" s="0" t="s">
        <v>394</v>
      </c>
      <c r="AX1080" s="0" t="s">
        <v>810</v>
      </c>
      <c r="AY1080" s="0" t="s">
        <v>3210</v>
      </c>
      <c r="AZ1080" s="0" t="s">
        <v>3211</v>
      </c>
      <c r="BA1080" s="0" t="s">
        <v>708</v>
      </c>
      <c r="BB1080" s="0" t="str">
        <f t="shared" si="16"/>
        <v>IHVNbeMakurdi</v>
      </c>
    </row>
    <row r="1081">
      <c r="AV1081" s="0" t="s">
        <v>470</v>
      </c>
      <c r="AW1081" s="0" t="s">
        <v>394</v>
      </c>
      <c r="AX1081" s="0" t="s">
        <v>810</v>
      </c>
      <c r="AY1081" s="0" t="s">
        <v>3212</v>
      </c>
      <c r="AZ1081" s="0" t="s">
        <v>3213</v>
      </c>
      <c r="BA1081" s="0" t="s">
        <v>708</v>
      </c>
      <c r="BB1081" s="0" t="str">
        <f t="shared" si="16"/>
        <v>IHVNbeMakurdi</v>
      </c>
    </row>
    <row r="1082">
      <c r="AV1082" s="0" t="s">
        <v>470</v>
      </c>
      <c r="AW1082" s="0" t="s">
        <v>394</v>
      </c>
      <c r="AX1082" s="0" t="s">
        <v>810</v>
      </c>
      <c r="AY1082" s="0" t="s">
        <v>3214</v>
      </c>
      <c r="AZ1082" s="0" t="s">
        <v>3215</v>
      </c>
      <c r="BA1082" s="0" t="s">
        <v>708</v>
      </c>
      <c r="BB1082" s="0" t="str">
        <f t="shared" si="16"/>
        <v>IHVNbeMakurdi</v>
      </c>
    </row>
    <row r="1083">
      <c r="AV1083" s="0" t="s">
        <v>470</v>
      </c>
      <c r="AW1083" s="0" t="s">
        <v>394</v>
      </c>
      <c r="AX1083" s="0" t="s">
        <v>810</v>
      </c>
      <c r="AY1083" s="0" t="s">
        <v>3216</v>
      </c>
      <c r="AZ1083" s="0" t="s">
        <v>3217</v>
      </c>
      <c r="BA1083" s="0" t="s">
        <v>708</v>
      </c>
      <c r="BB1083" s="0" t="str">
        <f t="shared" si="16"/>
        <v>IHVNbeMakurdi</v>
      </c>
    </row>
    <row r="1084">
      <c r="AV1084" s="0" t="s">
        <v>470</v>
      </c>
      <c r="AW1084" s="0" t="s">
        <v>394</v>
      </c>
      <c r="AX1084" s="0" t="s">
        <v>810</v>
      </c>
      <c r="AY1084" s="0" t="s">
        <v>3218</v>
      </c>
      <c r="AZ1084" s="0" t="s">
        <v>3219</v>
      </c>
      <c r="BA1084" s="0" t="s">
        <v>708</v>
      </c>
      <c r="BB1084" s="0" t="str">
        <f t="shared" si="16"/>
        <v>IHVNbeMakurdi</v>
      </c>
    </row>
    <row r="1085">
      <c r="AV1085" s="0" t="s">
        <v>470</v>
      </c>
      <c r="AW1085" s="0" t="s">
        <v>394</v>
      </c>
      <c r="AX1085" s="0" t="s">
        <v>810</v>
      </c>
      <c r="AY1085" s="0" t="s">
        <v>3220</v>
      </c>
      <c r="AZ1085" s="0" t="s">
        <v>3221</v>
      </c>
      <c r="BA1085" s="0" t="s">
        <v>708</v>
      </c>
      <c r="BB1085" s="0" t="str">
        <f t="shared" si="16"/>
        <v>IHVNbeMakurdi</v>
      </c>
    </row>
    <row r="1086">
      <c r="AV1086" s="0" t="s">
        <v>470</v>
      </c>
      <c r="AW1086" s="0" t="s">
        <v>394</v>
      </c>
      <c r="AX1086" s="0" t="s">
        <v>1056</v>
      </c>
      <c r="AY1086" s="0" t="s">
        <v>3222</v>
      </c>
      <c r="AZ1086" s="0" t="s">
        <v>3223</v>
      </c>
      <c r="BA1086" s="0" t="s">
        <v>708</v>
      </c>
      <c r="BB1086" s="0" t="str">
        <f t="shared" si="16"/>
        <v>IHVNbeOju</v>
      </c>
    </row>
    <row r="1087">
      <c r="AV1087" s="0" t="s">
        <v>470</v>
      </c>
      <c r="AW1087" s="0" t="s">
        <v>394</v>
      </c>
      <c r="AX1087" s="0" t="s">
        <v>1056</v>
      </c>
      <c r="AY1087" s="0" t="s">
        <v>3224</v>
      </c>
      <c r="AZ1087" s="0" t="s">
        <v>3225</v>
      </c>
      <c r="BA1087" s="0" t="s">
        <v>708</v>
      </c>
      <c r="BB1087" s="0" t="str">
        <f t="shared" si="16"/>
        <v>IHVNbeOju</v>
      </c>
    </row>
    <row r="1088">
      <c r="AV1088" s="0" t="s">
        <v>470</v>
      </c>
      <c r="AW1088" s="0" t="s">
        <v>394</v>
      </c>
      <c r="AX1088" s="0" t="s">
        <v>942</v>
      </c>
      <c r="AY1088" s="0" t="s">
        <v>3226</v>
      </c>
      <c r="AZ1088" s="0" t="s">
        <v>3227</v>
      </c>
      <c r="BA1088" s="0" t="s">
        <v>708</v>
      </c>
      <c r="BB1088" s="0" t="str">
        <f t="shared" si="16"/>
        <v>IHVNbeUshongo</v>
      </c>
    </row>
    <row r="1089">
      <c r="AV1089" s="0" t="s">
        <v>470</v>
      </c>
      <c r="AW1089" s="0" t="s">
        <v>394</v>
      </c>
      <c r="AX1089" s="0" t="s">
        <v>942</v>
      </c>
      <c r="AY1089" s="0" t="s">
        <v>3228</v>
      </c>
      <c r="AZ1089" s="0" t="s">
        <v>3229</v>
      </c>
      <c r="BA1089" s="0" t="s">
        <v>708</v>
      </c>
      <c r="BB1089" s="0" t="str">
        <f t="shared" si="16"/>
        <v>IHVNbeUshongo</v>
      </c>
    </row>
    <row r="1090">
      <c r="AV1090" s="0" t="s">
        <v>470</v>
      </c>
      <c r="AW1090" s="0" t="s">
        <v>394</v>
      </c>
      <c r="AX1090" s="0" t="s">
        <v>942</v>
      </c>
      <c r="AY1090" s="0" t="s">
        <v>3230</v>
      </c>
      <c r="AZ1090" s="0" t="s">
        <v>3231</v>
      </c>
      <c r="BA1090" s="0" t="s">
        <v>708</v>
      </c>
      <c r="BB1090" s="0" t="str">
        <f t="shared" si="16"/>
        <v>IHVNbeUshongo</v>
      </c>
    </row>
    <row r="1091">
      <c r="AV1091" s="0" t="s">
        <v>470</v>
      </c>
      <c r="AW1091" s="0" t="s">
        <v>394</v>
      </c>
      <c r="AX1091" s="0" t="s">
        <v>942</v>
      </c>
      <c r="AY1091" s="0" t="s">
        <v>2215</v>
      </c>
      <c r="AZ1091" s="0" t="s">
        <v>3232</v>
      </c>
      <c r="BA1091" s="0" t="s">
        <v>708</v>
      </c>
      <c r="BB1091" s="0" t="str">
        <f ref="BB1091:BB1154" t="shared" si="17">SUBSTITUTE(SUBSTITUTE(BA1091&amp;AX1091," ",""),"-","")</f>
        <v>IHVNbeUshongo</v>
      </c>
    </row>
    <row r="1092">
      <c r="AV1092" s="0" t="s">
        <v>470</v>
      </c>
      <c r="AW1092" s="0" t="s">
        <v>394</v>
      </c>
      <c r="AX1092" s="0" t="s">
        <v>942</v>
      </c>
      <c r="AY1092" s="0" t="s">
        <v>3233</v>
      </c>
      <c r="AZ1092" s="0" t="s">
        <v>3234</v>
      </c>
      <c r="BA1092" s="0" t="s">
        <v>708</v>
      </c>
      <c r="BB1092" s="0" t="str">
        <f t="shared" si="17"/>
        <v>IHVNbeUshongo</v>
      </c>
    </row>
    <row r="1093">
      <c r="AV1093" s="0" t="s">
        <v>470</v>
      </c>
      <c r="AW1093" s="0" t="s">
        <v>394</v>
      </c>
      <c r="AX1093" s="0" t="s">
        <v>942</v>
      </c>
      <c r="AY1093" s="0" t="s">
        <v>3235</v>
      </c>
      <c r="AZ1093" s="0" t="s">
        <v>3236</v>
      </c>
      <c r="BA1093" s="0" t="s">
        <v>708</v>
      </c>
      <c r="BB1093" s="0" t="str">
        <f t="shared" si="17"/>
        <v>IHVNbeUshongo</v>
      </c>
    </row>
    <row r="1094">
      <c r="AV1094" s="0" t="s">
        <v>470</v>
      </c>
      <c r="AW1094" s="0" t="s">
        <v>394</v>
      </c>
      <c r="AX1094" s="0" t="s">
        <v>942</v>
      </c>
      <c r="AY1094" s="0" t="s">
        <v>3237</v>
      </c>
      <c r="AZ1094" s="0" t="s">
        <v>3238</v>
      </c>
      <c r="BA1094" s="0" t="s">
        <v>708</v>
      </c>
      <c r="BB1094" s="0" t="str">
        <f t="shared" si="17"/>
        <v>IHVNbeUshongo</v>
      </c>
    </row>
    <row r="1095">
      <c r="AV1095" s="0" t="s">
        <v>470</v>
      </c>
      <c r="AW1095" s="0" t="s">
        <v>394</v>
      </c>
      <c r="AX1095" s="0" t="s">
        <v>942</v>
      </c>
      <c r="AY1095" s="0" t="s">
        <v>3239</v>
      </c>
      <c r="AZ1095" s="0" t="s">
        <v>3240</v>
      </c>
      <c r="BA1095" s="0" t="s">
        <v>708</v>
      </c>
      <c r="BB1095" s="0" t="str">
        <f t="shared" si="17"/>
        <v>IHVNbeUshongo</v>
      </c>
    </row>
    <row r="1096">
      <c r="AV1096" s="0" t="s">
        <v>470</v>
      </c>
      <c r="AW1096" s="0" t="s">
        <v>394</v>
      </c>
      <c r="AX1096" s="0" t="s">
        <v>942</v>
      </c>
      <c r="AY1096" s="0" t="s">
        <v>3241</v>
      </c>
      <c r="AZ1096" s="0" t="s">
        <v>3242</v>
      </c>
      <c r="BA1096" s="0" t="s">
        <v>708</v>
      </c>
      <c r="BB1096" s="0" t="str">
        <f t="shared" si="17"/>
        <v>IHVNbeUshongo</v>
      </c>
    </row>
    <row r="1097">
      <c r="AV1097" s="0" t="s">
        <v>470</v>
      </c>
      <c r="AW1097" s="0" t="s">
        <v>394</v>
      </c>
      <c r="AX1097" s="0" t="s">
        <v>942</v>
      </c>
      <c r="AY1097" s="0" t="s">
        <v>3243</v>
      </c>
      <c r="AZ1097" s="0" t="s">
        <v>3244</v>
      </c>
      <c r="BA1097" s="0" t="s">
        <v>708</v>
      </c>
      <c r="BB1097" s="0" t="str">
        <f t="shared" si="17"/>
        <v>IHVNbeUshongo</v>
      </c>
    </row>
    <row r="1098">
      <c r="AV1098" s="0" t="s">
        <v>470</v>
      </c>
      <c r="AW1098" s="0" t="s">
        <v>394</v>
      </c>
      <c r="AX1098" s="0" t="s">
        <v>942</v>
      </c>
      <c r="AY1098" s="0" t="s">
        <v>3245</v>
      </c>
      <c r="AZ1098" s="0" t="s">
        <v>3246</v>
      </c>
      <c r="BA1098" s="0" t="s">
        <v>708</v>
      </c>
      <c r="BB1098" s="0" t="str">
        <f t="shared" si="17"/>
        <v>IHVNbeUshongo</v>
      </c>
    </row>
    <row r="1099">
      <c r="AV1099" s="0" t="s">
        <v>470</v>
      </c>
      <c r="AW1099" s="0" t="s">
        <v>394</v>
      </c>
      <c r="AX1099" s="0" t="s">
        <v>942</v>
      </c>
      <c r="AY1099" s="0" t="s">
        <v>3247</v>
      </c>
      <c r="AZ1099" s="0" t="s">
        <v>3248</v>
      </c>
      <c r="BA1099" s="0" t="s">
        <v>708</v>
      </c>
      <c r="BB1099" s="0" t="str">
        <f t="shared" si="17"/>
        <v>IHVNbeUshongo</v>
      </c>
    </row>
    <row r="1100">
      <c r="AV1100" s="0" t="s">
        <v>470</v>
      </c>
      <c r="AW1100" s="0" t="s">
        <v>394</v>
      </c>
      <c r="AX1100" s="0" t="s">
        <v>942</v>
      </c>
      <c r="AY1100" s="0" t="s">
        <v>3249</v>
      </c>
      <c r="AZ1100" s="0" t="s">
        <v>3250</v>
      </c>
      <c r="BA1100" s="0" t="s">
        <v>708</v>
      </c>
      <c r="BB1100" s="0" t="str">
        <f t="shared" si="17"/>
        <v>IHVNbeUshongo</v>
      </c>
    </row>
    <row r="1101">
      <c r="AV1101" s="0" t="s">
        <v>470</v>
      </c>
      <c r="AW1101" s="0" t="s">
        <v>394</v>
      </c>
      <c r="AX1101" s="0" t="s">
        <v>942</v>
      </c>
      <c r="AY1101" s="0" t="s">
        <v>3251</v>
      </c>
      <c r="AZ1101" s="0" t="s">
        <v>3252</v>
      </c>
      <c r="BA1101" s="0" t="s">
        <v>708</v>
      </c>
      <c r="BB1101" s="0" t="str">
        <f t="shared" si="17"/>
        <v>IHVNbeUshongo</v>
      </c>
    </row>
    <row r="1102">
      <c r="AV1102" s="0" t="s">
        <v>470</v>
      </c>
      <c r="AW1102" s="0" t="s">
        <v>394</v>
      </c>
      <c r="AX1102" s="0" t="s">
        <v>942</v>
      </c>
      <c r="AY1102" s="0" t="s">
        <v>3253</v>
      </c>
      <c r="AZ1102" s="0" t="s">
        <v>3254</v>
      </c>
      <c r="BA1102" s="0" t="s">
        <v>708</v>
      </c>
      <c r="BB1102" s="0" t="str">
        <f t="shared" si="17"/>
        <v>IHVNbeUshongo</v>
      </c>
    </row>
    <row r="1103">
      <c r="AV1103" s="0" t="s">
        <v>470</v>
      </c>
      <c r="AW1103" s="0" t="s">
        <v>394</v>
      </c>
      <c r="AX1103" s="0" t="s">
        <v>942</v>
      </c>
      <c r="AY1103" s="0" t="s">
        <v>3255</v>
      </c>
      <c r="AZ1103" s="0" t="s">
        <v>3256</v>
      </c>
      <c r="BA1103" s="0" t="s">
        <v>708</v>
      </c>
      <c r="BB1103" s="0" t="str">
        <f t="shared" si="17"/>
        <v>IHVNbeUshongo</v>
      </c>
    </row>
    <row r="1104">
      <c r="AV1104" s="0" t="s">
        <v>470</v>
      </c>
      <c r="AW1104" s="0" t="s">
        <v>394</v>
      </c>
      <c r="AX1104" s="0" t="s">
        <v>942</v>
      </c>
      <c r="AY1104" s="0" t="s">
        <v>3257</v>
      </c>
      <c r="AZ1104" s="0" t="s">
        <v>3258</v>
      </c>
      <c r="BA1104" s="0" t="s">
        <v>708</v>
      </c>
      <c r="BB1104" s="0" t="str">
        <f t="shared" si="17"/>
        <v>IHVNbeUshongo</v>
      </c>
    </row>
    <row r="1105">
      <c r="AV1105" s="0" t="s">
        <v>470</v>
      </c>
      <c r="AW1105" s="0" t="s">
        <v>394</v>
      </c>
      <c r="AX1105" s="0" t="s">
        <v>942</v>
      </c>
      <c r="AY1105" s="0" t="s">
        <v>3259</v>
      </c>
      <c r="AZ1105" s="0" t="s">
        <v>3260</v>
      </c>
      <c r="BA1105" s="0" t="s">
        <v>708</v>
      </c>
      <c r="BB1105" s="0" t="str">
        <f t="shared" si="17"/>
        <v>IHVNbeUshongo</v>
      </c>
    </row>
    <row r="1106">
      <c r="AV1106" s="0" t="s">
        <v>470</v>
      </c>
      <c r="AW1106" s="0" t="s">
        <v>394</v>
      </c>
      <c r="AX1106" s="0" t="s">
        <v>942</v>
      </c>
      <c r="AY1106" s="0" t="s">
        <v>3261</v>
      </c>
      <c r="AZ1106" s="0" t="s">
        <v>3262</v>
      </c>
      <c r="BA1106" s="0" t="s">
        <v>708</v>
      </c>
      <c r="BB1106" s="0" t="str">
        <f t="shared" si="17"/>
        <v>IHVNbeUshongo</v>
      </c>
    </row>
    <row r="1107">
      <c r="AV1107" s="0" t="s">
        <v>470</v>
      </c>
      <c r="AW1107" s="0" t="s">
        <v>394</v>
      </c>
      <c r="AX1107" s="0" t="s">
        <v>942</v>
      </c>
      <c r="AY1107" s="0" t="s">
        <v>3263</v>
      </c>
      <c r="AZ1107" s="0" t="s">
        <v>3264</v>
      </c>
      <c r="BA1107" s="0" t="s">
        <v>708</v>
      </c>
      <c r="BB1107" s="0" t="str">
        <f t="shared" si="17"/>
        <v>IHVNbeUshongo</v>
      </c>
    </row>
    <row r="1108">
      <c r="AV1108" s="0" t="s">
        <v>470</v>
      </c>
      <c r="AW1108" s="0" t="s">
        <v>394</v>
      </c>
      <c r="AX1108" s="0" t="s">
        <v>942</v>
      </c>
      <c r="AY1108" s="0" t="s">
        <v>3265</v>
      </c>
      <c r="AZ1108" s="0" t="s">
        <v>3266</v>
      </c>
      <c r="BA1108" s="0" t="s">
        <v>708</v>
      </c>
      <c r="BB1108" s="0" t="str">
        <f t="shared" si="17"/>
        <v>IHVNbeUshongo</v>
      </c>
    </row>
    <row r="1109">
      <c r="AV1109" s="0" t="s">
        <v>470</v>
      </c>
      <c r="AW1109" s="0" t="s">
        <v>394</v>
      </c>
      <c r="AX1109" s="0" t="s">
        <v>942</v>
      </c>
      <c r="AY1109" s="0" t="s">
        <v>3267</v>
      </c>
      <c r="AZ1109" s="0" t="s">
        <v>3268</v>
      </c>
      <c r="BA1109" s="0" t="s">
        <v>708</v>
      </c>
      <c r="BB1109" s="0" t="str">
        <f t="shared" si="17"/>
        <v>IHVNbeUshongo</v>
      </c>
    </row>
    <row r="1110">
      <c r="AV1110" s="0" t="s">
        <v>470</v>
      </c>
      <c r="AW1110" s="0" t="s">
        <v>394</v>
      </c>
      <c r="AX1110" s="0" t="s">
        <v>942</v>
      </c>
      <c r="AY1110" s="0" t="s">
        <v>3269</v>
      </c>
      <c r="AZ1110" s="0" t="s">
        <v>3270</v>
      </c>
      <c r="BA1110" s="0" t="s">
        <v>708</v>
      </c>
      <c r="BB1110" s="0" t="str">
        <f t="shared" si="17"/>
        <v>IHVNbeUshongo</v>
      </c>
    </row>
    <row r="1111">
      <c r="AV1111" s="0" t="s">
        <v>470</v>
      </c>
      <c r="AW1111" s="0" t="s">
        <v>394</v>
      </c>
      <c r="AX1111" s="0" t="s">
        <v>942</v>
      </c>
      <c r="AY1111" s="0" t="s">
        <v>3271</v>
      </c>
      <c r="AZ1111" s="0" t="s">
        <v>3272</v>
      </c>
      <c r="BA1111" s="0" t="s">
        <v>708</v>
      </c>
      <c r="BB1111" s="0" t="str">
        <f t="shared" si="17"/>
        <v>IHVNbeUshongo</v>
      </c>
    </row>
    <row r="1112">
      <c r="AV1112" s="0" t="s">
        <v>470</v>
      </c>
      <c r="AW1112" s="0" t="s">
        <v>394</v>
      </c>
      <c r="AX1112" s="0" t="s">
        <v>942</v>
      </c>
      <c r="AY1112" s="0" t="s">
        <v>3273</v>
      </c>
      <c r="AZ1112" s="0" t="s">
        <v>3274</v>
      </c>
      <c r="BA1112" s="0" t="s">
        <v>708</v>
      </c>
      <c r="BB1112" s="0" t="str">
        <f t="shared" si="17"/>
        <v>IHVNbeUshongo</v>
      </c>
    </row>
    <row r="1113">
      <c r="AV1113" s="0" t="s">
        <v>470</v>
      </c>
      <c r="AW1113" s="0" t="s">
        <v>394</v>
      </c>
      <c r="AX1113" s="0" t="s">
        <v>942</v>
      </c>
      <c r="AY1113" s="0" t="s">
        <v>3275</v>
      </c>
      <c r="AZ1113" s="0" t="s">
        <v>3276</v>
      </c>
      <c r="BA1113" s="0" t="s">
        <v>708</v>
      </c>
      <c r="BB1113" s="0" t="str">
        <f t="shared" si="17"/>
        <v>IHVNbeUshongo</v>
      </c>
    </row>
    <row r="1114">
      <c r="AV1114" s="0" t="s">
        <v>470</v>
      </c>
      <c r="AW1114" s="0" t="s">
        <v>394</v>
      </c>
      <c r="AX1114" s="0" t="s">
        <v>942</v>
      </c>
      <c r="AY1114" s="0" t="s">
        <v>3277</v>
      </c>
      <c r="AZ1114" s="0" t="s">
        <v>3278</v>
      </c>
      <c r="BA1114" s="0" t="s">
        <v>708</v>
      </c>
      <c r="BB1114" s="0" t="str">
        <f t="shared" si="17"/>
        <v>IHVNbeUshongo</v>
      </c>
    </row>
    <row r="1115">
      <c r="AV1115" s="0" t="s">
        <v>470</v>
      </c>
      <c r="AW1115" s="0" t="s">
        <v>394</v>
      </c>
      <c r="AX1115" s="0" t="s">
        <v>942</v>
      </c>
      <c r="AY1115" s="0" t="s">
        <v>3279</v>
      </c>
      <c r="AZ1115" s="0" t="s">
        <v>3280</v>
      </c>
      <c r="BA1115" s="0" t="s">
        <v>708</v>
      </c>
      <c r="BB1115" s="0" t="str">
        <f t="shared" si="17"/>
        <v>IHVNbeUshongo</v>
      </c>
    </row>
    <row r="1116">
      <c r="AV1116" s="0" t="s">
        <v>470</v>
      </c>
      <c r="AW1116" s="0" t="s">
        <v>394</v>
      </c>
      <c r="AX1116" s="0" t="s">
        <v>942</v>
      </c>
      <c r="AY1116" s="0" t="s">
        <v>3281</v>
      </c>
      <c r="AZ1116" s="0" t="s">
        <v>3282</v>
      </c>
      <c r="BA1116" s="0" t="s">
        <v>708</v>
      </c>
      <c r="BB1116" s="0" t="str">
        <f t="shared" si="17"/>
        <v>IHVNbeUshongo</v>
      </c>
    </row>
    <row r="1117">
      <c r="AV1117" s="0" t="s">
        <v>470</v>
      </c>
      <c r="AW1117" s="0" t="s">
        <v>394</v>
      </c>
      <c r="AX1117" s="0" t="s">
        <v>942</v>
      </c>
      <c r="AY1117" s="0" t="s">
        <v>3283</v>
      </c>
      <c r="AZ1117" s="0" t="s">
        <v>3284</v>
      </c>
      <c r="BA1117" s="0" t="s">
        <v>708</v>
      </c>
      <c r="BB1117" s="0" t="str">
        <f t="shared" si="17"/>
        <v>IHVNbeUshongo</v>
      </c>
    </row>
    <row r="1118">
      <c r="AV1118" s="0" t="s">
        <v>470</v>
      </c>
      <c r="AW1118" s="0" t="s">
        <v>394</v>
      </c>
      <c r="AX1118" s="0" t="s">
        <v>942</v>
      </c>
      <c r="AY1118" s="0" t="s">
        <v>3285</v>
      </c>
      <c r="AZ1118" s="0" t="s">
        <v>3286</v>
      </c>
      <c r="BA1118" s="0" t="s">
        <v>708</v>
      </c>
      <c r="BB1118" s="0" t="str">
        <f t="shared" si="17"/>
        <v>IHVNbeUshongo</v>
      </c>
    </row>
    <row r="1119">
      <c r="AV1119" s="0" t="s">
        <v>470</v>
      </c>
      <c r="AW1119" s="0" t="s">
        <v>394</v>
      </c>
      <c r="AX1119" s="0" t="s">
        <v>942</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949</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762</v>
      </c>
      <c r="AY1402" s="0" t="s">
        <v>3850</v>
      </c>
      <c r="AZ1402" s="0" t="s">
        <v>3851</v>
      </c>
      <c r="BA1402" s="0" t="s">
        <v>708</v>
      </c>
      <c r="BB1402" s="0" t="str">
        <f t="shared" si="21"/>
        <v>IHVNnaNasarawa</v>
      </c>
    </row>
    <row r="1403">
      <c r="AV1403" s="0" t="s">
        <v>470</v>
      </c>
      <c r="AW1403" s="0" t="s">
        <v>413</v>
      </c>
      <c r="AX1403" s="0" t="s">
        <v>762</v>
      </c>
      <c r="AY1403" s="0" t="s">
        <v>3852</v>
      </c>
      <c r="AZ1403" s="0" t="s">
        <v>3853</v>
      </c>
      <c r="BA1403" s="0" t="s">
        <v>708</v>
      </c>
      <c r="BB1403" s="0" t="str">
        <f t="shared" si="21"/>
        <v>IHVNnaNasarawa</v>
      </c>
    </row>
    <row r="1404">
      <c r="AV1404" s="0" t="s">
        <v>470</v>
      </c>
      <c r="AW1404" s="0" t="s">
        <v>413</v>
      </c>
      <c r="AX1404" s="0" t="s">
        <v>762</v>
      </c>
      <c r="AY1404" s="0" t="s">
        <v>3854</v>
      </c>
      <c r="AZ1404" s="0" t="s">
        <v>3855</v>
      </c>
      <c r="BA1404" s="0" t="s">
        <v>708</v>
      </c>
      <c r="BB1404" s="0" t="str">
        <f t="shared" si="21"/>
        <v>IHVNnaNasarawa</v>
      </c>
    </row>
    <row r="1405">
      <c r="AV1405" s="0" t="s">
        <v>470</v>
      </c>
      <c r="AW1405" s="0" t="s">
        <v>413</v>
      </c>
      <c r="AX1405" s="0" t="s">
        <v>762</v>
      </c>
      <c r="AY1405" s="0" t="s">
        <v>3856</v>
      </c>
      <c r="AZ1405" s="0" t="s">
        <v>3857</v>
      </c>
      <c r="BA1405" s="0" t="s">
        <v>708</v>
      </c>
      <c r="BB1405" s="0" t="str">
        <f t="shared" si="21"/>
        <v>IHVNnaNasarawa</v>
      </c>
    </row>
    <row r="1406">
      <c r="AV1406" s="0" t="s">
        <v>470</v>
      </c>
      <c r="AW1406" s="0" t="s">
        <v>413</v>
      </c>
      <c r="AX1406" s="0" t="s">
        <v>762</v>
      </c>
      <c r="AY1406" s="0" t="s">
        <v>3858</v>
      </c>
      <c r="AZ1406" s="0" t="s">
        <v>3859</v>
      </c>
      <c r="BA1406" s="0" t="s">
        <v>708</v>
      </c>
      <c r="BB1406" s="0" t="str">
        <f t="shared" si="21"/>
        <v>IHVNnaNasarawa</v>
      </c>
    </row>
    <row r="1407">
      <c r="AV1407" s="0" t="s">
        <v>470</v>
      </c>
      <c r="AW1407" s="0" t="s">
        <v>413</v>
      </c>
      <c r="AX1407" s="0" t="s">
        <v>762</v>
      </c>
      <c r="AY1407" s="0" t="s">
        <v>3860</v>
      </c>
      <c r="AZ1407" s="0" t="s">
        <v>3861</v>
      </c>
      <c r="BA1407" s="0" t="s">
        <v>708</v>
      </c>
      <c r="BB1407" s="0" t="str">
        <f t="shared" si="21"/>
        <v>IHVNnaNasarawa</v>
      </c>
    </row>
    <row r="1408">
      <c r="AV1408" s="0" t="s">
        <v>470</v>
      </c>
      <c r="AW1408" s="0" t="s">
        <v>413</v>
      </c>
      <c r="AX1408" s="0" t="s">
        <v>762</v>
      </c>
      <c r="AY1408" s="0" t="s">
        <v>3862</v>
      </c>
      <c r="AZ1408" s="0" t="s">
        <v>3863</v>
      </c>
      <c r="BA1408" s="0" t="s">
        <v>708</v>
      </c>
      <c r="BB1408" s="0" t="str">
        <f t="shared" si="21"/>
        <v>IHVNnaNasarawa</v>
      </c>
    </row>
    <row r="1409">
      <c r="AV1409" s="0" t="s">
        <v>470</v>
      </c>
      <c r="AW1409" s="0" t="s">
        <v>413</v>
      </c>
      <c r="AX1409" s="0" t="s">
        <v>762</v>
      </c>
      <c r="AY1409" s="0" t="s">
        <v>3864</v>
      </c>
      <c r="AZ1409" s="0" t="s">
        <v>3865</v>
      </c>
      <c r="BA1409" s="0" t="s">
        <v>708</v>
      </c>
      <c r="BB1409" s="0" t="str">
        <f t="shared" si="21"/>
        <v>IHVNnaNasarawa</v>
      </c>
    </row>
    <row r="1410">
      <c r="AV1410" s="0" t="s">
        <v>470</v>
      </c>
      <c r="AW1410" s="0" t="s">
        <v>413</v>
      </c>
      <c r="AX1410" s="0" t="s">
        <v>762</v>
      </c>
      <c r="AY1410" s="0" t="s">
        <v>3866</v>
      </c>
      <c r="AZ1410" s="0" t="s">
        <v>3867</v>
      </c>
      <c r="BA1410" s="0" t="s">
        <v>708</v>
      </c>
      <c r="BB1410" s="0" t="str">
        <f t="shared" si="21"/>
        <v>IHVNnaNasarawa</v>
      </c>
    </row>
    <row r="1411">
      <c r="AV1411" s="0" t="s">
        <v>470</v>
      </c>
      <c r="AW1411" s="0" t="s">
        <v>413</v>
      </c>
      <c r="AX1411" s="0" t="s">
        <v>762</v>
      </c>
      <c r="AY1411" s="0" t="s">
        <v>3868</v>
      </c>
      <c r="AZ1411" s="0" t="s">
        <v>3869</v>
      </c>
      <c r="BA1411" s="0" t="s">
        <v>708</v>
      </c>
      <c r="BB1411" s="0" t="str">
        <f ref="BB1411:BB1474" t="shared" si="22">SUBSTITUTE(SUBSTITUTE(BA1411&amp;AX1411," ",""),"-","")</f>
        <v>IHVNnaNasarawa</v>
      </c>
    </row>
    <row r="1412">
      <c r="AV1412" s="0" t="s">
        <v>470</v>
      </c>
      <c r="AW1412" s="0" t="s">
        <v>413</v>
      </c>
      <c r="AX1412" s="0" t="s">
        <v>762</v>
      </c>
      <c r="AY1412" s="0" t="s">
        <v>3870</v>
      </c>
      <c r="AZ1412" s="0" t="s">
        <v>3871</v>
      </c>
      <c r="BA1412" s="0" t="s">
        <v>708</v>
      </c>
      <c r="BB1412" s="0" t="str">
        <f t="shared" si="22"/>
        <v>IHVNnaNasarawa</v>
      </c>
    </row>
    <row r="1413">
      <c r="AV1413" s="0" t="s">
        <v>470</v>
      </c>
      <c r="AW1413" s="0" t="s">
        <v>413</v>
      </c>
      <c r="AX1413" s="0" t="s">
        <v>762</v>
      </c>
      <c r="AY1413" s="0" t="s">
        <v>3872</v>
      </c>
      <c r="AZ1413" s="0" t="s">
        <v>3873</v>
      </c>
      <c r="BA1413" s="0" t="s">
        <v>708</v>
      </c>
      <c r="BB1413" s="0" t="str">
        <f t="shared" si="22"/>
        <v>IHVNnaNasarawa</v>
      </c>
    </row>
    <row r="1414">
      <c r="AV1414" s="0" t="s">
        <v>470</v>
      </c>
      <c r="AW1414" s="0" t="s">
        <v>413</v>
      </c>
      <c r="AX1414" s="0" t="s">
        <v>762</v>
      </c>
      <c r="AY1414" s="0" t="s">
        <v>3874</v>
      </c>
      <c r="AZ1414" s="0" t="s">
        <v>3875</v>
      </c>
      <c r="BA1414" s="0" t="s">
        <v>708</v>
      </c>
      <c r="BB1414" s="0" t="str">
        <f t="shared" si="22"/>
        <v>IHVNnaNasarawa</v>
      </c>
    </row>
    <row r="1415">
      <c r="AV1415" s="0" t="s">
        <v>470</v>
      </c>
      <c r="AW1415" s="0" t="s">
        <v>413</v>
      </c>
      <c r="AX1415" s="0" t="s">
        <v>762</v>
      </c>
      <c r="AY1415" s="0" t="s">
        <v>3876</v>
      </c>
      <c r="AZ1415" s="0" t="s">
        <v>3877</v>
      </c>
      <c r="BA1415" s="0" t="s">
        <v>708</v>
      </c>
      <c r="BB1415" s="0" t="str">
        <f t="shared" si="22"/>
        <v>IHVNnaNasarawa</v>
      </c>
    </row>
    <row r="1416">
      <c r="AV1416" s="0" t="s">
        <v>470</v>
      </c>
      <c r="AW1416" s="0" t="s">
        <v>413</v>
      </c>
      <c r="AX1416" s="0" t="s">
        <v>762</v>
      </c>
      <c r="AY1416" s="0" t="s">
        <v>3878</v>
      </c>
      <c r="AZ1416" s="0" t="s">
        <v>3879</v>
      </c>
      <c r="BA1416" s="0" t="s">
        <v>708</v>
      </c>
      <c r="BB1416" s="0" t="str">
        <f t="shared" si="22"/>
        <v>IHVNnaNasarawa</v>
      </c>
    </row>
    <row r="1417">
      <c r="AV1417" s="0" t="s">
        <v>470</v>
      </c>
      <c r="AW1417" s="0" t="s">
        <v>413</v>
      </c>
      <c r="AX1417" s="0" t="s">
        <v>762</v>
      </c>
      <c r="AY1417" s="0" t="s">
        <v>3880</v>
      </c>
      <c r="AZ1417" s="0" t="s">
        <v>3881</v>
      </c>
      <c r="BA1417" s="0" t="s">
        <v>708</v>
      </c>
      <c r="BB1417" s="0" t="str">
        <f t="shared" si="22"/>
        <v>IHVNnaNasarawa</v>
      </c>
    </row>
    <row r="1418">
      <c r="AV1418" s="0" t="s">
        <v>470</v>
      </c>
      <c r="AW1418" s="0" t="s">
        <v>413</v>
      </c>
      <c r="AX1418" s="0" t="s">
        <v>762</v>
      </c>
      <c r="AY1418" s="0" t="s">
        <v>3882</v>
      </c>
      <c r="AZ1418" s="0" t="s">
        <v>3883</v>
      </c>
      <c r="BA1418" s="0" t="s">
        <v>708</v>
      </c>
      <c r="BB1418" s="0" t="str">
        <f t="shared" si="22"/>
        <v>IHVNnaNasarawa</v>
      </c>
    </row>
    <row r="1419">
      <c r="AV1419" s="0" t="s">
        <v>470</v>
      </c>
      <c r="AW1419" s="0" t="s">
        <v>413</v>
      </c>
      <c r="AX1419" s="0" t="s">
        <v>762</v>
      </c>
      <c r="AY1419" s="0" t="s">
        <v>3884</v>
      </c>
      <c r="AZ1419" s="0" t="s">
        <v>3885</v>
      </c>
      <c r="BA1419" s="0" t="s">
        <v>708</v>
      </c>
      <c r="BB1419" s="0" t="str">
        <f t="shared" si="22"/>
        <v>IHVNnaNasarawa</v>
      </c>
    </row>
    <row r="1420">
      <c r="AV1420" s="0" t="s">
        <v>470</v>
      </c>
      <c r="AW1420" s="0" t="s">
        <v>413</v>
      </c>
      <c r="AX1420" s="0" t="s">
        <v>762</v>
      </c>
      <c r="AY1420" s="0" t="s">
        <v>3886</v>
      </c>
      <c r="AZ1420" s="0" t="s">
        <v>3887</v>
      </c>
      <c r="BA1420" s="0" t="s">
        <v>708</v>
      </c>
      <c r="BB1420" s="0" t="str">
        <f t="shared" si="22"/>
        <v>IHVNnaNasarawa</v>
      </c>
    </row>
    <row r="1421">
      <c r="AV1421" s="0" t="s">
        <v>470</v>
      </c>
      <c r="AW1421" s="0" t="s">
        <v>413</v>
      </c>
      <c r="AX1421" s="0" t="s">
        <v>762</v>
      </c>
      <c r="AY1421" s="0" t="s">
        <v>3888</v>
      </c>
      <c r="AZ1421" s="0" t="s">
        <v>3889</v>
      </c>
      <c r="BA1421" s="0" t="s">
        <v>708</v>
      </c>
      <c r="BB1421" s="0" t="str">
        <f t="shared" si="22"/>
        <v>IHVNnaNasarawa</v>
      </c>
    </row>
    <row r="1422">
      <c r="AV1422" s="0" t="s">
        <v>470</v>
      </c>
      <c r="AW1422" s="0" t="s">
        <v>413</v>
      </c>
      <c r="AX1422" s="0" t="s">
        <v>762</v>
      </c>
      <c r="AY1422" s="0" t="s">
        <v>3890</v>
      </c>
      <c r="AZ1422" s="0" t="s">
        <v>3891</v>
      </c>
      <c r="BA1422" s="0" t="s">
        <v>708</v>
      </c>
      <c r="BB1422" s="0" t="str">
        <f t="shared" si="22"/>
        <v>IHVNnaNasarawa</v>
      </c>
    </row>
    <row r="1423">
      <c r="AV1423" s="0" t="s">
        <v>470</v>
      </c>
      <c r="AW1423" s="0" t="s">
        <v>413</v>
      </c>
      <c r="AX1423" s="0" t="s">
        <v>762</v>
      </c>
      <c r="AY1423" s="0" t="s">
        <v>3892</v>
      </c>
      <c r="AZ1423" s="0" t="s">
        <v>3893</v>
      </c>
      <c r="BA1423" s="0" t="s">
        <v>708</v>
      </c>
      <c r="BB1423" s="0" t="str">
        <f t="shared" si="22"/>
        <v>IHVNnaNasarawa</v>
      </c>
    </row>
    <row r="1424">
      <c r="AV1424" s="0" t="s">
        <v>470</v>
      </c>
      <c r="AW1424" s="0" t="s">
        <v>413</v>
      </c>
      <c r="AX1424" s="0" t="s">
        <v>762</v>
      </c>
      <c r="AY1424" s="0" t="s">
        <v>3894</v>
      </c>
      <c r="AZ1424" s="0" t="s">
        <v>3895</v>
      </c>
      <c r="BA1424" s="0" t="s">
        <v>708</v>
      </c>
      <c r="BB1424" s="0" t="str">
        <f t="shared" si="22"/>
        <v>IHVNnaNasarawa</v>
      </c>
    </row>
    <row r="1425">
      <c r="AV1425" s="0" t="s">
        <v>470</v>
      </c>
      <c r="AW1425" s="0" t="s">
        <v>413</v>
      </c>
      <c r="AX1425" s="0" t="s">
        <v>762</v>
      </c>
      <c r="AY1425" s="0" t="s">
        <v>3896</v>
      </c>
      <c r="AZ1425" s="0" t="s">
        <v>3897</v>
      </c>
      <c r="BA1425" s="0" t="s">
        <v>708</v>
      </c>
      <c r="BB1425" s="0" t="str">
        <f t="shared" si="22"/>
        <v>IHVNnaNasarawa</v>
      </c>
    </row>
    <row r="1426">
      <c r="AV1426" s="0" t="s">
        <v>470</v>
      </c>
      <c r="AW1426" s="0" t="s">
        <v>413</v>
      </c>
      <c r="AX1426" s="0" t="s">
        <v>762</v>
      </c>
      <c r="AY1426" s="0" t="s">
        <v>3898</v>
      </c>
      <c r="AZ1426" s="0" t="s">
        <v>3899</v>
      </c>
      <c r="BA1426" s="0" t="s">
        <v>708</v>
      </c>
      <c r="BB1426" s="0" t="str">
        <f t="shared" si="22"/>
        <v>IHVNnaNasarawa</v>
      </c>
    </row>
    <row r="1427">
      <c r="AV1427" s="0" t="s">
        <v>470</v>
      </c>
      <c r="AW1427" s="0" t="s">
        <v>413</v>
      </c>
      <c r="AX1427" s="0" t="s">
        <v>762</v>
      </c>
      <c r="AY1427" s="0" t="s">
        <v>3900</v>
      </c>
      <c r="AZ1427" s="0" t="s">
        <v>3901</v>
      </c>
      <c r="BA1427" s="0" t="s">
        <v>708</v>
      </c>
      <c r="BB1427" s="0" t="str">
        <f t="shared" si="22"/>
        <v>IHVNnaNasarawa</v>
      </c>
    </row>
    <row r="1428">
      <c r="AV1428" s="0" t="s">
        <v>470</v>
      </c>
      <c r="AW1428" s="0" t="s">
        <v>413</v>
      </c>
      <c r="AX1428" s="0" t="s">
        <v>762</v>
      </c>
      <c r="AY1428" s="0" t="s">
        <v>3902</v>
      </c>
      <c r="AZ1428" s="0" t="s">
        <v>3903</v>
      </c>
      <c r="BA1428" s="0" t="s">
        <v>708</v>
      </c>
      <c r="BB1428" s="0" t="str">
        <f t="shared" si="22"/>
        <v>IHVNnaNasarawa</v>
      </c>
    </row>
    <row r="1429">
      <c r="AV1429" s="0" t="s">
        <v>470</v>
      </c>
      <c r="AW1429" s="0" t="s">
        <v>413</v>
      </c>
      <c r="AX1429" s="0" t="s">
        <v>794</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823</v>
      </c>
      <c r="AY1443" s="0" t="s">
        <v>3932</v>
      </c>
      <c r="AZ1443" s="0" t="s">
        <v>3933</v>
      </c>
      <c r="BA1443" s="0" t="s">
        <v>708</v>
      </c>
      <c r="BB1443" s="0" t="str">
        <f t="shared" si="22"/>
        <v>IHVNnaToto</v>
      </c>
    </row>
    <row r="1444">
      <c r="AV1444" s="0" t="s">
        <v>470</v>
      </c>
      <c r="AW1444" s="0" t="s">
        <v>413</v>
      </c>
      <c r="AX1444" s="0" t="s">
        <v>823</v>
      </c>
      <c r="AY1444" s="0" t="s">
        <v>3934</v>
      </c>
      <c r="AZ1444" s="0" t="s">
        <v>3935</v>
      </c>
      <c r="BA1444" s="0" t="s">
        <v>708</v>
      </c>
      <c r="BB1444" s="0" t="str">
        <f t="shared" si="22"/>
        <v>IHVNnaToto</v>
      </c>
    </row>
    <row r="1445">
      <c r="AV1445" s="0" t="s">
        <v>470</v>
      </c>
      <c r="AW1445" s="0" t="s">
        <v>413</v>
      </c>
      <c r="AX1445" s="0" t="s">
        <v>823</v>
      </c>
      <c r="AY1445" s="0" t="s">
        <v>3936</v>
      </c>
      <c r="AZ1445" s="0" t="s">
        <v>3937</v>
      </c>
      <c r="BA1445" s="0" t="s">
        <v>708</v>
      </c>
      <c r="BB1445" s="0" t="str">
        <f t="shared" si="22"/>
        <v>IHVNnaToto</v>
      </c>
    </row>
    <row r="1446">
      <c r="AV1446" s="0" t="s">
        <v>470</v>
      </c>
      <c r="AW1446" s="0" t="s">
        <v>415</v>
      </c>
      <c r="AX1446" s="0" t="s">
        <v>660</v>
      </c>
      <c r="AY1446" s="0" t="s">
        <v>3938</v>
      </c>
      <c r="AZ1446" s="0" t="s">
        <v>3939</v>
      </c>
      <c r="BA1446" s="0" t="s">
        <v>708</v>
      </c>
      <c r="BB1446" s="0" t="str">
        <f t="shared" si="22"/>
        <v>IHVNogAbeokutaNorth</v>
      </c>
    </row>
    <row r="1447">
      <c r="AV1447" s="0" t="s">
        <v>470</v>
      </c>
      <c r="AW1447" s="0" t="s">
        <v>415</v>
      </c>
      <c r="AX1447" s="0" t="s">
        <v>696</v>
      </c>
      <c r="AY1447" s="0" t="s">
        <v>3940</v>
      </c>
      <c r="AZ1447" s="0" t="s">
        <v>3941</v>
      </c>
      <c r="BA1447" s="0" t="s">
        <v>708</v>
      </c>
      <c r="BB1447" s="0" t="str">
        <f t="shared" si="22"/>
        <v>IHVNogAbeokutaSouth</v>
      </c>
    </row>
    <row r="1448">
      <c r="AV1448" s="0" t="s">
        <v>470</v>
      </c>
      <c r="AW1448" s="0" t="s">
        <v>415</v>
      </c>
      <c r="AX1448" s="0" t="s">
        <v>696</v>
      </c>
      <c r="AY1448" s="0" t="s">
        <v>3942</v>
      </c>
      <c r="AZ1448" s="0" t="s">
        <v>3943</v>
      </c>
      <c r="BA1448" s="0" t="s">
        <v>708</v>
      </c>
      <c r="BB1448" s="0" t="str">
        <f t="shared" si="22"/>
        <v>IHVNogAbeokutaSouth</v>
      </c>
    </row>
    <row r="1449">
      <c r="AV1449" s="0" t="s">
        <v>470</v>
      </c>
      <c r="AW1449" s="0" t="s">
        <v>415</v>
      </c>
      <c r="AX1449" s="0" t="s">
        <v>622</v>
      </c>
      <c r="AY1449" s="0" t="s">
        <v>3944</v>
      </c>
      <c r="AZ1449" s="0" t="s">
        <v>3945</v>
      </c>
      <c r="BA1449" s="0" t="s">
        <v>708</v>
      </c>
      <c r="BB1449" s="0" t="str">
        <f t="shared" si="22"/>
        <v>IHVNogIfo</v>
      </c>
    </row>
    <row r="1450">
      <c r="AV1450" s="0" t="s">
        <v>470</v>
      </c>
      <c r="AW1450" s="0" t="s">
        <v>415</v>
      </c>
      <c r="AX1450" s="0" t="s">
        <v>622</v>
      </c>
      <c r="AY1450" s="0" t="s">
        <v>3946</v>
      </c>
      <c r="AZ1450" s="0" t="s">
        <v>3947</v>
      </c>
      <c r="BA1450" s="0" t="s">
        <v>708</v>
      </c>
      <c r="BB1450" s="0" t="str">
        <f t="shared" si="22"/>
        <v>IHVNogIfo</v>
      </c>
    </row>
    <row r="1451">
      <c r="AV1451" s="0" t="s">
        <v>470</v>
      </c>
      <c r="AW1451" s="0" t="s">
        <v>415</v>
      </c>
      <c r="AX1451" s="0" t="s">
        <v>731</v>
      </c>
      <c r="AY1451" s="0" t="s">
        <v>3948</v>
      </c>
      <c r="AZ1451" s="0" t="s">
        <v>3949</v>
      </c>
      <c r="BA1451" s="0" t="s">
        <v>708</v>
      </c>
      <c r="BB1451" s="0" t="str">
        <f t="shared" si="22"/>
        <v>IHVNogIjebuOde</v>
      </c>
    </row>
    <row r="1452">
      <c r="AV1452" s="0" t="s">
        <v>470</v>
      </c>
      <c r="AW1452" s="0" t="s">
        <v>415</v>
      </c>
      <c r="AX1452" s="0" t="s">
        <v>731</v>
      </c>
      <c r="AY1452" s="0" t="s">
        <v>3950</v>
      </c>
      <c r="AZ1452" s="0" t="s">
        <v>3951</v>
      </c>
      <c r="BA1452" s="0" t="s">
        <v>708</v>
      </c>
      <c r="BB1452" s="0" t="str">
        <f t="shared" si="22"/>
        <v>IHVNogIjebuOde</v>
      </c>
    </row>
    <row r="1453">
      <c r="AV1453" s="0" t="s">
        <v>470</v>
      </c>
      <c r="AW1453" s="0" t="s">
        <v>415</v>
      </c>
      <c r="AX1453" s="0" t="s">
        <v>764</v>
      </c>
      <c r="AY1453" s="0" t="s">
        <v>3952</v>
      </c>
      <c r="AZ1453" s="0" t="s">
        <v>3953</v>
      </c>
      <c r="BA1453" s="0" t="s">
        <v>708</v>
      </c>
      <c r="BB1453" s="0" t="str">
        <f t="shared" si="22"/>
        <v>IHVNogSagamu</v>
      </c>
    </row>
    <row r="1454">
      <c r="AV1454" s="0" t="s">
        <v>470</v>
      </c>
      <c r="AW1454" s="0" t="s">
        <v>415</v>
      </c>
      <c r="AX1454" s="0" t="s">
        <v>764</v>
      </c>
      <c r="AY1454" s="0" t="s">
        <v>3954</v>
      </c>
      <c r="AZ1454" s="0" t="s">
        <v>3955</v>
      </c>
      <c r="BA1454" s="0" t="s">
        <v>708</v>
      </c>
      <c r="BB1454" s="0" t="str">
        <f t="shared" si="22"/>
        <v>IHVNogSagamu</v>
      </c>
    </row>
    <row r="1455">
      <c r="AV1455" s="0" t="s">
        <v>470</v>
      </c>
      <c r="AW1455" s="0" t="s">
        <v>416</v>
      </c>
      <c r="AX1455" s="0" t="s">
        <v>623</v>
      </c>
      <c r="AY1455" s="0" t="s">
        <v>3956</v>
      </c>
      <c r="AZ1455" s="0" t="s">
        <v>3957</v>
      </c>
      <c r="BA1455" s="0" t="s">
        <v>708</v>
      </c>
      <c r="BB1455" s="0" t="str">
        <f t="shared" si="22"/>
        <v>IHVNonAkokoNorthEast</v>
      </c>
    </row>
    <row r="1456">
      <c r="AV1456" s="0" t="s">
        <v>470</v>
      </c>
      <c r="AW1456" s="0" t="s">
        <v>416</v>
      </c>
      <c r="AX1456" s="0" t="s">
        <v>461</v>
      </c>
      <c r="AY1456" s="0" t="s">
        <v>3958</v>
      </c>
      <c r="AZ1456" s="0" t="s">
        <v>3959</v>
      </c>
      <c r="BA1456" s="0" t="s">
        <v>708</v>
      </c>
      <c r="BB1456" s="0" t="str">
        <f t="shared" si="22"/>
        <v>IHVNonAkokoSouthWest</v>
      </c>
    </row>
    <row r="1457">
      <c r="AV1457" s="0" t="s">
        <v>470</v>
      </c>
      <c r="AW1457" s="0" t="s">
        <v>416</v>
      </c>
      <c r="AX1457" s="0" t="s">
        <v>661</v>
      </c>
      <c r="AY1457" s="0" t="s">
        <v>3960</v>
      </c>
      <c r="AZ1457" s="0" t="s">
        <v>3961</v>
      </c>
      <c r="BA1457" s="0" t="s">
        <v>708</v>
      </c>
      <c r="BB1457" s="0" t="str">
        <f t="shared" si="22"/>
        <v>IHVNonAkureSouth</v>
      </c>
    </row>
    <row r="1458">
      <c r="AV1458" s="0" t="s">
        <v>470</v>
      </c>
      <c r="AW1458" s="0" t="s">
        <v>416</v>
      </c>
      <c r="AX1458" s="0" t="s">
        <v>661</v>
      </c>
      <c r="AY1458" s="0" t="s">
        <v>3962</v>
      </c>
      <c r="AZ1458" s="0" t="s">
        <v>3963</v>
      </c>
      <c r="BA1458" s="0" t="s">
        <v>708</v>
      </c>
      <c r="BB1458" s="0" t="str">
        <f t="shared" si="22"/>
        <v>IHVNonAkureSouth</v>
      </c>
    </row>
    <row r="1459">
      <c r="AV1459" s="0" t="s">
        <v>470</v>
      </c>
      <c r="AW1459" s="0" t="s">
        <v>416</v>
      </c>
      <c r="AX1459" s="0" t="s">
        <v>661</v>
      </c>
      <c r="AY1459" s="0" t="s">
        <v>3964</v>
      </c>
      <c r="AZ1459" s="0" t="s">
        <v>3965</v>
      </c>
      <c r="BA1459" s="0" t="s">
        <v>708</v>
      </c>
      <c r="BB1459" s="0" t="str">
        <f t="shared" si="22"/>
        <v>IHVNonAkureSouth</v>
      </c>
    </row>
    <row r="1460">
      <c r="AV1460" s="0" t="s">
        <v>470</v>
      </c>
      <c r="AW1460" s="0" t="s">
        <v>416</v>
      </c>
      <c r="AX1460" s="0" t="s">
        <v>697</v>
      </c>
      <c r="AY1460" s="0" t="s">
        <v>3966</v>
      </c>
      <c r="AZ1460" s="0" t="s">
        <v>3967</v>
      </c>
      <c r="BA1460" s="0" t="s">
        <v>708</v>
      </c>
      <c r="BB1460" s="0" t="str">
        <f t="shared" si="22"/>
        <v>IHVNonOdigbo</v>
      </c>
    </row>
    <row r="1461">
      <c r="AV1461" s="0" t="s">
        <v>470</v>
      </c>
      <c r="AW1461" s="0" t="s">
        <v>416</v>
      </c>
      <c r="AX1461" s="0" t="s">
        <v>544</v>
      </c>
      <c r="AY1461" s="0" t="s">
        <v>3968</v>
      </c>
      <c r="AZ1461" s="0" t="s">
        <v>3969</v>
      </c>
      <c r="BA1461" s="0" t="s">
        <v>708</v>
      </c>
      <c r="BB1461" s="0" t="str">
        <f t="shared" si="22"/>
        <v>IHVNonOndoWest</v>
      </c>
    </row>
    <row r="1462">
      <c r="AV1462" s="0" t="s">
        <v>470</v>
      </c>
      <c r="AW1462" s="0" t="s">
        <v>416</v>
      </c>
      <c r="AX1462" s="0" t="s">
        <v>584</v>
      </c>
      <c r="AY1462" s="0" t="s">
        <v>3970</v>
      </c>
      <c r="AZ1462" s="0" t="s">
        <v>3971</v>
      </c>
      <c r="BA1462" s="0" t="s">
        <v>708</v>
      </c>
      <c r="BB1462" s="0" t="str">
        <f t="shared" si="22"/>
        <v>IHVNonOwo</v>
      </c>
    </row>
    <row r="1463">
      <c r="AV1463" s="0" t="s">
        <v>470</v>
      </c>
      <c r="AW1463" s="0" t="s">
        <v>417</v>
      </c>
      <c r="AX1463" s="0" t="s">
        <v>585</v>
      </c>
      <c r="AY1463" s="0" t="s">
        <v>3972</v>
      </c>
      <c r="AZ1463" s="0" t="s">
        <v>3973</v>
      </c>
      <c r="BA1463" s="0" t="s">
        <v>708</v>
      </c>
      <c r="BB1463" s="0" t="str">
        <f t="shared" si="22"/>
        <v>IHVNosEdeSouth</v>
      </c>
    </row>
    <row r="1464">
      <c r="AV1464" s="0" t="s">
        <v>470</v>
      </c>
      <c r="AW1464" s="0" t="s">
        <v>417</v>
      </c>
      <c r="AX1464" s="0" t="s">
        <v>624</v>
      </c>
      <c r="AY1464" s="0" t="s">
        <v>3974</v>
      </c>
      <c r="AZ1464" s="0" t="s">
        <v>3975</v>
      </c>
      <c r="BA1464" s="0" t="s">
        <v>708</v>
      </c>
      <c r="BB1464" s="0" t="str">
        <f t="shared" si="22"/>
        <v>IHVNosIfeCentral</v>
      </c>
    </row>
    <row r="1465">
      <c r="AV1465" s="0" t="s">
        <v>470</v>
      </c>
      <c r="AW1465" s="0" t="s">
        <v>417</v>
      </c>
      <c r="AX1465" s="0" t="s">
        <v>624</v>
      </c>
      <c r="AY1465" s="0" t="s">
        <v>3976</v>
      </c>
      <c r="AZ1465" s="0" t="s">
        <v>3977</v>
      </c>
      <c r="BA1465" s="0" t="s">
        <v>708</v>
      </c>
      <c r="BB1465" s="0" t="str">
        <f t="shared" si="22"/>
        <v>IHVNosIfeCentral</v>
      </c>
    </row>
    <row r="1466">
      <c r="AV1466" s="0" t="s">
        <v>470</v>
      </c>
      <c r="AW1466" s="0" t="s">
        <v>417</v>
      </c>
      <c r="AX1466" s="0" t="s">
        <v>662</v>
      </c>
      <c r="AY1466" s="0" t="s">
        <v>3978</v>
      </c>
      <c r="AZ1466" s="0" t="s">
        <v>3979</v>
      </c>
      <c r="BA1466" s="0" t="s">
        <v>708</v>
      </c>
      <c r="BB1466" s="0" t="str">
        <f t="shared" si="22"/>
        <v>IHVNosIla</v>
      </c>
    </row>
    <row r="1467">
      <c r="AV1467" s="0" t="s">
        <v>470</v>
      </c>
      <c r="AW1467" s="0" t="s">
        <v>417</v>
      </c>
      <c r="AX1467" s="0" t="s">
        <v>662</v>
      </c>
      <c r="AY1467" s="0" t="s">
        <v>3980</v>
      </c>
      <c r="AZ1467" s="0" t="s">
        <v>3981</v>
      </c>
      <c r="BA1467" s="0" t="s">
        <v>708</v>
      </c>
      <c r="BB1467" s="0" t="str">
        <f t="shared" si="22"/>
        <v>IHVNosIla</v>
      </c>
    </row>
    <row r="1468">
      <c r="AV1468" s="0" t="s">
        <v>470</v>
      </c>
      <c r="AW1468" s="0" t="s">
        <v>417</v>
      </c>
      <c r="AX1468" s="0" t="s">
        <v>698</v>
      </c>
      <c r="AY1468" s="0" t="s">
        <v>3982</v>
      </c>
      <c r="AZ1468" s="0" t="s">
        <v>3983</v>
      </c>
      <c r="BA1468" s="0" t="s">
        <v>708</v>
      </c>
      <c r="BB1468" s="0" t="str">
        <f t="shared" si="22"/>
        <v>IHVNosIleshaEast</v>
      </c>
    </row>
    <row r="1469">
      <c r="AV1469" s="0" t="s">
        <v>470</v>
      </c>
      <c r="AW1469" s="0" t="s">
        <v>417</v>
      </c>
      <c r="AX1469" s="0" t="s">
        <v>732</v>
      </c>
      <c r="AY1469" s="0" t="s">
        <v>3984</v>
      </c>
      <c r="AZ1469" s="0" t="s">
        <v>3985</v>
      </c>
      <c r="BA1469" s="0" t="s">
        <v>708</v>
      </c>
      <c r="BB1469" s="0" t="str">
        <f t="shared" si="22"/>
        <v>IHVNosIrewole</v>
      </c>
    </row>
    <row r="1470">
      <c r="AV1470" s="0" t="s">
        <v>470</v>
      </c>
      <c r="AW1470" s="0" t="s">
        <v>417</v>
      </c>
      <c r="AX1470" s="0" t="s">
        <v>732</v>
      </c>
      <c r="AY1470" s="0" t="s">
        <v>3986</v>
      </c>
      <c r="AZ1470" s="0" t="s">
        <v>3987</v>
      </c>
      <c r="BA1470" s="0" t="s">
        <v>708</v>
      </c>
      <c r="BB1470" s="0" t="str">
        <f t="shared" si="22"/>
        <v>IHVNosIrewole</v>
      </c>
    </row>
    <row r="1471">
      <c r="AV1471" s="0" t="s">
        <v>470</v>
      </c>
      <c r="AW1471" s="0" t="s">
        <v>417</v>
      </c>
      <c r="AX1471" s="0" t="s">
        <v>545</v>
      </c>
      <c r="AY1471" s="0" t="s">
        <v>3988</v>
      </c>
      <c r="AZ1471" s="0" t="s">
        <v>3989</v>
      </c>
      <c r="BA1471" s="0" t="s">
        <v>708</v>
      </c>
      <c r="BB1471" s="0" t="str">
        <f t="shared" si="22"/>
        <v>IHVNosIwo</v>
      </c>
    </row>
    <row r="1472">
      <c r="AV1472" s="0" t="s">
        <v>470</v>
      </c>
      <c r="AW1472" s="0" t="s">
        <v>417</v>
      </c>
      <c r="AX1472" s="0" t="s">
        <v>765</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742</v>
      </c>
      <c r="BB1473" s="0" t="str">
        <f t="shared" si="22"/>
        <v>PHIfcKwali</v>
      </c>
    </row>
    <row r="1474">
      <c r="AV1474" s="0" t="s">
        <v>470</v>
      </c>
      <c r="AW1474" s="0" t="s">
        <v>402</v>
      </c>
      <c r="AX1474" s="0" t="s">
        <v>649</v>
      </c>
      <c r="AY1474" s="0" t="s">
        <v>3994</v>
      </c>
      <c r="AZ1474" s="0" t="s">
        <v>3995</v>
      </c>
      <c r="BA1474" s="0" t="s">
        <v>742</v>
      </c>
      <c r="BB1474" s="0" t="str">
        <f t="shared" si="22"/>
        <v>PHIfcKwali</v>
      </c>
    </row>
    <row r="1475">
      <c r="AV1475" s="0" t="s">
        <v>470</v>
      </c>
      <c r="AW1475" s="0" t="s">
        <v>402</v>
      </c>
      <c r="AX1475" s="0" t="s">
        <v>649</v>
      </c>
      <c r="AY1475" s="0" t="s">
        <v>3996</v>
      </c>
      <c r="AZ1475" s="0" t="s">
        <v>3997</v>
      </c>
      <c r="BA1475" s="0" t="s">
        <v>742</v>
      </c>
      <c r="BB1475" s="0" t="str">
        <f ref="BB1475:BB1504" t="shared" si="23">SUBSTITUTE(SUBSTITUTE(BA1475&amp;AX1475," ",""),"-","")</f>
        <v>PHIfcKwali</v>
      </c>
    </row>
    <row r="1476">
      <c r="AV1476" s="0" t="s">
        <v>470</v>
      </c>
      <c r="AW1476" s="0" t="s">
        <v>402</v>
      </c>
      <c r="AX1476" s="0" t="s">
        <v>649</v>
      </c>
      <c r="AY1476" s="0" t="s">
        <v>3998</v>
      </c>
      <c r="AZ1476" s="0" t="s">
        <v>3999</v>
      </c>
      <c r="BA1476" s="0" t="s">
        <v>742</v>
      </c>
      <c r="BB1476" s="0" t="str">
        <f t="shared" si="23"/>
        <v>PHIfcKwali</v>
      </c>
    </row>
    <row r="1477">
      <c r="AV1477" s="0" t="s">
        <v>470</v>
      </c>
      <c r="AW1477" s="0" t="s">
        <v>402</v>
      </c>
      <c r="AX1477" s="0" t="s">
        <v>649</v>
      </c>
      <c r="AY1477" s="0" t="s">
        <v>4000</v>
      </c>
      <c r="AZ1477" s="0" t="s">
        <v>4001</v>
      </c>
      <c r="BA1477" s="0" t="s">
        <v>742</v>
      </c>
      <c r="BB1477" s="0" t="str">
        <f t="shared" si="23"/>
        <v>PHIfcKwali</v>
      </c>
    </row>
    <row r="1478">
      <c r="AV1478" s="0" t="s">
        <v>470</v>
      </c>
      <c r="AW1478" s="0" t="s">
        <v>413</v>
      </c>
      <c r="AX1478" s="0" t="s">
        <v>458</v>
      </c>
      <c r="AY1478" s="0" t="s">
        <v>4002</v>
      </c>
      <c r="AZ1478" s="0" t="s">
        <v>4003</v>
      </c>
      <c r="BA1478" s="0" t="s">
        <v>742</v>
      </c>
      <c r="BB1478" s="0" t="str">
        <f t="shared" si="23"/>
        <v>PHInaAkwanga</v>
      </c>
    </row>
    <row r="1479">
      <c r="AV1479" s="0" t="s">
        <v>470</v>
      </c>
      <c r="AW1479" s="0" t="s">
        <v>413</v>
      </c>
      <c r="AX1479" s="0" t="s">
        <v>458</v>
      </c>
      <c r="AY1479" s="0" t="s">
        <v>4004</v>
      </c>
      <c r="AZ1479" s="0" t="s">
        <v>4005</v>
      </c>
      <c r="BA1479" s="0" t="s">
        <v>742</v>
      </c>
      <c r="BB1479" s="0" t="str">
        <f t="shared" si="23"/>
        <v>PHInaAkwanga</v>
      </c>
    </row>
    <row r="1480">
      <c r="AV1480" s="0" t="s">
        <v>470</v>
      </c>
      <c r="AW1480" s="0" t="s">
        <v>413</v>
      </c>
      <c r="AX1480" s="0" t="s">
        <v>458</v>
      </c>
      <c r="AY1480" s="0" t="s">
        <v>4006</v>
      </c>
      <c r="AZ1480" s="0" t="s">
        <v>4007</v>
      </c>
      <c r="BA1480" s="0" t="s">
        <v>742</v>
      </c>
      <c r="BB1480" s="0" t="str">
        <f t="shared" si="23"/>
        <v>PHInaAkwanga</v>
      </c>
    </row>
    <row r="1481">
      <c r="AV1481" s="0" t="s">
        <v>470</v>
      </c>
      <c r="AW1481" s="0" t="s">
        <v>413</v>
      </c>
      <c r="AX1481" s="0" t="s">
        <v>458</v>
      </c>
      <c r="AY1481" s="0" t="s">
        <v>4008</v>
      </c>
      <c r="AZ1481" s="0" t="s">
        <v>4009</v>
      </c>
      <c r="BA1481" s="0" t="s">
        <v>742</v>
      </c>
      <c r="BB1481" s="0" t="str">
        <f t="shared" si="23"/>
        <v>PHInaAkwanga</v>
      </c>
    </row>
    <row r="1482">
      <c r="AV1482" s="0" t="s">
        <v>470</v>
      </c>
      <c r="AW1482" s="0" t="s">
        <v>413</v>
      </c>
      <c r="AX1482" s="0" t="s">
        <v>458</v>
      </c>
      <c r="AY1482" s="0" t="s">
        <v>4010</v>
      </c>
      <c r="AZ1482" s="0" t="s">
        <v>4011</v>
      </c>
      <c r="BA1482" s="0" t="s">
        <v>742</v>
      </c>
      <c r="BB1482" s="0" t="str">
        <f t="shared" si="23"/>
        <v>PHInaAkwanga</v>
      </c>
    </row>
    <row r="1483">
      <c r="AV1483" s="0" t="s">
        <v>470</v>
      </c>
      <c r="AW1483" s="0" t="s">
        <v>413</v>
      </c>
      <c r="AX1483" s="0" t="s">
        <v>458</v>
      </c>
      <c r="AY1483" s="0" t="s">
        <v>4012</v>
      </c>
      <c r="AZ1483" s="0" t="s">
        <v>4013</v>
      </c>
      <c r="BA1483" s="0" t="s">
        <v>742</v>
      </c>
      <c r="BB1483" s="0" t="str">
        <f t="shared" si="23"/>
        <v>PHInaAkwanga</v>
      </c>
    </row>
    <row r="1484">
      <c r="AV1484" s="0" t="s">
        <v>470</v>
      </c>
      <c r="AW1484" s="0" t="s">
        <v>413</v>
      </c>
      <c r="AX1484" s="0" t="s">
        <v>458</v>
      </c>
      <c r="AY1484" s="0" t="s">
        <v>4014</v>
      </c>
      <c r="AZ1484" s="0" t="s">
        <v>4015</v>
      </c>
      <c r="BA1484" s="0" t="s">
        <v>742</v>
      </c>
      <c r="BB1484" s="0" t="str">
        <f t="shared" si="23"/>
        <v>PHInaAkwanga</v>
      </c>
    </row>
    <row r="1485">
      <c r="AV1485" s="0" t="s">
        <v>470</v>
      </c>
      <c r="AW1485" s="0" t="s">
        <v>413</v>
      </c>
      <c r="AX1485" s="0" t="s">
        <v>458</v>
      </c>
      <c r="AY1485" s="0" t="s">
        <v>4016</v>
      </c>
      <c r="AZ1485" s="0" t="s">
        <v>4017</v>
      </c>
      <c r="BA1485" s="0" t="s">
        <v>742</v>
      </c>
      <c r="BB1485" s="0" t="str">
        <f t="shared" si="23"/>
        <v>PHInaAkwanga</v>
      </c>
    </row>
    <row r="1486">
      <c r="AV1486" s="0" t="s">
        <v>470</v>
      </c>
      <c r="AW1486" s="0" t="s">
        <v>413</v>
      </c>
      <c r="AX1486" s="0" t="s">
        <v>458</v>
      </c>
      <c r="AY1486" s="0" t="s">
        <v>4018</v>
      </c>
      <c r="AZ1486" s="0" t="s">
        <v>4019</v>
      </c>
      <c r="BA1486" s="0" t="s">
        <v>742</v>
      </c>
      <c r="BB1486" s="0" t="str">
        <f t="shared" si="23"/>
        <v>PHInaAkwanga</v>
      </c>
    </row>
    <row r="1487">
      <c r="AV1487" s="0" t="s">
        <v>470</v>
      </c>
      <c r="AW1487" s="0" t="s">
        <v>413</v>
      </c>
      <c r="AX1487" s="0" t="s">
        <v>794</v>
      </c>
      <c r="AY1487" s="0" t="s">
        <v>4020</v>
      </c>
      <c r="AZ1487" s="0" t="s">
        <v>4021</v>
      </c>
      <c r="BA1487" s="0" t="s">
        <v>742</v>
      </c>
      <c r="BB1487" s="0" t="str">
        <f t="shared" si="23"/>
        <v>PHInaNasarawaEggon</v>
      </c>
    </row>
    <row r="1488">
      <c r="AV1488" s="0" t="s">
        <v>470</v>
      </c>
      <c r="AW1488" s="0" t="s">
        <v>413</v>
      </c>
      <c r="AX1488" s="0" t="s">
        <v>794</v>
      </c>
      <c r="AY1488" s="0" t="s">
        <v>4022</v>
      </c>
      <c r="AZ1488" s="0" t="s">
        <v>4023</v>
      </c>
      <c r="BA1488" s="0" t="s">
        <v>742</v>
      </c>
      <c r="BB1488" s="0" t="str">
        <f t="shared" si="23"/>
        <v>PHInaNasarawaEggon</v>
      </c>
    </row>
    <row r="1489">
      <c r="AV1489" s="0" t="s">
        <v>470</v>
      </c>
      <c r="AW1489" s="0" t="s">
        <v>413</v>
      </c>
      <c r="AX1489" s="0" t="s">
        <v>794</v>
      </c>
      <c r="AY1489" s="0" t="s">
        <v>4024</v>
      </c>
      <c r="AZ1489" s="0" t="s">
        <v>4025</v>
      </c>
      <c r="BA1489" s="0" t="s">
        <v>742</v>
      </c>
      <c r="BB1489" s="0" t="str">
        <f t="shared" si="23"/>
        <v>PHInaNasarawaEggon</v>
      </c>
    </row>
    <row r="1490">
      <c r="AV1490" s="0" t="s">
        <v>470</v>
      </c>
      <c r="AW1490" s="0" t="s">
        <v>413</v>
      </c>
      <c r="AX1490" s="0" t="s">
        <v>851</v>
      </c>
      <c r="AY1490" s="0" t="s">
        <v>4026</v>
      </c>
      <c r="AZ1490" s="0" t="s">
        <v>4027</v>
      </c>
      <c r="BA1490" s="0" t="s">
        <v>742</v>
      </c>
      <c r="BB1490" s="0" t="str">
        <f t="shared" si="23"/>
        <v>PHInaWamba</v>
      </c>
    </row>
    <row r="1491">
      <c r="AV1491" s="0" t="s">
        <v>470</v>
      </c>
      <c r="AW1491" s="0" t="s">
        <v>413</v>
      </c>
      <c r="AX1491" s="0" t="s">
        <v>851</v>
      </c>
      <c r="AY1491" s="0" t="s">
        <v>4028</v>
      </c>
      <c r="AZ1491" s="0" t="s">
        <v>4029</v>
      </c>
      <c r="BA1491" s="0" t="s">
        <v>742</v>
      </c>
      <c r="BB1491" s="0" t="str">
        <f t="shared" si="23"/>
        <v>PHInaWamba</v>
      </c>
    </row>
    <row r="1492">
      <c r="AV1492" s="0" t="s">
        <v>470</v>
      </c>
      <c r="AW1492" s="0" t="s">
        <v>413</v>
      </c>
      <c r="AX1492" s="0" t="s">
        <v>851</v>
      </c>
      <c r="AY1492" s="0" t="s">
        <v>4030</v>
      </c>
      <c r="AZ1492" s="0" t="s">
        <v>4031</v>
      </c>
      <c r="BA1492" s="0" t="s">
        <v>742</v>
      </c>
      <c r="BB1492" s="0" t="str">
        <f t="shared" si="23"/>
        <v>PHInaWamba</v>
      </c>
    </row>
    <row r="1493">
      <c r="AV1493" s="0" t="s">
        <v>470</v>
      </c>
      <c r="AW1493" s="0" t="s">
        <v>413</v>
      </c>
      <c r="AX1493" s="0" t="s">
        <v>851</v>
      </c>
      <c r="AY1493" s="0" t="s">
        <v>4032</v>
      </c>
      <c r="AZ1493" s="0" t="s">
        <v>4033</v>
      </c>
      <c r="BA1493" s="0" t="s">
        <v>742</v>
      </c>
      <c r="BB1493" s="0" t="str">
        <f t="shared" si="23"/>
        <v>PHInaWamba</v>
      </c>
    </row>
    <row r="1494">
      <c r="AV1494" s="0" t="s">
        <v>470</v>
      </c>
      <c r="AW1494" s="0" t="s">
        <v>413</v>
      </c>
      <c r="AX1494" s="0" t="s">
        <v>851</v>
      </c>
      <c r="AY1494" s="0" t="s">
        <v>4034</v>
      </c>
      <c r="AZ1494" s="0" t="s">
        <v>4035</v>
      </c>
      <c r="BA1494" s="0" t="s">
        <v>742</v>
      </c>
      <c r="BB1494" s="0" t="str">
        <f t="shared" si="23"/>
        <v>PHInaWamba</v>
      </c>
    </row>
    <row r="1495">
      <c r="AV1495" s="0" t="s">
        <v>470</v>
      </c>
      <c r="AW1495" s="0" t="s">
        <v>413</v>
      </c>
      <c r="AX1495" s="0" t="s">
        <v>851</v>
      </c>
      <c r="AY1495" s="0" t="s">
        <v>4036</v>
      </c>
      <c r="AZ1495" s="0" t="s">
        <v>4037</v>
      </c>
      <c r="BA1495" s="0" t="s">
        <v>742</v>
      </c>
      <c r="BB1495" s="0" t="str">
        <f t="shared" si="23"/>
        <v>PHInaWamba</v>
      </c>
    </row>
    <row r="1496">
      <c r="AV1496" s="0" t="s">
        <v>470</v>
      </c>
      <c r="AW1496" s="0" t="s">
        <v>418</v>
      </c>
      <c r="AX1496" s="0" t="s">
        <v>854</v>
      </c>
      <c r="AY1496" s="0" t="s">
        <v>4038</v>
      </c>
      <c r="AZ1496" s="0" t="s">
        <v>4039</v>
      </c>
      <c r="BA1496" s="0" t="s">
        <v>742</v>
      </c>
      <c r="BB1496" s="0" t="str">
        <f t="shared" si="23"/>
        <v>PHIplKanam</v>
      </c>
    </row>
    <row r="1497">
      <c r="AV1497" s="0" t="s">
        <v>470</v>
      </c>
      <c r="AW1497" s="0" t="s">
        <v>418</v>
      </c>
      <c r="AX1497" s="0" t="s">
        <v>854</v>
      </c>
      <c r="AY1497" s="0" t="s">
        <v>4040</v>
      </c>
      <c r="AZ1497" s="0" t="s">
        <v>4041</v>
      </c>
      <c r="BA1497" s="0" t="s">
        <v>742</v>
      </c>
      <c r="BB1497" s="0" t="str">
        <f t="shared" si="23"/>
        <v>PHIplKanam</v>
      </c>
    </row>
    <row r="1498">
      <c r="AV1498" s="0" t="s">
        <v>470</v>
      </c>
      <c r="AW1498" s="0" t="s">
        <v>418</v>
      </c>
      <c r="AX1498" s="0" t="s">
        <v>854</v>
      </c>
      <c r="AY1498" s="0" t="s">
        <v>4042</v>
      </c>
      <c r="AZ1498" s="0" t="s">
        <v>4043</v>
      </c>
      <c r="BA1498" s="0" t="s">
        <v>742</v>
      </c>
      <c r="BB1498" s="0" t="str">
        <f t="shared" si="23"/>
        <v>PHIplKanam</v>
      </c>
    </row>
    <row r="1499">
      <c r="AV1499" s="0" t="s">
        <v>470</v>
      </c>
      <c r="AW1499" s="0" t="s">
        <v>418</v>
      </c>
      <c r="AX1499" s="0" t="s">
        <v>880</v>
      </c>
      <c r="AY1499" s="0" t="s">
        <v>4044</v>
      </c>
      <c r="AZ1499" s="0" t="s">
        <v>4045</v>
      </c>
      <c r="BA1499" s="0" t="s">
        <v>742</v>
      </c>
      <c r="BB1499" s="0" t="str">
        <f t="shared" si="23"/>
        <v>PHIplKanke</v>
      </c>
    </row>
    <row r="1500">
      <c r="AV1500" s="0" t="s">
        <v>470</v>
      </c>
      <c r="AW1500" s="0" t="s">
        <v>418</v>
      </c>
      <c r="AX1500" s="0" t="s">
        <v>880</v>
      </c>
      <c r="AY1500" s="0" t="s">
        <v>4046</v>
      </c>
      <c r="AZ1500" s="0" t="s">
        <v>4047</v>
      </c>
      <c r="BA1500" s="0" t="s">
        <v>742</v>
      </c>
      <c r="BB1500" s="0" t="str">
        <f t="shared" si="23"/>
        <v>PHIplKanke</v>
      </c>
    </row>
    <row r="1501">
      <c r="AV1501" s="0" t="s">
        <v>470</v>
      </c>
      <c r="AW1501" s="0" t="s">
        <v>418</v>
      </c>
      <c r="AX1501" s="0" t="s">
        <v>905</v>
      </c>
      <c r="AY1501" s="0" t="s">
        <v>4048</v>
      </c>
      <c r="AZ1501" s="0" t="s">
        <v>4049</v>
      </c>
      <c r="BA1501" s="0" t="s">
        <v>742</v>
      </c>
      <c r="BB1501" s="0" t="str">
        <f t="shared" si="23"/>
        <v>PHIplLangtangSouth</v>
      </c>
    </row>
    <row r="1502">
      <c r="AV1502" s="0" t="s">
        <v>470</v>
      </c>
      <c r="AW1502" s="0" t="s">
        <v>418</v>
      </c>
      <c r="AX1502" s="0" t="s">
        <v>905</v>
      </c>
      <c r="AY1502" s="0" t="s">
        <v>4050</v>
      </c>
      <c r="AZ1502" s="0" t="s">
        <v>4051</v>
      </c>
      <c r="BA1502" s="0" t="s">
        <v>742</v>
      </c>
      <c r="BB1502" s="0" t="str">
        <f t="shared" si="23"/>
        <v>PHIplLangtangSouth</v>
      </c>
    </row>
    <row r="1503">
      <c r="AV1503" s="0" t="s">
        <v>470</v>
      </c>
      <c r="AW1503" s="0" t="s">
        <v>418</v>
      </c>
      <c r="AX1503" s="0" t="s">
        <v>930</v>
      </c>
      <c r="AY1503" s="0" t="s">
        <v>4052</v>
      </c>
      <c r="AZ1503" s="0" t="s">
        <v>4053</v>
      </c>
      <c r="BA1503" s="0" t="s">
        <v>742</v>
      </c>
      <c r="BB1503" s="0" t="str">
        <f t="shared" si="23"/>
        <v>PHIplMikang</v>
      </c>
    </row>
    <row r="1504">
      <c r="AV1504" s="0" t="s">
        <v>470</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