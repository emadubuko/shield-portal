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<sst xmlns="http://schemas.openxmlformats.org/spreadsheetml/2006/main" count="4056" uniqueCount="4056">
  <si>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</si>
  <si>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</si>
  <si>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</si>
  <si>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</si>
  <si>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</si>
  <si>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</si>
  <si>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</si>
  <si>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</si>
  <si>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</si>
  <si>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</si>
  <si>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</si>
  <si>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</si>
  <si>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</si>
  <si>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</si>
  <si>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</si>
  <si>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</si>
  <si>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</si>
  <si>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</si>
  <si>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</si>
  <si>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</si>
  <si>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</si>
  <si>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</si>
  <si>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</si>
  <si>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</si>
  <si>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</si>
  <si>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</si>
  <si>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</si>
  <si>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</si>
  <si>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</si>
  <si>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</si>
  <si>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</si>
  <si>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</si>
  <si>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</si>
  <si>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</si>
  <si>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</si>
  <si>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</si>
  <si>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</si>
  <si>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</si>
  <si>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</si>
  <si>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</si>
  <si>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</si>
  <si>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</si>
  <si>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</si>
  <si>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</si>
  <si>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</si>
  <si>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</si>
  <si>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</si>
  <si>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</si>
  <si>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</si>
  <si>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</si>
  <si>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</si>
  <si>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</si>
  <si>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</si>
  <si>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</si>
  <si>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</si>
  <si>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</si>
  <si>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</si>
  <si>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</si>
  <si>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</si>
  <si>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</si>
  <si>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</si>
  <si>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</si>
  <si>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</si>
  <si>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</si>
  <si>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</si>
  <si>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</si>
  <si>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</si>
  <si>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</si>
  <si>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</si>
  <si>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</si>
  <si>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</si>
  <si>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</si>
  <si>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</si>
  <si>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</si>
  <si>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</si>
  <si>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</si>
  <si>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</si>
  <si>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</si>
  <si>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</si>
  <si>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</si>
  <si>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</si>
  <si>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</si>
  <si>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</si>
  <si>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</si>
  <si>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</si>
  <si>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</si>
  <si>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</si>
  <si>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</si>
  <si>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</si>
  <si>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</si>
  <si>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</si>
  <si>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</si>
  <si>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</si>
  <si>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</si>
  <si>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</si>
  <si>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</si>
  <si>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</si>
  <si>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</si>
  <si>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</si>
  <si>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</si>
  <si>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</si>
  <si>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</si>
  <si>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</si>
  <si>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</si>
  <si>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</si>
  <si>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</si>
  <si>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</si>
  <si>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</si>
  <si>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</si>
  <si>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</si>
  <si>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</si>
  <si>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</si>
  <si>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</si>
  <si>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</si>
  <si>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</si>
  <si>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</si>
  <si>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</si>
  <si>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</si>
  <si>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</si>
  <si>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</si>
  <si>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</si>
  <si>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</si>
  <si>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</si>
  <si>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</si>
  <si>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</si>
  <si>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</si>
  <si>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</si>
  <si>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</si>
  <si>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</si>
  <si>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</si>
  <si>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</si>
  <si>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</si>
  <si>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</si>
  <si>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</si>
  <si>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</si>
  <si>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</si>
  <si>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</si>
  <si>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</si>
  <si>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</si>
  <si>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</si>
  <si>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</si>
  <si>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</si>
  <si>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</si>
  <si>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</si>
  <si>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</si>
  <si>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</si>
  <si>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</si>
  <si>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</si>
  <si>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</si>
  <si>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</si>
  <si>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</si>
  <si>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</si>
  <si>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</si>
  <si>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</si>
  <si>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</si>
  <si>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</si>
  <si>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</si>
  <si>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</si>
  <si>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</si>
  <si>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</si>
  <si>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</si>
  <si>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</si>
  <si>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</si>
  <si>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</si>
  <si>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</si>
  <si>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</si>
  <si>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</si>
  <si>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</si>
  <si>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</si>
  <si>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</si>
  <si>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</si>
  <si>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</si>
  <si>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</si>
  <si>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</si>
  <si>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</si>
  <si>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</si>
  <si>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</si>
  <si>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</si>
  <si>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</si>
  <si>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</si>
  <si>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</si>
  <si>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</si>
  <si>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</si>
  <si>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</si>
  <si>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</si>
  <si>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</si>
  <si>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</si>
  <si>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</si>
  <si>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</si>
  <si>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</si>
  <si>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</si>
  <si>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</si>
  <si>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</si>
  <si>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</si>
  <si>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</si>
  <si>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</si>
  <si>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</si>
  <si>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</si>
  <si>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</si>
  <si>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</si>
  <si>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</si>
  <si>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</si>
  <si>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</si>
  <si>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</si>
  <si>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</si>
  <si>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</si>
  <si>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</si>
  <si>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</si>
  <si>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</si>
  <si>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</si>
  <si>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</si>
  <si>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</si>
  <si>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</si>
  <si>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</si>
  <si>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</si>
  <si>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</si>
  <si>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</si>
  <si>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</si>
  <si>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</si>
  <si>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</si>
  <si>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</si>
  <si>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</si>
  <si>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</si>
  <si>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</si>
  <si>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</si>
  <si>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</si>
  <si>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</si>
  <si>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</si>
  <si>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</si>
  <si>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</si>
  <si>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</si>
  <si>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</si>
  <si>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</si>
  <si>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</si>
  <si>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</si>
  <si>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</si>
  <si>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</si>
  <si>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</si>
  <si>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</si>
  <si>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</si>
  <si>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</si>
  <si>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</si>
  <si>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</si>
  <si>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</si>
  <si>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</si>
  <si>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</si>
  <si>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</si>
  <si>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</si>
  <si>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</si>
  <si>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</si>
  <si>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</si>
  <si>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</si>
  <si>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</si>
  <si>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</si>
  <si>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</si>
  <si>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</si>
  <si>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</si>
  <si>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</si>
  <si>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</si>
  <si>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</si>
  <si>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</si>
  <si>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</si>
  <si>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</si>
  <si>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</si>
  <si>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</si>
  <si>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</si>
  <si>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</si>
  <si>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</si>
  <si>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</si>
  <si>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</si>
  <si>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</si>
  <si>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</si>
  <si>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</si>
  <si>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</si>
  <si>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</si>
  <si>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</si>
  <si>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</si>
  <si>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</si>
  <si>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</si>
  <si>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</si>
  <si>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</si>
  <si>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</si>
  <si>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</si>
  <si>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</si>
  <si>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</si>
  <si>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</si>
  <si>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</si>
  <si>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</si>
  <si>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</si>
  <si>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Agbaja Primary Health Care</t>
  </si>
  <si>
    <t>Reporting Period:</t>
  </si>
  <si>
    <t>Q1(Oct - Dec)</t>
  </si>
  <si>
    <t>Facility Code:</t>
  </si>
  <si>
    <t>lSdzvxy52gz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</si>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</sst>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36</v>
      </c>
      <c r="G8" s="155">
        <f>ROUND(SUM('All Questions'!D31:D35)/5+G12,0)</f>
        <v>49</v>
      </c>
      <c r="H8" s="156">
        <f>ROUND(SUM('All Questions'!D37,'All Questions'!D40)/2+'All Questions'!D26+H12,0)</f>
        <v>51</v>
      </c>
      <c r="I8" s="157">
        <f>ROUND((SUM('All Questions'!E11:E14)/4)+I12,0)</f>
        <v>0</v>
      </c>
      <c r="J8" s="155">
        <f>ROUND(SUM('All Questions'!E15:E21)/7+J12,0)</f>
        <v>0</v>
      </c>
      <c r="K8" s="155">
        <f>ROUND(SUM('All Questions'!E23:E30)/4+K12,0)</f>
        <v>33</v>
      </c>
      <c r="L8" s="155">
        <f>ROUND(SUM('All Questions'!E31:E35)/5+L12,0)</f>
        <v>50</v>
      </c>
      <c r="M8" s="156">
        <f>ROUND(('All Questions'!E37+'All Questions'!E40)/2+'All Questions'!E26+M12,0)</f>
        <v>58</v>
      </c>
      <c r="N8" s="157">
        <f>ROUND((SUM('All Questions'!F11:F14)/4)+N12,0)</f>
        <v>0</v>
      </c>
      <c r="O8" s="155">
        <f>ROUND(SUM('All Questions'!F15:F21)/7+O12,0)</f>
        <v>0</v>
      </c>
      <c r="P8" s="155">
        <f>ROUND(SUM('All Questions'!F23:F30)/4+P12,0)</f>
        <v>40</v>
      </c>
      <c r="Q8" s="155">
        <f>ROUND(SUM('All Questions'!F31:F35)/5+Q12,0)</f>
        <v>66</v>
      </c>
      <c r="R8" s="156">
        <f>ROUND(('All Questions'!F37+'All Questions'!F40)/2+'All Questions'!F26+R12,0)</f>
        <v>96</v>
      </c>
      <c r="S8" s="141">
        <f>'All Questions'!F2</f>
        <v>0</v>
      </c>
      <c r="T8" s="142" t="e">
        <f>(AVERAGE(F8:H8)+AVERAGE(K8:M8)+AVERAGE(P8:R8))/S8</f>
        <v>#DIV/0!</v>
      </c>
      <c r="V8" s="309">
        <f>AVERAGE(F8:H8)+AVERAGE(K8:M8)+AVERAGE(P8:R8)</f>
        <v>159.66666666666669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32</v>
      </c>
      <c r="G10" s="159">
        <f>ROUND(SUM('All Questions'!D31:D35)/5,0)</f>
        <v>41</v>
      </c>
      <c r="H10" s="162">
        <f>ROUND(('All Questions'!D37+'All Questions'!D40)/2+'All Questions'!D26,0)</f>
        <v>41</v>
      </c>
      <c r="I10" s="163">
        <f>ROUND((SUM('All Questions'!E11:E14)/4),0)</f>
        <v>0</v>
      </c>
      <c r="J10" s="164">
        <f>ROUND(SUM('All Questions'!E15:E21)/7,0)</f>
        <v>0</v>
      </c>
      <c r="K10" s="164">
        <f>ROUND(SUM('All Questions'!E23:E30)/4,0)</f>
        <v>27</v>
      </c>
      <c r="L10" s="164">
        <f>ROUND(SUM('All Questions'!E31:E35)/5,0)</f>
        <v>39</v>
      </c>
      <c r="M10" s="165">
        <f>ROUND(('All Questions'!E37+'All Questions'!E40)/2+'All Questions'!E26,0)</f>
        <v>45</v>
      </c>
      <c r="N10" s="166">
        <f>ROUND((SUM('All Questions'!F11:F14)/4),0)</f>
        <v>0</v>
      </c>
      <c r="O10" s="164">
        <f>ROUND(SUM('All Questions'!F15:F21)/7,0)</f>
        <v>0</v>
      </c>
      <c r="P10" s="164">
        <f>ROUND(SUM('All Questions'!F23:F30)/4,0)</f>
        <v>35</v>
      </c>
      <c r="Q10" s="164">
        <f>ROUND(SUM('All Questions'!F31:F35)/5,0)</f>
        <v>56</v>
      </c>
      <c r="R10" s="165">
        <f>ROUND(('All Questions'!F37+'All Questions'!F40)/2+'All Questions'!F26,0)</f>
        <v>82</v>
      </c>
      <c r="S10" s="141">
        <f>'All Questions'!F4</f>
        <v>0</v>
      </c>
      <c r="T10" s="143" t="e">
        <f>(AVERAGE(F10:H10)+AVERAGE(K10:M10)+AVERAGE(P10:R10))/S10</f>
        <v>#DIV/0!</v>
      </c>
      <c r="V10" s="309">
        <f>AVERAGE(F10:H10)+AVERAGE(K10:M10)+AVERAGE(P10:R10)</f>
        <v>132.66666666666666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v>
      </c>
      <c r="G12" s="173">
        <f>ROUND(SUM('All Questions'!D73:D80)/4,0)</f>
        <v>8</v>
      </c>
      <c r="H12" s="174">
        <f>ROUND(SUM('All Questions'!D82:D83)/2,0)</f>
        <v>10</v>
      </c>
      <c r="I12" s="175">
        <f>ROUND(SUM('All Questions'!E54:E58)+'All Questions'!E71/4,0)</f>
        <v>0</v>
      </c>
      <c r="J12" s="176">
        <f>ROUND(SUM('All Questions'!E60:E63)/4,0)</f>
        <v>0</v>
      </c>
      <c r="K12" s="176">
        <f>ROUND(SUM('All Questions'!E67:E72)/3,0)</f>
        <v>6</v>
      </c>
      <c r="L12" s="176">
        <f>ROUND(SUM('All Questions'!E73:E80)/4,0)</f>
        <v>11</v>
      </c>
      <c r="M12" s="177">
        <f>ROUND(SUM('All Questions'!E82:E83)/2,0)</f>
        <v>13</v>
      </c>
      <c r="N12" s="178">
        <f>ROUND(SUM('All Questions'!F54:F58)+'All Questions'!F71/4,0)</f>
        <v>0</v>
      </c>
      <c r="O12" s="176">
        <f>ROUND(SUM('All Questions'!F60:F63)/4,0)</f>
        <v>0</v>
      </c>
      <c r="P12" s="176">
        <f>ROUND(SUM('All Questions'!F67:F72)/3,0)</f>
        <v>5</v>
      </c>
      <c r="Q12" s="176">
        <f>ROUND(SUM('All Questions'!F73:F80)/4,0)</f>
        <v>10</v>
      </c>
      <c r="R12" s="177">
        <f>ROUND(SUM('All Questions'!F82:F83)/2,0)</f>
        <v>14</v>
      </c>
      <c r="S12" s="145">
        <f>'All Questions'!F46</f>
        <v>0</v>
      </c>
      <c r="T12" s="146" t="e">
        <f ref="T12:T15" t="shared" si="1">(AVERAGE(F12:H12)+AVERAGE(K12:M12)+AVERAGE(P12:R12))/S12</f>
        <v>#DIV/0!</v>
      </c>
      <c r="V12" s="309">
        <f>AVERAGE(F12:H12)+AVERAGE(K12:M12)+AVERAGE(P12:R12)</f>
        <v>27.333333333333336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2</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2</v>
      </c>
      <c r="M16" s="195">
        <f>ROUND(SUM('All Questions'!E111,'All Questions'!E112,'All Questions'!E114,'All Questions'!E115)/4,0)</f>
        <v>2</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13</v>
      </c>
      <c r="E11" s="301">
        <v>45</v>
      </c>
      <c r="F11" s="301">
        <v>82</v>
      </c>
      <c r="G11" s="207" t="s">
        <v>67</v>
      </c>
    </row>
    <row r="12" hidden="1" ht="45" customHeight="1">
      <c r="A12" s="226"/>
      <c r="B12" s="238">
        <v>1115</v>
      </c>
      <c r="C12" s="242" t="s">
        <v>85</v>
      </c>
      <c r="D12" s="301">
        <v>41</v>
      </c>
      <c r="E12" s="301">
        <v>45</v>
      </c>
      <c r="F12" s="301">
        <v>82</v>
      </c>
      <c r="G12" s="207" t="s">
        <v>67</v>
      </c>
    </row>
    <row r="13" hidden="1" ht="45" customHeight="1">
      <c r="A13" s="226" t="s">
        <v>86</v>
      </c>
      <c r="B13" s="238">
        <v>1116</v>
      </c>
      <c r="C13" s="242" t="s">
        <v>87</v>
      </c>
      <c r="D13" s="301">
        <v>41</v>
      </c>
      <c r="E13" s="301">
        <v>45</v>
      </c>
      <c r="F13" s="301">
        <v>59</v>
      </c>
      <c r="G13" s="207" t="s">
        <v>67</v>
      </c>
    </row>
    <row r="14" hidden="1" ht="45" customHeight="1">
      <c r="A14" s="226"/>
      <c r="B14" s="238">
        <v>1117</v>
      </c>
      <c r="C14" s="242" t="s">
        <v>88</v>
      </c>
      <c r="D14" s="301">
        <v>41</v>
      </c>
      <c r="E14" s="301">
        <v>45</v>
      </c>
      <c r="F14" s="301">
        <v>59</v>
      </c>
      <c r="G14" s="207" t="s">
        <v>67</v>
      </c>
    </row>
    <row r="15" hidden="1" ht="45" customHeight="1">
      <c r="A15" s="226">
        <v>1116</v>
      </c>
      <c r="B15" s="238">
        <v>1121</v>
      </c>
      <c r="C15" s="243" t="str">
        <f>C13</f>
        <v>How many HTC clients have a completed Client intake form </v>
      </c>
      <c r="D15" s="302">
        <v>41</v>
      </c>
      <c r="E15" s="302">
        <v>45</v>
      </c>
      <c r="F15" s="302">
        <v>59</v>
      </c>
      <c r="G15" s="207"/>
    </row>
    <row r="16" hidden="1" ht="45" customHeight="1">
      <c r="A16" s="226"/>
      <c r="B16" s="238">
        <v>1122</v>
      </c>
      <c r="C16" s="243" t="s">
        <v>89</v>
      </c>
      <c r="D16" s="301">
        <v>41</v>
      </c>
      <c r="E16" s="301">
        <v>45</v>
      </c>
      <c r="F16" s="301">
        <v>59</v>
      </c>
      <c r="G16" s="207" t="s">
        <v>67</v>
      </c>
    </row>
    <row r="17" hidden="1" ht="45" customHeight="1">
      <c r="A17" s="226"/>
      <c r="B17" s="238">
        <v>1123</v>
      </c>
      <c r="C17" s="242" t="s">
        <v>90</v>
      </c>
      <c r="D17" s="301">
        <v>41</v>
      </c>
      <c r="E17" s="301">
        <v>45</v>
      </c>
      <c r="F17" s="301">
        <v>59</v>
      </c>
      <c r="G17" s="207" t="s">
        <v>67</v>
      </c>
    </row>
    <row r="18" hidden="1" ht="45" customHeight="1">
      <c r="A18" s="226"/>
      <c r="B18" s="238">
        <v>1124</v>
      </c>
      <c r="C18" s="242" t="s">
        <v>91</v>
      </c>
      <c r="D18" s="301">
        <v>41</v>
      </c>
      <c r="E18" s="301">
        <v>45</v>
      </c>
      <c r="F18" s="301">
        <v>59</v>
      </c>
      <c r="G18" s="207" t="s">
        <v>67</v>
      </c>
    </row>
    <row r="19" hidden="1" ht="45" customHeight="1">
      <c r="A19" s="226"/>
      <c r="B19" s="238">
        <v>1125</v>
      </c>
      <c r="C19" s="242" t="s">
        <v>92</v>
      </c>
      <c r="D19" s="301">
        <v>41</v>
      </c>
      <c r="E19" s="301">
        <v>16</v>
      </c>
      <c r="F19" s="301">
        <v>0</v>
      </c>
      <c r="G19" s="207" t="s">
        <v>67</v>
      </c>
    </row>
    <row r="20" hidden="1" ht="45" customHeight="1">
      <c r="A20" s="226"/>
      <c r="B20" s="238">
        <v>1126</v>
      </c>
      <c r="C20" s="242" t="s">
        <v>93</v>
      </c>
      <c r="D20" s="301">
        <v>3</v>
      </c>
      <c r="E20" s="301">
        <v>3</v>
      </c>
      <c r="F20" s="301">
        <v>0</v>
      </c>
      <c r="G20" s="207" t="s">
        <v>67</v>
      </c>
    </row>
    <row r="21" hidden="1" ht="45" customHeight="1">
      <c r="A21" s="226"/>
      <c r="B21" s="238">
        <v>1127</v>
      </c>
      <c r="C21" s="242" t="s">
        <v>94</v>
      </c>
      <c r="D21" s="301">
        <v>3</v>
      </c>
      <c r="E21" s="301">
        <v>3</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21</v>
      </c>
      <c r="E23" s="301">
        <v>20</v>
      </c>
      <c r="F23" s="301">
        <v>33</v>
      </c>
      <c r="G23" s="207" t="s">
        <v>67</v>
      </c>
    </row>
    <row r="24" hidden="1" ht="45" customHeight="1">
      <c r="A24" s="226"/>
      <c r="B24" s="238">
        <v>1132</v>
      </c>
      <c r="C24" s="242" t="s">
        <v>97</v>
      </c>
      <c r="D24" s="301">
        <v>20</v>
      </c>
      <c r="E24" s="301">
        <v>25</v>
      </c>
      <c r="F24" s="301">
        <v>26</v>
      </c>
      <c r="G24" s="207" t="s">
        <v>67</v>
      </c>
    </row>
    <row r="25" hidden="1" ht="45" customHeight="1">
      <c r="A25" s="226"/>
      <c r="B25" s="238">
        <v>1133</v>
      </c>
      <c r="C25" s="242" t="s">
        <v>98</v>
      </c>
      <c r="D25" s="301">
        <v>20</v>
      </c>
      <c r="E25" s="301">
        <v>30</v>
      </c>
      <c r="F25" s="301">
        <v>38</v>
      </c>
      <c r="G25" s="207" t="s">
        <v>67</v>
      </c>
    </row>
    <row r="26" hidden="1" ht="45" customHeight="1">
      <c r="A26" s="226"/>
      <c r="B26" s="238">
        <v>1134</v>
      </c>
      <c r="C26" s="242" t="s">
        <v>99</v>
      </c>
      <c r="D26" s="301">
        <v>21</v>
      </c>
      <c r="E26" s="301">
        <v>15</v>
      </c>
      <c r="F26" s="301">
        <v>44</v>
      </c>
      <c r="G26" s="207" t="s">
        <v>67</v>
      </c>
    </row>
    <row r="27" hidden="1" ht="45" customHeight="1">
      <c r="A27" s="226"/>
      <c r="B27" s="238">
        <v>1135</v>
      </c>
      <c r="C27" s="242" t="s">
        <v>100</v>
      </c>
      <c r="D27" s="301">
        <v>3</v>
      </c>
      <c r="E27" s="301">
        <v>3</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41</v>
      </c>
      <c r="E30" s="301">
        <v>16</v>
      </c>
      <c r="F30" s="301">
        <v>0</v>
      </c>
      <c r="G30" s="207" t="s">
        <v>67</v>
      </c>
    </row>
    <row r="31" hidden="1" ht="45" customHeight="1">
      <c r="A31" s="226">
        <v>1116</v>
      </c>
      <c r="B31" s="238">
        <v>1141</v>
      </c>
      <c r="C31" s="242" t="s">
        <v>104</v>
      </c>
      <c r="D31" s="302">
        <v>41</v>
      </c>
      <c r="E31" s="302">
        <v>45</v>
      </c>
      <c r="F31" s="302">
        <v>59</v>
      </c>
      <c r="G31" s="207"/>
    </row>
    <row r="32" hidden="1" ht="45" customHeight="1">
      <c r="A32" s="226"/>
      <c r="B32" s="238">
        <v>1142</v>
      </c>
      <c r="C32" s="243" t="s">
        <v>105</v>
      </c>
      <c r="D32" s="302">
        <v>41</v>
      </c>
      <c r="E32" s="302">
        <v>45</v>
      </c>
      <c r="F32" s="302">
        <v>59</v>
      </c>
      <c r="G32" s="207"/>
    </row>
    <row r="33" hidden="1" ht="45" customHeight="1">
      <c r="A33" s="226"/>
      <c r="B33" s="238">
        <v>1143</v>
      </c>
      <c r="C33" s="242" t="s">
        <v>106</v>
      </c>
      <c r="D33" s="301">
        <v>41</v>
      </c>
      <c r="E33" s="301">
        <v>45</v>
      </c>
      <c r="F33" s="301">
        <v>82</v>
      </c>
      <c r="G33" s="207" t="s">
        <v>67</v>
      </c>
    </row>
    <row r="34" hidden="1" ht="45" customHeight="1">
      <c r="A34" s="226"/>
      <c r="B34" s="238">
        <v>1144</v>
      </c>
      <c r="C34" s="242" t="s">
        <v>107</v>
      </c>
      <c r="D34" s="301">
        <v>41</v>
      </c>
      <c r="E34" s="301">
        <v>16</v>
      </c>
      <c r="F34" s="301">
        <v>0</v>
      </c>
      <c r="G34" s="207" t="s">
        <v>67</v>
      </c>
    </row>
    <row r="35" hidden="1" ht="45" customHeight="1">
      <c r="A35" s="226"/>
      <c r="B35" s="238">
        <v>1145</v>
      </c>
      <c r="C35" s="242" t="s">
        <v>108</v>
      </c>
      <c r="D35" s="301">
        <v>41</v>
      </c>
      <c r="E35" s="301">
        <v>45</v>
      </c>
      <c r="F35" s="301">
        <v>82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20</v>
      </c>
      <c r="E37" s="301">
        <v>30</v>
      </c>
      <c r="F37" s="301">
        <v>38</v>
      </c>
      <c r="G37" s="207" t="s">
        <v>67</v>
      </c>
    </row>
    <row r="38" hidden="1" ht="45" customHeight="1">
      <c r="A38" s="226"/>
      <c r="B38" s="238">
        <v>1153</v>
      </c>
      <c r="C38" s="242" t="s">
        <v>111</v>
      </c>
      <c r="D38" s="301">
        <v>20</v>
      </c>
      <c r="E38" s="301">
        <v>30</v>
      </c>
      <c r="F38" s="301">
        <v>38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20</v>
      </c>
      <c r="E40" s="301">
        <v>30</v>
      </c>
      <c r="F40" s="301">
        <v>38</v>
      </c>
      <c r="G40" s="207" t="s">
        <v>67</v>
      </c>
    </row>
    <row r="41" hidden="1" ht="45" customHeight="1">
      <c r="A41" s="226"/>
      <c r="B41" s="238">
        <v>1156</v>
      </c>
      <c r="C41" s="242" t="s">
        <v>113</v>
      </c>
      <c r="D41" s="301">
        <v>20</v>
      </c>
      <c r="E41" s="301">
        <v>30</v>
      </c>
      <c r="F41" s="301">
        <v>38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10</v>
      </c>
      <c r="E54" s="301">
        <v>13</v>
      </c>
      <c r="F54" s="301">
        <v>14</v>
      </c>
      <c r="G54" s="207" t="s">
        <v>117</v>
      </c>
    </row>
    <row r="55" hidden="1" ht="45" customHeight="1">
      <c r="A55" s="226"/>
      <c r="B55" s="238">
        <v>1215</v>
      </c>
      <c r="C55" s="242" t="s">
        <v>133</v>
      </c>
      <c r="D55" s="301">
        <v>10</v>
      </c>
      <c r="E55" s="301">
        <v>13</v>
      </c>
      <c r="F55" s="301">
        <v>14</v>
      </c>
      <c r="G55" s="207" t="s">
        <v>117</v>
      </c>
    </row>
    <row r="56" hidden="1" ht="45" customHeight="1">
      <c r="A56" s="226"/>
      <c r="B56" s="238">
        <v>1216</v>
      </c>
      <c r="C56" s="243" t="s">
        <v>134</v>
      </c>
      <c r="D56" s="301">
        <v>10</v>
      </c>
      <c r="E56" s="301">
        <v>13</v>
      </c>
      <c r="F56" s="301">
        <v>14</v>
      </c>
      <c r="G56" s="207" t="s">
        <v>117</v>
      </c>
    </row>
    <row r="57" hidden="1" ht="45" customHeight="1">
      <c r="A57" s="226"/>
      <c r="B57" s="238">
        <v>1217</v>
      </c>
      <c r="C57" s="243" t="s">
        <v>135</v>
      </c>
      <c r="D57" s="301">
        <v>2</v>
      </c>
      <c r="E57" s="301">
        <v>0</v>
      </c>
      <c r="F57" s="301">
        <v>1</v>
      </c>
      <c r="G57" s="207" t="s">
        <v>117</v>
      </c>
    </row>
    <row r="58" hidden="1" ht="45" customHeight="1">
      <c r="A58" s="226"/>
      <c r="B58" s="238">
        <v>1218</v>
      </c>
      <c r="C58" s="243" t="s">
        <v>136</v>
      </c>
      <c r="D58" s="301">
        <v>0</v>
      </c>
      <c r="E58" s="301">
        <v>2</v>
      </c>
      <c r="F58" s="301">
        <v>0</v>
      </c>
      <c r="G58" s="207" t="s">
        <v>117</v>
      </c>
    </row>
    <row r="59" hidden="1" ht="45" customHeight="1">
      <c r="A59" s="226"/>
      <c r="B59" s="238">
        <v>1221</v>
      </c>
      <c r="C59" s="264" t="s">
        <v>137</v>
      </c>
      <c r="D59" s="301">
        <v>10</v>
      </c>
      <c r="E59" s="301">
        <v>13</v>
      </c>
      <c r="F59" s="301">
        <v>14</v>
      </c>
      <c r="G59" s="207" t="s">
        <v>117</v>
      </c>
    </row>
    <row r="60" hidden="1" ht="45" customHeight="1">
      <c r="A60" s="226"/>
      <c r="B60" s="238">
        <v>1222</v>
      </c>
      <c r="C60" s="264" t="s">
        <v>138</v>
      </c>
      <c r="D60" s="301">
        <v>8</v>
      </c>
      <c r="E60" s="301">
        <v>13</v>
      </c>
      <c r="F60" s="301">
        <v>13</v>
      </c>
      <c r="G60" s="207" t="s">
        <v>117</v>
      </c>
    </row>
    <row r="61" hidden="1" ht="45" customHeight="1">
      <c r="A61" s="226"/>
      <c r="B61" s="238">
        <v>1223</v>
      </c>
      <c r="C61" s="264" t="s">
        <v>139</v>
      </c>
      <c r="D61" s="301">
        <v>8</v>
      </c>
      <c r="E61" s="301">
        <v>13</v>
      </c>
      <c r="F61" s="301">
        <v>13</v>
      </c>
      <c r="G61" s="207" t="s">
        <v>117</v>
      </c>
    </row>
    <row r="62" hidden="1" ht="54.65" customHeight="1">
      <c r="A62" s="226"/>
      <c r="B62" s="238">
        <v>1224</v>
      </c>
      <c r="C62" s="264" t="s">
        <v>140</v>
      </c>
      <c r="D62" s="301">
        <v>4</v>
      </c>
      <c r="E62" s="301">
        <v>6</v>
      </c>
      <c r="F62" s="301">
        <v>0</v>
      </c>
      <c r="G62" s="207" t="s">
        <v>117</v>
      </c>
    </row>
    <row r="63" hidden="1" ht="66.65" customHeight="1">
      <c r="A63" s="226"/>
      <c r="B63" s="238">
        <v>1225</v>
      </c>
      <c r="C63" s="264" t="s">
        <v>141</v>
      </c>
      <c r="D63" s="301">
        <v>4</v>
      </c>
      <c r="E63" s="301">
        <v>6</v>
      </c>
      <c r="F63" s="301">
        <v>0</v>
      </c>
      <c r="G63" s="207" t="s">
        <v>117</v>
      </c>
    </row>
    <row r="64" hidden="1" ht="45" customHeight="1">
      <c r="A64" s="226"/>
      <c r="B64" s="238">
        <v>1226</v>
      </c>
      <c r="C64" s="264" t="s">
        <v>142</v>
      </c>
      <c r="D64" s="301">
        <v>2</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10</v>
      </c>
      <c r="E67" s="301">
        <v>13</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v>
      </c>
      <c r="E71" s="301">
        <v>6</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8</v>
      </c>
      <c r="E73" s="301">
        <v>13</v>
      </c>
      <c r="F73" s="301">
        <v>13</v>
      </c>
      <c r="G73" s="207" t="s">
        <v>117</v>
      </c>
    </row>
    <row r="74" hidden="1" ht="45" customHeight="1">
      <c r="A74" s="226"/>
      <c r="B74" s="238">
        <v>1242</v>
      </c>
      <c r="C74" s="242" t="s">
        <v>152</v>
      </c>
      <c r="D74" s="301">
        <v>2</v>
      </c>
      <c r="E74" s="301">
        <v>0</v>
      </c>
      <c r="F74" s="301">
        <v>1</v>
      </c>
      <c r="G74" s="207" t="s">
        <v>117</v>
      </c>
    </row>
    <row r="75" hidden="1" ht="45" customHeight="1">
      <c r="A75" s="226"/>
      <c r="B75" s="238">
        <v>1243</v>
      </c>
      <c r="C75" s="243" t="s">
        <v>153</v>
      </c>
      <c r="D75" s="301">
        <v>8</v>
      </c>
      <c r="E75" s="301">
        <v>13</v>
      </c>
      <c r="F75" s="301">
        <v>13</v>
      </c>
      <c r="G75" s="207" t="s">
        <v>117</v>
      </c>
    </row>
    <row r="76" hidden="1" ht="45" customHeight="1">
      <c r="A76" s="226"/>
      <c r="B76" s="238">
        <v>1244</v>
      </c>
      <c r="C76" s="243" t="s">
        <v>154</v>
      </c>
      <c r="D76" s="301">
        <v>2</v>
      </c>
      <c r="E76" s="301">
        <v>0</v>
      </c>
      <c r="F76" s="301">
        <v>1</v>
      </c>
      <c r="G76" s="207" t="s">
        <v>117</v>
      </c>
    </row>
    <row r="77" hidden="1" ht="45" customHeight="1">
      <c r="A77" s="226"/>
      <c r="B77" s="238">
        <v>1245</v>
      </c>
      <c r="C77" s="243" t="s">
        <v>155</v>
      </c>
      <c r="D77" s="301">
        <v>4</v>
      </c>
      <c r="E77" s="301">
        <v>6</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8</v>
      </c>
      <c r="E79" s="301">
        <v>13</v>
      </c>
      <c r="F79" s="301">
        <v>13</v>
      </c>
      <c r="G79" s="207" t="s">
        <v>117</v>
      </c>
    </row>
    <row r="80" hidden="1" ht="45" customHeight="1">
      <c r="A80" s="226"/>
      <c r="B80" s="238">
        <v>1248</v>
      </c>
      <c r="C80" s="242" t="s">
        <v>158</v>
      </c>
      <c r="D80" s="301">
        <v>2</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10</v>
      </c>
      <c r="E82" s="301">
        <v>13</v>
      </c>
      <c r="F82" s="301">
        <v>14</v>
      </c>
      <c r="G82" s="207" t="s">
        <v>117</v>
      </c>
    </row>
    <row r="83" hidden="1" ht="45" customHeight="1">
      <c r="A83" s="226"/>
      <c r="B83" s="238">
        <v>1253</v>
      </c>
      <c r="C83" s="242" t="s">
        <v>161</v>
      </c>
      <c r="D83" s="301">
        <v>10</v>
      </c>
      <c r="E83" s="301">
        <v>13</v>
      </c>
      <c r="F83" s="301">
        <v>14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2</v>
      </c>
      <c r="F85" s="301">
        <v>0</v>
      </c>
      <c r="G85" s="207" t="s">
        <v>117</v>
      </c>
    </row>
    <row r="86" hidden="1" ht="45" customHeight="1">
      <c r="A86" s="226"/>
      <c r="B86" s="238">
        <v>1256</v>
      </c>
      <c r="C86" s="242" t="s">
        <v>164</v>
      </c>
      <c r="D86" s="301">
        <v>0</v>
      </c>
      <c r="E86" s="301">
        <v>2</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2</v>
      </c>
      <c r="E88" s="301">
        <v>0</v>
      </c>
      <c r="F88" s="301">
        <v>1</v>
      </c>
      <c r="G88" s="207" t="s">
        <v>117</v>
      </c>
    </row>
    <row r="89" hidden="1" ht="45" customHeight="1">
      <c r="A89" s="226"/>
      <c r="B89" s="238">
        <v>1259</v>
      </c>
      <c r="C89" s="242" t="s">
        <v>167</v>
      </c>
      <c r="D89" s="301">
        <v>2</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2</v>
      </c>
      <c r="F93" s="301">
        <v>1</v>
      </c>
      <c r="G93" s="266" t="s">
        <v>168</v>
      </c>
    </row>
    <row r="94" ht="45" customHeight="1">
      <c r="A94" s="226"/>
      <c r="B94" s="238">
        <v>1314</v>
      </c>
      <c r="C94" s="269" t="s">
        <v>173</v>
      </c>
      <c r="D94" s="301">
        <v>2</v>
      </c>
      <c r="E94" s="301">
        <v>2</v>
      </c>
      <c r="F94" s="301">
        <v>1</v>
      </c>
      <c r="G94" s="266" t="s">
        <v>168</v>
      </c>
    </row>
    <row r="95" ht="45" customHeight="1">
      <c r="A95" s="226"/>
      <c r="B95" s="238">
        <v>1315</v>
      </c>
      <c r="C95" s="243" t="s">
        <v>174</v>
      </c>
      <c r="D95" s="301">
        <v>2</v>
      </c>
      <c r="E95" s="301">
        <v>2</v>
      </c>
      <c r="F95" s="301">
        <v>1</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2</v>
      </c>
      <c r="F97" s="301">
        <v>1</v>
      </c>
      <c r="G97" s="266" t="s">
        <v>168</v>
      </c>
    </row>
    <row r="98" ht="45" customHeight="1" s="270" customFormat="1">
      <c r="A98" s="226"/>
      <c r="B98" s="238">
        <v>1322</v>
      </c>
      <c r="C98" s="242" t="s">
        <v>177</v>
      </c>
      <c r="D98" s="301">
        <v>2</v>
      </c>
      <c r="E98" s="301">
        <v>2</v>
      </c>
      <c r="F98" s="301">
        <v>1</v>
      </c>
      <c r="G98" s="266" t="s">
        <v>168</v>
      </c>
    </row>
    <row r="99" ht="45" customHeight="1" s="270" customFormat="1">
      <c r="A99" s="226"/>
      <c r="B99" s="238">
        <v>1323</v>
      </c>
      <c r="C99" s="242" t="s">
        <v>178</v>
      </c>
      <c r="D99" s="301">
        <v>2</v>
      </c>
      <c r="E99" s="301">
        <v>2</v>
      </c>
      <c r="F99" s="301">
        <v>1</v>
      </c>
      <c r="G99" s="266" t="s">
        <v>168</v>
      </c>
    </row>
    <row r="100" ht="45" customHeight="1" s="270" customFormat="1">
      <c r="A100" s="226"/>
      <c r="B100" s="238">
        <v>1324</v>
      </c>
      <c r="C100" s="242" t="s">
        <v>179</v>
      </c>
      <c r="D100" s="301">
        <v>2</v>
      </c>
      <c r="E100" s="301">
        <v>2</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2</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2</v>
      </c>
      <c r="F106" s="301">
        <v>0</v>
      </c>
      <c r="G106" s="266" t="s">
        <v>168</v>
      </c>
    </row>
    <row r="107" hidden="1" ht="45" customHeight="1" s="270" customFormat="1">
      <c r="A107" s="226"/>
      <c r="B107" s="238">
        <v>1342</v>
      </c>
      <c r="C107" s="242" t="s">
        <v>186</v>
      </c>
      <c r="D107" s="271">
        <f>D94</f>
        <v>2</v>
      </c>
      <c r="E107" s="271">
        <f>E94</f>
        <v>2</v>
      </c>
      <c r="F107" s="271">
        <f>F94</f>
        <v>1</v>
      </c>
      <c r="G107" s="266"/>
    </row>
    <row r="108" ht="45" customHeight="1" s="270" customFormat="1">
      <c r="A108" s="226"/>
      <c r="B108" s="238">
        <v>1343</v>
      </c>
      <c r="C108" s="242" t="s">
        <v>187</v>
      </c>
      <c r="D108" s="301">
        <v>0</v>
      </c>
      <c r="E108" s="301">
        <v>2</v>
      </c>
      <c r="F108" s="301">
        <v>0</v>
      </c>
      <c r="G108" s="266" t="s">
        <v>168</v>
      </c>
    </row>
    <row r="109" ht="45" customHeight="1" s="270" customFormat="1">
      <c r="A109" s="226"/>
      <c r="B109" s="238">
        <v>1344</v>
      </c>
      <c r="C109" s="242" t="s">
        <v>188</v>
      </c>
      <c r="D109" s="301">
        <v>0</v>
      </c>
      <c r="E109" s="301">
        <v>2</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1</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2</v>
      </c>
      <c r="F114" s="301">
        <v>0</v>
      </c>
      <c r="G114" s="266" t="s">
        <v>168</v>
      </c>
    </row>
    <row r="115" ht="45" customHeight="1" s="270" customFormat="1">
      <c r="A115" s="226"/>
      <c r="B115" s="238">
        <v>1356</v>
      </c>
      <c r="C115" s="242" t="s">
        <v>193</v>
      </c>
      <c r="D115" s="301">
        <v>0</v>
      </c>
      <c r="E115" s="301">
        <v>2</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0</v>
      </c>
      <c r="F119" s="301">
        <v>0</v>
      </c>
      <c r="G119" s="207" t="s">
        <v>194</v>
      </c>
    </row>
    <row r="120" hidden="1" ht="45" customHeight="1" s="270" customFormat="1">
      <c r="A120" s="226"/>
      <c r="B120" s="238">
        <v>1414</v>
      </c>
      <c r="C120" s="243" t="s">
        <v>198</v>
      </c>
      <c r="D120" s="301">
        <v>1</v>
      </c>
      <c r="E120" s="301">
        <v>0</v>
      </c>
      <c r="F120" s="301">
        <v>0</v>
      </c>
      <c r="G120" s="207" t="s">
        <v>194</v>
      </c>
    </row>
    <row r="121" hidden="1" ht="45" customHeight="1" s="270" customFormat="1">
      <c r="A121" s="226"/>
      <c r="B121" s="238">
        <v>1422</v>
      </c>
      <c r="C121" s="242" t="s">
        <v>199</v>
      </c>
      <c r="D121" s="301">
        <v>1</v>
      </c>
      <c r="E121" s="301">
        <v>0</v>
      </c>
      <c r="F121" s="301">
        <v>0</v>
      </c>
      <c r="G121" s="207" t="s">
        <v>194</v>
      </c>
    </row>
    <row r="122" hidden="1" ht="45" customHeight="1" s="270" customFormat="1">
      <c r="A122" s="226"/>
      <c r="B122" s="238">
        <v>1423</v>
      </c>
      <c r="C122" s="242" t="s">
        <v>200</v>
      </c>
      <c r="D122" s="301">
        <v>1</v>
      </c>
      <c r="E122" s="301">
        <v>0</v>
      </c>
      <c r="F122" s="301">
        <v>0</v>
      </c>
      <c r="G122" s="207" t="s">
        <v>194</v>
      </c>
    </row>
    <row r="123" hidden="1" ht="45" customHeight="1" s="270" customFormat="1">
      <c r="A123" s="226"/>
      <c r="B123" s="238">
        <v>1424</v>
      </c>
      <c r="C123" s="242" t="s">
        <v>201</v>
      </c>
      <c r="D123" s="301">
        <v>1</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289</v>
      </c>
      <c r="AZ385" s="0" t="s">
        <v>293</v>
      </c>
      <c r="BA385" s="0" t="s">
        <v>285</v>
      </c>
      <c r="BB385" s="0" t="str">
        <f t="shared" si="5"/>
        <v>CCCRNimNwangele</v>
      </c>
    </row>
    <row r="386">
      <c r="AV386" s="0" t="s">
        <v>471</v>
      </c>
      <c r="AW386" s="0" t="s">
        <v>286</v>
      </c>
      <c r="AX386" s="0" t="s">
        <v>845</v>
      </c>
      <c r="AY386" s="0" t="s">
        <v>1826</v>
      </c>
      <c r="AZ386" s="0" t="s">
        <v>1827</v>
      </c>
      <c r="BA386" s="0" t="s">
        <v>285</v>
      </c>
      <c r="BB386" s="0" t="str">
        <f t="shared" si="5"/>
        <v>CCCRNimNwangele</v>
      </c>
    </row>
    <row r="387">
      <c r="AV387" s="0" t="s">
        <v>471</v>
      </c>
      <c r="AW387" s="0" t="s">
        <v>286</v>
      </c>
      <c r="AX387" s="0" t="s">
        <v>845</v>
      </c>
      <c r="AY387" s="0" t="s">
        <v>1828</v>
      </c>
      <c r="AZ387" s="0" t="s">
        <v>1829</v>
      </c>
      <c r="BA387" s="0" t="s">
        <v>285</v>
      </c>
      <c r="BB387" s="0" t="str">
        <f ref="BB387:BB450" t="shared" si="6">SUBSTITUTE(SUBSTITUTE(BA387&amp;AX387," ",""),"-","")</f>
        <v>CCCRNimNwangele</v>
      </c>
    </row>
    <row r="388">
      <c r="AV388" s="0" t="s">
        <v>471</v>
      </c>
      <c r="AW388" s="0" t="s">
        <v>286</v>
      </c>
      <c r="AX388" s="0" t="s">
        <v>873</v>
      </c>
      <c r="AY388" s="0" t="s">
        <v>1830</v>
      </c>
      <c r="AZ388" s="0" t="s">
        <v>1831</v>
      </c>
      <c r="BA388" s="0" t="s">
        <v>285</v>
      </c>
      <c r="BB388" s="0" t="str">
        <f t="shared" si="6"/>
        <v>CCCRNimOguta</v>
      </c>
    </row>
    <row r="389">
      <c r="AV389" s="0" t="s">
        <v>471</v>
      </c>
      <c r="AW389" s="0" t="s">
        <v>286</v>
      </c>
      <c r="AX389" s="0" t="s">
        <v>873</v>
      </c>
      <c r="AY389" s="0" t="s">
        <v>1832</v>
      </c>
      <c r="AZ389" s="0" t="s">
        <v>1833</v>
      </c>
      <c r="BA389" s="0" t="s">
        <v>285</v>
      </c>
      <c r="BB389" s="0" t="str">
        <f t="shared" si="6"/>
        <v>CCCRNimOguta</v>
      </c>
    </row>
    <row r="390">
      <c r="AV390" s="0" t="s">
        <v>471</v>
      </c>
      <c r="AW390" s="0" t="s">
        <v>286</v>
      </c>
      <c r="AX390" s="0" t="s">
        <v>873</v>
      </c>
      <c r="AY390" s="0" t="s">
        <v>1834</v>
      </c>
      <c r="AZ390" s="0" t="s">
        <v>1835</v>
      </c>
      <c r="BA390" s="0" t="s">
        <v>285</v>
      </c>
      <c r="BB390" s="0" t="str">
        <f t="shared" si="6"/>
        <v>CCCRNimOguta</v>
      </c>
    </row>
    <row r="391">
      <c r="AV391" s="0" t="s">
        <v>471</v>
      </c>
      <c r="AW391" s="0" t="s">
        <v>286</v>
      </c>
      <c r="AX391" s="0" t="s">
        <v>873</v>
      </c>
      <c r="AY391" s="0" t="s">
        <v>1836</v>
      </c>
      <c r="AZ391" s="0" t="s">
        <v>1837</v>
      </c>
      <c r="BA391" s="0" t="s">
        <v>285</v>
      </c>
      <c r="BB391" s="0" t="str">
        <f t="shared" si="6"/>
        <v>CCCRNimOguta</v>
      </c>
    </row>
    <row r="392">
      <c r="AV392" s="0" t="s">
        <v>471</v>
      </c>
      <c r="AW392" s="0" t="s">
        <v>286</v>
      </c>
      <c r="AX392" s="0" t="s">
        <v>873</v>
      </c>
      <c r="AY392" s="0" t="s">
        <v>1838</v>
      </c>
      <c r="AZ392" s="0" t="s">
        <v>1839</v>
      </c>
      <c r="BA392" s="0" t="s">
        <v>285</v>
      </c>
      <c r="BB392" s="0" t="str">
        <f t="shared" si="6"/>
        <v>CCCRNimOguta</v>
      </c>
    </row>
    <row r="393">
      <c r="AV393" s="0" t="s">
        <v>471</v>
      </c>
      <c r="AW393" s="0" t="s">
        <v>286</v>
      </c>
      <c r="AX393" s="0" t="s">
        <v>1226</v>
      </c>
      <c r="AY393" s="304" t="s">
        <v>1840</v>
      </c>
      <c r="AZ393" s="0" t="s">
        <v>1841</v>
      </c>
      <c r="BA393" s="0" t="s">
        <v>285</v>
      </c>
      <c r="BB393" s="0" t="str">
        <f t="shared" si="6"/>
        <v>CCCRNimOhajiEgbema</v>
      </c>
    </row>
    <row r="394">
      <c r="AV394" s="0" t="s">
        <v>471</v>
      </c>
      <c r="AW394" s="0" t="s">
        <v>286</v>
      </c>
      <c r="AX394" s="0" t="s">
        <v>1226</v>
      </c>
      <c r="AY394" s="304" t="s">
        <v>1842</v>
      </c>
      <c r="AZ394" s="0" t="s">
        <v>1843</v>
      </c>
      <c r="BA394" s="0" t="s">
        <v>285</v>
      </c>
      <c r="BB394" s="0" t="str">
        <f t="shared" si="6"/>
        <v>CCCRNimOhajiEgbema</v>
      </c>
    </row>
    <row r="395">
      <c r="AV395" s="0" t="s">
        <v>471</v>
      </c>
      <c r="AW395" s="0" t="s">
        <v>286</v>
      </c>
      <c r="AX395" s="0" t="s">
        <v>1226</v>
      </c>
      <c r="AY395" s="304" t="s">
        <v>1844</v>
      </c>
      <c r="AZ395" s="0" t="s">
        <v>1845</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