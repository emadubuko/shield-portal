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<sst xmlns="http://schemas.openxmlformats.org/spreadsheetml/2006/main" count="4056" uniqueCount="4056">
  <si>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</si>
  <si>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</si>
  <si>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</si>
  <si>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</si>
  <si>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</si>
  <si>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</si>
  <si>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</si>
  <si>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</si>
  <si>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</si>
  <si>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</si>
  <si>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</si>
  <si>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</si>
  <si>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</si>
  <si>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</si>
  <si>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</si>
  <si>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</si>
  <si>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</si>
  <si>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</si>
  <si>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</si>
  <si>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</si>
  <si>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</si>
  <si>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</si>
  <si>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</si>
  <si>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</si>
  <si>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</si>
  <si>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</si>
  <si>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</si>
  <si>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</si>
  <si>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</si>
  <si>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</si>
  <si>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</si>
  <si>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</si>
  <si>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</si>
  <si>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</si>
  <si>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</si>
  <si>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</si>
  <si>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</si>
  <si>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</si>
  <si>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</si>
  <si>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</si>
  <si>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</si>
  <si>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</si>
  <si>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</si>
  <si>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</si>
  <si>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</si>
  <si>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</si>
  <si>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</si>
  <si>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</si>
  <si>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</si>
  <si>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</si>
  <si>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</si>
  <si>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</si>
  <si>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</si>
  <si>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</si>
  <si>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</si>
  <si>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</si>
  <si>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</si>
  <si>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</si>
  <si>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</si>
  <si>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</si>
  <si>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</si>
  <si>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</si>
  <si>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</si>
  <si>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</si>
  <si>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</si>
  <si>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</si>
  <si>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</si>
  <si>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</si>
  <si>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</si>
  <si>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</si>
  <si>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</si>
  <si>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</si>
  <si>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</si>
  <si>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</si>
  <si>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</si>
  <si>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</si>
  <si>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</si>
  <si>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</si>
  <si>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</si>
  <si>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</si>
  <si>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</si>
  <si>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</si>
  <si>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</si>
  <si>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</si>
  <si>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</si>
  <si>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</si>
  <si>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</si>
  <si>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</si>
  <si>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</si>
  <si>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</si>
  <si>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</si>
  <si>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</si>
  <si>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</si>
  <si>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</si>
  <si>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</si>
  <si>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</si>
  <si>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</si>
  <si>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</si>
  <si>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</si>
  <si>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</si>
  <si>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</si>
  <si>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</si>
  <si>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</si>
  <si>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</si>
  <si>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</si>
  <si>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</si>
  <si>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</si>
  <si>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</si>
  <si>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</si>
  <si>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</si>
  <si>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</si>
  <si>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</si>
  <si>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</si>
  <si>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</si>
  <si>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</si>
  <si>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</si>
  <si>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</si>
  <si>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</si>
  <si>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</si>
  <si>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</si>
  <si>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</si>
  <si>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</si>
  <si>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</si>
  <si>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</si>
  <si>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</si>
  <si>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</si>
  <si>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</si>
  <si>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</si>
  <si>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</si>
  <si>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</si>
  <si>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</si>
  <si>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</si>
  <si>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</si>
  <si>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</si>
  <si>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</si>
  <si>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</si>
  <si>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</si>
  <si>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</si>
  <si>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</si>
  <si>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</si>
  <si>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</si>
  <si>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</si>
  <si>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</si>
  <si>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</si>
  <si>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</si>
  <si>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</si>
  <si>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</si>
  <si>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</si>
  <si>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</si>
  <si>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</si>
  <si>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</si>
  <si>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</si>
  <si>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</si>
  <si>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</si>
  <si>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</si>
  <si>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</si>
  <si>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</si>
  <si>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</si>
  <si>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</si>
  <si>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</si>
  <si>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</si>
  <si>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</si>
  <si>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</si>
  <si>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</si>
  <si>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</si>
  <si>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</si>
  <si>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</si>
  <si>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</si>
  <si>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</si>
  <si>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</si>
  <si>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</si>
  <si>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</si>
  <si>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</si>
  <si>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</si>
  <si>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</si>
  <si>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</si>
  <si>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</si>
  <si>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</si>
  <si>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</si>
  <si>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</si>
  <si>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</si>
  <si>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</si>
  <si>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</si>
  <si>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</si>
  <si>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</si>
  <si>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</si>
  <si>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</si>
  <si>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</si>
  <si>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</si>
  <si>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</si>
  <si>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</si>
  <si>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</si>
  <si>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</si>
  <si>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</si>
  <si>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</si>
  <si>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</si>
  <si>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</si>
  <si>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</si>
  <si>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</si>
  <si>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</si>
  <si>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</si>
  <si>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</si>
  <si>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</si>
  <si>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</si>
  <si>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</si>
  <si>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</si>
  <si>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</si>
  <si>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</si>
  <si>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</si>
  <si>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</si>
  <si>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</si>
  <si>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</si>
  <si>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</si>
  <si>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</si>
  <si>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</si>
  <si>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</si>
  <si>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</si>
  <si>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</si>
  <si>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</si>
  <si>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</si>
  <si>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</si>
  <si>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</si>
  <si>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</si>
  <si>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</si>
  <si>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</si>
  <si>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</si>
  <si>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</si>
  <si>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</si>
  <si>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</si>
  <si>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</si>
  <si>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</si>
  <si>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</si>
  <si>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</si>
  <si>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</si>
  <si>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</si>
  <si>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</si>
  <si>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</si>
  <si>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</si>
  <si>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</si>
  <si>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</si>
  <si>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</si>
  <si>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</si>
  <si>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</si>
  <si>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</si>
  <si>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</si>
  <si>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</si>
  <si>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</si>
  <si>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</si>
  <si>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</si>
  <si>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</si>
  <si>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</si>
  <si>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</si>
  <si>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</si>
  <si>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</si>
  <si>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</si>
  <si>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</si>
  <si>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</si>
  <si>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</si>
  <si>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</si>
  <si>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</si>
  <si>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</si>
  <si>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</si>
  <si>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</si>
  <si>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</si>
  <si>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</si>
  <si>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</si>
  <si>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</si>
  <si>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</si>
  <si>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</si>
  <si>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</si>
  <si>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</si>
  <si>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</si>
  <si>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</si>
  <si>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</si>
  <si>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</si>
  <si>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</si>
  <si>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</si>
  <si>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</si>
  <si>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</si>
  <si>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</si>
  <si>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</si>
  <si>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</si>
  <si>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</si>
  <si>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</si>
  <si>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</si>
  <si>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</si>
  <si>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</si>
  <si>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Kwande</t>
  </si>
  <si>
    <t>Facility Name:</t>
  </si>
  <si>
    <t>Nongu u Kristu ke Sudan hen Tiv (NKST) Primary Health Center - Ahobee</t>
  </si>
  <si>
    <t>Reporting Period:</t>
  </si>
  <si>
    <t>Q1(Oct - Dec)</t>
  </si>
  <si>
    <t>Facility Code:</t>
  </si>
  <si>
    <t>vhponVEgOwi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</si>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</sst>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33</v>
      </c>
      <c r="G8" s="155">
        <f>ROUND(SUM('All Questions'!D31:D35)/5+G12,0)</f>
        <v>31</v>
      </c>
      <c r="H8" s="156">
        <f>ROUND(SUM('All Questions'!D37,'All Questions'!D40)/2+'All Questions'!D26+H12,0)</f>
        <v>68</v>
      </c>
      <c r="I8" s="157">
        <f>ROUND((SUM('All Questions'!E11:E14)/4)+I12,0)</f>
        <v>0</v>
      </c>
      <c r="J8" s="155">
        <f>ROUND(SUM('All Questions'!E15:E21)/7+J12,0)</f>
        <v>0</v>
      </c>
      <c r="K8" s="155">
        <f>ROUND(SUM('All Questions'!E23:E30)/4+K12,0)</f>
        <v>26</v>
      </c>
      <c r="L8" s="155">
        <f>ROUND(SUM('All Questions'!E31:E35)/5+L12,0)</f>
        <v>24</v>
      </c>
      <c r="M8" s="156">
        <f>ROUND(('All Questions'!E37+'All Questions'!E40)/2+'All Questions'!E26+M12,0)</f>
        <v>54</v>
      </c>
      <c r="N8" s="157">
        <f>ROUND((SUM('All Questions'!F11:F14)/4)+N12,0)</f>
        <v>0</v>
      </c>
      <c r="O8" s="155">
        <f>ROUND(SUM('All Questions'!F15:F21)/7+O12,0)</f>
        <v>0</v>
      </c>
      <c r="P8" s="155">
        <f>ROUND(SUM('All Questions'!F23:F30)/4+P12,0)</f>
        <v>32</v>
      </c>
      <c r="Q8" s="155">
        <f>ROUND(SUM('All Questions'!F31:F35)/5+Q12,0)</f>
        <v>28</v>
      </c>
      <c r="R8" s="156">
        <f>ROUND(('All Questions'!F37+'All Questions'!F40)/2+'All Questions'!F26+R12,0)</f>
        <v>65</v>
      </c>
      <c r="S8" s="141">
        <f>'All Questions'!F2</f>
        <v>0</v>
      </c>
      <c r="T8" s="142" t="e">
        <f>(AVERAGE(F8:H8)+AVERAGE(K8:M8)+AVERAGE(P8:R8))/S8</f>
        <v>#DIV/0!</v>
      </c>
      <c r="V8" s="309">
        <f>AVERAGE(F8:H8)+AVERAGE(K8:M8)+AVERAGE(P8:R8)</f>
        <v>120.33333333333331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29</v>
      </c>
      <c r="G10" s="159">
        <f>ROUND(SUM('All Questions'!D31:D35)/5,0)</f>
        <v>23</v>
      </c>
      <c r="H10" s="162">
        <f>ROUND(('All Questions'!D37+'All Questions'!D40)/2+'All Questions'!D26,0)</f>
        <v>58</v>
      </c>
      <c r="I10" s="163">
        <f>ROUND((SUM('All Questions'!E11:E14)/4),0)</f>
        <v>0</v>
      </c>
      <c r="J10" s="164">
        <f>ROUND(SUM('All Questions'!E15:E21)/7,0)</f>
        <v>0</v>
      </c>
      <c r="K10" s="164">
        <f>ROUND(SUM('All Questions'!E23:E30)/4,0)</f>
        <v>24</v>
      </c>
      <c r="L10" s="164">
        <f>ROUND(SUM('All Questions'!E31:E35)/5,0)</f>
        <v>20</v>
      </c>
      <c r="M10" s="165">
        <f>ROUND(('All Questions'!E37+'All Questions'!E40)/2+'All Questions'!E26,0)</f>
        <v>49</v>
      </c>
      <c r="N10" s="166">
        <f>ROUND((SUM('All Questions'!F11:F14)/4),0)</f>
        <v>0</v>
      </c>
      <c r="O10" s="164">
        <f>ROUND(SUM('All Questions'!F15:F21)/7,0)</f>
        <v>0</v>
      </c>
      <c r="P10" s="164">
        <f>ROUND(SUM('All Questions'!F23:F30)/4,0)</f>
        <v>30</v>
      </c>
      <c r="Q10" s="164">
        <f>ROUND(SUM('All Questions'!F31:F35)/5,0)</f>
        <v>24</v>
      </c>
      <c r="R10" s="165">
        <f>ROUND(('All Questions'!F37+'All Questions'!F40)/2+'All Questions'!F26,0)</f>
        <v>60</v>
      </c>
      <c r="S10" s="141">
        <f>'All Questions'!F4</f>
        <v>0</v>
      </c>
      <c r="T10" s="143" t="e">
        <f>(AVERAGE(F10:H10)+AVERAGE(K10:M10)+AVERAGE(P10:R10))/S10</f>
        <v>#DIV/0!</v>
      </c>
      <c r="V10" s="309">
        <f>AVERAGE(F10:H10)+AVERAGE(K10:M10)+AVERAGE(P10:R10)</f>
        <v>105.66666666666666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4</v>
      </c>
      <c r="G12" s="173">
        <f>ROUND(SUM('All Questions'!D73:D80)/4,0)</f>
        <v>8</v>
      </c>
      <c r="H12" s="174">
        <f>ROUND(SUM('All Questions'!D82:D83)/2,0)</f>
        <v>10</v>
      </c>
      <c r="I12" s="175">
        <f>ROUND(SUM('All Questions'!E54:E58)+'All Questions'!E71/4,0)</f>
        <v>0</v>
      </c>
      <c r="J12" s="176">
        <f>ROUND(SUM('All Questions'!E60:E63)/4,0)</f>
        <v>0</v>
      </c>
      <c r="K12" s="176">
        <f>ROUND(SUM('All Questions'!E67:E72)/3,0)</f>
        <v>2</v>
      </c>
      <c r="L12" s="176">
        <f>ROUND(SUM('All Questions'!E73:E80)/4,0)</f>
        <v>4</v>
      </c>
      <c r="M12" s="177">
        <f>ROUND(SUM('All Questions'!E82:E83)/2,0)</f>
        <v>5</v>
      </c>
      <c r="N12" s="178">
        <f>ROUND(SUM('All Questions'!F54:F58)+'All Questions'!F71/4,0)</f>
        <v>0</v>
      </c>
      <c r="O12" s="176">
        <f>ROUND(SUM('All Questions'!F60:F63)/4,0)</f>
        <v>0</v>
      </c>
      <c r="P12" s="176">
        <f>ROUND(SUM('All Questions'!F67:F72)/3,0)</f>
        <v>2</v>
      </c>
      <c r="Q12" s="176">
        <f>ROUND(SUM('All Questions'!F73:F80)/4,0)</f>
        <v>4</v>
      </c>
      <c r="R12" s="177">
        <f>ROUND(SUM('All Questions'!F82:F83)/2,0)</f>
        <v>5</v>
      </c>
      <c r="S12" s="145">
        <f>'All Questions'!F46</f>
        <v>0</v>
      </c>
      <c r="T12" s="146" t="e">
        <f ref="T12:T15" t="shared" si="1">(AVERAGE(F12:H12)+AVERAGE(K12:M12)+AVERAGE(P12:R12))/S12</f>
        <v>#DIV/0!</v>
      </c>
      <c r="V12" s="309">
        <f>AVERAGE(F12:H12)+AVERAGE(K12:M12)+AVERAGE(P12:R12)</f>
        <v>14.666666666666666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1</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1</v>
      </c>
      <c r="R16" s="195">
        <f>ROUND(SUM('All Questions'!F111,'All Questions'!F112,'All Questions'!F114,'All Questions'!F115)/4,0)</f>
        <v>1</v>
      </c>
      <c r="S16" s="149">
        <f>'All Questions'!F91</f>
        <v>0</v>
      </c>
      <c r="T16" s="150" t="e">
        <f>(AVERAGE(F16:H16)+AVERAGE(K16:M16)+AVERAGE(P16:R16))/S16</f>
        <v>#DIV/0!</v>
      </c>
      <c r="V16" s="309">
        <f t="shared" si="2"/>
        <v>0.66666666666666663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212</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25</v>
      </c>
      <c r="E10" s="301">
        <v>25</v>
      </c>
      <c r="F10" s="301">
        <v>25</v>
      </c>
      <c r="G10" s="207" t="s">
        <v>67</v>
      </c>
    </row>
    <row r="11" hidden="1" ht="45" customHeight="1">
      <c r="A11" s="226"/>
      <c r="B11" s="238">
        <v>1114</v>
      </c>
      <c r="C11" s="243" t="s">
        <v>84</v>
      </c>
      <c r="D11" s="301">
        <v>25</v>
      </c>
      <c r="E11" s="301">
        <v>25</v>
      </c>
      <c r="F11" s="301">
        <v>25</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56</v>
      </c>
      <c r="E25" s="301">
        <v>46</v>
      </c>
      <c r="F25" s="301">
        <v>59</v>
      </c>
      <c r="G25" s="207" t="s">
        <v>67</v>
      </c>
    </row>
    <row r="26" hidden="1" ht="45" customHeight="1">
      <c r="A26" s="226"/>
      <c r="B26" s="238">
        <v>1134</v>
      </c>
      <c r="C26" s="242" t="s">
        <v>99</v>
      </c>
      <c r="D26" s="301">
        <v>2</v>
      </c>
      <c r="E26" s="301">
        <v>3</v>
      </c>
      <c r="F26" s="301">
        <v>1</v>
      </c>
      <c r="G26" s="207" t="s">
        <v>67</v>
      </c>
    </row>
    <row r="27" hidden="1" ht="45" customHeight="1">
      <c r="A27" s="226"/>
      <c r="B27" s="238">
        <v>1135</v>
      </c>
      <c r="C27" s="242" t="s">
        <v>100</v>
      </c>
      <c r="D27" s="301">
        <v>56</v>
      </c>
      <c r="E27" s="301">
        <v>46</v>
      </c>
      <c r="F27" s="301">
        <v>59</v>
      </c>
      <c r="G27" s="207" t="s">
        <v>67</v>
      </c>
    </row>
    <row r="28" hidden="1" ht="45" customHeight="1">
      <c r="A28" s="226"/>
      <c r="B28" s="238">
        <v>1136</v>
      </c>
      <c r="C28" s="242" t="s">
        <v>101</v>
      </c>
      <c r="D28" s="301">
        <v>2</v>
      </c>
      <c r="E28" s="301">
        <v>3</v>
      </c>
      <c r="F28" s="301">
        <v>1</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58</v>
      </c>
      <c r="E33" s="301">
        <v>49</v>
      </c>
      <c r="F33" s="301">
        <v>60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58</v>
      </c>
      <c r="E35" s="301">
        <v>49</v>
      </c>
      <c r="F35" s="301">
        <v>60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56</v>
      </c>
      <c r="E37" s="301">
        <v>46</v>
      </c>
      <c r="F37" s="301">
        <v>59</v>
      </c>
      <c r="G37" s="207" t="s">
        <v>67</v>
      </c>
    </row>
    <row r="38" hidden="1" ht="45" customHeight="1">
      <c r="A38" s="226"/>
      <c r="B38" s="238">
        <v>1153</v>
      </c>
      <c r="C38" s="242" t="s">
        <v>111</v>
      </c>
      <c r="D38" s="301">
        <v>56</v>
      </c>
      <c r="E38" s="301">
        <v>46</v>
      </c>
      <c r="F38" s="301">
        <v>59</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56</v>
      </c>
      <c r="E40" s="301">
        <v>46</v>
      </c>
      <c r="F40" s="301">
        <v>59</v>
      </c>
      <c r="G40" s="207" t="s">
        <v>67</v>
      </c>
    </row>
    <row r="41" hidden="1" ht="45" customHeight="1">
      <c r="A41" s="226"/>
      <c r="B41" s="238">
        <v>1156</v>
      </c>
      <c r="C41" s="242" t="s">
        <v>113</v>
      </c>
      <c r="D41" s="301">
        <v>56</v>
      </c>
      <c r="E41" s="301">
        <v>46</v>
      </c>
      <c r="F41" s="301">
        <v>59</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4</v>
      </c>
      <c r="E43" s="301">
        <v>2</v>
      </c>
      <c r="F43" s="301">
        <v>3</v>
      </c>
      <c r="G43" s="207" t="s">
        <v>67</v>
      </c>
    </row>
    <row r="44" hidden="1" ht="45" customHeight="1" s="250" customFormat="1">
      <c r="A44" s="226"/>
      <c r="B44" s="238">
        <v>1159</v>
      </c>
      <c r="C44" s="242" t="s">
        <v>116</v>
      </c>
      <c r="D44" s="301">
        <v>4</v>
      </c>
      <c r="E44" s="301">
        <v>2</v>
      </c>
      <c r="F44" s="301">
        <v>3</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29</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11</v>
      </c>
      <c r="E53" s="301">
        <v>5</v>
      </c>
      <c r="F53" s="301">
        <v>5</v>
      </c>
      <c r="G53" s="207" t="s">
        <v>117</v>
      </c>
    </row>
    <row r="54" hidden="1" ht="45" customHeight="1">
      <c r="A54" s="226"/>
      <c r="B54" s="238">
        <v>1214</v>
      </c>
      <c r="C54" s="264" t="s">
        <v>132</v>
      </c>
      <c r="D54" s="301">
        <v>11</v>
      </c>
      <c r="E54" s="301">
        <v>5</v>
      </c>
      <c r="F54" s="301">
        <v>5</v>
      </c>
      <c r="G54" s="207" t="s">
        <v>117</v>
      </c>
    </row>
    <row r="55" hidden="1" ht="45" customHeight="1">
      <c r="A55" s="226"/>
      <c r="B55" s="238">
        <v>1215</v>
      </c>
      <c r="C55" s="242" t="s">
        <v>133</v>
      </c>
      <c r="D55" s="301">
        <v>11</v>
      </c>
      <c r="E55" s="301">
        <v>5</v>
      </c>
      <c r="F55" s="301">
        <v>5</v>
      </c>
      <c r="G55" s="207" t="s">
        <v>117</v>
      </c>
    </row>
    <row r="56" hidden="1" ht="45" customHeight="1">
      <c r="A56" s="226"/>
      <c r="B56" s="238">
        <v>1216</v>
      </c>
      <c r="C56" s="243" t="s">
        <v>134</v>
      </c>
      <c r="D56" s="301">
        <v>11</v>
      </c>
      <c r="E56" s="301">
        <v>5</v>
      </c>
      <c r="F56" s="301">
        <v>5</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1</v>
      </c>
      <c r="G58" s="207" t="s">
        <v>117</v>
      </c>
    </row>
    <row r="59" hidden="1" ht="45" customHeight="1">
      <c r="A59" s="226"/>
      <c r="B59" s="238">
        <v>1221</v>
      </c>
      <c r="C59" s="264" t="s">
        <v>137</v>
      </c>
      <c r="D59" s="301">
        <v>11</v>
      </c>
      <c r="E59" s="301">
        <v>5</v>
      </c>
      <c r="F59" s="301">
        <v>5</v>
      </c>
      <c r="G59" s="207" t="s">
        <v>117</v>
      </c>
    </row>
    <row r="60" hidden="1" ht="45" customHeight="1">
      <c r="A60" s="226"/>
      <c r="B60" s="238">
        <v>1222</v>
      </c>
      <c r="C60" s="264" t="s">
        <v>138</v>
      </c>
      <c r="D60" s="301">
        <v>11</v>
      </c>
      <c r="E60" s="301">
        <v>5</v>
      </c>
      <c r="F60" s="301">
        <v>5</v>
      </c>
      <c r="G60" s="207" t="s">
        <v>117</v>
      </c>
    </row>
    <row r="61" hidden="1" ht="45" customHeight="1">
      <c r="A61" s="226"/>
      <c r="B61" s="238">
        <v>1223</v>
      </c>
      <c r="C61" s="264" t="s">
        <v>139</v>
      </c>
      <c r="D61" s="301">
        <v>11</v>
      </c>
      <c r="E61" s="301">
        <v>5</v>
      </c>
      <c r="F61" s="301">
        <v>5</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11</v>
      </c>
      <c r="E67" s="301">
        <v>5</v>
      </c>
      <c r="F67" s="301">
        <v>5</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11</v>
      </c>
      <c r="E73" s="301">
        <v>5</v>
      </c>
      <c r="F73" s="301">
        <v>5</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11</v>
      </c>
      <c r="E75" s="301">
        <v>5</v>
      </c>
      <c r="F75" s="301">
        <v>5</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10</v>
      </c>
      <c r="E79" s="301">
        <v>5</v>
      </c>
      <c r="F79" s="301">
        <v>5</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11</v>
      </c>
      <c r="E82" s="301">
        <v>5</v>
      </c>
      <c r="F82" s="301">
        <v>5</v>
      </c>
      <c r="G82" s="207" t="s">
        <v>117</v>
      </c>
    </row>
    <row r="83" hidden="1" ht="45" customHeight="1">
      <c r="A83" s="226"/>
      <c r="B83" s="238">
        <v>1253</v>
      </c>
      <c r="C83" s="242" t="s">
        <v>161</v>
      </c>
      <c r="D83" s="301">
        <v>10</v>
      </c>
      <c r="E83" s="301">
        <v>5</v>
      </c>
      <c r="F83" s="301">
        <v>5</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1</v>
      </c>
      <c r="G85" s="207" t="s">
        <v>117</v>
      </c>
    </row>
    <row r="86" hidden="1" ht="45" customHeight="1">
      <c r="A86" s="226"/>
      <c r="B86" s="238">
        <v>1256</v>
      </c>
      <c r="C86" s="242" t="s">
        <v>164</v>
      </c>
      <c r="D86" s="301">
        <v>0</v>
      </c>
      <c r="E86" s="301">
        <v>0</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1</v>
      </c>
      <c r="G93" s="266" t="s">
        <v>168</v>
      </c>
    </row>
    <row r="94" ht="45" customHeight="1">
      <c r="A94" s="226"/>
      <c r="B94" s="238">
        <v>1314</v>
      </c>
      <c r="C94" s="269" t="s">
        <v>173</v>
      </c>
      <c r="D94" s="301">
        <v>0</v>
      </c>
      <c r="E94" s="301">
        <v>0</v>
      </c>
      <c r="F94" s="301">
        <v>1</v>
      </c>
      <c r="G94" s="266" t="s">
        <v>168</v>
      </c>
    </row>
    <row r="95" ht="45" customHeight="1">
      <c r="A95" s="226"/>
      <c r="B95" s="238">
        <v>1315</v>
      </c>
      <c r="C95" s="243" t="s">
        <v>174</v>
      </c>
      <c r="D95" s="301">
        <v>0</v>
      </c>
      <c r="E95" s="301">
        <v>0</v>
      </c>
      <c r="F95" s="301">
        <v>1</v>
      </c>
      <c r="G95" s="266" t="s">
        <v>168</v>
      </c>
    </row>
    <row r="96" ht="45" customHeight="1" s="270" customFormat="1">
      <c r="A96" s="226"/>
      <c r="B96" s="238">
        <v>1316</v>
      </c>
      <c r="C96" s="243" t="s">
        <v>175</v>
      </c>
      <c r="D96" s="301">
        <v>0</v>
      </c>
      <c r="E96" s="301">
        <v>0</v>
      </c>
      <c r="F96" s="301">
        <v>1</v>
      </c>
      <c r="G96" s="266" t="s">
        <v>168</v>
      </c>
    </row>
    <row r="97" ht="45" customHeight="1" s="270" customFormat="1">
      <c r="A97" s="226"/>
      <c r="B97" s="238">
        <v>1321</v>
      </c>
      <c r="C97" s="242" t="s">
        <v>176</v>
      </c>
      <c r="D97" s="301">
        <v>0</v>
      </c>
      <c r="E97" s="301">
        <v>0</v>
      </c>
      <c r="F97" s="301">
        <v>1</v>
      </c>
      <c r="G97" s="266" t="s">
        <v>168</v>
      </c>
    </row>
    <row r="98" ht="45" customHeight="1" s="270" customFormat="1">
      <c r="A98" s="226"/>
      <c r="B98" s="238">
        <v>1322</v>
      </c>
      <c r="C98" s="242" t="s">
        <v>177</v>
      </c>
      <c r="D98" s="301">
        <v>0</v>
      </c>
      <c r="E98" s="301">
        <v>0</v>
      </c>
      <c r="F98" s="301">
        <v>1</v>
      </c>
      <c r="G98" s="266" t="s">
        <v>168</v>
      </c>
    </row>
    <row r="99" ht="45" customHeight="1" s="270" customFormat="1">
      <c r="A99" s="226"/>
      <c r="B99" s="238">
        <v>1323</v>
      </c>
      <c r="C99" s="242" t="s">
        <v>178</v>
      </c>
      <c r="D99" s="301">
        <v>0</v>
      </c>
      <c r="E99" s="301">
        <v>0</v>
      </c>
      <c r="F99" s="301">
        <v>1</v>
      </c>
      <c r="G99" s="266" t="s">
        <v>168</v>
      </c>
    </row>
    <row r="100" ht="45" customHeight="1" s="270" customFormat="1">
      <c r="A100" s="226"/>
      <c r="B100" s="238">
        <v>1324</v>
      </c>
      <c r="C100" s="242" t="s">
        <v>179</v>
      </c>
      <c r="D100" s="301">
        <v>0</v>
      </c>
      <c r="E100" s="301">
        <v>0</v>
      </c>
      <c r="F100" s="301">
        <v>1</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1</v>
      </c>
      <c r="G106" s="266" t="s">
        <v>168</v>
      </c>
    </row>
    <row r="107" hidden="1" ht="45" customHeight="1" s="270" customFormat="1">
      <c r="A107" s="226"/>
      <c r="B107" s="238">
        <v>1342</v>
      </c>
      <c r="C107" s="242" t="s">
        <v>186</v>
      </c>
      <c r="D107" s="271">
        <f>D94</f>
        <v>0</v>
      </c>
      <c r="E107" s="271">
        <f>E94</f>
        <v>0</v>
      </c>
      <c r="F107" s="271">
        <f>F94</f>
        <v>1</v>
      </c>
      <c r="G107" s="266"/>
    </row>
    <row r="108" ht="45" customHeight="1" s="270" customFormat="1">
      <c r="A108" s="226"/>
      <c r="B108" s="238">
        <v>1343</v>
      </c>
      <c r="C108" s="242" t="s">
        <v>187</v>
      </c>
      <c r="D108" s="301">
        <v>0</v>
      </c>
      <c r="E108" s="301">
        <v>0</v>
      </c>
      <c r="F108" s="301">
        <v>1</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1</v>
      </c>
      <c r="G111" s="266" t="s">
        <v>168</v>
      </c>
    </row>
    <row r="112" ht="45" customHeight="1" s="270" customFormat="1">
      <c r="A112" s="226"/>
      <c r="B112" s="238">
        <v>1353</v>
      </c>
      <c r="C112" s="242" t="s">
        <v>191</v>
      </c>
      <c r="D112" s="301">
        <v>0</v>
      </c>
      <c r="E112" s="301">
        <v>0</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1</v>
      </c>
      <c r="G114" s="266" t="s">
        <v>168</v>
      </c>
    </row>
    <row r="115" ht="45" customHeight="1" s="270" customFormat="1">
      <c r="A115" s="226"/>
      <c r="B115" s="238">
        <v>1356</v>
      </c>
      <c r="C115" s="242" t="s">
        <v>193</v>
      </c>
      <c r="D115" s="301">
        <v>0</v>
      </c>
      <c r="E115" s="301">
        <v>0</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2</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1</v>
      </c>
      <c r="G119" s="207" t="s">
        <v>194</v>
      </c>
    </row>
    <row r="120" hidden="1" ht="45" customHeight="1" s="270" customFormat="1">
      <c r="A120" s="226"/>
      <c r="B120" s="238">
        <v>1414</v>
      </c>
      <c r="C120" s="243" t="s">
        <v>198</v>
      </c>
      <c r="D120" s="301">
        <v>0</v>
      </c>
      <c r="E120" s="301">
        <v>0</v>
      </c>
      <c r="F120" s="301">
        <v>1</v>
      </c>
      <c r="G120" s="207" t="s">
        <v>194</v>
      </c>
    </row>
    <row r="121" hidden="1" ht="45" customHeight="1" s="270" customFormat="1">
      <c r="A121" s="226"/>
      <c r="B121" s="238">
        <v>1422</v>
      </c>
      <c r="C121" s="242" t="s">
        <v>199</v>
      </c>
      <c r="D121" s="301">
        <v>0</v>
      </c>
      <c r="E121" s="301">
        <v>0</v>
      </c>
      <c r="F121" s="301">
        <v>1</v>
      </c>
      <c r="G121" s="207" t="s">
        <v>194</v>
      </c>
    </row>
    <row r="122" hidden="1" ht="45" customHeight="1" s="270" customFormat="1">
      <c r="A122" s="226"/>
      <c r="B122" s="238">
        <v>1423</v>
      </c>
      <c r="C122" s="242" t="s">
        <v>200</v>
      </c>
      <c r="D122" s="301">
        <v>0</v>
      </c>
      <c r="E122" s="301">
        <v>0</v>
      </c>
      <c r="F122" s="301">
        <v>1</v>
      </c>
      <c r="G122" s="207" t="s">
        <v>194</v>
      </c>
    </row>
    <row r="123" hidden="1" ht="45" customHeight="1" s="270" customFormat="1">
      <c r="A123" s="226"/>
      <c r="B123" s="238">
        <v>1424</v>
      </c>
      <c r="C123" s="242" t="s">
        <v>201</v>
      </c>
      <c r="D123" s="301">
        <v>0</v>
      </c>
      <c r="E123" s="301">
        <v>0</v>
      </c>
      <c r="F123" s="301">
        <v>1</v>
      </c>
      <c r="G123" s="207" t="s">
        <v>194</v>
      </c>
    </row>
    <row r="124" hidden="1" ht="45" customHeight="1" s="270" customFormat="1">
      <c r="A124" s="226"/>
      <c r="B124" s="238">
        <v>1425</v>
      </c>
      <c r="C124" s="242" t="s">
        <v>202</v>
      </c>
      <c r="D124" s="301">
        <v>0</v>
      </c>
      <c r="E124" s="301">
        <v>0</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1</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1</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1</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286</v>
      </c>
      <c r="AX422" s="0" t="s">
        <v>440</v>
      </c>
      <c r="AY422" s="0" t="s">
        <v>1900</v>
      </c>
      <c r="AZ422" s="0" t="s">
        <v>1901</v>
      </c>
      <c r="BA422" s="0" t="s">
        <v>285</v>
      </c>
      <c r="BB422" s="0" t="str">
        <f t="shared" si="6"/>
        <v>CCFNbeAgatu</v>
      </c>
    </row>
    <row r="423">
      <c r="AV423" s="0" t="s">
        <v>471</v>
      </c>
      <c r="AW423" s="0" t="s">
        <v>286</v>
      </c>
      <c r="AX423" s="0" t="s">
        <v>483</v>
      </c>
      <c r="AY423" s="0" t="s">
        <v>1902</v>
      </c>
      <c r="AZ423" s="0" t="s">
        <v>1903</v>
      </c>
      <c r="BA423" s="0" t="s">
        <v>285</v>
      </c>
      <c r="BB423" s="0" t="str">
        <f t="shared" si="6"/>
        <v>CCFNbeBuruku</v>
      </c>
    </row>
    <row r="424">
      <c r="AV424" s="0" t="s">
        <v>471</v>
      </c>
      <c r="AW424" s="0" t="s">
        <v>286</v>
      </c>
      <c r="AX424" s="0" t="s">
        <v>483</v>
      </c>
      <c r="AY424" s="0" t="s">
        <v>1904</v>
      </c>
      <c r="AZ424" s="0" t="s">
        <v>1905</v>
      </c>
      <c r="BA424" s="0" t="s">
        <v>285</v>
      </c>
      <c r="BB424" s="0" t="str">
        <f t="shared" si="6"/>
        <v>CCFNbeBuruku</v>
      </c>
    </row>
    <row r="425">
      <c r="AV425" s="0" t="s">
        <v>471</v>
      </c>
      <c r="AW425" s="0" t="s">
        <v>286</v>
      </c>
      <c r="AX425" s="0" t="s">
        <v>483</v>
      </c>
      <c r="AY425" s="0" t="s">
        <v>1906</v>
      </c>
      <c r="AZ425" s="0" t="s">
        <v>1907</v>
      </c>
      <c r="BA425" s="0" t="s">
        <v>285</v>
      </c>
      <c r="BB425" s="0" t="str">
        <f t="shared" si="6"/>
        <v>CCFNbeBuruku</v>
      </c>
    </row>
    <row r="426">
      <c r="AV426" s="0" t="s">
        <v>471</v>
      </c>
      <c r="AW426" s="0" t="s">
        <v>286</v>
      </c>
      <c r="AX426" s="0" t="s">
        <v>523</v>
      </c>
      <c r="AY426" s="0" t="s">
        <v>1908</v>
      </c>
      <c r="AZ426" s="0" t="s">
        <v>1909</v>
      </c>
      <c r="BA426" s="0" t="s">
        <v>285</v>
      </c>
      <c r="BB426" s="0" t="str">
        <f t="shared" si="6"/>
        <v>CCFNbeGboko</v>
      </c>
    </row>
    <row r="427">
      <c r="AV427" s="0" t="s">
        <v>471</v>
      </c>
      <c r="AW427" s="0" t="s">
        <v>286</v>
      </c>
      <c r="AX427" s="0" t="s">
        <v>564</v>
      </c>
      <c r="AY427" s="0" t="s">
        <v>1910</v>
      </c>
      <c r="AZ427" s="0" t="s">
        <v>1911</v>
      </c>
      <c r="BA427" s="0" t="s">
        <v>285</v>
      </c>
      <c r="BB427" s="0" t="str">
        <f t="shared" si="6"/>
        <v>CCFNbeGuma</v>
      </c>
    </row>
    <row r="428">
      <c r="AV428" s="0" t="s">
        <v>471</v>
      </c>
      <c r="AW428" s="0" t="s">
        <v>286</v>
      </c>
      <c r="AX428" s="0" t="s">
        <v>564</v>
      </c>
      <c r="AY428" s="0" t="s">
        <v>1912</v>
      </c>
      <c r="AZ428" s="0" t="s">
        <v>1913</v>
      </c>
      <c r="BA428" s="0" t="s">
        <v>285</v>
      </c>
      <c r="BB428" s="0" t="str">
        <f t="shared" si="6"/>
        <v>CCFNbeGuma</v>
      </c>
    </row>
    <row r="429">
      <c r="AV429" s="0" t="s">
        <v>471</v>
      </c>
      <c r="AW429" s="0" t="s">
        <v>286</v>
      </c>
      <c r="AX429" s="0" t="s">
        <v>602</v>
      </c>
      <c r="AY429" s="0" t="s">
        <v>1914</v>
      </c>
      <c r="AZ429" s="0" t="s">
        <v>1915</v>
      </c>
      <c r="BA429" s="0" t="s">
        <v>285</v>
      </c>
      <c r="BB429" s="0" t="str">
        <f t="shared" si="6"/>
        <v>CCFNbeGwerEast</v>
      </c>
    </row>
    <row r="430">
      <c r="AV430" s="0" t="s">
        <v>471</v>
      </c>
      <c r="AW430" s="0" t="s">
        <v>286</v>
      </c>
      <c r="AX430" s="0" t="s">
        <v>641</v>
      </c>
      <c r="AY430" s="0" t="s">
        <v>1916</v>
      </c>
      <c r="AZ430" s="0" t="s">
        <v>1917</v>
      </c>
      <c r="BA430" s="0" t="s">
        <v>285</v>
      </c>
      <c r="BB430" s="0" t="str">
        <f t="shared" si="6"/>
        <v>CCFNbeGwerWest</v>
      </c>
    </row>
    <row r="431">
      <c r="AV431" s="0" t="s">
        <v>471</v>
      </c>
      <c r="AW431" s="0" t="s">
        <v>286</v>
      </c>
      <c r="AX431" s="0" t="s">
        <v>641</v>
      </c>
      <c r="AY431" s="0" t="s">
        <v>1918</v>
      </c>
      <c r="AZ431" s="0" t="s">
        <v>1919</v>
      </c>
      <c r="BA431" s="0" t="s">
        <v>285</v>
      </c>
      <c r="BB431" s="0" t="str">
        <f t="shared" si="6"/>
        <v>CCFNbeGwerWest</v>
      </c>
    </row>
    <row r="432">
      <c r="AV432" s="0" t="s">
        <v>471</v>
      </c>
      <c r="AW432" s="0" t="s">
        <v>286</v>
      </c>
      <c r="AX432" s="0" t="s">
        <v>641</v>
      </c>
      <c r="AY432" s="0" t="s">
        <v>1920</v>
      </c>
      <c r="AZ432" s="0" t="s">
        <v>1921</v>
      </c>
      <c r="BA432" s="0" t="s">
        <v>285</v>
      </c>
      <c r="BB432" s="0" t="str">
        <f t="shared" si="6"/>
        <v>CCFNbeGwerWest</v>
      </c>
    </row>
    <row r="433">
      <c r="AV433" s="0" t="s">
        <v>471</v>
      </c>
      <c r="AW433" s="0" t="s">
        <v>286</v>
      </c>
      <c r="AX433" s="0" t="s">
        <v>679</v>
      </c>
      <c r="AY433" s="0" t="s">
        <v>1922</v>
      </c>
      <c r="AZ433" s="0" t="s">
        <v>1923</v>
      </c>
      <c r="BA433" s="0" t="s">
        <v>285</v>
      </c>
      <c r="BB433" s="0" t="str">
        <f t="shared" si="6"/>
        <v>CCFNbeKatsinaAla</v>
      </c>
    </row>
    <row r="434">
      <c r="AV434" s="0" t="s">
        <v>471</v>
      </c>
      <c r="AW434" s="0" t="s">
        <v>286</v>
      </c>
      <c r="AX434" s="0" t="s">
        <v>679</v>
      </c>
      <c r="AY434" s="0" t="s">
        <v>1924</v>
      </c>
      <c r="AZ434" s="0" t="s">
        <v>1925</v>
      </c>
      <c r="BA434" s="0" t="s">
        <v>285</v>
      </c>
      <c r="BB434" s="0" t="str">
        <f t="shared" si="6"/>
        <v>CCFNbeKatsinaAla</v>
      </c>
    </row>
    <row r="435">
      <c r="AV435" s="0" t="s">
        <v>471</v>
      </c>
      <c r="AW435" s="0" t="s">
        <v>286</v>
      </c>
      <c r="AX435" s="0" t="s">
        <v>679</v>
      </c>
      <c r="AY435" s="0" t="s">
        <v>1926</v>
      </c>
      <c r="AZ435" s="0" t="s">
        <v>1927</v>
      </c>
      <c r="BA435" s="0" t="s">
        <v>285</v>
      </c>
      <c r="BB435" s="0" t="str">
        <f t="shared" si="6"/>
        <v>CCFNbeKatsinaAla</v>
      </c>
    </row>
    <row r="436">
      <c r="AV436" s="0" t="s">
        <v>471</v>
      </c>
      <c r="AW436" s="0" t="s">
        <v>286</v>
      </c>
      <c r="AX436" s="0" t="s">
        <v>679</v>
      </c>
      <c r="AY436" s="0" t="s">
        <v>1928</v>
      </c>
      <c r="AZ436" s="0" t="s">
        <v>1929</v>
      </c>
      <c r="BA436" s="0" t="s">
        <v>285</v>
      </c>
      <c r="BB436" s="0" t="str">
        <f t="shared" si="6"/>
        <v>CCFNbeKatsinaAla</v>
      </c>
    </row>
    <row r="437">
      <c r="AV437" s="0" t="s">
        <v>471</v>
      </c>
      <c r="AW437" s="0" t="s">
        <v>286</v>
      </c>
      <c r="AX437" s="0" t="s">
        <v>715</v>
      </c>
      <c r="AY437" s="0" t="s">
        <v>1930</v>
      </c>
      <c r="AZ437" s="0" t="s">
        <v>1931</v>
      </c>
      <c r="BA437" s="0" t="s">
        <v>285</v>
      </c>
      <c r="BB437" s="0" t="str">
        <f t="shared" si="6"/>
        <v>CCFNbeKonshisha</v>
      </c>
    </row>
    <row r="438">
      <c r="AV438" s="0" t="s">
        <v>471</v>
      </c>
      <c r="AW438" s="0" t="s">
        <v>286</v>
      </c>
      <c r="AX438" s="0" t="s">
        <v>715</v>
      </c>
      <c r="AY438" s="0" t="s">
        <v>1932</v>
      </c>
      <c r="AZ438" s="0" t="s">
        <v>1933</v>
      </c>
      <c r="BA438" s="0" t="s">
        <v>285</v>
      </c>
      <c r="BB438" s="0" t="str">
        <f t="shared" si="6"/>
        <v>CCFNbeKonshisha</v>
      </c>
    </row>
    <row r="439">
      <c r="AV439" s="0" t="s">
        <v>471</v>
      </c>
      <c r="AW439" s="0" t="s">
        <v>286</v>
      </c>
      <c r="AX439" s="0" t="s">
        <v>715</v>
      </c>
      <c r="AY439" s="0" t="s">
        <v>1934</v>
      </c>
      <c r="AZ439" s="0" t="s">
        <v>1935</v>
      </c>
      <c r="BA439" s="0" t="s">
        <v>285</v>
      </c>
      <c r="BB439" s="0" t="str">
        <f t="shared" si="6"/>
        <v>CCFNbeKonshisha</v>
      </c>
    </row>
    <row r="440">
      <c r="AV440" s="0" t="s">
        <v>471</v>
      </c>
      <c r="AW440" s="0" t="s">
        <v>286</v>
      </c>
      <c r="AX440" s="0" t="s">
        <v>715</v>
      </c>
      <c r="AY440" s="0" t="s">
        <v>1936</v>
      </c>
      <c r="AZ440" s="0" t="s">
        <v>1937</v>
      </c>
      <c r="BA440" s="0" t="s">
        <v>285</v>
      </c>
      <c r="BB440" s="0" t="str">
        <f t="shared" si="6"/>
        <v>CCFNbeKonshisha</v>
      </c>
    </row>
    <row r="441">
      <c r="AV441" s="0" t="s">
        <v>471</v>
      </c>
      <c r="AW441" s="0" t="s">
        <v>286</v>
      </c>
      <c r="AX441" s="0" t="s">
        <v>715</v>
      </c>
      <c r="AY441" s="0" t="s">
        <v>1938</v>
      </c>
      <c r="AZ441" s="0" t="s">
        <v>1939</v>
      </c>
      <c r="BA441" s="0" t="s">
        <v>285</v>
      </c>
      <c r="BB441" s="0" t="str">
        <f t="shared" si="6"/>
        <v>CCFNbeKonshisha</v>
      </c>
    </row>
    <row r="442">
      <c r="AV442" s="0" t="s">
        <v>471</v>
      </c>
      <c r="AW442" s="0" t="s">
        <v>286</v>
      </c>
      <c r="AX442" s="0" t="s">
        <v>748</v>
      </c>
      <c r="AY442" s="0" t="s">
        <v>1940</v>
      </c>
      <c r="AZ442" s="0" t="s">
        <v>1941</v>
      </c>
      <c r="BA442" s="0" t="s">
        <v>285</v>
      </c>
      <c r="BB442" s="0" t="str">
        <f t="shared" si="6"/>
        <v>CCFNbeKwande</v>
      </c>
    </row>
    <row r="443">
      <c r="AV443" s="0" t="s">
        <v>471</v>
      </c>
      <c r="AW443" s="0" t="s">
        <v>286</v>
      </c>
      <c r="AX443" s="0" t="s">
        <v>748</v>
      </c>
      <c r="AY443" s="0" t="s">
        <v>1942</v>
      </c>
      <c r="AZ443" s="0" t="s">
        <v>1943</v>
      </c>
      <c r="BA443" s="0" t="s">
        <v>285</v>
      </c>
      <c r="BB443" s="0" t="str">
        <f t="shared" si="6"/>
        <v>CCFNbeKwande</v>
      </c>
    </row>
    <row r="444">
      <c r="AV444" s="0" t="s">
        <v>471</v>
      </c>
      <c r="AW444" s="0" t="s">
        <v>286</v>
      </c>
      <c r="AX444" s="0" t="s">
        <v>748</v>
      </c>
      <c r="AY444" s="0" t="s">
        <v>289</v>
      </c>
      <c r="AZ444" s="0" t="s">
        <v>293</v>
      </c>
      <c r="BA444" s="0" t="s">
        <v>285</v>
      </c>
      <c r="BB444" s="0" t="str">
        <f t="shared" si="6"/>
        <v>CCFNbeKwande</v>
      </c>
    </row>
    <row r="445">
      <c r="AV445" s="0" t="s">
        <v>471</v>
      </c>
      <c r="AW445" s="0" t="s">
        <v>286</v>
      </c>
      <c r="AX445" s="0" t="s">
        <v>748</v>
      </c>
      <c r="AY445" s="0" t="s">
        <v>1944</v>
      </c>
      <c r="AZ445" s="0" t="s">
        <v>1945</v>
      </c>
      <c r="BA445" s="0" t="s">
        <v>285</v>
      </c>
      <c r="BB445" s="0" t="str">
        <f t="shared" si="6"/>
        <v>CCFNbeKwande</v>
      </c>
    </row>
    <row r="446">
      <c r="AV446" s="0" t="s">
        <v>471</v>
      </c>
      <c r="AW446" s="0" t="s">
        <v>286</v>
      </c>
      <c r="AX446" s="0" t="s">
        <v>780</v>
      </c>
      <c r="AY446" s="0" t="s">
        <v>1946</v>
      </c>
      <c r="AZ446" s="0" t="s">
        <v>1947</v>
      </c>
      <c r="BA446" s="0" t="s">
        <v>285</v>
      </c>
      <c r="BB446" s="0" t="str">
        <f t="shared" si="6"/>
        <v>CCFNbeLogo</v>
      </c>
    </row>
    <row r="447">
      <c r="AV447" s="0" t="s">
        <v>471</v>
      </c>
      <c r="AW447" s="0" t="s">
        <v>286</v>
      </c>
      <c r="AX447" s="0" t="s">
        <v>780</v>
      </c>
      <c r="AY447" s="0" t="s">
        <v>1948</v>
      </c>
      <c r="AZ447" s="0" t="s">
        <v>1949</v>
      </c>
      <c r="BA447" s="0" t="s">
        <v>285</v>
      </c>
      <c r="BB447" s="0" t="str">
        <f t="shared" si="6"/>
        <v>CCFNbeLogo</v>
      </c>
    </row>
    <row r="448">
      <c r="AV448" s="0" t="s">
        <v>471</v>
      </c>
      <c r="AW448" s="0" t="s">
        <v>286</v>
      </c>
      <c r="AX448" s="0" t="s">
        <v>810</v>
      </c>
      <c r="AY448" s="0" t="s">
        <v>1950</v>
      </c>
      <c r="AZ448" s="0" t="s">
        <v>1951</v>
      </c>
      <c r="BA448" s="0" t="s">
        <v>285</v>
      </c>
      <c r="BB448" s="0" t="str">
        <f t="shared" si="6"/>
        <v>CCFNbeMakurdi</v>
      </c>
    </row>
    <row r="449">
      <c r="AV449" s="0" t="s">
        <v>471</v>
      </c>
      <c r="AW449" s="0" t="s">
        <v>286</v>
      </c>
      <c r="AX449" s="0" t="s">
        <v>839</v>
      </c>
      <c r="AY449" s="0" t="s">
        <v>1952</v>
      </c>
      <c r="AZ449" s="0" t="s">
        <v>1953</v>
      </c>
      <c r="BA449" s="0" t="s">
        <v>285</v>
      </c>
      <c r="BB449" s="0" t="str">
        <f t="shared" si="6"/>
        <v>CCFNbeOkpokwu</v>
      </c>
    </row>
    <row r="450">
      <c r="AV450" s="0" t="s">
        <v>471</v>
      </c>
      <c r="AW450" s="0" t="s">
        <v>286</v>
      </c>
      <c r="AX450" s="0" t="s">
        <v>839</v>
      </c>
      <c r="AY450" s="0" t="s">
        <v>1954</v>
      </c>
      <c r="AZ450" s="0" t="s">
        <v>1955</v>
      </c>
      <c r="BA450" s="0" t="s">
        <v>285</v>
      </c>
      <c r="BB450" s="0" t="str">
        <f t="shared" si="6"/>
        <v>CCFNbeOkpokwu</v>
      </c>
    </row>
    <row r="451">
      <c r="AV451" s="0" t="s">
        <v>471</v>
      </c>
      <c r="AW451" s="0" t="s">
        <v>286</v>
      </c>
      <c r="AX451" s="0" t="s">
        <v>839</v>
      </c>
      <c r="AY451" s="0" t="s">
        <v>1956</v>
      </c>
      <c r="AZ451" s="0" t="s">
        <v>1957</v>
      </c>
      <c r="BA451" s="0" t="s">
        <v>285</v>
      </c>
      <c r="BB451" s="0" t="str">
        <f ref="BB451:BB514" t="shared" si="7">SUBSTITUTE(SUBSTITUTE(BA451&amp;AX451," ",""),"-","")</f>
        <v>CCFNbeOkpokwu</v>
      </c>
    </row>
    <row r="452">
      <c r="AV452" s="0" t="s">
        <v>471</v>
      </c>
      <c r="AW452" s="0" t="s">
        <v>286</v>
      </c>
      <c r="AX452" s="0" t="s">
        <v>867</v>
      </c>
      <c r="AY452" s="0" t="s">
        <v>1958</v>
      </c>
      <c r="AZ452" s="0" t="s">
        <v>1959</v>
      </c>
      <c r="BA452" s="0" t="s">
        <v>285</v>
      </c>
      <c r="BB452" s="0" t="str">
        <f t="shared" si="7"/>
        <v>CCFNbeOtukpo</v>
      </c>
    </row>
    <row r="453">
      <c r="AV453" s="0" t="s">
        <v>471</v>
      </c>
      <c r="AW453" s="0" t="s">
        <v>286</v>
      </c>
      <c r="AX453" s="0" t="s">
        <v>867</v>
      </c>
      <c r="AY453" s="0" t="s">
        <v>1960</v>
      </c>
      <c r="AZ453" s="0" t="s">
        <v>1961</v>
      </c>
      <c r="BA453" s="0" t="s">
        <v>285</v>
      </c>
      <c r="BB453" s="0" t="str">
        <f t="shared" si="7"/>
        <v>CCFNbeOtukpo</v>
      </c>
    </row>
    <row r="454">
      <c r="AV454" s="0" t="s">
        <v>471</v>
      </c>
      <c r="AW454" s="0" t="s">
        <v>286</v>
      </c>
      <c r="AX454" s="0" t="s">
        <v>867</v>
      </c>
      <c r="AY454" s="0" t="s">
        <v>1962</v>
      </c>
      <c r="AZ454" s="0" t="s">
        <v>1963</v>
      </c>
      <c r="BA454" s="0" t="s">
        <v>285</v>
      </c>
      <c r="BB454" s="0" t="str">
        <f t="shared" si="7"/>
        <v>CCFNbeOtukpo</v>
      </c>
    </row>
    <row r="455">
      <c r="AV455" s="0" t="s">
        <v>471</v>
      </c>
      <c r="AW455" s="0" t="s">
        <v>286</v>
      </c>
      <c r="AX455" s="0" t="s">
        <v>893</v>
      </c>
      <c r="AY455" s="0" t="s">
        <v>1964</v>
      </c>
      <c r="AZ455" s="0" t="s">
        <v>1965</v>
      </c>
      <c r="BA455" s="0" t="s">
        <v>285</v>
      </c>
      <c r="BB455" s="0" t="str">
        <f t="shared" si="7"/>
        <v>CCFNbeTarka</v>
      </c>
    </row>
    <row r="456">
      <c r="AV456" s="0" t="s">
        <v>471</v>
      </c>
      <c r="AW456" s="0" t="s">
        <v>286</v>
      </c>
      <c r="AX456" s="0" t="s">
        <v>893</v>
      </c>
      <c r="AY456" s="0" t="s">
        <v>1966</v>
      </c>
      <c r="AZ456" s="0" t="s">
        <v>1967</v>
      </c>
      <c r="BA456" s="0" t="s">
        <v>285</v>
      </c>
      <c r="BB456" s="0" t="str">
        <f t="shared" si="7"/>
        <v>CCFNbeTarka</v>
      </c>
    </row>
    <row r="457">
      <c r="AV457" s="0" t="s">
        <v>471</v>
      </c>
      <c r="AW457" s="0" t="s">
        <v>286</v>
      </c>
      <c r="AX457" s="0" t="s">
        <v>918</v>
      </c>
      <c r="AY457" s="0" t="s">
        <v>1968</v>
      </c>
      <c r="AZ457" s="0" t="s">
        <v>1969</v>
      </c>
      <c r="BA457" s="0" t="s">
        <v>285</v>
      </c>
      <c r="BB457" s="0" t="str">
        <f t="shared" si="7"/>
        <v>CCFNbeUkum</v>
      </c>
    </row>
    <row r="458">
      <c r="AV458" s="0" t="s">
        <v>471</v>
      </c>
      <c r="AW458" s="0" t="s">
        <v>286</v>
      </c>
      <c r="AX458" s="0" t="s">
        <v>918</v>
      </c>
      <c r="AY458" s="0" t="s">
        <v>1970</v>
      </c>
      <c r="AZ458" s="0" t="s">
        <v>1971</v>
      </c>
      <c r="BA458" s="0" t="s">
        <v>285</v>
      </c>
      <c r="BB458" s="0" t="str">
        <f t="shared" si="7"/>
        <v>CCFNbeUkum</v>
      </c>
    </row>
    <row r="459">
      <c r="AV459" s="0" t="s">
        <v>471</v>
      </c>
      <c r="AW459" s="0" t="s">
        <v>286</v>
      </c>
      <c r="AX459" s="0" t="s">
        <v>918</v>
      </c>
      <c r="AY459" s="0" t="s">
        <v>1972</v>
      </c>
      <c r="AZ459" s="0" t="s">
        <v>1973</v>
      </c>
      <c r="BA459" s="0" t="s">
        <v>285</v>
      </c>
      <c r="BB459" s="0" t="str">
        <f t="shared" si="7"/>
        <v>CCFNbeUkum</v>
      </c>
    </row>
    <row r="460">
      <c r="AV460" s="0" t="s">
        <v>471</v>
      </c>
      <c r="AW460" s="0" t="s">
        <v>286</v>
      </c>
      <c r="AX460" s="0" t="s">
        <v>942</v>
      </c>
      <c r="AY460" s="0" t="s">
        <v>1974</v>
      </c>
      <c r="AZ460" s="0" t="s">
        <v>1975</v>
      </c>
      <c r="BA460" s="0" t="s">
        <v>285</v>
      </c>
      <c r="BB460" s="0" t="str">
        <f t="shared" si="7"/>
        <v>CCFNbeUshongo</v>
      </c>
    </row>
    <row r="461">
      <c r="AV461" s="0" t="s">
        <v>471</v>
      </c>
      <c r="AW461" s="0" t="s">
        <v>286</v>
      </c>
      <c r="AX461" s="0" t="s">
        <v>942</v>
      </c>
      <c r="AY461" s="0" t="s">
        <v>1976</v>
      </c>
      <c r="AZ461" s="0" t="s">
        <v>1977</v>
      </c>
      <c r="BA461" s="0" t="s">
        <v>285</v>
      </c>
      <c r="BB461" s="0" t="str">
        <f t="shared" si="7"/>
        <v>CCFNbeUshongo</v>
      </c>
    </row>
    <row r="462">
      <c r="AV462" s="0" t="s">
        <v>471</v>
      </c>
      <c r="AW462" s="0" t="s">
        <v>286</v>
      </c>
      <c r="AX462" s="0" t="s">
        <v>942</v>
      </c>
      <c r="AY462" s="0" t="s">
        <v>1978</v>
      </c>
      <c r="AZ462" s="0" t="s">
        <v>1979</v>
      </c>
      <c r="BA462" s="0" t="s">
        <v>285</v>
      </c>
      <c r="BB462" s="0" t="str">
        <f t="shared" si="7"/>
        <v>CCFNbeUshongo</v>
      </c>
    </row>
    <row r="463">
      <c r="AV463" s="0" t="s">
        <v>471</v>
      </c>
      <c r="AW463" s="0" t="s">
        <v>286</v>
      </c>
      <c r="AX463" s="0" t="s">
        <v>942</v>
      </c>
      <c r="AY463" s="0" t="s">
        <v>1980</v>
      </c>
      <c r="AZ463" s="0" t="s">
        <v>1981</v>
      </c>
      <c r="BA463" s="0" t="s">
        <v>285</v>
      </c>
      <c r="BB463" s="0" t="str">
        <f t="shared" si="7"/>
        <v>CCFNbeUshongo</v>
      </c>
    </row>
    <row r="464">
      <c r="AV464" s="0" t="s">
        <v>471</v>
      </c>
      <c r="AW464" s="0" t="s">
        <v>286</v>
      </c>
      <c r="AX464" s="0" t="s">
        <v>942</v>
      </c>
      <c r="AY464" s="0" t="s">
        <v>1982</v>
      </c>
      <c r="AZ464" s="0" t="s">
        <v>1983</v>
      </c>
      <c r="BA464" s="0" t="s">
        <v>285</v>
      </c>
      <c r="BB464" s="0" t="str">
        <f t="shared" si="7"/>
        <v>CCFNbeUshongo</v>
      </c>
    </row>
    <row r="465">
      <c r="AV465" s="0" t="s">
        <v>471</v>
      </c>
      <c r="AW465" s="0" t="s">
        <v>286</v>
      </c>
      <c r="AX465" s="0" t="s">
        <v>942</v>
      </c>
      <c r="AY465" s="0" t="s">
        <v>1984</v>
      </c>
      <c r="AZ465" s="0" t="s">
        <v>1985</v>
      </c>
      <c r="BA465" s="0" t="s">
        <v>285</v>
      </c>
      <c r="BB465" s="0" t="str">
        <f t="shared" si="7"/>
        <v>CCFNbeUshongo</v>
      </c>
    </row>
    <row r="466">
      <c r="AV466" s="0" t="s">
        <v>471</v>
      </c>
      <c r="AW466" s="0" t="s">
        <v>286</v>
      </c>
      <c r="AX466" s="0" t="s">
        <v>942</v>
      </c>
      <c r="AY466" s="0" t="s">
        <v>1986</v>
      </c>
      <c r="AZ466" s="0" t="s">
        <v>1987</v>
      </c>
      <c r="BA466" s="0" t="s">
        <v>285</v>
      </c>
      <c r="BB466" s="0" t="str">
        <f t="shared" si="7"/>
        <v>CCFNbeUshongo</v>
      </c>
    </row>
    <row r="467">
      <c r="AV467" s="0" t="s">
        <v>471</v>
      </c>
      <c r="AW467" s="0" t="s">
        <v>286</v>
      </c>
      <c r="AX467" s="0" t="s">
        <v>965</v>
      </c>
      <c r="AY467" s="0" t="s">
        <v>1988</v>
      </c>
      <c r="AZ467" s="0" t="s">
        <v>1989</v>
      </c>
      <c r="BA467" s="0" t="s">
        <v>285</v>
      </c>
      <c r="BB467" s="0" t="str">
        <f t="shared" si="7"/>
        <v>CCFNbeVandeikya</v>
      </c>
    </row>
    <row r="468">
      <c r="AV468" s="0" t="s">
        <v>471</v>
      </c>
      <c r="AW468" s="0" t="s">
        <v>286</v>
      </c>
      <c r="AX468" s="0" t="s">
        <v>965</v>
      </c>
      <c r="AY468" s="0" t="s">
        <v>1990</v>
      </c>
      <c r="AZ468" s="0" t="s">
        <v>1991</v>
      </c>
      <c r="BA468" s="0" t="s">
        <v>285</v>
      </c>
      <c r="BB468" s="0" t="str">
        <f t="shared" si="7"/>
        <v>CCFNbeVandeikya</v>
      </c>
    </row>
    <row r="469">
      <c r="AV469" s="0" t="s">
        <v>471</v>
      </c>
      <c r="AW469" s="0" t="s">
        <v>286</v>
      </c>
      <c r="AX469" s="0" t="s">
        <v>965</v>
      </c>
      <c r="AY469" s="0" t="s">
        <v>1992</v>
      </c>
      <c r="AZ469" s="0" t="s">
        <v>1993</v>
      </c>
      <c r="BA469" s="0" t="s">
        <v>285</v>
      </c>
      <c r="BB469" s="0" t="str">
        <f t="shared" si="7"/>
        <v>CCFNbeVandeikya</v>
      </c>
    </row>
    <row r="470">
      <c r="AV470" s="0" t="s">
        <v>471</v>
      </c>
      <c r="AW470" s="0" t="s">
        <v>286</v>
      </c>
      <c r="AX470" s="0" t="s">
        <v>965</v>
      </c>
      <c r="AY470" s="0" t="s">
        <v>1994</v>
      </c>
      <c r="AZ470" s="0" t="s">
        <v>1995</v>
      </c>
      <c r="BA470" s="0" t="s">
        <v>285</v>
      </c>
      <c r="BB470" s="0" t="str">
        <f t="shared" si="7"/>
        <v>CCFNbeVandeikya</v>
      </c>
    </row>
    <row r="471">
      <c r="AV471" s="0" t="s">
        <v>471</v>
      </c>
      <c r="AW471" s="0" t="s">
        <v>286</v>
      </c>
      <c r="AX471" s="0" t="s">
        <v>965</v>
      </c>
      <c r="AY471" s="0" t="s">
        <v>1996</v>
      </c>
      <c r="AZ471" s="0" t="s">
        <v>1997</v>
      </c>
      <c r="BA471" s="0" t="s">
        <v>285</v>
      </c>
      <c r="BB471" s="0" t="str">
        <f t="shared" si="7"/>
        <v>CCFNbeVandeikya</v>
      </c>
    </row>
    <row r="472">
      <c r="AV472" s="0" t="s">
        <v>471</v>
      </c>
      <c r="AW472" s="0" t="s">
        <v>286</v>
      </c>
      <c r="AX472" s="0" t="s">
        <v>965</v>
      </c>
      <c r="AY472" s="0" t="s">
        <v>1998</v>
      </c>
      <c r="AZ472" s="0" t="s">
        <v>1999</v>
      </c>
      <c r="BA472" s="0" t="s">
        <v>285</v>
      </c>
      <c r="BB472" s="0" t="str">
        <f t="shared" si="7"/>
        <v>CCFNbeVandeikya</v>
      </c>
    </row>
    <row r="473">
      <c r="AV473" s="0" t="s">
        <v>471</v>
      </c>
      <c r="AW473" s="0" t="s">
        <v>396</v>
      </c>
      <c r="AX473" s="0" t="s">
        <v>443</v>
      </c>
      <c r="AY473" s="0" t="s">
        <v>2000</v>
      </c>
      <c r="AZ473" s="0" t="s">
        <v>2001</v>
      </c>
      <c r="BA473" s="0" t="s">
        <v>285</v>
      </c>
      <c r="BB473" s="0" t="str">
        <f t="shared" si="7"/>
        <v>CCFNdeAniochaNorth</v>
      </c>
    </row>
    <row r="474">
      <c r="AV474" s="0" t="s">
        <v>471</v>
      </c>
      <c r="AW474" s="0" t="s">
        <v>396</v>
      </c>
      <c r="AX474" s="0" t="s">
        <v>486</v>
      </c>
      <c r="AY474" s="0" t="s">
        <v>2002</v>
      </c>
      <c r="AZ474" s="0" t="s">
        <v>2003</v>
      </c>
      <c r="BA474" s="0" t="s">
        <v>285</v>
      </c>
      <c r="BB474" s="0" t="str">
        <f t="shared" si="7"/>
        <v>CCFNdeEthiopeEast</v>
      </c>
    </row>
    <row r="475">
      <c r="AV475" s="0" t="s">
        <v>471</v>
      </c>
      <c r="AW475" s="0" t="s">
        <v>396</v>
      </c>
      <c r="AX475" s="0" t="s">
        <v>486</v>
      </c>
      <c r="AY475" s="0" t="s">
        <v>2004</v>
      </c>
      <c r="AZ475" s="0" t="s">
        <v>2005</v>
      </c>
      <c r="BA475" s="0" t="s">
        <v>285</v>
      </c>
      <c r="BB475" s="0" t="str">
        <f t="shared" si="7"/>
        <v>CCFNdeEthiopeEast</v>
      </c>
    </row>
    <row r="476">
      <c r="AV476" s="0" t="s">
        <v>471</v>
      </c>
      <c r="AW476" s="0" t="s">
        <v>396</v>
      </c>
      <c r="AX476" s="0" t="s">
        <v>526</v>
      </c>
      <c r="AY476" s="0" t="s">
        <v>2006</v>
      </c>
      <c r="AZ476" s="0" t="s">
        <v>2007</v>
      </c>
      <c r="BA476" s="0" t="s">
        <v>285</v>
      </c>
      <c r="BB476" s="0" t="str">
        <f t="shared" si="7"/>
        <v>CCFNdeSapele</v>
      </c>
    </row>
    <row r="477">
      <c r="AV477" s="0" t="s">
        <v>471</v>
      </c>
      <c r="AW477" s="0" t="s">
        <v>396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286</v>
      </c>
      <c r="AX537" s="0" t="s">
        <v>984</v>
      </c>
      <c r="AY537" s="0" t="s">
        <v>2129</v>
      </c>
      <c r="AZ537" s="0" t="s">
        <v>2130</v>
      </c>
      <c r="BA537" s="0" t="s">
        <v>595</v>
      </c>
      <c r="BB537" s="0" t="str">
        <f t="shared" si="8"/>
        <v>CIHPbeAdo</v>
      </c>
    </row>
    <row r="538">
      <c r="AV538" s="0" t="s">
        <v>471</v>
      </c>
      <c r="AW538" s="0" t="s">
        <v>286</v>
      </c>
      <c r="AX538" s="0" t="s">
        <v>984</v>
      </c>
      <c r="AY538" s="0" t="s">
        <v>2131</v>
      </c>
      <c r="AZ538" s="0" t="s">
        <v>2132</v>
      </c>
      <c r="BA538" s="0" t="s">
        <v>595</v>
      </c>
      <c r="BB538" s="0" t="str">
        <f t="shared" si="8"/>
        <v>CIHPbeAdo</v>
      </c>
    </row>
    <row r="539">
      <c r="AV539" s="0" t="s">
        <v>471</v>
      </c>
      <c r="AW539" s="0" t="s">
        <v>286</v>
      </c>
      <c r="AX539" s="0" t="s">
        <v>440</v>
      </c>
      <c r="AY539" s="0" t="s">
        <v>2133</v>
      </c>
      <c r="AZ539" s="0" t="s">
        <v>2134</v>
      </c>
      <c r="BA539" s="0" t="s">
        <v>595</v>
      </c>
      <c r="BB539" s="0" t="str">
        <f t="shared" si="8"/>
        <v>CIHPbeAgatu</v>
      </c>
    </row>
    <row r="540">
      <c r="AV540" s="0" t="s">
        <v>471</v>
      </c>
      <c r="AW540" s="0" t="s">
        <v>286</v>
      </c>
      <c r="AX540" s="0" t="s">
        <v>1003</v>
      </c>
      <c r="AY540" s="0" t="s">
        <v>2135</v>
      </c>
      <c r="AZ540" s="0" t="s">
        <v>2136</v>
      </c>
      <c r="BA540" s="0" t="s">
        <v>595</v>
      </c>
      <c r="BB540" s="0" t="str">
        <f t="shared" si="8"/>
        <v>CIHPbeApa</v>
      </c>
    </row>
    <row r="541">
      <c r="AV541" s="0" t="s">
        <v>471</v>
      </c>
      <c r="AW541" s="0" t="s">
        <v>286</v>
      </c>
      <c r="AX541" s="0" t="s">
        <v>1003</v>
      </c>
      <c r="AY541" s="0" t="s">
        <v>2137</v>
      </c>
      <c r="AZ541" s="0" t="s">
        <v>2138</v>
      </c>
      <c r="BA541" s="0" t="s">
        <v>595</v>
      </c>
      <c r="BB541" s="0" t="str">
        <f t="shared" si="8"/>
        <v>CIHPbeApa</v>
      </c>
    </row>
    <row r="542">
      <c r="AV542" s="0" t="s">
        <v>471</v>
      </c>
      <c r="AW542" s="0" t="s">
        <v>286</v>
      </c>
      <c r="AX542" s="0" t="s">
        <v>483</v>
      </c>
      <c r="AY542" s="0" t="s">
        <v>2139</v>
      </c>
      <c r="AZ542" s="0" t="s">
        <v>2140</v>
      </c>
      <c r="BA542" s="0" t="s">
        <v>595</v>
      </c>
      <c r="BB542" s="0" t="str">
        <f t="shared" si="8"/>
        <v>CIHPbeBuruku</v>
      </c>
    </row>
    <row r="543">
      <c r="AV543" s="0" t="s">
        <v>471</v>
      </c>
      <c r="AW543" s="0" t="s">
        <v>286</v>
      </c>
      <c r="AX543" s="0" t="s">
        <v>483</v>
      </c>
      <c r="AY543" s="0" t="s">
        <v>2141</v>
      </c>
      <c r="AZ543" s="0" t="s">
        <v>2142</v>
      </c>
      <c r="BA543" s="0" t="s">
        <v>595</v>
      </c>
      <c r="BB543" s="0" t="str">
        <f t="shared" si="8"/>
        <v>CIHPbeBuruku</v>
      </c>
    </row>
    <row r="544">
      <c r="AV544" s="0" t="s">
        <v>471</v>
      </c>
      <c r="AW544" s="0" t="s">
        <v>286</v>
      </c>
      <c r="AX544" s="0" t="s">
        <v>483</v>
      </c>
      <c r="AY544" s="0" t="s">
        <v>2143</v>
      </c>
      <c r="AZ544" s="0" t="s">
        <v>2144</v>
      </c>
      <c r="BA544" s="0" t="s">
        <v>595</v>
      </c>
      <c r="BB544" s="0" t="str">
        <f t="shared" si="8"/>
        <v>CIHPbeBuruku</v>
      </c>
    </row>
    <row r="545">
      <c r="AV545" s="0" t="s">
        <v>471</v>
      </c>
      <c r="AW545" s="0" t="s">
        <v>286</v>
      </c>
      <c r="AX545" s="0" t="s">
        <v>483</v>
      </c>
      <c r="AY545" s="0" t="s">
        <v>2145</v>
      </c>
      <c r="AZ545" s="0" t="s">
        <v>2146</v>
      </c>
      <c r="BA545" s="0" t="s">
        <v>595</v>
      </c>
      <c r="BB545" s="0" t="str">
        <f t="shared" si="8"/>
        <v>CIHPbeBuruku</v>
      </c>
    </row>
    <row r="546">
      <c r="AV546" s="0" t="s">
        <v>471</v>
      </c>
      <c r="AW546" s="0" t="s">
        <v>286</v>
      </c>
      <c r="AX546" s="0" t="s">
        <v>483</v>
      </c>
      <c r="AY546" s="0" t="s">
        <v>2147</v>
      </c>
      <c r="AZ546" s="0" t="s">
        <v>2148</v>
      </c>
      <c r="BA546" s="0" t="s">
        <v>595</v>
      </c>
      <c r="BB546" s="0" t="str">
        <f t="shared" si="8"/>
        <v>CIHPbeBuruku</v>
      </c>
    </row>
    <row r="547">
      <c r="AV547" s="0" t="s">
        <v>471</v>
      </c>
      <c r="AW547" s="0" t="s">
        <v>286</v>
      </c>
      <c r="AX547" s="0" t="s">
        <v>483</v>
      </c>
      <c r="AY547" s="0" t="s">
        <v>2149</v>
      </c>
      <c r="AZ547" s="0" t="s">
        <v>2150</v>
      </c>
      <c r="BA547" s="0" t="s">
        <v>595</v>
      </c>
      <c r="BB547" s="0" t="str">
        <f t="shared" si="8"/>
        <v>CIHPbeBuruku</v>
      </c>
    </row>
    <row r="548">
      <c r="AV548" s="0" t="s">
        <v>471</v>
      </c>
      <c r="AW548" s="0" t="s">
        <v>286</v>
      </c>
      <c r="AX548" s="0" t="s">
        <v>483</v>
      </c>
      <c r="AY548" s="0" t="s">
        <v>2151</v>
      </c>
      <c r="AZ548" s="0" t="s">
        <v>2152</v>
      </c>
      <c r="BA548" s="0" t="s">
        <v>595</v>
      </c>
      <c r="BB548" s="0" t="str">
        <f t="shared" si="8"/>
        <v>CIHPbeBuruku</v>
      </c>
    </row>
    <row r="549">
      <c r="AV549" s="0" t="s">
        <v>471</v>
      </c>
      <c r="AW549" s="0" t="s">
        <v>286</v>
      </c>
      <c r="AX549" s="0" t="s">
        <v>483</v>
      </c>
      <c r="AY549" s="0" t="s">
        <v>2153</v>
      </c>
      <c r="AZ549" s="0" t="s">
        <v>2154</v>
      </c>
      <c r="BA549" s="0" t="s">
        <v>595</v>
      </c>
      <c r="BB549" s="0" t="str">
        <f t="shared" si="8"/>
        <v>CIHPbeBuruku</v>
      </c>
    </row>
    <row r="550">
      <c r="AV550" s="0" t="s">
        <v>471</v>
      </c>
      <c r="AW550" s="0" t="s">
        <v>286</v>
      </c>
      <c r="AX550" s="0" t="s">
        <v>483</v>
      </c>
      <c r="AY550" s="0" t="s">
        <v>2155</v>
      </c>
      <c r="AZ550" s="0" t="s">
        <v>2156</v>
      </c>
      <c r="BA550" s="0" t="s">
        <v>595</v>
      </c>
      <c r="BB550" s="0" t="str">
        <f t="shared" si="8"/>
        <v>CIHPbeBuruku</v>
      </c>
    </row>
    <row r="551">
      <c r="AV551" s="0" t="s">
        <v>471</v>
      </c>
      <c r="AW551" s="0" t="s">
        <v>286</v>
      </c>
      <c r="AX551" s="0" t="s">
        <v>483</v>
      </c>
      <c r="AY551" s="0" t="s">
        <v>2157</v>
      </c>
      <c r="AZ551" s="0" t="s">
        <v>2158</v>
      </c>
      <c r="BA551" s="0" t="s">
        <v>595</v>
      </c>
      <c r="BB551" s="0" t="str">
        <f t="shared" si="8"/>
        <v>CIHPbeBuruku</v>
      </c>
    </row>
    <row r="552">
      <c r="AV552" s="0" t="s">
        <v>471</v>
      </c>
      <c r="AW552" s="0" t="s">
        <v>286</v>
      </c>
      <c r="AX552" s="0" t="s">
        <v>483</v>
      </c>
      <c r="AY552" s="0" t="s">
        <v>2159</v>
      </c>
      <c r="AZ552" s="0" t="s">
        <v>2160</v>
      </c>
      <c r="BA552" s="0" t="s">
        <v>595</v>
      </c>
      <c r="BB552" s="0" t="str">
        <f t="shared" si="8"/>
        <v>CIHPbeBuruku</v>
      </c>
    </row>
    <row r="553">
      <c r="AV553" s="0" t="s">
        <v>471</v>
      </c>
      <c r="AW553" s="0" t="s">
        <v>286</v>
      </c>
      <c r="AX553" s="0" t="s">
        <v>483</v>
      </c>
      <c r="AY553" s="0" t="s">
        <v>2161</v>
      </c>
      <c r="AZ553" s="0" t="s">
        <v>2162</v>
      </c>
      <c r="BA553" s="0" t="s">
        <v>595</v>
      </c>
      <c r="BB553" s="0" t="str">
        <f t="shared" si="8"/>
        <v>CIHPbeBuruku</v>
      </c>
    </row>
    <row r="554">
      <c r="AV554" s="0" t="s">
        <v>471</v>
      </c>
      <c r="AW554" s="0" t="s">
        <v>286</v>
      </c>
      <c r="AX554" s="0" t="s">
        <v>483</v>
      </c>
      <c r="AY554" s="0" t="s">
        <v>2163</v>
      </c>
      <c r="AZ554" s="0" t="s">
        <v>2164</v>
      </c>
      <c r="BA554" s="0" t="s">
        <v>595</v>
      </c>
      <c r="BB554" s="0" t="str">
        <f t="shared" si="8"/>
        <v>CIHPbeBuruku</v>
      </c>
    </row>
    <row r="555">
      <c r="AV555" s="0" t="s">
        <v>471</v>
      </c>
      <c r="AW555" s="0" t="s">
        <v>286</v>
      </c>
      <c r="AX555" s="0" t="s">
        <v>483</v>
      </c>
      <c r="AY555" s="0" t="s">
        <v>2165</v>
      </c>
      <c r="AZ555" s="0" t="s">
        <v>2166</v>
      </c>
      <c r="BA555" s="0" t="s">
        <v>595</v>
      </c>
      <c r="BB555" s="0" t="str">
        <f t="shared" si="8"/>
        <v>CIHPbeBuruku</v>
      </c>
    </row>
    <row r="556">
      <c r="AV556" s="0" t="s">
        <v>471</v>
      </c>
      <c r="AW556" s="0" t="s">
        <v>286</v>
      </c>
      <c r="AX556" s="0" t="s">
        <v>483</v>
      </c>
      <c r="AY556" s="0" t="s">
        <v>2167</v>
      </c>
      <c r="AZ556" s="0" t="s">
        <v>2168</v>
      </c>
      <c r="BA556" s="0" t="s">
        <v>595</v>
      </c>
      <c r="BB556" s="0" t="str">
        <f t="shared" si="8"/>
        <v>CIHPbeBuruku</v>
      </c>
    </row>
    <row r="557">
      <c r="AV557" s="0" t="s">
        <v>471</v>
      </c>
      <c r="AW557" s="0" t="s">
        <v>286</v>
      </c>
      <c r="AX557" s="0" t="s">
        <v>483</v>
      </c>
      <c r="AY557" s="0" t="s">
        <v>2169</v>
      </c>
      <c r="AZ557" s="0" t="s">
        <v>2170</v>
      </c>
      <c r="BA557" s="0" t="s">
        <v>595</v>
      </c>
      <c r="BB557" s="0" t="str">
        <f t="shared" si="8"/>
        <v>CIHPbeBuruku</v>
      </c>
    </row>
    <row r="558">
      <c r="AV558" s="0" t="s">
        <v>471</v>
      </c>
      <c r="AW558" s="0" t="s">
        <v>286</v>
      </c>
      <c r="AX558" s="0" t="s">
        <v>483</v>
      </c>
      <c r="AY558" s="0" t="s">
        <v>2171</v>
      </c>
      <c r="AZ558" s="0" t="s">
        <v>2172</v>
      </c>
      <c r="BA558" s="0" t="s">
        <v>595</v>
      </c>
      <c r="BB558" s="0" t="str">
        <f t="shared" si="8"/>
        <v>CIHPbeBuruku</v>
      </c>
    </row>
    <row r="559">
      <c r="AV559" s="0" t="s">
        <v>471</v>
      </c>
      <c r="AW559" s="0" t="s">
        <v>286</v>
      </c>
      <c r="AX559" s="0" t="s">
        <v>483</v>
      </c>
      <c r="AY559" s="0" t="s">
        <v>2173</v>
      </c>
      <c r="AZ559" s="0" t="s">
        <v>2174</v>
      </c>
      <c r="BA559" s="0" t="s">
        <v>595</v>
      </c>
      <c r="BB559" s="0" t="str">
        <f t="shared" si="8"/>
        <v>CIHPbeBuruku</v>
      </c>
    </row>
    <row r="560">
      <c r="AV560" s="0" t="s">
        <v>471</v>
      </c>
      <c r="AW560" s="0" t="s">
        <v>286</v>
      </c>
      <c r="AX560" s="0" t="s">
        <v>483</v>
      </c>
      <c r="AY560" s="0" t="s">
        <v>2175</v>
      </c>
      <c r="AZ560" s="0" t="s">
        <v>2176</v>
      </c>
      <c r="BA560" s="0" t="s">
        <v>595</v>
      </c>
      <c r="BB560" s="0" t="str">
        <f t="shared" si="8"/>
        <v>CIHPbeBuruku</v>
      </c>
    </row>
    <row r="561">
      <c r="AV561" s="0" t="s">
        <v>471</v>
      </c>
      <c r="AW561" s="0" t="s">
        <v>286</v>
      </c>
      <c r="AX561" s="0" t="s">
        <v>483</v>
      </c>
      <c r="AY561" s="0" t="s">
        <v>2177</v>
      </c>
      <c r="AZ561" s="0" t="s">
        <v>2178</v>
      </c>
      <c r="BA561" s="0" t="s">
        <v>595</v>
      </c>
      <c r="BB561" s="0" t="str">
        <f t="shared" si="8"/>
        <v>CIHPbeBuruku</v>
      </c>
    </row>
    <row r="562">
      <c r="AV562" s="0" t="s">
        <v>471</v>
      </c>
      <c r="AW562" s="0" t="s">
        <v>286</v>
      </c>
      <c r="AX562" s="0" t="s">
        <v>483</v>
      </c>
      <c r="AY562" s="0" t="s">
        <v>2179</v>
      </c>
      <c r="AZ562" s="0" t="s">
        <v>2180</v>
      </c>
      <c r="BA562" s="0" t="s">
        <v>595</v>
      </c>
      <c r="BB562" s="0" t="str">
        <f t="shared" si="8"/>
        <v>CIHPbeBuruku</v>
      </c>
    </row>
    <row r="563">
      <c r="AV563" s="0" t="s">
        <v>471</v>
      </c>
      <c r="AW563" s="0" t="s">
        <v>286</v>
      </c>
      <c r="AX563" s="0" t="s">
        <v>483</v>
      </c>
      <c r="AY563" s="0" t="s">
        <v>2181</v>
      </c>
      <c r="AZ563" s="0" t="s">
        <v>2182</v>
      </c>
      <c r="BA563" s="0" t="s">
        <v>595</v>
      </c>
      <c r="BB563" s="0" t="str">
        <f t="shared" si="8"/>
        <v>CIHPbeBuruku</v>
      </c>
    </row>
    <row r="564">
      <c r="AV564" s="0" t="s">
        <v>471</v>
      </c>
      <c r="AW564" s="0" t="s">
        <v>286</v>
      </c>
      <c r="AX564" s="0" t="s">
        <v>483</v>
      </c>
      <c r="AY564" s="0" t="s">
        <v>2183</v>
      </c>
      <c r="AZ564" s="0" t="s">
        <v>2184</v>
      </c>
      <c r="BA564" s="0" t="s">
        <v>595</v>
      </c>
      <c r="BB564" s="0" t="str">
        <f t="shared" si="8"/>
        <v>CIHPbeBuruku</v>
      </c>
    </row>
    <row r="565">
      <c r="AV565" s="0" t="s">
        <v>471</v>
      </c>
      <c r="AW565" s="0" t="s">
        <v>286</v>
      </c>
      <c r="AX565" s="0" t="s">
        <v>483</v>
      </c>
      <c r="AY565" s="0" t="s">
        <v>2185</v>
      </c>
      <c r="AZ565" s="0" t="s">
        <v>2186</v>
      </c>
      <c r="BA565" s="0" t="s">
        <v>595</v>
      </c>
      <c r="BB565" s="0" t="str">
        <f t="shared" si="8"/>
        <v>CIHPbeBuruku</v>
      </c>
    </row>
    <row r="566">
      <c r="AV566" s="0" t="s">
        <v>471</v>
      </c>
      <c r="AW566" s="0" t="s">
        <v>286</v>
      </c>
      <c r="AX566" s="0" t="s">
        <v>483</v>
      </c>
      <c r="AY566" s="0" t="s">
        <v>1906</v>
      </c>
      <c r="AZ566" s="0" t="s">
        <v>1907</v>
      </c>
      <c r="BA566" s="0" t="s">
        <v>595</v>
      </c>
      <c r="BB566" s="0" t="str">
        <f t="shared" si="8"/>
        <v>CIHPbeBuruku</v>
      </c>
    </row>
    <row r="567">
      <c r="AV567" s="0" t="s">
        <v>471</v>
      </c>
      <c r="AW567" s="0" t="s">
        <v>286</v>
      </c>
      <c r="AX567" s="0" t="s">
        <v>483</v>
      </c>
      <c r="AY567" s="0" t="s">
        <v>2187</v>
      </c>
      <c r="AZ567" s="0" t="s">
        <v>2188</v>
      </c>
      <c r="BA567" s="0" t="s">
        <v>595</v>
      </c>
      <c r="BB567" s="0" t="str">
        <f t="shared" si="8"/>
        <v>CIHPbeBuruku</v>
      </c>
    </row>
    <row r="568">
      <c r="AV568" s="0" t="s">
        <v>471</v>
      </c>
      <c r="AW568" s="0" t="s">
        <v>286</v>
      </c>
      <c r="AX568" s="0" t="s">
        <v>483</v>
      </c>
      <c r="AY568" s="0" t="s">
        <v>2189</v>
      </c>
      <c r="AZ568" s="0" t="s">
        <v>2190</v>
      </c>
      <c r="BA568" s="0" t="s">
        <v>595</v>
      </c>
      <c r="BB568" s="0" t="str">
        <f t="shared" si="8"/>
        <v>CIHPbeBuruku</v>
      </c>
    </row>
    <row r="569">
      <c r="AV569" s="0" t="s">
        <v>471</v>
      </c>
      <c r="AW569" s="0" t="s">
        <v>286</v>
      </c>
      <c r="AX569" s="0" t="s">
        <v>483</v>
      </c>
      <c r="AY569" s="0" t="s">
        <v>2191</v>
      </c>
      <c r="AZ569" s="0" t="s">
        <v>2192</v>
      </c>
      <c r="BA569" s="0" t="s">
        <v>595</v>
      </c>
      <c r="BB569" s="0" t="str">
        <f t="shared" si="8"/>
        <v>CIHPbeBuruku</v>
      </c>
    </row>
    <row r="570">
      <c r="AV570" s="0" t="s">
        <v>471</v>
      </c>
      <c r="AW570" s="0" t="s">
        <v>286</v>
      </c>
      <c r="AX570" s="0" t="s">
        <v>483</v>
      </c>
      <c r="AY570" s="0" t="s">
        <v>2193</v>
      </c>
      <c r="AZ570" s="0" t="s">
        <v>2194</v>
      </c>
      <c r="BA570" s="0" t="s">
        <v>595</v>
      </c>
      <c r="BB570" s="0" t="str">
        <f t="shared" si="8"/>
        <v>CIHPbeBuruku</v>
      </c>
    </row>
    <row r="571">
      <c r="AV571" s="0" t="s">
        <v>471</v>
      </c>
      <c r="AW571" s="0" t="s">
        <v>286</v>
      </c>
      <c r="AX571" s="0" t="s">
        <v>483</v>
      </c>
      <c r="AY571" s="0" t="s">
        <v>2195</v>
      </c>
      <c r="AZ571" s="0" t="s">
        <v>2196</v>
      </c>
      <c r="BA571" s="0" t="s">
        <v>595</v>
      </c>
      <c r="BB571" s="0" t="str">
        <f t="shared" si="8"/>
        <v>CIHPbeBuruku</v>
      </c>
    </row>
    <row r="572">
      <c r="AV572" s="0" t="s">
        <v>471</v>
      </c>
      <c r="AW572" s="0" t="s">
        <v>286</v>
      </c>
      <c r="AX572" s="0" t="s">
        <v>483</v>
      </c>
      <c r="AY572" s="0" t="s">
        <v>2197</v>
      </c>
      <c r="AZ572" s="0" t="s">
        <v>2198</v>
      </c>
      <c r="BA572" s="0" t="s">
        <v>595</v>
      </c>
      <c r="BB572" s="0" t="str">
        <f t="shared" si="8"/>
        <v>CIHPbeBuruku</v>
      </c>
    </row>
    <row r="573">
      <c r="AV573" s="0" t="s">
        <v>471</v>
      </c>
      <c r="AW573" s="0" t="s">
        <v>286</v>
      </c>
      <c r="AX573" s="0" t="s">
        <v>483</v>
      </c>
      <c r="AY573" s="0" t="s">
        <v>2199</v>
      </c>
      <c r="AZ573" s="0" t="s">
        <v>2200</v>
      </c>
      <c r="BA573" s="0" t="s">
        <v>595</v>
      </c>
      <c r="BB573" s="0" t="str">
        <f t="shared" si="8"/>
        <v>CIHPbeBuruku</v>
      </c>
    </row>
    <row r="574">
      <c r="AV574" s="0" t="s">
        <v>471</v>
      </c>
      <c r="AW574" s="0" t="s">
        <v>286</v>
      </c>
      <c r="AX574" s="0" t="s">
        <v>483</v>
      </c>
      <c r="AY574" s="0" t="s">
        <v>2201</v>
      </c>
      <c r="AZ574" s="0" t="s">
        <v>2202</v>
      </c>
      <c r="BA574" s="0" t="s">
        <v>595</v>
      </c>
      <c r="BB574" s="0" t="str">
        <f t="shared" si="8"/>
        <v>CIHPbeBuruku</v>
      </c>
    </row>
    <row r="575">
      <c r="AV575" s="0" t="s">
        <v>471</v>
      </c>
      <c r="AW575" s="0" t="s">
        <v>286</v>
      </c>
      <c r="AX575" s="0" t="s">
        <v>523</v>
      </c>
      <c r="AY575" s="0" t="s">
        <v>2203</v>
      </c>
      <c r="AZ575" s="0" t="s">
        <v>2204</v>
      </c>
      <c r="BA575" s="0" t="s">
        <v>595</v>
      </c>
      <c r="BB575" s="0" t="str">
        <f t="shared" si="8"/>
        <v>CIHPbeGboko</v>
      </c>
    </row>
    <row r="576">
      <c r="AV576" s="0" t="s">
        <v>471</v>
      </c>
      <c r="AW576" s="0" t="s">
        <v>286</v>
      </c>
      <c r="AX576" s="0" t="s">
        <v>523</v>
      </c>
      <c r="AY576" s="0" t="s">
        <v>2205</v>
      </c>
      <c r="AZ576" s="0" t="s">
        <v>2206</v>
      </c>
      <c r="BA576" s="0" t="s">
        <v>595</v>
      </c>
      <c r="BB576" s="0" t="str">
        <f t="shared" si="8"/>
        <v>CIHPbeGboko</v>
      </c>
    </row>
    <row r="577">
      <c r="AV577" s="0" t="s">
        <v>471</v>
      </c>
      <c r="AW577" s="0" t="s">
        <v>286</v>
      </c>
      <c r="AX577" s="0" t="s">
        <v>523</v>
      </c>
      <c r="AY577" s="0" t="s">
        <v>2207</v>
      </c>
      <c r="AZ577" s="0" t="s">
        <v>2208</v>
      </c>
      <c r="BA577" s="0" t="s">
        <v>595</v>
      </c>
      <c r="BB577" s="0" t="str">
        <f t="shared" si="8"/>
        <v>CIHPbeGboko</v>
      </c>
    </row>
    <row r="578">
      <c r="AV578" s="0" t="s">
        <v>471</v>
      </c>
      <c r="AW578" s="0" t="s">
        <v>286</v>
      </c>
      <c r="AX578" s="0" t="s">
        <v>523</v>
      </c>
      <c r="AY578" s="0" t="s">
        <v>2209</v>
      </c>
      <c r="AZ578" s="0" t="s">
        <v>2210</v>
      </c>
      <c r="BA578" s="0" t="s">
        <v>595</v>
      </c>
      <c r="BB578" s="0" t="str">
        <f t="shared" si="8"/>
        <v>CIHPbeGboko</v>
      </c>
    </row>
    <row r="579">
      <c r="AV579" s="0" t="s">
        <v>471</v>
      </c>
      <c r="AW579" s="0" t="s">
        <v>286</v>
      </c>
      <c r="AX579" s="0" t="s">
        <v>523</v>
      </c>
      <c r="AY579" s="0" t="s">
        <v>2211</v>
      </c>
      <c r="AZ579" s="0" t="s">
        <v>2212</v>
      </c>
      <c r="BA579" s="0" t="s">
        <v>595</v>
      </c>
      <c r="BB579" s="0" t="str">
        <f ref="BB579:BB642" t="shared" si="9">SUBSTITUTE(SUBSTITUTE(BA579&amp;AX579," ",""),"-","")</f>
        <v>CIHPbeGboko</v>
      </c>
    </row>
    <row r="580">
      <c r="AV580" s="0" t="s">
        <v>471</v>
      </c>
      <c r="AW580" s="0" t="s">
        <v>286</v>
      </c>
      <c r="AX580" s="0" t="s">
        <v>523</v>
      </c>
      <c r="AY580" s="0" t="s">
        <v>2213</v>
      </c>
      <c r="AZ580" s="0" t="s">
        <v>2214</v>
      </c>
      <c r="BA580" s="0" t="s">
        <v>595</v>
      </c>
      <c r="BB580" s="0" t="str">
        <f t="shared" si="9"/>
        <v>CIHPbeGboko</v>
      </c>
    </row>
    <row r="581">
      <c r="AV581" s="0" t="s">
        <v>471</v>
      </c>
      <c r="AW581" s="0" t="s">
        <v>286</v>
      </c>
      <c r="AX581" s="0" t="s">
        <v>523</v>
      </c>
      <c r="AY581" s="0" t="s">
        <v>2215</v>
      </c>
      <c r="AZ581" s="0" t="s">
        <v>2216</v>
      </c>
      <c r="BA581" s="0" t="s">
        <v>595</v>
      </c>
      <c r="BB581" s="0" t="str">
        <f t="shared" si="9"/>
        <v>CIHPbeGboko</v>
      </c>
    </row>
    <row r="582">
      <c r="AV582" s="0" t="s">
        <v>471</v>
      </c>
      <c r="AW582" s="0" t="s">
        <v>286</v>
      </c>
      <c r="AX582" s="0" t="s">
        <v>523</v>
      </c>
      <c r="AY582" s="0" t="s">
        <v>2217</v>
      </c>
      <c r="AZ582" s="0" t="s">
        <v>2218</v>
      </c>
      <c r="BA582" s="0" t="s">
        <v>595</v>
      </c>
      <c r="BB582" s="0" t="str">
        <f t="shared" si="9"/>
        <v>CIHPbeGboko</v>
      </c>
    </row>
    <row r="583">
      <c r="AV583" s="0" t="s">
        <v>471</v>
      </c>
      <c r="AW583" s="0" t="s">
        <v>286</v>
      </c>
      <c r="AX583" s="0" t="s">
        <v>523</v>
      </c>
      <c r="AY583" s="0" t="s">
        <v>2219</v>
      </c>
      <c r="AZ583" s="0" t="s">
        <v>2220</v>
      </c>
      <c r="BA583" s="0" t="s">
        <v>595</v>
      </c>
      <c r="BB583" s="0" t="str">
        <f t="shared" si="9"/>
        <v>CIHPbeGboko</v>
      </c>
    </row>
    <row r="584">
      <c r="AV584" s="0" t="s">
        <v>471</v>
      </c>
      <c r="AW584" s="0" t="s">
        <v>286</v>
      </c>
      <c r="AX584" s="0" t="s">
        <v>523</v>
      </c>
      <c r="AY584" s="0" t="s">
        <v>2221</v>
      </c>
      <c r="AZ584" s="0" t="s">
        <v>2222</v>
      </c>
      <c r="BA584" s="0" t="s">
        <v>595</v>
      </c>
      <c r="BB584" s="0" t="str">
        <f t="shared" si="9"/>
        <v>CIHPbeGboko</v>
      </c>
    </row>
    <row r="585">
      <c r="AV585" s="0" t="s">
        <v>471</v>
      </c>
      <c r="AW585" s="0" t="s">
        <v>286</v>
      </c>
      <c r="AX585" s="0" t="s">
        <v>523</v>
      </c>
      <c r="AY585" s="0" t="s">
        <v>2223</v>
      </c>
      <c r="AZ585" s="0" t="s">
        <v>2224</v>
      </c>
      <c r="BA585" s="0" t="s">
        <v>595</v>
      </c>
      <c r="BB585" s="0" t="str">
        <f t="shared" si="9"/>
        <v>CIHPbeGboko</v>
      </c>
    </row>
    <row r="586">
      <c r="AV586" s="0" t="s">
        <v>471</v>
      </c>
      <c r="AW586" s="0" t="s">
        <v>286</v>
      </c>
      <c r="AX586" s="0" t="s">
        <v>523</v>
      </c>
      <c r="AY586" s="0" t="s">
        <v>2225</v>
      </c>
      <c r="AZ586" s="0" t="s">
        <v>2226</v>
      </c>
      <c r="BA586" s="0" t="s">
        <v>595</v>
      </c>
      <c r="BB586" s="0" t="str">
        <f t="shared" si="9"/>
        <v>CIHPbeGboko</v>
      </c>
    </row>
    <row r="587">
      <c r="AV587" s="0" t="s">
        <v>471</v>
      </c>
      <c r="AW587" s="0" t="s">
        <v>286</v>
      </c>
      <c r="AX587" s="0" t="s">
        <v>523</v>
      </c>
      <c r="AY587" s="0" t="s">
        <v>2227</v>
      </c>
      <c r="AZ587" s="0" t="s">
        <v>2228</v>
      </c>
      <c r="BA587" s="0" t="s">
        <v>595</v>
      </c>
      <c r="BB587" s="0" t="str">
        <f t="shared" si="9"/>
        <v>CIHPbeGboko</v>
      </c>
    </row>
    <row r="588">
      <c r="AV588" s="0" t="s">
        <v>471</v>
      </c>
      <c r="AW588" s="0" t="s">
        <v>286</v>
      </c>
      <c r="AX588" s="0" t="s">
        <v>523</v>
      </c>
      <c r="AY588" s="0" t="s">
        <v>2229</v>
      </c>
      <c r="AZ588" s="0" t="s">
        <v>2230</v>
      </c>
      <c r="BA588" s="0" t="s">
        <v>595</v>
      </c>
      <c r="BB588" s="0" t="str">
        <f t="shared" si="9"/>
        <v>CIHPbeGboko</v>
      </c>
    </row>
    <row r="589">
      <c r="AV589" s="0" t="s">
        <v>471</v>
      </c>
      <c r="AW589" s="0" t="s">
        <v>286</v>
      </c>
      <c r="AX589" s="0" t="s">
        <v>523</v>
      </c>
      <c r="AY589" s="0" t="s">
        <v>2231</v>
      </c>
      <c r="AZ589" s="0" t="s">
        <v>2232</v>
      </c>
      <c r="BA589" s="0" t="s">
        <v>595</v>
      </c>
      <c r="BB589" s="0" t="str">
        <f t="shared" si="9"/>
        <v>CIHPbeGboko</v>
      </c>
    </row>
    <row r="590">
      <c r="AV590" s="0" t="s">
        <v>471</v>
      </c>
      <c r="AW590" s="0" t="s">
        <v>286</v>
      </c>
      <c r="AX590" s="0" t="s">
        <v>523</v>
      </c>
      <c r="AY590" s="0" t="s">
        <v>2233</v>
      </c>
      <c r="AZ590" s="0" t="s">
        <v>2234</v>
      </c>
      <c r="BA590" s="0" t="s">
        <v>595</v>
      </c>
      <c r="BB590" s="0" t="str">
        <f t="shared" si="9"/>
        <v>CIHPbeGboko</v>
      </c>
    </row>
    <row r="591">
      <c r="AV591" s="0" t="s">
        <v>471</v>
      </c>
      <c r="AW591" s="0" t="s">
        <v>286</v>
      </c>
      <c r="AX591" s="0" t="s">
        <v>523</v>
      </c>
      <c r="AY591" s="0" t="s">
        <v>2235</v>
      </c>
      <c r="AZ591" s="0" t="s">
        <v>2236</v>
      </c>
      <c r="BA591" s="0" t="s">
        <v>595</v>
      </c>
      <c r="BB591" s="0" t="str">
        <f t="shared" si="9"/>
        <v>CIHPbeGboko</v>
      </c>
    </row>
    <row r="592">
      <c r="AV592" s="0" t="s">
        <v>471</v>
      </c>
      <c r="AW592" s="0" t="s">
        <v>286</v>
      </c>
      <c r="AX592" s="0" t="s">
        <v>523</v>
      </c>
      <c r="AY592" s="0" t="s">
        <v>2237</v>
      </c>
      <c r="AZ592" s="0" t="s">
        <v>2238</v>
      </c>
      <c r="BA592" s="0" t="s">
        <v>595</v>
      </c>
      <c r="BB592" s="0" t="str">
        <f t="shared" si="9"/>
        <v>CIHPbeGboko</v>
      </c>
    </row>
    <row r="593">
      <c r="AV593" s="0" t="s">
        <v>471</v>
      </c>
      <c r="AW593" s="0" t="s">
        <v>286</v>
      </c>
      <c r="AX593" s="0" t="s">
        <v>523</v>
      </c>
      <c r="AY593" s="0" t="s">
        <v>2239</v>
      </c>
      <c r="AZ593" s="0" t="s">
        <v>2240</v>
      </c>
      <c r="BA593" s="0" t="s">
        <v>595</v>
      </c>
      <c r="BB593" s="0" t="str">
        <f t="shared" si="9"/>
        <v>CIHPbeGboko</v>
      </c>
    </row>
    <row r="594">
      <c r="AV594" s="0" t="s">
        <v>471</v>
      </c>
      <c r="AW594" s="0" t="s">
        <v>286</v>
      </c>
      <c r="AX594" s="0" t="s">
        <v>523</v>
      </c>
      <c r="AY594" s="0" t="s">
        <v>2241</v>
      </c>
      <c r="AZ594" s="0" t="s">
        <v>2242</v>
      </c>
      <c r="BA594" s="0" t="s">
        <v>595</v>
      </c>
      <c r="BB594" s="0" t="str">
        <f t="shared" si="9"/>
        <v>CIHPbeGboko</v>
      </c>
    </row>
    <row r="595">
      <c r="AV595" s="0" t="s">
        <v>471</v>
      </c>
      <c r="AW595" s="0" t="s">
        <v>286</v>
      </c>
      <c r="AX595" s="0" t="s">
        <v>523</v>
      </c>
      <c r="AY595" s="0" t="s">
        <v>2243</v>
      </c>
      <c r="AZ595" s="0" t="s">
        <v>2244</v>
      </c>
      <c r="BA595" s="0" t="s">
        <v>595</v>
      </c>
      <c r="BB595" s="0" t="str">
        <f t="shared" si="9"/>
        <v>CIHPbeGboko</v>
      </c>
    </row>
    <row r="596">
      <c r="AV596" s="0" t="s">
        <v>471</v>
      </c>
      <c r="AW596" s="0" t="s">
        <v>286</v>
      </c>
      <c r="AX596" s="0" t="s">
        <v>523</v>
      </c>
      <c r="AY596" s="0" t="s">
        <v>2245</v>
      </c>
      <c r="AZ596" s="0" t="s">
        <v>2246</v>
      </c>
      <c r="BA596" s="0" t="s">
        <v>595</v>
      </c>
      <c r="BB596" s="0" t="str">
        <f t="shared" si="9"/>
        <v>CIHPbeGboko</v>
      </c>
    </row>
    <row r="597">
      <c r="AV597" s="0" t="s">
        <v>471</v>
      </c>
      <c r="AW597" s="0" t="s">
        <v>286</v>
      </c>
      <c r="AX597" s="0" t="s">
        <v>523</v>
      </c>
      <c r="AY597" s="0" t="s">
        <v>2247</v>
      </c>
      <c r="AZ597" s="0" t="s">
        <v>2248</v>
      </c>
      <c r="BA597" s="0" t="s">
        <v>595</v>
      </c>
      <c r="BB597" s="0" t="str">
        <f t="shared" si="9"/>
        <v>CIHPbeGboko</v>
      </c>
    </row>
    <row r="598">
      <c r="AV598" s="0" t="s">
        <v>471</v>
      </c>
      <c r="AW598" s="0" t="s">
        <v>286</v>
      </c>
      <c r="AX598" s="0" t="s">
        <v>523</v>
      </c>
      <c r="AY598" s="0" t="s">
        <v>2249</v>
      </c>
      <c r="AZ598" s="0" t="s">
        <v>2250</v>
      </c>
      <c r="BA598" s="0" t="s">
        <v>595</v>
      </c>
      <c r="BB598" s="0" t="str">
        <f t="shared" si="9"/>
        <v>CIHPbeGboko</v>
      </c>
    </row>
    <row r="599">
      <c r="AV599" s="0" t="s">
        <v>471</v>
      </c>
      <c r="AW599" s="0" t="s">
        <v>286</v>
      </c>
      <c r="AX599" s="0" t="s">
        <v>523</v>
      </c>
      <c r="AY599" s="0" t="s">
        <v>2251</v>
      </c>
      <c r="AZ599" s="0" t="s">
        <v>2252</v>
      </c>
      <c r="BA599" s="0" t="s">
        <v>595</v>
      </c>
      <c r="BB599" s="0" t="str">
        <f t="shared" si="9"/>
        <v>CIHPbeGboko</v>
      </c>
    </row>
    <row r="600">
      <c r="AV600" s="0" t="s">
        <v>471</v>
      </c>
      <c r="AW600" s="0" t="s">
        <v>286</v>
      </c>
      <c r="AX600" s="0" t="s">
        <v>564</v>
      </c>
      <c r="AY600" s="0" t="s">
        <v>2253</v>
      </c>
      <c r="AZ600" s="0" t="s">
        <v>2254</v>
      </c>
      <c r="BA600" s="0" t="s">
        <v>595</v>
      </c>
      <c r="BB600" s="0" t="str">
        <f t="shared" si="9"/>
        <v>CIHPbeGuma</v>
      </c>
    </row>
    <row r="601">
      <c r="AV601" s="0" t="s">
        <v>471</v>
      </c>
      <c r="AW601" s="0" t="s">
        <v>286</v>
      </c>
      <c r="AX601" s="0" t="s">
        <v>564</v>
      </c>
      <c r="AY601" s="0" t="s">
        <v>2255</v>
      </c>
      <c r="AZ601" s="0" t="s">
        <v>2256</v>
      </c>
      <c r="BA601" s="0" t="s">
        <v>595</v>
      </c>
      <c r="BB601" s="0" t="str">
        <f t="shared" si="9"/>
        <v>CIHPbeGuma</v>
      </c>
    </row>
    <row r="602">
      <c r="AV602" s="0" t="s">
        <v>471</v>
      </c>
      <c r="AW602" s="0" t="s">
        <v>286</v>
      </c>
      <c r="AX602" s="0" t="s">
        <v>564</v>
      </c>
      <c r="AY602" s="0" t="s">
        <v>2257</v>
      </c>
      <c r="AZ602" s="0" t="s">
        <v>2258</v>
      </c>
      <c r="BA602" s="0" t="s">
        <v>595</v>
      </c>
      <c r="BB602" s="0" t="str">
        <f t="shared" si="9"/>
        <v>CIHPbeGuma</v>
      </c>
    </row>
    <row r="603">
      <c r="AV603" s="0" t="s">
        <v>471</v>
      </c>
      <c r="AW603" s="0" t="s">
        <v>286</v>
      </c>
      <c r="AX603" s="0" t="s">
        <v>564</v>
      </c>
      <c r="AY603" s="0" t="s">
        <v>2259</v>
      </c>
      <c r="AZ603" s="0" t="s">
        <v>2260</v>
      </c>
      <c r="BA603" s="0" t="s">
        <v>595</v>
      </c>
      <c r="BB603" s="0" t="str">
        <f t="shared" si="9"/>
        <v>CIHPbeGuma</v>
      </c>
    </row>
    <row r="604">
      <c r="AV604" s="0" t="s">
        <v>471</v>
      </c>
      <c r="AW604" s="0" t="s">
        <v>286</v>
      </c>
      <c r="AX604" s="0" t="s">
        <v>564</v>
      </c>
      <c r="AY604" s="0" t="s">
        <v>2261</v>
      </c>
      <c r="AZ604" s="0" t="s">
        <v>2262</v>
      </c>
      <c r="BA604" s="0" t="s">
        <v>595</v>
      </c>
      <c r="BB604" s="0" t="str">
        <f t="shared" si="9"/>
        <v>CIHPbeGuma</v>
      </c>
    </row>
    <row r="605">
      <c r="AV605" s="0" t="s">
        <v>471</v>
      </c>
      <c r="AW605" s="0" t="s">
        <v>286</v>
      </c>
      <c r="AX605" s="0" t="s">
        <v>564</v>
      </c>
      <c r="AY605" s="0" t="s">
        <v>2263</v>
      </c>
      <c r="AZ605" s="0" t="s">
        <v>2264</v>
      </c>
      <c r="BA605" s="0" t="s">
        <v>595</v>
      </c>
      <c r="BB605" s="0" t="str">
        <f t="shared" si="9"/>
        <v>CIHPbeGuma</v>
      </c>
    </row>
    <row r="606">
      <c r="AV606" s="0" t="s">
        <v>471</v>
      </c>
      <c r="AW606" s="0" t="s">
        <v>286</v>
      </c>
      <c r="AX606" s="0" t="s">
        <v>602</v>
      </c>
      <c r="AY606" s="0" t="s">
        <v>2265</v>
      </c>
      <c r="AZ606" s="0" t="s">
        <v>2266</v>
      </c>
      <c r="BA606" s="0" t="s">
        <v>595</v>
      </c>
      <c r="BB606" s="0" t="str">
        <f t="shared" si="9"/>
        <v>CIHPbeGwerEast</v>
      </c>
    </row>
    <row r="607">
      <c r="AV607" s="0" t="s">
        <v>471</v>
      </c>
      <c r="AW607" s="0" t="s">
        <v>286</v>
      </c>
      <c r="AX607" s="0" t="s">
        <v>602</v>
      </c>
      <c r="AY607" s="0" t="s">
        <v>2267</v>
      </c>
      <c r="AZ607" s="0" t="s">
        <v>2268</v>
      </c>
      <c r="BA607" s="0" t="s">
        <v>595</v>
      </c>
      <c r="BB607" s="0" t="str">
        <f t="shared" si="9"/>
        <v>CIHPbeGwerEast</v>
      </c>
    </row>
    <row r="608">
      <c r="AV608" s="0" t="s">
        <v>471</v>
      </c>
      <c r="AW608" s="0" t="s">
        <v>286</v>
      </c>
      <c r="AX608" s="0" t="s">
        <v>602</v>
      </c>
      <c r="AY608" s="0" t="s">
        <v>2269</v>
      </c>
      <c r="AZ608" s="0" t="s">
        <v>2270</v>
      </c>
      <c r="BA608" s="0" t="s">
        <v>595</v>
      </c>
      <c r="BB608" s="0" t="str">
        <f t="shared" si="9"/>
        <v>CIHPbeGwerEast</v>
      </c>
    </row>
    <row r="609">
      <c r="AV609" s="0" t="s">
        <v>471</v>
      </c>
      <c r="AW609" s="0" t="s">
        <v>286</v>
      </c>
      <c r="AX609" s="0" t="s">
        <v>602</v>
      </c>
      <c r="AY609" s="0" t="s">
        <v>2271</v>
      </c>
      <c r="AZ609" s="0" t="s">
        <v>2272</v>
      </c>
      <c r="BA609" s="0" t="s">
        <v>595</v>
      </c>
      <c r="BB609" s="0" t="str">
        <f t="shared" si="9"/>
        <v>CIHPbeGwerEast</v>
      </c>
    </row>
    <row r="610">
      <c r="AV610" s="0" t="s">
        <v>471</v>
      </c>
      <c r="AW610" s="0" t="s">
        <v>286</v>
      </c>
      <c r="AX610" s="0" t="s">
        <v>602</v>
      </c>
      <c r="AY610" s="0" t="s">
        <v>2273</v>
      </c>
      <c r="AZ610" s="0" t="s">
        <v>2274</v>
      </c>
      <c r="BA610" s="0" t="s">
        <v>595</v>
      </c>
      <c r="BB610" s="0" t="str">
        <f t="shared" si="9"/>
        <v>CIHPbeGwerEast</v>
      </c>
    </row>
    <row r="611">
      <c r="AV611" s="0" t="s">
        <v>471</v>
      </c>
      <c r="AW611" s="0" t="s">
        <v>286</v>
      </c>
      <c r="AX611" s="0" t="s">
        <v>641</v>
      </c>
      <c r="AY611" s="0" t="s">
        <v>2275</v>
      </c>
      <c r="AZ611" s="0" t="s">
        <v>2276</v>
      </c>
      <c r="BA611" s="0" t="s">
        <v>595</v>
      </c>
      <c r="BB611" s="0" t="str">
        <f t="shared" si="9"/>
        <v>CIHPbeGwerWest</v>
      </c>
    </row>
    <row r="612">
      <c r="AV612" s="0" t="s">
        <v>471</v>
      </c>
      <c r="AW612" s="0" t="s">
        <v>286</v>
      </c>
      <c r="AX612" s="0" t="s">
        <v>641</v>
      </c>
      <c r="AY612" s="0" t="s">
        <v>2277</v>
      </c>
      <c r="AZ612" s="0" t="s">
        <v>2278</v>
      </c>
      <c r="BA612" s="0" t="s">
        <v>595</v>
      </c>
      <c r="BB612" s="0" t="str">
        <f t="shared" si="9"/>
        <v>CIHPbeGwerWest</v>
      </c>
    </row>
    <row r="613">
      <c r="AV613" s="0" t="s">
        <v>471</v>
      </c>
      <c r="AW613" s="0" t="s">
        <v>286</v>
      </c>
      <c r="AX613" s="0" t="s">
        <v>641</v>
      </c>
      <c r="AY613" s="0" t="s">
        <v>2279</v>
      </c>
      <c r="AZ613" s="0" t="s">
        <v>2280</v>
      </c>
      <c r="BA613" s="0" t="s">
        <v>595</v>
      </c>
      <c r="BB613" s="0" t="str">
        <f t="shared" si="9"/>
        <v>CIHPbeGwerWest</v>
      </c>
    </row>
    <row r="614">
      <c r="AV614" s="0" t="s">
        <v>471</v>
      </c>
      <c r="AW614" s="0" t="s">
        <v>286</v>
      </c>
      <c r="AX614" s="0" t="s">
        <v>641</v>
      </c>
      <c r="AY614" s="0" t="s">
        <v>2281</v>
      </c>
      <c r="AZ614" s="0" t="s">
        <v>2282</v>
      </c>
      <c r="BA614" s="0" t="s">
        <v>595</v>
      </c>
      <c r="BB614" s="0" t="str">
        <f t="shared" si="9"/>
        <v>CIHPbeGwerWest</v>
      </c>
    </row>
    <row r="615">
      <c r="AV615" s="0" t="s">
        <v>471</v>
      </c>
      <c r="AW615" s="0" t="s">
        <v>286</v>
      </c>
      <c r="AX615" s="0" t="s">
        <v>641</v>
      </c>
      <c r="AY615" s="0" t="s">
        <v>2283</v>
      </c>
      <c r="AZ615" s="0" t="s">
        <v>2284</v>
      </c>
      <c r="BA615" s="0" t="s">
        <v>595</v>
      </c>
      <c r="BB615" s="0" t="str">
        <f t="shared" si="9"/>
        <v>CIHPbeGwerWest</v>
      </c>
    </row>
    <row r="616">
      <c r="AV616" s="0" t="s">
        <v>471</v>
      </c>
      <c r="AW616" s="0" t="s">
        <v>286</v>
      </c>
      <c r="AX616" s="0" t="s">
        <v>641</v>
      </c>
      <c r="AY616" s="0" t="s">
        <v>2285</v>
      </c>
      <c r="AZ616" s="0" t="s">
        <v>2286</v>
      </c>
      <c r="BA616" s="0" t="s">
        <v>595</v>
      </c>
      <c r="BB616" s="0" t="str">
        <f t="shared" si="9"/>
        <v>CIHPbeGwerWest</v>
      </c>
    </row>
    <row r="617">
      <c r="AV617" s="0" t="s">
        <v>471</v>
      </c>
      <c r="AW617" s="0" t="s">
        <v>286</v>
      </c>
      <c r="AX617" s="0" t="s">
        <v>641</v>
      </c>
      <c r="AY617" s="0" t="s">
        <v>2287</v>
      </c>
      <c r="AZ617" s="0" t="s">
        <v>2288</v>
      </c>
      <c r="BA617" s="0" t="s">
        <v>595</v>
      </c>
      <c r="BB617" s="0" t="str">
        <f t="shared" si="9"/>
        <v>CIHPbeGwerWest</v>
      </c>
    </row>
    <row r="618">
      <c r="AV618" s="0" t="s">
        <v>471</v>
      </c>
      <c r="AW618" s="0" t="s">
        <v>286</v>
      </c>
      <c r="AX618" s="0" t="s">
        <v>641</v>
      </c>
      <c r="AY618" s="0" t="s">
        <v>2289</v>
      </c>
      <c r="AZ618" s="0" t="s">
        <v>2290</v>
      </c>
      <c r="BA618" s="0" t="s">
        <v>595</v>
      </c>
      <c r="BB618" s="0" t="str">
        <f t="shared" si="9"/>
        <v>CIHPbeGwerWest</v>
      </c>
    </row>
    <row r="619">
      <c r="AV619" s="0" t="s">
        <v>471</v>
      </c>
      <c r="AW619" s="0" t="s">
        <v>286</v>
      </c>
      <c r="AX619" s="0" t="s">
        <v>641</v>
      </c>
      <c r="AY619" s="0" t="s">
        <v>2291</v>
      </c>
      <c r="AZ619" s="0" t="s">
        <v>2292</v>
      </c>
      <c r="BA619" s="0" t="s">
        <v>595</v>
      </c>
      <c r="BB619" s="0" t="str">
        <f t="shared" si="9"/>
        <v>CIHPbeGwerWest</v>
      </c>
    </row>
    <row r="620">
      <c r="AV620" s="0" t="s">
        <v>471</v>
      </c>
      <c r="AW620" s="0" t="s">
        <v>286</v>
      </c>
      <c r="AX620" s="0" t="s">
        <v>641</v>
      </c>
      <c r="AY620" s="0" t="s">
        <v>2293</v>
      </c>
      <c r="AZ620" s="0" t="s">
        <v>2294</v>
      </c>
      <c r="BA620" s="0" t="s">
        <v>595</v>
      </c>
      <c r="BB620" s="0" t="str">
        <f t="shared" si="9"/>
        <v>CIHPbeGwerWest</v>
      </c>
    </row>
    <row r="621">
      <c r="AV621" s="0" t="s">
        <v>471</v>
      </c>
      <c r="AW621" s="0" t="s">
        <v>286</v>
      </c>
      <c r="AX621" s="0" t="s">
        <v>641</v>
      </c>
      <c r="AY621" s="0" t="s">
        <v>2295</v>
      </c>
      <c r="AZ621" s="0" t="s">
        <v>2296</v>
      </c>
      <c r="BA621" s="0" t="s">
        <v>595</v>
      </c>
      <c r="BB621" s="0" t="str">
        <f t="shared" si="9"/>
        <v>CIHPbeGwerWest</v>
      </c>
    </row>
    <row r="622">
      <c r="AV622" s="0" t="s">
        <v>471</v>
      </c>
      <c r="AW622" s="0" t="s">
        <v>286</v>
      </c>
      <c r="AX622" s="0" t="s">
        <v>641</v>
      </c>
      <c r="AY622" s="0" t="s">
        <v>2297</v>
      </c>
      <c r="AZ622" s="0" t="s">
        <v>2298</v>
      </c>
      <c r="BA622" s="0" t="s">
        <v>595</v>
      </c>
      <c r="BB622" s="0" t="str">
        <f t="shared" si="9"/>
        <v>CIHPbeGwerWest</v>
      </c>
    </row>
    <row r="623">
      <c r="AV623" s="0" t="s">
        <v>471</v>
      </c>
      <c r="AW623" s="0" t="s">
        <v>286</v>
      </c>
      <c r="AX623" s="0" t="s">
        <v>641</v>
      </c>
      <c r="AY623" s="0" t="s">
        <v>2299</v>
      </c>
      <c r="AZ623" s="0" t="s">
        <v>2300</v>
      </c>
      <c r="BA623" s="0" t="s">
        <v>595</v>
      </c>
      <c r="BB623" s="0" t="str">
        <f t="shared" si="9"/>
        <v>CIHPbeGwerWest</v>
      </c>
    </row>
    <row r="624">
      <c r="AV624" s="0" t="s">
        <v>471</v>
      </c>
      <c r="AW624" s="0" t="s">
        <v>286</v>
      </c>
      <c r="AX624" s="0" t="s">
        <v>641</v>
      </c>
      <c r="AY624" s="0" t="s">
        <v>2301</v>
      </c>
      <c r="AZ624" s="0" t="s">
        <v>2302</v>
      </c>
      <c r="BA624" s="0" t="s">
        <v>595</v>
      </c>
      <c r="BB624" s="0" t="str">
        <f t="shared" si="9"/>
        <v>CIHPbeGwerWest</v>
      </c>
    </row>
    <row r="625">
      <c r="AV625" s="0" t="s">
        <v>471</v>
      </c>
      <c r="AW625" s="0" t="s">
        <v>286</v>
      </c>
      <c r="AX625" s="0" t="s">
        <v>641</v>
      </c>
      <c r="AY625" s="0" t="s">
        <v>2303</v>
      </c>
      <c r="AZ625" s="0" t="s">
        <v>2304</v>
      </c>
      <c r="BA625" s="0" t="s">
        <v>595</v>
      </c>
      <c r="BB625" s="0" t="str">
        <f t="shared" si="9"/>
        <v>CIHPbeGwerWest</v>
      </c>
    </row>
    <row r="626">
      <c r="AV626" s="0" t="s">
        <v>471</v>
      </c>
      <c r="AW626" s="0" t="s">
        <v>286</v>
      </c>
      <c r="AX626" s="0" t="s">
        <v>641</v>
      </c>
      <c r="AY626" s="0" t="s">
        <v>2305</v>
      </c>
      <c r="AZ626" s="0" t="s">
        <v>2306</v>
      </c>
      <c r="BA626" s="0" t="s">
        <v>595</v>
      </c>
      <c r="BB626" s="0" t="str">
        <f t="shared" si="9"/>
        <v>CIHPbeGwerWest</v>
      </c>
    </row>
    <row r="627">
      <c r="AV627" s="0" t="s">
        <v>471</v>
      </c>
      <c r="AW627" s="0" t="s">
        <v>286</v>
      </c>
      <c r="AX627" s="0" t="s">
        <v>641</v>
      </c>
      <c r="AY627" s="0" t="s">
        <v>2307</v>
      </c>
      <c r="AZ627" s="0" t="s">
        <v>2308</v>
      </c>
      <c r="BA627" s="0" t="s">
        <v>595</v>
      </c>
      <c r="BB627" s="0" t="str">
        <f t="shared" si="9"/>
        <v>CIHPbeGwerWest</v>
      </c>
    </row>
    <row r="628">
      <c r="AV628" s="0" t="s">
        <v>471</v>
      </c>
      <c r="AW628" s="0" t="s">
        <v>286</v>
      </c>
      <c r="AX628" s="0" t="s">
        <v>641</v>
      </c>
      <c r="AY628" s="0" t="s">
        <v>2309</v>
      </c>
      <c r="AZ628" s="0" t="s">
        <v>2310</v>
      </c>
      <c r="BA628" s="0" t="s">
        <v>595</v>
      </c>
      <c r="BB628" s="0" t="str">
        <f t="shared" si="9"/>
        <v>CIHPbeGwerWest</v>
      </c>
    </row>
    <row r="629">
      <c r="AV629" s="0" t="s">
        <v>471</v>
      </c>
      <c r="AW629" s="0" t="s">
        <v>286</v>
      </c>
      <c r="AX629" s="0" t="s">
        <v>641</v>
      </c>
      <c r="AY629" s="0" t="s">
        <v>2311</v>
      </c>
      <c r="AZ629" s="0" t="s">
        <v>2312</v>
      </c>
      <c r="BA629" s="0" t="s">
        <v>595</v>
      </c>
      <c r="BB629" s="0" t="str">
        <f t="shared" si="9"/>
        <v>CIHPbeGwerWest</v>
      </c>
    </row>
    <row r="630">
      <c r="AV630" s="0" t="s">
        <v>471</v>
      </c>
      <c r="AW630" s="0" t="s">
        <v>286</v>
      </c>
      <c r="AX630" s="0" t="s">
        <v>641</v>
      </c>
      <c r="AY630" s="0" t="s">
        <v>2313</v>
      </c>
      <c r="AZ630" s="0" t="s">
        <v>2314</v>
      </c>
      <c r="BA630" s="0" t="s">
        <v>595</v>
      </c>
      <c r="BB630" s="0" t="str">
        <f t="shared" si="9"/>
        <v>CIHPbeGwerWest</v>
      </c>
    </row>
    <row r="631">
      <c r="AV631" s="0" t="s">
        <v>471</v>
      </c>
      <c r="AW631" s="0" t="s">
        <v>286</v>
      </c>
      <c r="AX631" s="0" t="s">
        <v>748</v>
      </c>
      <c r="AY631" s="0" t="s">
        <v>2315</v>
      </c>
      <c r="AZ631" s="0" t="s">
        <v>2316</v>
      </c>
      <c r="BA631" s="0" t="s">
        <v>595</v>
      </c>
      <c r="BB631" s="0" t="str">
        <f t="shared" si="9"/>
        <v>CIHPbeKwande</v>
      </c>
    </row>
    <row r="632">
      <c r="AV632" s="0" t="s">
        <v>471</v>
      </c>
      <c r="AW632" s="0" t="s">
        <v>286</v>
      </c>
      <c r="AX632" s="0" t="s">
        <v>748</v>
      </c>
      <c r="AY632" s="0" t="s">
        <v>2317</v>
      </c>
      <c r="AZ632" s="0" t="s">
        <v>2318</v>
      </c>
      <c r="BA632" s="0" t="s">
        <v>595</v>
      </c>
      <c r="BB632" s="0" t="str">
        <f t="shared" si="9"/>
        <v>CIHPbeKwande</v>
      </c>
    </row>
    <row r="633">
      <c r="AV633" s="0" t="s">
        <v>471</v>
      </c>
      <c r="AW633" s="0" t="s">
        <v>286</v>
      </c>
      <c r="AX633" s="0" t="s">
        <v>748</v>
      </c>
      <c r="AY633" s="0" t="s">
        <v>2319</v>
      </c>
      <c r="AZ633" s="0" t="s">
        <v>2320</v>
      </c>
      <c r="BA633" s="0" t="s">
        <v>595</v>
      </c>
      <c r="BB633" s="0" t="str">
        <f t="shared" si="9"/>
        <v>CIHPbeKwande</v>
      </c>
    </row>
    <row r="634">
      <c r="AV634" s="0" t="s">
        <v>471</v>
      </c>
      <c r="AW634" s="0" t="s">
        <v>286</v>
      </c>
      <c r="AX634" s="0" t="s">
        <v>748</v>
      </c>
      <c r="AY634" s="0" t="s">
        <v>2321</v>
      </c>
      <c r="AZ634" s="0" t="s">
        <v>2322</v>
      </c>
      <c r="BA634" s="0" t="s">
        <v>595</v>
      </c>
      <c r="BB634" s="0" t="str">
        <f t="shared" si="9"/>
        <v>CIHPbeKwande</v>
      </c>
    </row>
    <row r="635">
      <c r="AV635" s="0" t="s">
        <v>471</v>
      </c>
      <c r="AW635" s="0" t="s">
        <v>286</v>
      </c>
      <c r="AX635" s="0" t="s">
        <v>748</v>
      </c>
      <c r="AY635" s="0" t="s">
        <v>2323</v>
      </c>
      <c r="AZ635" s="0" t="s">
        <v>2324</v>
      </c>
      <c r="BA635" s="0" t="s">
        <v>595</v>
      </c>
      <c r="BB635" s="0" t="str">
        <f t="shared" si="9"/>
        <v>CIHPbeKwande</v>
      </c>
    </row>
    <row r="636">
      <c r="AV636" s="0" t="s">
        <v>471</v>
      </c>
      <c r="AW636" s="0" t="s">
        <v>286</v>
      </c>
      <c r="AX636" s="0" t="s">
        <v>748</v>
      </c>
      <c r="AY636" s="0" t="s">
        <v>2325</v>
      </c>
      <c r="AZ636" s="0" t="s">
        <v>2326</v>
      </c>
      <c r="BA636" s="0" t="s">
        <v>595</v>
      </c>
      <c r="BB636" s="0" t="str">
        <f t="shared" si="9"/>
        <v>CIHPbeKwande</v>
      </c>
    </row>
    <row r="637">
      <c r="AV637" s="0" t="s">
        <v>471</v>
      </c>
      <c r="AW637" s="0" t="s">
        <v>286</v>
      </c>
      <c r="AX637" s="0" t="s">
        <v>748</v>
      </c>
      <c r="AY637" s="0" t="s">
        <v>2327</v>
      </c>
      <c r="AZ637" s="0" t="s">
        <v>2328</v>
      </c>
      <c r="BA637" s="0" t="s">
        <v>595</v>
      </c>
      <c r="BB637" s="0" t="str">
        <f t="shared" si="9"/>
        <v>CIHPbeKwande</v>
      </c>
    </row>
    <row r="638">
      <c r="AV638" s="0" t="s">
        <v>471</v>
      </c>
      <c r="AW638" s="0" t="s">
        <v>286</v>
      </c>
      <c r="AX638" s="0" t="s">
        <v>748</v>
      </c>
      <c r="AY638" s="0" t="s">
        <v>2329</v>
      </c>
      <c r="AZ638" s="0" t="s">
        <v>2330</v>
      </c>
      <c r="BA638" s="0" t="s">
        <v>595</v>
      </c>
      <c r="BB638" s="0" t="str">
        <f t="shared" si="9"/>
        <v>CIHPbeKwande</v>
      </c>
    </row>
    <row r="639">
      <c r="AV639" s="0" t="s">
        <v>471</v>
      </c>
      <c r="AW639" s="0" t="s">
        <v>286</v>
      </c>
      <c r="AX639" s="0" t="s">
        <v>748</v>
      </c>
      <c r="AY639" s="0" t="s">
        <v>2331</v>
      </c>
      <c r="AZ639" s="0" t="s">
        <v>2332</v>
      </c>
      <c r="BA639" s="0" t="s">
        <v>595</v>
      </c>
      <c r="BB639" s="0" t="str">
        <f t="shared" si="9"/>
        <v>CIHPbeKwande</v>
      </c>
    </row>
    <row r="640">
      <c r="AV640" s="0" t="s">
        <v>471</v>
      </c>
      <c r="AW640" s="0" t="s">
        <v>286</v>
      </c>
      <c r="AX640" s="0" t="s">
        <v>748</v>
      </c>
      <c r="AY640" s="0" t="s">
        <v>2333</v>
      </c>
      <c r="AZ640" s="0" t="s">
        <v>2334</v>
      </c>
      <c r="BA640" s="0" t="s">
        <v>595</v>
      </c>
      <c r="BB640" s="0" t="str">
        <f t="shared" si="9"/>
        <v>CIHPbeKwande</v>
      </c>
    </row>
    <row r="641">
      <c r="AV641" s="0" t="s">
        <v>471</v>
      </c>
      <c r="AW641" s="0" t="s">
        <v>286</v>
      </c>
      <c r="AX641" s="0" t="s">
        <v>748</v>
      </c>
      <c r="AY641" s="0" t="s">
        <v>2335</v>
      </c>
      <c r="AZ641" s="0" t="s">
        <v>2336</v>
      </c>
      <c r="BA641" s="0" t="s">
        <v>595</v>
      </c>
      <c r="BB641" s="0" t="str">
        <f t="shared" si="9"/>
        <v>CIHPbeKwande</v>
      </c>
    </row>
    <row r="642">
      <c r="AV642" s="0" t="s">
        <v>471</v>
      </c>
      <c r="AW642" s="0" t="s">
        <v>286</v>
      </c>
      <c r="AX642" s="0" t="s">
        <v>748</v>
      </c>
      <c r="AY642" s="0" t="s">
        <v>2337</v>
      </c>
      <c r="AZ642" s="0" t="s">
        <v>2338</v>
      </c>
      <c r="BA642" s="0" t="s">
        <v>595</v>
      </c>
      <c r="BB642" s="0" t="str">
        <f t="shared" si="9"/>
        <v>CIHPbeKwande</v>
      </c>
    </row>
    <row r="643">
      <c r="AV643" s="0" t="s">
        <v>471</v>
      </c>
      <c r="AW643" s="0" t="s">
        <v>286</v>
      </c>
      <c r="AX643" s="0" t="s">
        <v>780</v>
      </c>
      <c r="AY643" s="0" t="s">
        <v>2339</v>
      </c>
      <c r="AZ643" s="0" t="s">
        <v>2340</v>
      </c>
      <c r="BA643" s="0" t="s">
        <v>595</v>
      </c>
      <c r="BB643" s="0" t="str">
        <f ref="BB643:BB706" t="shared" si="10">SUBSTITUTE(SUBSTITUTE(BA643&amp;AX643," ",""),"-","")</f>
        <v>CIHPbeLogo</v>
      </c>
    </row>
    <row r="644">
      <c r="AV644" s="0" t="s">
        <v>471</v>
      </c>
      <c r="AW644" s="0" t="s">
        <v>286</v>
      </c>
      <c r="AX644" s="0" t="s">
        <v>780</v>
      </c>
      <c r="AY644" s="0" t="s">
        <v>2341</v>
      </c>
      <c r="AZ644" s="0" t="s">
        <v>2342</v>
      </c>
      <c r="BA644" s="0" t="s">
        <v>595</v>
      </c>
      <c r="BB644" s="0" t="str">
        <f t="shared" si="10"/>
        <v>CIHPbeLogo</v>
      </c>
    </row>
    <row r="645">
      <c r="AV645" s="0" t="s">
        <v>471</v>
      </c>
      <c r="AW645" s="0" t="s">
        <v>286</v>
      </c>
      <c r="AX645" s="0" t="s">
        <v>780</v>
      </c>
      <c r="AY645" s="0" t="s">
        <v>2343</v>
      </c>
      <c r="AZ645" s="0" t="s">
        <v>2344</v>
      </c>
      <c r="BA645" s="0" t="s">
        <v>595</v>
      </c>
      <c r="BB645" s="0" t="str">
        <f t="shared" si="10"/>
        <v>CIHPbeLogo</v>
      </c>
    </row>
    <row r="646">
      <c r="AV646" s="0" t="s">
        <v>471</v>
      </c>
      <c r="AW646" s="0" t="s">
        <v>286</v>
      </c>
      <c r="AX646" s="0" t="s">
        <v>780</v>
      </c>
      <c r="AY646" s="0" t="s">
        <v>2345</v>
      </c>
      <c r="AZ646" s="0" t="s">
        <v>2346</v>
      </c>
      <c r="BA646" s="0" t="s">
        <v>595</v>
      </c>
      <c r="BB646" s="0" t="str">
        <f t="shared" si="10"/>
        <v>CIHPbeLogo</v>
      </c>
    </row>
    <row r="647">
      <c r="AV647" s="0" t="s">
        <v>471</v>
      </c>
      <c r="AW647" s="0" t="s">
        <v>286</v>
      </c>
      <c r="AX647" s="0" t="s">
        <v>780</v>
      </c>
      <c r="AY647" s="0" t="s">
        <v>2347</v>
      </c>
      <c r="AZ647" s="0" t="s">
        <v>2348</v>
      </c>
      <c r="BA647" s="0" t="s">
        <v>595</v>
      </c>
      <c r="BB647" s="0" t="str">
        <f t="shared" si="10"/>
        <v>CIHPbeLogo</v>
      </c>
    </row>
    <row r="648">
      <c r="AV648" s="0" t="s">
        <v>471</v>
      </c>
      <c r="AW648" s="0" t="s">
        <v>286</v>
      </c>
      <c r="AX648" s="0" t="s">
        <v>780</v>
      </c>
      <c r="AY648" s="0" t="s">
        <v>2349</v>
      </c>
      <c r="AZ648" s="0" t="s">
        <v>2350</v>
      </c>
      <c r="BA648" s="0" t="s">
        <v>595</v>
      </c>
      <c r="BB648" s="0" t="str">
        <f t="shared" si="10"/>
        <v>CIHPbeLogo</v>
      </c>
    </row>
    <row r="649">
      <c r="AV649" s="0" t="s">
        <v>471</v>
      </c>
      <c r="AW649" s="0" t="s">
        <v>286</v>
      </c>
      <c r="AX649" s="0" t="s">
        <v>780</v>
      </c>
      <c r="AY649" s="0" t="s">
        <v>2351</v>
      </c>
      <c r="AZ649" s="0" t="s">
        <v>2352</v>
      </c>
      <c r="BA649" s="0" t="s">
        <v>595</v>
      </c>
      <c r="BB649" s="0" t="str">
        <f t="shared" si="10"/>
        <v>CIHPbeLogo</v>
      </c>
    </row>
    <row r="650">
      <c r="AV650" s="0" t="s">
        <v>471</v>
      </c>
      <c r="AW650" s="0" t="s">
        <v>286</v>
      </c>
      <c r="AX650" s="0" t="s">
        <v>780</v>
      </c>
      <c r="AY650" s="0" t="s">
        <v>2353</v>
      </c>
      <c r="AZ650" s="0" t="s">
        <v>2354</v>
      </c>
      <c r="BA650" s="0" t="s">
        <v>595</v>
      </c>
      <c r="BB650" s="0" t="str">
        <f t="shared" si="10"/>
        <v>CIHPbeLogo</v>
      </c>
    </row>
    <row r="651">
      <c r="AV651" s="0" t="s">
        <v>471</v>
      </c>
      <c r="AW651" s="0" t="s">
        <v>286</v>
      </c>
      <c r="AX651" s="0" t="s">
        <v>780</v>
      </c>
      <c r="AY651" s="0" t="s">
        <v>2355</v>
      </c>
      <c r="AZ651" s="0" t="s">
        <v>2356</v>
      </c>
      <c r="BA651" s="0" t="s">
        <v>595</v>
      </c>
      <c r="BB651" s="0" t="str">
        <f t="shared" si="10"/>
        <v>CIHPbeLogo</v>
      </c>
    </row>
    <row r="652">
      <c r="AV652" s="0" t="s">
        <v>471</v>
      </c>
      <c r="AW652" s="0" t="s">
        <v>286</v>
      </c>
      <c r="AX652" s="0" t="s">
        <v>780</v>
      </c>
      <c r="AY652" s="0" t="s">
        <v>2357</v>
      </c>
      <c r="AZ652" s="0" t="s">
        <v>2358</v>
      </c>
      <c r="BA652" s="0" t="s">
        <v>595</v>
      </c>
      <c r="BB652" s="0" t="str">
        <f t="shared" si="10"/>
        <v>CIHPbeLogo</v>
      </c>
    </row>
    <row r="653">
      <c r="AV653" s="0" t="s">
        <v>471</v>
      </c>
      <c r="AW653" s="0" t="s">
        <v>286</v>
      </c>
      <c r="AX653" s="0" t="s">
        <v>780</v>
      </c>
      <c r="AY653" s="0" t="s">
        <v>2359</v>
      </c>
      <c r="AZ653" s="0" t="s">
        <v>2360</v>
      </c>
      <c r="BA653" s="0" t="s">
        <v>595</v>
      </c>
      <c r="BB653" s="0" t="str">
        <f t="shared" si="10"/>
        <v>CIHPbeLogo</v>
      </c>
    </row>
    <row r="654">
      <c r="AV654" s="0" t="s">
        <v>471</v>
      </c>
      <c r="AW654" s="0" t="s">
        <v>286</v>
      </c>
      <c r="AX654" s="0" t="s">
        <v>780</v>
      </c>
      <c r="AY654" s="0" t="s">
        <v>2361</v>
      </c>
      <c r="AZ654" s="0" t="s">
        <v>2362</v>
      </c>
      <c r="BA654" s="0" t="s">
        <v>595</v>
      </c>
      <c r="BB654" s="0" t="str">
        <f t="shared" si="10"/>
        <v>CIHPbeLogo</v>
      </c>
    </row>
    <row r="655">
      <c r="AV655" s="0" t="s">
        <v>471</v>
      </c>
      <c r="AW655" s="0" t="s">
        <v>286</v>
      </c>
      <c r="AX655" s="0" t="s">
        <v>780</v>
      </c>
      <c r="AY655" s="0" t="s">
        <v>2363</v>
      </c>
      <c r="AZ655" s="0" t="s">
        <v>2364</v>
      </c>
      <c r="BA655" s="0" t="s">
        <v>595</v>
      </c>
      <c r="BB655" s="0" t="str">
        <f t="shared" si="10"/>
        <v>CIHPbeLogo</v>
      </c>
    </row>
    <row r="656">
      <c r="AV656" s="0" t="s">
        <v>471</v>
      </c>
      <c r="AW656" s="0" t="s">
        <v>286</v>
      </c>
      <c r="AX656" s="0" t="s">
        <v>780</v>
      </c>
      <c r="AY656" s="0" t="s">
        <v>2365</v>
      </c>
      <c r="AZ656" s="0" t="s">
        <v>2366</v>
      </c>
      <c r="BA656" s="0" t="s">
        <v>595</v>
      </c>
      <c r="BB656" s="0" t="str">
        <f t="shared" si="10"/>
        <v>CIHPbeLogo</v>
      </c>
    </row>
    <row r="657">
      <c r="AV657" s="0" t="s">
        <v>471</v>
      </c>
      <c r="AW657" s="0" t="s">
        <v>286</v>
      </c>
      <c r="AX657" s="0" t="s">
        <v>780</v>
      </c>
      <c r="AY657" s="0" t="s">
        <v>2367</v>
      </c>
      <c r="AZ657" s="0" t="s">
        <v>2368</v>
      </c>
      <c r="BA657" s="0" t="s">
        <v>595</v>
      </c>
      <c r="BB657" s="0" t="str">
        <f t="shared" si="10"/>
        <v>CIHPbeLogo</v>
      </c>
    </row>
    <row r="658">
      <c r="AV658" s="0" t="s">
        <v>471</v>
      </c>
      <c r="AW658" s="0" t="s">
        <v>286</v>
      </c>
      <c r="AX658" s="0" t="s">
        <v>780</v>
      </c>
      <c r="AY658" s="0" t="s">
        <v>2369</v>
      </c>
      <c r="AZ658" s="0" t="s">
        <v>2370</v>
      </c>
      <c r="BA658" s="0" t="s">
        <v>595</v>
      </c>
      <c r="BB658" s="0" t="str">
        <f t="shared" si="10"/>
        <v>CIHPbeLogo</v>
      </c>
    </row>
    <row r="659">
      <c r="AV659" s="0" t="s">
        <v>471</v>
      </c>
      <c r="AW659" s="0" t="s">
        <v>286</v>
      </c>
      <c r="AX659" s="0" t="s">
        <v>780</v>
      </c>
      <c r="AY659" s="0" t="s">
        <v>2371</v>
      </c>
      <c r="AZ659" s="0" t="s">
        <v>2372</v>
      </c>
      <c r="BA659" s="0" t="s">
        <v>595</v>
      </c>
      <c r="BB659" s="0" t="str">
        <f t="shared" si="10"/>
        <v>CIHPbeLogo</v>
      </c>
    </row>
    <row r="660">
      <c r="AV660" s="0" t="s">
        <v>471</v>
      </c>
      <c r="AW660" s="0" t="s">
        <v>286</v>
      </c>
      <c r="AX660" s="0" t="s">
        <v>780</v>
      </c>
      <c r="AY660" s="0" t="s">
        <v>2373</v>
      </c>
      <c r="AZ660" s="0" t="s">
        <v>2374</v>
      </c>
      <c r="BA660" s="0" t="s">
        <v>595</v>
      </c>
      <c r="BB660" s="0" t="str">
        <f t="shared" si="10"/>
        <v>CIHPbeLogo</v>
      </c>
    </row>
    <row r="661">
      <c r="AV661" s="0" t="s">
        <v>471</v>
      </c>
      <c r="AW661" s="0" t="s">
        <v>286</v>
      </c>
      <c r="AX661" s="0" t="s">
        <v>780</v>
      </c>
      <c r="AY661" s="0" t="s">
        <v>2375</v>
      </c>
      <c r="AZ661" s="0" t="s">
        <v>2376</v>
      </c>
      <c r="BA661" s="0" t="s">
        <v>595</v>
      </c>
      <c r="BB661" s="0" t="str">
        <f t="shared" si="10"/>
        <v>CIHPbeLogo</v>
      </c>
    </row>
    <row r="662">
      <c r="AV662" s="0" t="s">
        <v>471</v>
      </c>
      <c r="AW662" s="0" t="s">
        <v>286</v>
      </c>
      <c r="AX662" s="0" t="s">
        <v>780</v>
      </c>
      <c r="AY662" s="0" t="s">
        <v>2377</v>
      </c>
      <c r="AZ662" s="0" t="s">
        <v>2378</v>
      </c>
      <c r="BA662" s="0" t="s">
        <v>595</v>
      </c>
      <c r="BB662" s="0" t="str">
        <f t="shared" si="10"/>
        <v>CIHPbeLogo</v>
      </c>
    </row>
    <row r="663">
      <c r="AV663" s="0" t="s">
        <v>471</v>
      </c>
      <c r="AW663" s="0" t="s">
        <v>286</v>
      </c>
      <c r="AX663" s="0" t="s">
        <v>780</v>
      </c>
      <c r="AY663" s="0" t="s">
        <v>2379</v>
      </c>
      <c r="AZ663" s="0" t="s">
        <v>2380</v>
      </c>
      <c r="BA663" s="0" t="s">
        <v>595</v>
      </c>
      <c r="BB663" s="0" t="str">
        <f t="shared" si="10"/>
        <v>CIHPbeLogo</v>
      </c>
    </row>
    <row r="664">
      <c r="AV664" s="0" t="s">
        <v>471</v>
      </c>
      <c r="AW664" s="0" t="s">
        <v>286</v>
      </c>
      <c r="AX664" s="0" t="s">
        <v>780</v>
      </c>
      <c r="AY664" s="0" t="s">
        <v>2381</v>
      </c>
      <c r="AZ664" s="0" t="s">
        <v>2382</v>
      </c>
      <c r="BA664" s="0" t="s">
        <v>595</v>
      </c>
      <c r="BB664" s="0" t="str">
        <f t="shared" si="10"/>
        <v>CIHPbeLogo</v>
      </c>
    </row>
    <row r="665">
      <c r="AV665" s="0" t="s">
        <v>471</v>
      </c>
      <c r="AW665" s="0" t="s">
        <v>286</v>
      </c>
      <c r="AX665" s="0" t="s">
        <v>780</v>
      </c>
      <c r="AY665" s="0" t="s">
        <v>2383</v>
      </c>
      <c r="AZ665" s="0" t="s">
        <v>2384</v>
      </c>
      <c r="BA665" s="0" t="s">
        <v>595</v>
      </c>
      <c r="BB665" s="0" t="str">
        <f t="shared" si="10"/>
        <v>CIHPbeLogo</v>
      </c>
    </row>
    <row r="666">
      <c r="AV666" s="0" t="s">
        <v>471</v>
      </c>
      <c r="AW666" s="0" t="s">
        <v>286</v>
      </c>
      <c r="AX666" s="0" t="s">
        <v>780</v>
      </c>
      <c r="AY666" s="0" t="s">
        <v>2385</v>
      </c>
      <c r="AZ666" s="0" t="s">
        <v>2386</v>
      </c>
      <c r="BA666" s="0" t="s">
        <v>595</v>
      </c>
      <c r="BB666" s="0" t="str">
        <f t="shared" si="10"/>
        <v>CIHPbeLogo</v>
      </c>
    </row>
    <row r="667">
      <c r="AV667" s="0" t="s">
        <v>471</v>
      </c>
      <c r="AW667" s="0" t="s">
        <v>286</v>
      </c>
      <c r="AX667" s="0" t="s">
        <v>780</v>
      </c>
      <c r="AY667" s="0" t="s">
        <v>2387</v>
      </c>
      <c r="AZ667" s="0" t="s">
        <v>2388</v>
      </c>
      <c r="BA667" s="0" t="s">
        <v>595</v>
      </c>
      <c r="BB667" s="0" t="str">
        <f t="shared" si="10"/>
        <v>CIHPbeLogo</v>
      </c>
    </row>
    <row r="668">
      <c r="AV668" s="0" t="s">
        <v>471</v>
      </c>
      <c r="AW668" s="0" t="s">
        <v>286</v>
      </c>
      <c r="AX668" s="0" t="s">
        <v>780</v>
      </c>
      <c r="AY668" s="0" t="s">
        <v>2389</v>
      </c>
      <c r="AZ668" s="0" t="s">
        <v>2390</v>
      </c>
      <c r="BA668" s="0" t="s">
        <v>595</v>
      </c>
      <c r="BB668" s="0" t="str">
        <f t="shared" si="10"/>
        <v>CIHPbeLogo</v>
      </c>
    </row>
    <row r="669">
      <c r="AV669" s="0" t="s">
        <v>471</v>
      </c>
      <c r="AW669" s="0" t="s">
        <v>286</v>
      </c>
      <c r="AX669" s="0" t="s">
        <v>780</v>
      </c>
      <c r="AY669" s="0" t="s">
        <v>2391</v>
      </c>
      <c r="AZ669" s="0" t="s">
        <v>2392</v>
      </c>
      <c r="BA669" s="0" t="s">
        <v>595</v>
      </c>
      <c r="BB669" s="0" t="str">
        <f t="shared" si="10"/>
        <v>CIHPbeLogo</v>
      </c>
    </row>
    <row r="670">
      <c r="AV670" s="0" t="s">
        <v>471</v>
      </c>
      <c r="AW670" s="0" t="s">
        <v>286</v>
      </c>
      <c r="AX670" s="0" t="s">
        <v>780</v>
      </c>
      <c r="AY670" s="0" t="s">
        <v>2393</v>
      </c>
      <c r="AZ670" s="0" t="s">
        <v>2394</v>
      </c>
      <c r="BA670" s="0" t="s">
        <v>595</v>
      </c>
      <c r="BB670" s="0" t="str">
        <f t="shared" si="10"/>
        <v>CIHPbeLogo</v>
      </c>
    </row>
    <row r="671">
      <c r="AV671" s="0" t="s">
        <v>471</v>
      </c>
      <c r="AW671" s="0" t="s">
        <v>286</v>
      </c>
      <c r="AX671" s="0" t="s">
        <v>780</v>
      </c>
      <c r="AY671" s="0" t="s">
        <v>2395</v>
      </c>
      <c r="AZ671" s="0" t="s">
        <v>2396</v>
      </c>
      <c r="BA671" s="0" t="s">
        <v>595</v>
      </c>
      <c r="BB671" s="0" t="str">
        <f t="shared" si="10"/>
        <v>CIHPbeLogo</v>
      </c>
    </row>
    <row r="672">
      <c r="AV672" s="0" t="s">
        <v>471</v>
      </c>
      <c r="AW672" s="0" t="s">
        <v>286</v>
      </c>
      <c r="AX672" s="0" t="s">
        <v>780</v>
      </c>
      <c r="AY672" s="0" t="s">
        <v>2397</v>
      </c>
      <c r="AZ672" s="0" t="s">
        <v>2398</v>
      </c>
      <c r="BA672" s="0" t="s">
        <v>595</v>
      </c>
      <c r="BB672" s="0" t="str">
        <f t="shared" si="10"/>
        <v>CIHPbeLogo</v>
      </c>
    </row>
    <row r="673">
      <c r="AV673" s="0" t="s">
        <v>471</v>
      </c>
      <c r="AW673" s="0" t="s">
        <v>286</v>
      </c>
      <c r="AX673" s="0" t="s">
        <v>780</v>
      </c>
      <c r="AY673" s="0" t="s">
        <v>2399</v>
      </c>
      <c r="AZ673" s="0" t="s">
        <v>2400</v>
      </c>
      <c r="BA673" s="0" t="s">
        <v>595</v>
      </c>
      <c r="BB673" s="0" t="str">
        <f t="shared" si="10"/>
        <v>CIHPbeLogo</v>
      </c>
    </row>
    <row r="674">
      <c r="AV674" s="0" t="s">
        <v>471</v>
      </c>
      <c r="AW674" s="0" t="s">
        <v>286</v>
      </c>
      <c r="AX674" s="0" t="s">
        <v>780</v>
      </c>
      <c r="AY674" s="0" t="s">
        <v>2401</v>
      </c>
      <c r="AZ674" s="0" t="s">
        <v>2402</v>
      </c>
      <c r="BA674" s="0" t="s">
        <v>595</v>
      </c>
      <c r="BB674" s="0" t="str">
        <f t="shared" si="10"/>
        <v>CIHPbeLogo</v>
      </c>
    </row>
    <row r="675">
      <c r="AV675" s="0" t="s">
        <v>471</v>
      </c>
      <c r="AW675" s="0" t="s">
        <v>286</v>
      </c>
      <c r="AX675" s="0" t="s">
        <v>780</v>
      </c>
      <c r="AY675" s="0" t="s">
        <v>2403</v>
      </c>
      <c r="AZ675" s="0" t="s">
        <v>2404</v>
      </c>
      <c r="BA675" s="0" t="s">
        <v>595</v>
      </c>
      <c r="BB675" s="0" t="str">
        <f t="shared" si="10"/>
        <v>CIHPbeLogo</v>
      </c>
    </row>
    <row r="676">
      <c r="AV676" s="0" t="s">
        <v>471</v>
      </c>
      <c r="AW676" s="0" t="s">
        <v>286</v>
      </c>
      <c r="AX676" s="0" t="s">
        <v>810</v>
      </c>
      <c r="AY676" s="0" t="s">
        <v>2405</v>
      </c>
      <c r="AZ676" s="0" t="s">
        <v>2406</v>
      </c>
      <c r="BA676" s="0" t="s">
        <v>595</v>
      </c>
      <c r="BB676" s="0" t="str">
        <f t="shared" si="10"/>
        <v>CIHPbeMakurdi</v>
      </c>
    </row>
    <row r="677">
      <c r="AV677" s="0" t="s">
        <v>471</v>
      </c>
      <c r="AW677" s="0" t="s">
        <v>286</v>
      </c>
      <c r="AX677" s="0" t="s">
        <v>810</v>
      </c>
      <c r="AY677" s="0" t="s">
        <v>2407</v>
      </c>
      <c r="AZ677" s="0" t="s">
        <v>2408</v>
      </c>
      <c r="BA677" s="0" t="s">
        <v>595</v>
      </c>
      <c r="BB677" s="0" t="str">
        <f t="shared" si="10"/>
        <v>CIHPbeMakurdi</v>
      </c>
    </row>
    <row r="678">
      <c r="AV678" s="0" t="s">
        <v>471</v>
      </c>
      <c r="AW678" s="0" t="s">
        <v>286</v>
      </c>
      <c r="AX678" s="0" t="s">
        <v>810</v>
      </c>
      <c r="AY678" s="0" t="s">
        <v>2409</v>
      </c>
      <c r="AZ678" s="0" t="s">
        <v>2410</v>
      </c>
      <c r="BA678" s="0" t="s">
        <v>595</v>
      </c>
      <c r="BB678" s="0" t="str">
        <f t="shared" si="10"/>
        <v>CIHPbeMakurdi</v>
      </c>
    </row>
    <row r="679">
      <c r="AV679" s="0" t="s">
        <v>471</v>
      </c>
      <c r="AW679" s="0" t="s">
        <v>286</v>
      </c>
      <c r="AX679" s="0" t="s">
        <v>810</v>
      </c>
      <c r="AY679" s="0" t="s">
        <v>2411</v>
      </c>
      <c r="AZ679" s="0" t="s">
        <v>2412</v>
      </c>
      <c r="BA679" s="0" t="s">
        <v>595</v>
      </c>
      <c r="BB679" s="0" t="str">
        <f t="shared" si="10"/>
        <v>CIHPbeMakurdi</v>
      </c>
    </row>
    <row r="680">
      <c r="AV680" s="0" t="s">
        <v>471</v>
      </c>
      <c r="AW680" s="0" t="s">
        <v>286</v>
      </c>
      <c r="AX680" s="0" t="s">
        <v>810</v>
      </c>
      <c r="AY680" s="0" t="s">
        <v>2413</v>
      </c>
      <c r="AZ680" s="0" t="s">
        <v>2414</v>
      </c>
      <c r="BA680" s="0" t="s">
        <v>595</v>
      </c>
      <c r="BB680" s="0" t="str">
        <f t="shared" si="10"/>
        <v>CIHPbeMakurdi</v>
      </c>
    </row>
    <row r="681">
      <c r="AV681" s="0" t="s">
        <v>471</v>
      </c>
      <c r="AW681" s="0" t="s">
        <v>286</v>
      </c>
      <c r="AX681" s="0" t="s">
        <v>810</v>
      </c>
      <c r="AY681" s="0" t="s">
        <v>2415</v>
      </c>
      <c r="AZ681" s="0" t="s">
        <v>2416</v>
      </c>
      <c r="BA681" s="0" t="s">
        <v>595</v>
      </c>
      <c r="BB681" s="0" t="str">
        <f t="shared" si="10"/>
        <v>CIHPbeMakurdi</v>
      </c>
    </row>
    <row r="682">
      <c r="AV682" s="0" t="s">
        <v>471</v>
      </c>
      <c r="AW682" s="0" t="s">
        <v>286</v>
      </c>
      <c r="AX682" s="0" t="s">
        <v>1019</v>
      </c>
      <c r="AY682" s="0" t="s">
        <v>2417</v>
      </c>
      <c r="AZ682" s="0" t="s">
        <v>2418</v>
      </c>
      <c r="BA682" s="0" t="s">
        <v>595</v>
      </c>
      <c r="BB682" s="0" t="str">
        <f t="shared" si="10"/>
        <v>CIHPbeObi</v>
      </c>
    </row>
    <row r="683">
      <c r="AV683" s="0" t="s">
        <v>471</v>
      </c>
      <c r="AW683" s="0" t="s">
        <v>286</v>
      </c>
      <c r="AX683" s="0" t="s">
        <v>1019</v>
      </c>
      <c r="AY683" s="0" t="s">
        <v>2419</v>
      </c>
      <c r="AZ683" s="0" t="s">
        <v>2420</v>
      </c>
      <c r="BA683" s="0" t="s">
        <v>595</v>
      </c>
      <c r="BB683" s="0" t="str">
        <f t="shared" si="10"/>
        <v>CIHPbeObi</v>
      </c>
    </row>
    <row r="684">
      <c r="AV684" s="0" t="s">
        <v>471</v>
      </c>
      <c r="AW684" s="0" t="s">
        <v>286</v>
      </c>
      <c r="AX684" s="0" t="s">
        <v>1019</v>
      </c>
      <c r="AY684" s="0" t="s">
        <v>2421</v>
      </c>
      <c r="AZ684" s="0" t="s">
        <v>2422</v>
      </c>
      <c r="BA684" s="0" t="s">
        <v>595</v>
      </c>
      <c r="BB684" s="0" t="str">
        <f t="shared" si="10"/>
        <v>CIHPbeObi</v>
      </c>
    </row>
    <row r="685">
      <c r="AV685" s="0" t="s">
        <v>471</v>
      </c>
      <c r="AW685" s="0" t="s">
        <v>286</v>
      </c>
      <c r="AX685" s="0" t="s">
        <v>1019</v>
      </c>
      <c r="AY685" s="0" t="s">
        <v>2423</v>
      </c>
      <c r="AZ685" s="0" t="s">
        <v>2424</v>
      </c>
      <c r="BA685" s="0" t="s">
        <v>595</v>
      </c>
      <c r="BB685" s="0" t="str">
        <f t="shared" si="10"/>
        <v>CIHPbeObi</v>
      </c>
    </row>
    <row r="686">
      <c r="AV686" s="0" t="s">
        <v>471</v>
      </c>
      <c r="AW686" s="0" t="s">
        <v>286</v>
      </c>
      <c r="AX686" s="0" t="s">
        <v>1019</v>
      </c>
      <c r="AY686" s="0" t="s">
        <v>2425</v>
      </c>
      <c r="AZ686" s="0" t="s">
        <v>2426</v>
      </c>
      <c r="BA686" s="0" t="s">
        <v>595</v>
      </c>
      <c r="BB686" s="0" t="str">
        <f t="shared" si="10"/>
        <v>CIHPbeObi</v>
      </c>
    </row>
    <row r="687">
      <c r="AV687" s="0" t="s">
        <v>471</v>
      </c>
      <c r="AW687" s="0" t="s">
        <v>286</v>
      </c>
      <c r="AX687" s="0" t="s">
        <v>1034</v>
      </c>
      <c r="AY687" s="0" t="s">
        <v>2427</v>
      </c>
      <c r="AZ687" s="0" t="s">
        <v>2428</v>
      </c>
      <c r="BA687" s="0" t="s">
        <v>595</v>
      </c>
      <c r="BB687" s="0" t="str">
        <f t="shared" si="10"/>
        <v>CIHPbeOgbadibo</v>
      </c>
    </row>
    <row r="688">
      <c r="AV688" s="0" t="s">
        <v>471</v>
      </c>
      <c r="AW688" s="0" t="s">
        <v>286</v>
      </c>
      <c r="AX688" s="0" t="s">
        <v>1047</v>
      </c>
      <c r="AY688" s="0" t="s">
        <v>2429</v>
      </c>
      <c r="AZ688" s="0" t="s">
        <v>2430</v>
      </c>
      <c r="BA688" s="0" t="s">
        <v>595</v>
      </c>
      <c r="BB688" s="0" t="str">
        <f t="shared" si="10"/>
        <v>CIHPbeOhimini</v>
      </c>
    </row>
    <row r="689">
      <c r="AV689" s="0" t="s">
        <v>471</v>
      </c>
      <c r="AW689" s="0" t="s">
        <v>286</v>
      </c>
      <c r="AX689" s="0" t="s">
        <v>1047</v>
      </c>
      <c r="AY689" s="0" t="s">
        <v>2431</v>
      </c>
      <c r="AZ689" s="0" t="s">
        <v>2432</v>
      </c>
      <c r="BA689" s="0" t="s">
        <v>595</v>
      </c>
      <c r="BB689" s="0" t="str">
        <f t="shared" si="10"/>
        <v>CIHPbeOhimini</v>
      </c>
    </row>
    <row r="690">
      <c r="AV690" s="0" t="s">
        <v>471</v>
      </c>
      <c r="AW690" s="0" t="s">
        <v>286</v>
      </c>
      <c r="AX690" s="0" t="s">
        <v>839</v>
      </c>
      <c r="AY690" s="0" t="s">
        <v>2433</v>
      </c>
      <c r="AZ690" s="0" t="s">
        <v>2434</v>
      </c>
      <c r="BA690" s="0" t="s">
        <v>595</v>
      </c>
      <c r="BB690" s="0" t="str">
        <f t="shared" si="10"/>
        <v>CIHPbeOkpokwu</v>
      </c>
    </row>
    <row r="691">
      <c r="AV691" s="0" t="s">
        <v>471</v>
      </c>
      <c r="AW691" s="0" t="s">
        <v>286</v>
      </c>
      <c r="AX691" s="0" t="s">
        <v>839</v>
      </c>
      <c r="AY691" s="0" t="s">
        <v>2435</v>
      </c>
      <c r="AZ691" s="0" t="s">
        <v>2436</v>
      </c>
      <c r="BA691" s="0" t="s">
        <v>595</v>
      </c>
      <c r="BB691" s="0" t="str">
        <f t="shared" si="10"/>
        <v>CIHPbeOkpokwu</v>
      </c>
    </row>
    <row r="692">
      <c r="AV692" s="0" t="s">
        <v>471</v>
      </c>
      <c r="AW692" s="0" t="s">
        <v>286</v>
      </c>
      <c r="AX692" s="0" t="s">
        <v>867</v>
      </c>
      <c r="AY692" s="0" t="s">
        <v>2437</v>
      </c>
      <c r="AZ692" s="0" t="s">
        <v>2438</v>
      </c>
      <c r="BA692" s="0" t="s">
        <v>595</v>
      </c>
      <c r="BB692" s="0" t="str">
        <f t="shared" si="10"/>
        <v>CIHPbeOtukpo</v>
      </c>
    </row>
    <row r="693">
      <c r="AV693" s="0" t="s">
        <v>471</v>
      </c>
      <c r="AW693" s="0" t="s">
        <v>286</v>
      </c>
      <c r="AX693" s="0" t="s">
        <v>867</v>
      </c>
      <c r="AY693" s="0" t="s">
        <v>2439</v>
      </c>
      <c r="AZ693" s="0" t="s">
        <v>2440</v>
      </c>
      <c r="BA693" s="0" t="s">
        <v>595</v>
      </c>
      <c r="BB693" s="0" t="str">
        <f t="shared" si="10"/>
        <v>CIHPbeOtukpo</v>
      </c>
    </row>
    <row r="694">
      <c r="AV694" s="0" t="s">
        <v>471</v>
      </c>
      <c r="AW694" s="0" t="s">
        <v>286</v>
      </c>
      <c r="AX694" s="0" t="s">
        <v>867</v>
      </c>
      <c r="AY694" s="0" t="s">
        <v>2441</v>
      </c>
      <c r="AZ694" s="0" t="s">
        <v>2442</v>
      </c>
      <c r="BA694" s="0" t="s">
        <v>595</v>
      </c>
      <c r="BB694" s="0" t="str">
        <f t="shared" si="10"/>
        <v>CIHPbeOtukpo</v>
      </c>
    </row>
    <row r="695">
      <c r="AV695" s="0" t="s">
        <v>471</v>
      </c>
      <c r="AW695" s="0" t="s">
        <v>286</v>
      </c>
      <c r="AX695" s="0" t="s">
        <v>867</v>
      </c>
      <c r="AY695" s="0" t="s">
        <v>2443</v>
      </c>
      <c r="AZ695" s="0" t="s">
        <v>2444</v>
      </c>
      <c r="BA695" s="0" t="s">
        <v>595</v>
      </c>
      <c r="BB695" s="0" t="str">
        <f t="shared" si="10"/>
        <v>CIHPbeOtukpo</v>
      </c>
    </row>
    <row r="696">
      <c r="AV696" s="0" t="s">
        <v>471</v>
      </c>
      <c r="AW696" s="0" t="s">
        <v>286</v>
      </c>
      <c r="AX696" s="0" t="s">
        <v>867</v>
      </c>
      <c r="AY696" s="0" t="s">
        <v>2445</v>
      </c>
      <c r="AZ696" s="0" t="s">
        <v>2446</v>
      </c>
      <c r="BA696" s="0" t="s">
        <v>595</v>
      </c>
      <c r="BB696" s="0" t="str">
        <f t="shared" si="10"/>
        <v>CIHPbeOtukpo</v>
      </c>
    </row>
    <row r="697">
      <c r="AV697" s="0" t="s">
        <v>471</v>
      </c>
      <c r="AW697" s="0" t="s">
        <v>286</v>
      </c>
      <c r="AX697" s="0" t="s">
        <v>867</v>
      </c>
      <c r="AY697" s="0" t="s">
        <v>2447</v>
      </c>
      <c r="AZ697" s="0" t="s">
        <v>2448</v>
      </c>
      <c r="BA697" s="0" t="s">
        <v>595</v>
      </c>
      <c r="BB697" s="0" t="str">
        <f t="shared" si="10"/>
        <v>CIHPbeOtukpo</v>
      </c>
    </row>
    <row r="698">
      <c r="AV698" s="0" t="s">
        <v>471</v>
      </c>
      <c r="AW698" s="0" t="s">
        <v>286</v>
      </c>
      <c r="AX698" s="0" t="s">
        <v>867</v>
      </c>
      <c r="AY698" s="0" t="s">
        <v>2449</v>
      </c>
      <c r="AZ698" s="0" t="s">
        <v>2450</v>
      </c>
      <c r="BA698" s="0" t="s">
        <v>595</v>
      </c>
      <c r="BB698" s="0" t="str">
        <f t="shared" si="10"/>
        <v>CIHPbeOtukpo</v>
      </c>
    </row>
    <row r="699">
      <c r="AV699" s="0" t="s">
        <v>471</v>
      </c>
      <c r="AW699" s="0" t="s">
        <v>286</v>
      </c>
      <c r="AX699" s="0" t="s">
        <v>867</v>
      </c>
      <c r="AY699" s="0" t="s">
        <v>2451</v>
      </c>
      <c r="AZ699" s="0" t="s">
        <v>2452</v>
      </c>
      <c r="BA699" s="0" t="s">
        <v>595</v>
      </c>
      <c r="BB699" s="0" t="str">
        <f t="shared" si="10"/>
        <v>CIHPbeOtukpo</v>
      </c>
    </row>
    <row r="700">
      <c r="AV700" s="0" t="s">
        <v>471</v>
      </c>
      <c r="AW700" s="0" t="s">
        <v>286</v>
      </c>
      <c r="AX700" s="0" t="s">
        <v>893</v>
      </c>
      <c r="AY700" s="0" t="s">
        <v>2453</v>
      </c>
      <c r="AZ700" s="0" t="s">
        <v>2454</v>
      </c>
      <c r="BA700" s="0" t="s">
        <v>595</v>
      </c>
      <c r="BB700" s="0" t="str">
        <f t="shared" si="10"/>
        <v>CIHPbeTarka</v>
      </c>
    </row>
    <row r="701">
      <c r="AV701" s="0" t="s">
        <v>471</v>
      </c>
      <c r="AW701" s="0" t="s">
        <v>286</v>
      </c>
      <c r="AX701" s="0" t="s">
        <v>893</v>
      </c>
      <c r="AY701" s="0" t="s">
        <v>2455</v>
      </c>
      <c r="AZ701" s="0" t="s">
        <v>2456</v>
      </c>
      <c r="BA701" s="0" t="s">
        <v>595</v>
      </c>
      <c r="BB701" s="0" t="str">
        <f t="shared" si="10"/>
        <v>CIHPbeTarka</v>
      </c>
    </row>
    <row r="702">
      <c r="AV702" s="0" t="s">
        <v>471</v>
      </c>
      <c r="AW702" s="0" t="s">
        <v>286</v>
      </c>
      <c r="AX702" s="0" t="s">
        <v>893</v>
      </c>
      <c r="AY702" s="0" t="s">
        <v>2457</v>
      </c>
      <c r="AZ702" s="0" t="s">
        <v>2458</v>
      </c>
      <c r="BA702" s="0" t="s">
        <v>595</v>
      </c>
      <c r="BB702" s="0" t="str">
        <f t="shared" si="10"/>
        <v>CIHPbeTarka</v>
      </c>
    </row>
    <row r="703">
      <c r="AV703" s="0" t="s">
        <v>471</v>
      </c>
      <c r="AW703" s="0" t="s">
        <v>286</v>
      </c>
      <c r="AX703" s="0" t="s">
        <v>893</v>
      </c>
      <c r="AY703" s="0" t="s">
        <v>2459</v>
      </c>
      <c r="AZ703" s="0" t="s">
        <v>2460</v>
      </c>
      <c r="BA703" s="0" t="s">
        <v>595</v>
      </c>
      <c r="BB703" s="0" t="str">
        <f t="shared" si="10"/>
        <v>CIHPbeTarka</v>
      </c>
    </row>
    <row r="704">
      <c r="AV704" s="0" t="s">
        <v>471</v>
      </c>
      <c r="AW704" s="0" t="s">
        <v>286</v>
      </c>
      <c r="AX704" s="0" t="s">
        <v>893</v>
      </c>
      <c r="AY704" s="0" t="s">
        <v>2461</v>
      </c>
      <c r="AZ704" s="0" t="s">
        <v>2462</v>
      </c>
      <c r="BA704" s="0" t="s">
        <v>595</v>
      </c>
      <c r="BB704" s="0" t="str">
        <f t="shared" si="10"/>
        <v>CIHPbeTarka</v>
      </c>
    </row>
    <row r="705">
      <c r="AV705" s="0" t="s">
        <v>471</v>
      </c>
      <c r="AW705" s="0" t="s">
        <v>286</v>
      </c>
      <c r="AX705" s="0" t="s">
        <v>893</v>
      </c>
      <c r="AY705" s="0" t="s">
        <v>2463</v>
      </c>
      <c r="AZ705" s="0" t="s">
        <v>2464</v>
      </c>
      <c r="BA705" s="0" t="s">
        <v>595</v>
      </c>
      <c r="BB705" s="0" t="str">
        <f t="shared" si="10"/>
        <v>CIHPbeTarka</v>
      </c>
    </row>
    <row r="706">
      <c r="AV706" s="0" t="s">
        <v>471</v>
      </c>
      <c r="AW706" s="0" t="s">
        <v>286</v>
      </c>
      <c r="AX706" s="0" t="s">
        <v>893</v>
      </c>
      <c r="AY706" s="0" t="s">
        <v>2465</v>
      </c>
      <c r="AZ706" s="0" t="s">
        <v>2466</v>
      </c>
      <c r="BA706" s="0" t="s">
        <v>595</v>
      </c>
      <c r="BB706" s="0" t="str">
        <f t="shared" si="10"/>
        <v>CIHPbeTarka</v>
      </c>
    </row>
    <row r="707">
      <c r="AV707" s="0" t="s">
        <v>471</v>
      </c>
      <c r="AW707" s="0" t="s">
        <v>286</v>
      </c>
      <c r="AX707" s="0" t="s">
        <v>893</v>
      </c>
      <c r="AY707" s="0" t="s">
        <v>2467</v>
      </c>
      <c r="AZ707" s="0" t="s">
        <v>2468</v>
      </c>
      <c r="BA707" s="0" t="s">
        <v>595</v>
      </c>
      <c r="BB707" s="0" t="str">
        <f ref="BB707:BB770" t="shared" si="11">SUBSTITUTE(SUBSTITUTE(BA707&amp;AX707," ",""),"-","")</f>
        <v>CIHPbeTarka</v>
      </c>
    </row>
    <row r="708">
      <c r="AV708" s="0" t="s">
        <v>471</v>
      </c>
      <c r="AW708" s="0" t="s">
        <v>286</v>
      </c>
      <c r="AX708" s="0" t="s">
        <v>893</v>
      </c>
      <c r="AY708" s="0" t="s">
        <v>2469</v>
      </c>
      <c r="AZ708" s="0" t="s">
        <v>2470</v>
      </c>
      <c r="BA708" s="0" t="s">
        <v>595</v>
      </c>
      <c r="BB708" s="0" t="str">
        <f t="shared" si="11"/>
        <v>CIHPbeTarka</v>
      </c>
    </row>
    <row r="709">
      <c r="AV709" s="0" t="s">
        <v>471</v>
      </c>
      <c r="AW709" s="0" t="s">
        <v>286</v>
      </c>
      <c r="AX709" s="0" t="s">
        <v>893</v>
      </c>
      <c r="AY709" s="0" t="s">
        <v>2471</v>
      </c>
      <c r="AZ709" s="0" t="s">
        <v>2472</v>
      </c>
      <c r="BA709" s="0" t="s">
        <v>595</v>
      </c>
      <c r="BB709" s="0" t="str">
        <f t="shared" si="11"/>
        <v>CIHPbeTarka</v>
      </c>
    </row>
    <row r="710">
      <c r="AV710" s="0" t="s">
        <v>471</v>
      </c>
      <c r="AW710" s="0" t="s">
        <v>286</v>
      </c>
      <c r="AX710" s="0" t="s">
        <v>893</v>
      </c>
      <c r="AY710" s="0" t="s">
        <v>2473</v>
      </c>
      <c r="AZ710" s="0" t="s">
        <v>2474</v>
      </c>
      <c r="BA710" s="0" t="s">
        <v>595</v>
      </c>
      <c r="BB710" s="0" t="str">
        <f t="shared" si="11"/>
        <v>CIHPbeTarka</v>
      </c>
    </row>
    <row r="711">
      <c r="AV711" s="0" t="s">
        <v>471</v>
      </c>
      <c r="AW711" s="0" t="s">
        <v>286</v>
      </c>
      <c r="AX711" s="0" t="s">
        <v>893</v>
      </c>
      <c r="AY711" s="0" t="s">
        <v>2475</v>
      </c>
      <c r="AZ711" s="0" t="s">
        <v>2476</v>
      </c>
      <c r="BA711" s="0" t="s">
        <v>595</v>
      </c>
      <c r="BB711" s="0" t="str">
        <f t="shared" si="11"/>
        <v>CIHPbeTarka</v>
      </c>
    </row>
    <row r="712">
      <c r="AV712" s="0" t="s">
        <v>471</v>
      </c>
      <c r="AW712" s="0" t="s">
        <v>286</v>
      </c>
      <c r="AX712" s="0" t="s">
        <v>893</v>
      </c>
      <c r="AY712" s="0" t="s">
        <v>2477</v>
      </c>
      <c r="AZ712" s="0" t="s">
        <v>2478</v>
      </c>
      <c r="BA712" s="0" t="s">
        <v>595</v>
      </c>
      <c r="BB712" s="0" t="str">
        <f t="shared" si="11"/>
        <v>CIHPbeTarka</v>
      </c>
    </row>
    <row r="713">
      <c r="AV713" s="0" t="s">
        <v>471</v>
      </c>
      <c r="AW713" s="0" t="s">
        <v>286</v>
      </c>
      <c r="AX713" s="0" t="s">
        <v>893</v>
      </c>
      <c r="AY713" s="0" t="s">
        <v>2479</v>
      </c>
      <c r="AZ713" s="0" t="s">
        <v>2480</v>
      </c>
      <c r="BA713" s="0" t="s">
        <v>595</v>
      </c>
      <c r="BB713" s="0" t="str">
        <f t="shared" si="11"/>
        <v>CIHPbeTarka</v>
      </c>
    </row>
    <row r="714">
      <c r="AV714" s="0" t="s">
        <v>471</v>
      </c>
      <c r="AW714" s="0" t="s">
        <v>286</v>
      </c>
      <c r="AX714" s="0" t="s">
        <v>893</v>
      </c>
      <c r="AY714" s="0" t="s">
        <v>2481</v>
      </c>
      <c r="AZ714" s="0" t="s">
        <v>2482</v>
      </c>
      <c r="BA714" s="0" t="s">
        <v>595</v>
      </c>
      <c r="BB714" s="0" t="str">
        <f t="shared" si="11"/>
        <v>CIHPbeTarka</v>
      </c>
    </row>
    <row r="715">
      <c r="AV715" s="0" t="s">
        <v>471</v>
      </c>
      <c r="AW715" s="0" t="s">
        <v>286</v>
      </c>
      <c r="AX715" s="0" t="s">
        <v>893</v>
      </c>
      <c r="AY715" s="0" t="s">
        <v>2483</v>
      </c>
      <c r="AZ715" s="0" t="s">
        <v>2484</v>
      </c>
      <c r="BA715" s="0" t="s">
        <v>595</v>
      </c>
      <c r="BB715" s="0" t="str">
        <f t="shared" si="11"/>
        <v>CIHPbeTarka</v>
      </c>
    </row>
    <row r="716">
      <c r="AV716" s="0" t="s">
        <v>471</v>
      </c>
      <c r="AW716" s="0" t="s">
        <v>286</v>
      </c>
      <c r="AX716" s="0" t="s">
        <v>893</v>
      </c>
      <c r="AY716" s="0" t="s">
        <v>2485</v>
      </c>
      <c r="AZ716" s="0" t="s">
        <v>2486</v>
      </c>
      <c r="BA716" s="0" t="s">
        <v>595</v>
      </c>
      <c r="BB716" s="0" t="str">
        <f t="shared" si="11"/>
        <v>CIHPbeTarka</v>
      </c>
    </row>
    <row r="717">
      <c r="AV717" s="0" t="s">
        <v>471</v>
      </c>
      <c r="AW717" s="0" t="s">
        <v>286</v>
      </c>
      <c r="AX717" s="0" t="s">
        <v>893</v>
      </c>
      <c r="AY717" s="0" t="s">
        <v>2487</v>
      </c>
      <c r="AZ717" s="0" t="s">
        <v>2488</v>
      </c>
      <c r="BA717" s="0" t="s">
        <v>595</v>
      </c>
      <c r="BB717" s="0" t="str">
        <f t="shared" si="11"/>
        <v>CIHPbeTarka</v>
      </c>
    </row>
    <row r="718">
      <c r="AV718" s="0" t="s">
        <v>471</v>
      </c>
      <c r="AW718" s="0" t="s">
        <v>286</v>
      </c>
      <c r="AX718" s="0" t="s">
        <v>893</v>
      </c>
      <c r="AY718" s="0" t="s">
        <v>2489</v>
      </c>
      <c r="AZ718" s="0" t="s">
        <v>2490</v>
      </c>
      <c r="BA718" s="0" t="s">
        <v>595</v>
      </c>
      <c r="BB718" s="0" t="str">
        <f t="shared" si="11"/>
        <v>CIHPbeTarka</v>
      </c>
    </row>
    <row r="719">
      <c r="AV719" s="0" t="s">
        <v>471</v>
      </c>
      <c r="AW719" s="0" t="s">
        <v>286</v>
      </c>
      <c r="AX719" s="0" t="s">
        <v>893</v>
      </c>
      <c r="AY719" s="0" t="s">
        <v>2491</v>
      </c>
      <c r="AZ719" s="0" t="s">
        <v>2492</v>
      </c>
      <c r="BA719" s="0" t="s">
        <v>595</v>
      </c>
      <c r="BB719" s="0" t="str">
        <f t="shared" si="11"/>
        <v>CIHPbeTarka</v>
      </c>
    </row>
    <row r="720">
      <c r="AV720" s="0" t="s">
        <v>471</v>
      </c>
      <c r="AW720" s="0" t="s">
        <v>286</v>
      </c>
      <c r="AX720" s="0" t="s">
        <v>918</v>
      </c>
      <c r="AY720" s="0" t="s">
        <v>2493</v>
      </c>
      <c r="AZ720" s="0" t="s">
        <v>2494</v>
      </c>
      <c r="BA720" s="0" t="s">
        <v>595</v>
      </c>
      <c r="BB720" s="0" t="str">
        <f t="shared" si="11"/>
        <v>CIHPbeUkum</v>
      </c>
    </row>
    <row r="721">
      <c r="AV721" s="0" t="s">
        <v>471</v>
      </c>
      <c r="AW721" s="0" t="s">
        <v>286</v>
      </c>
      <c r="AX721" s="0" t="s">
        <v>918</v>
      </c>
      <c r="AY721" s="0" t="s">
        <v>2495</v>
      </c>
      <c r="AZ721" s="0" t="s">
        <v>2496</v>
      </c>
      <c r="BA721" s="0" t="s">
        <v>595</v>
      </c>
      <c r="BB721" s="0" t="str">
        <f t="shared" si="11"/>
        <v>CIHPbeUkum</v>
      </c>
    </row>
    <row r="722">
      <c r="AV722" s="0" t="s">
        <v>471</v>
      </c>
      <c r="AW722" s="0" t="s">
        <v>286</v>
      </c>
      <c r="AX722" s="0" t="s">
        <v>918</v>
      </c>
      <c r="AY722" s="0" t="s">
        <v>2497</v>
      </c>
      <c r="AZ722" s="0" t="s">
        <v>2498</v>
      </c>
      <c r="BA722" s="0" t="s">
        <v>595</v>
      </c>
      <c r="BB722" s="0" t="str">
        <f t="shared" si="11"/>
        <v>CIHPbeUkum</v>
      </c>
    </row>
    <row r="723">
      <c r="AV723" s="0" t="s">
        <v>471</v>
      </c>
      <c r="AW723" s="0" t="s">
        <v>286</v>
      </c>
      <c r="AX723" s="0" t="s">
        <v>918</v>
      </c>
      <c r="AY723" s="0" t="s">
        <v>2499</v>
      </c>
      <c r="AZ723" s="0" t="s">
        <v>2500</v>
      </c>
      <c r="BA723" s="0" t="s">
        <v>595</v>
      </c>
      <c r="BB723" s="0" t="str">
        <f t="shared" si="11"/>
        <v>CIHPbeUkum</v>
      </c>
    </row>
    <row r="724">
      <c r="AV724" s="0" t="s">
        <v>471</v>
      </c>
      <c r="AW724" s="0" t="s">
        <v>286</v>
      </c>
      <c r="AX724" s="0" t="s">
        <v>918</v>
      </c>
      <c r="AY724" s="0" t="s">
        <v>2501</v>
      </c>
      <c r="AZ724" s="0" t="s">
        <v>2502</v>
      </c>
      <c r="BA724" s="0" t="s">
        <v>595</v>
      </c>
      <c r="BB724" s="0" t="str">
        <f t="shared" si="11"/>
        <v>CIHPbeUkum</v>
      </c>
    </row>
    <row r="725">
      <c r="AV725" s="0" t="s">
        <v>471</v>
      </c>
      <c r="AW725" s="0" t="s">
        <v>286</v>
      </c>
      <c r="AX725" s="0" t="s">
        <v>918</v>
      </c>
      <c r="AY725" s="0" t="s">
        <v>2503</v>
      </c>
      <c r="AZ725" s="0" t="s">
        <v>2504</v>
      </c>
      <c r="BA725" s="0" t="s">
        <v>595</v>
      </c>
      <c r="BB725" s="0" t="str">
        <f t="shared" si="11"/>
        <v>CIHPbeUkum</v>
      </c>
    </row>
    <row r="726">
      <c r="AV726" s="0" t="s">
        <v>471</v>
      </c>
      <c r="AW726" s="0" t="s">
        <v>286</v>
      </c>
      <c r="AX726" s="0" t="s">
        <v>918</v>
      </c>
      <c r="AY726" s="0" t="s">
        <v>2505</v>
      </c>
      <c r="AZ726" s="0" t="s">
        <v>2506</v>
      </c>
      <c r="BA726" s="0" t="s">
        <v>595</v>
      </c>
      <c r="BB726" s="0" t="str">
        <f t="shared" si="11"/>
        <v>CIHPbeUkum</v>
      </c>
    </row>
    <row r="727">
      <c r="AV727" s="0" t="s">
        <v>471</v>
      </c>
      <c r="AW727" s="0" t="s">
        <v>286</v>
      </c>
      <c r="AX727" s="0" t="s">
        <v>918</v>
      </c>
      <c r="AY727" s="0" t="s">
        <v>2507</v>
      </c>
      <c r="AZ727" s="0" t="s">
        <v>2508</v>
      </c>
      <c r="BA727" s="0" t="s">
        <v>595</v>
      </c>
      <c r="BB727" s="0" t="str">
        <f t="shared" si="11"/>
        <v>CIHPbeUkum</v>
      </c>
    </row>
    <row r="728">
      <c r="AV728" s="0" t="s">
        <v>471</v>
      </c>
      <c r="AW728" s="0" t="s">
        <v>286</v>
      </c>
      <c r="AX728" s="0" t="s">
        <v>918</v>
      </c>
      <c r="AY728" s="0" t="s">
        <v>2509</v>
      </c>
      <c r="AZ728" s="0" t="s">
        <v>2510</v>
      </c>
      <c r="BA728" s="0" t="s">
        <v>595</v>
      </c>
      <c r="BB728" s="0" t="str">
        <f t="shared" si="11"/>
        <v>CIHPbeUkum</v>
      </c>
    </row>
    <row r="729">
      <c r="AV729" s="0" t="s">
        <v>471</v>
      </c>
      <c r="AW729" s="0" t="s">
        <v>286</v>
      </c>
      <c r="AX729" s="0" t="s">
        <v>918</v>
      </c>
      <c r="AY729" s="0" t="s">
        <v>2511</v>
      </c>
      <c r="AZ729" s="0" t="s">
        <v>2512</v>
      </c>
      <c r="BA729" s="0" t="s">
        <v>595</v>
      </c>
      <c r="BB729" s="0" t="str">
        <f t="shared" si="11"/>
        <v>CIHPbeUkum</v>
      </c>
    </row>
    <row r="730">
      <c r="AV730" s="0" t="s">
        <v>471</v>
      </c>
      <c r="AW730" s="0" t="s">
        <v>286</v>
      </c>
      <c r="AX730" s="0" t="s">
        <v>918</v>
      </c>
      <c r="AY730" s="0" t="s">
        <v>2513</v>
      </c>
      <c r="AZ730" s="0" t="s">
        <v>2514</v>
      </c>
      <c r="BA730" s="0" t="s">
        <v>595</v>
      </c>
      <c r="BB730" s="0" t="str">
        <f t="shared" si="11"/>
        <v>CIHPbeUkum</v>
      </c>
    </row>
    <row r="731">
      <c r="AV731" s="0" t="s">
        <v>471</v>
      </c>
      <c r="AW731" s="0" t="s">
        <v>286</v>
      </c>
      <c r="AX731" s="0" t="s">
        <v>918</v>
      </c>
      <c r="AY731" s="0" t="s">
        <v>2515</v>
      </c>
      <c r="AZ731" s="0" t="s">
        <v>2516</v>
      </c>
      <c r="BA731" s="0" t="s">
        <v>595</v>
      </c>
      <c r="BB731" s="0" t="str">
        <f t="shared" si="11"/>
        <v>CIHPbeUkum</v>
      </c>
    </row>
    <row r="732">
      <c r="AV732" s="0" t="s">
        <v>471</v>
      </c>
      <c r="AW732" s="0" t="s">
        <v>286</v>
      </c>
      <c r="AX732" s="0" t="s">
        <v>918</v>
      </c>
      <c r="AY732" s="0" t="s">
        <v>2517</v>
      </c>
      <c r="AZ732" s="0" t="s">
        <v>2518</v>
      </c>
      <c r="BA732" s="0" t="s">
        <v>595</v>
      </c>
      <c r="BB732" s="0" t="str">
        <f t="shared" si="11"/>
        <v>CIHPbeUkum</v>
      </c>
    </row>
    <row r="733">
      <c r="AV733" s="0" t="s">
        <v>471</v>
      </c>
      <c r="AW733" s="0" t="s">
        <v>286</v>
      </c>
      <c r="AX733" s="0" t="s">
        <v>918</v>
      </c>
      <c r="AY733" s="0" t="s">
        <v>2519</v>
      </c>
      <c r="AZ733" s="0" t="s">
        <v>2520</v>
      </c>
      <c r="BA733" s="0" t="s">
        <v>595</v>
      </c>
      <c r="BB733" s="0" t="str">
        <f t="shared" si="11"/>
        <v>CIHPbeUkum</v>
      </c>
    </row>
    <row r="734">
      <c r="AV734" s="0" t="s">
        <v>471</v>
      </c>
      <c r="AW734" s="0" t="s">
        <v>286</v>
      </c>
      <c r="AX734" s="0" t="s">
        <v>918</v>
      </c>
      <c r="AY734" s="0" t="s">
        <v>2521</v>
      </c>
      <c r="AZ734" s="0" t="s">
        <v>2522</v>
      </c>
      <c r="BA734" s="0" t="s">
        <v>595</v>
      </c>
      <c r="BB734" s="0" t="str">
        <f t="shared" si="11"/>
        <v>CIHPbeUkum</v>
      </c>
    </row>
    <row r="735">
      <c r="AV735" s="0" t="s">
        <v>471</v>
      </c>
      <c r="AW735" s="0" t="s">
        <v>286</v>
      </c>
      <c r="AX735" s="0" t="s">
        <v>918</v>
      </c>
      <c r="AY735" s="0" t="s">
        <v>2523</v>
      </c>
      <c r="AZ735" s="0" t="s">
        <v>2524</v>
      </c>
      <c r="BA735" s="0" t="s">
        <v>595</v>
      </c>
      <c r="BB735" s="0" t="str">
        <f t="shared" si="11"/>
        <v>CIHPbeUkum</v>
      </c>
    </row>
    <row r="736">
      <c r="AV736" s="0" t="s">
        <v>471</v>
      </c>
      <c r="AW736" s="0" t="s">
        <v>286</v>
      </c>
      <c r="AX736" s="0" t="s">
        <v>965</v>
      </c>
      <c r="AY736" s="0" t="s">
        <v>2525</v>
      </c>
      <c r="AZ736" s="0" t="s">
        <v>2526</v>
      </c>
      <c r="BA736" s="0" t="s">
        <v>595</v>
      </c>
      <c r="BB736" s="0" t="str">
        <f t="shared" si="11"/>
        <v>CIHPbeVandeikya</v>
      </c>
    </row>
    <row r="737">
      <c r="AV737" s="0" t="s">
        <v>471</v>
      </c>
      <c r="AW737" s="0" t="s">
        <v>286</v>
      </c>
      <c r="AX737" s="0" t="s">
        <v>965</v>
      </c>
      <c r="AY737" s="0" t="s">
        <v>2527</v>
      </c>
      <c r="AZ737" s="0" t="s">
        <v>2528</v>
      </c>
      <c r="BA737" s="0" t="s">
        <v>595</v>
      </c>
      <c r="BB737" s="0" t="str">
        <f t="shared" si="11"/>
        <v>CIHPbeVandeikya</v>
      </c>
    </row>
    <row r="738">
      <c r="AV738" s="0" t="s">
        <v>471</v>
      </c>
      <c r="AW738" s="0" t="s">
        <v>286</v>
      </c>
      <c r="AX738" s="0" t="s">
        <v>965</v>
      </c>
      <c r="AY738" s="0" t="s">
        <v>2529</v>
      </c>
      <c r="AZ738" s="0" t="s">
        <v>2530</v>
      </c>
      <c r="BA738" s="0" t="s">
        <v>595</v>
      </c>
      <c r="BB738" s="0" t="str">
        <f t="shared" si="11"/>
        <v>CIHPbeVandeikya</v>
      </c>
    </row>
    <row r="739">
      <c r="AV739" s="0" t="s">
        <v>471</v>
      </c>
      <c r="AW739" s="0" t="s">
        <v>286</v>
      </c>
      <c r="AX739" s="0" t="s">
        <v>965</v>
      </c>
      <c r="AY739" s="0" t="s">
        <v>2531</v>
      </c>
      <c r="AZ739" s="0" t="s">
        <v>2532</v>
      </c>
      <c r="BA739" s="0" t="s">
        <v>595</v>
      </c>
      <c r="BB739" s="0" t="str">
        <f t="shared" si="11"/>
        <v>CIHPbeVandeikya</v>
      </c>
    </row>
    <row r="740">
      <c r="AV740" s="0" t="s">
        <v>471</v>
      </c>
      <c r="AW740" s="0" t="s">
        <v>286</v>
      </c>
      <c r="AX740" s="0" t="s">
        <v>965</v>
      </c>
      <c r="AY740" s="0" t="s">
        <v>2533</v>
      </c>
      <c r="AZ740" s="0" t="s">
        <v>2534</v>
      </c>
      <c r="BA740" s="0" t="s">
        <v>595</v>
      </c>
      <c r="BB740" s="0" t="str">
        <f t="shared" si="11"/>
        <v>CIHPbeVandeikya</v>
      </c>
    </row>
    <row r="741">
      <c r="AV741" s="0" t="s">
        <v>471</v>
      </c>
      <c r="AW741" s="0" t="s">
        <v>286</v>
      </c>
      <c r="AX741" s="0" t="s">
        <v>965</v>
      </c>
      <c r="AY741" s="0" t="s">
        <v>2535</v>
      </c>
      <c r="AZ741" s="0" t="s">
        <v>2536</v>
      </c>
      <c r="BA741" s="0" t="s">
        <v>595</v>
      </c>
      <c r="BB741" s="0" t="str">
        <f t="shared" si="11"/>
        <v>CIHPbeVandeikya</v>
      </c>
    </row>
    <row r="742">
      <c r="AV742" s="0" t="s">
        <v>471</v>
      </c>
      <c r="AW742" s="0" t="s">
        <v>286</v>
      </c>
      <c r="AX742" s="0" t="s">
        <v>965</v>
      </c>
      <c r="AY742" s="0" t="s">
        <v>2537</v>
      </c>
      <c r="AZ742" s="0" t="s">
        <v>2538</v>
      </c>
      <c r="BA742" s="0" t="s">
        <v>595</v>
      </c>
      <c r="BB742" s="0" t="str">
        <f t="shared" si="11"/>
        <v>CIHPbeVandeikya</v>
      </c>
    </row>
    <row r="743">
      <c r="AV743" s="0" t="s">
        <v>471</v>
      </c>
      <c r="AW743" s="0" t="s">
        <v>286</v>
      </c>
      <c r="AX743" s="0" t="s">
        <v>965</v>
      </c>
      <c r="AY743" s="0" t="s">
        <v>2539</v>
      </c>
      <c r="AZ743" s="0" t="s">
        <v>2540</v>
      </c>
      <c r="BA743" s="0" t="s">
        <v>595</v>
      </c>
      <c r="BB743" s="0" t="str">
        <f t="shared" si="11"/>
        <v>CIHPbeVandeikya</v>
      </c>
    </row>
    <row r="744">
      <c r="AV744" s="0" t="s">
        <v>471</v>
      </c>
      <c r="AW744" s="0" t="s">
        <v>286</v>
      </c>
      <c r="AX744" s="0" t="s">
        <v>965</v>
      </c>
      <c r="AY744" s="0" t="s">
        <v>2541</v>
      </c>
      <c r="AZ744" s="0" t="s">
        <v>2542</v>
      </c>
      <c r="BA744" s="0" t="s">
        <v>595</v>
      </c>
      <c r="BB744" s="0" t="str">
        <f t="shared" si="11"/>
        <v>CIHPbeVandeikya</v>
      </c>
    </row>
    <row r="745">
      <c r="AV745" s="0" t="s">
        <v>471</v>
      </c>
      <c r="AW745" s="0" t="s">
        <v>286</v>
      </c>
      <c r="AX745" s="0" t="s">
        <v>965</v>
      </c>
      <c r="AY745" s="0" t="s">
        <v>2543</v>
      </c>
      <c r="AZ745" s="0" t="s">
        <v>2544</v>
      </c>
      <c r="BA745" s="0" t="s">
        <v>595</v>
      </c>
      <c r="BB745" s="0" t="str">
        <f t="shared" si="11"/>
        <v>CIHPbeVandeikya</v>
      </c>
    </row>
    <row r="746">
      <c r="AV746" s="0" t="s">
        <v>471</v>
      </c>
      <c r="AW746" s="0" t="s">
        <v>286</v>
      </c>
      <c r="AX746" s="0" t="s">
        <v>965</v>
      </c>
      <c r="AY746" s="0" t="s">
        <v>2545</v>
      </c>
      <c r="AZ746" s="0" t="s">
        <v>2546</v>
      </c>
      <c r="BA746" s="0" t="s">
        <v>595</v>
      </c>
      <c r="BB746" s="0" t="str">
        <f t="shared" si="11"/>
        <v>CIHPbeVandeikya</v>
      </c>
    </row>
    <row r="747">
      <c r="AV747" s="0" t="s">
        <v>471</v>
      </c>
      <c r="AW747" s="0" t="s">
        <v>286</v>
      </c>
      <c r="AX747" s="0" t="s">
        <v>965</v>
      </c>
      <c r="AY747" s="0" t="s">
        <v>2547</v>
      </c>
      <c r="AZ747" s="0" t="s">
        <v>2548</v>
      </c>
      <c r="BA747" s="0" t="s">
        <v>595</v>
      </c>
      <c r="BB747" s="0" t="str">
        <f t="shared" si="11"/>
        <v>CIHPbeVandeikya</v>
      </c>
    </row>
    <row r="748">
      <c r="AV748" s="0" t="s">
        <v>471</v>
      </c>
      <c r="AW748" s="0" t="s">
        <v>286</v>
      </c>
      <c r="AX748" s="0" t="s">
        <v>965</v>
      </c>
      <c r="AY748" s="0" t="s">
        <v>2549</v>
      </c>
      <c r="AZ748" s="0" t="s">
        <v>2550</v>
      </c>
      <c r="BA748" s="0" t="s">
        <v>595</v>
      </c>
      <c r="BB748" s="0" t="str">
        <f t="shared" si="11"/>
        <v>CIHPbeVandeikya</v>
      </c>
    </row>
    <row r="749">
      <c r="AV749" s="0" t="s">
        <v>471</v>
      </c>
      <c r="AW749" s="0" t="s">
        <v>286</v>
      </c>
      <c r="AX749" s="0" t="s">
        <v>965</v>
      </c>
      <c r="AY749" s="0" t="s">
        <v>2551</v>
      </c>
      <c r="AZ749" s="0" t="s">
        <v>2552</v>
      </c>
      <c r="BA749" s="0" t="s">
        <v>595</v>
      </c>
      <c r="BB749" s="0" t="str">
        <f t="shared" si="11"/>
        <v>CIHPbeVandeikya</v>
      </c>
    </row>
    <row r="750">
      <c r="AV750" s="0" t="s">
        <v>471</v>
      </c>
      <c r="AW750" s="0" t="s">
        <v>286</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