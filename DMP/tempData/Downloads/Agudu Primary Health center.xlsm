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<sst xmlns="http://schemas.openxmlformats.org/spreadsheetml/2006/main" count="4056" uniqueCount="4056">
  <si>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</si>
  <si>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</si>
  <si>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</si>
  <si>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</si>
  <si>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</si>
  <si>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</si>
  <si>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</si>
  <si>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</si>
  <si>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</si>
  <si>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</si>
  <si>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</si>
  <si>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</si>
  <si>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</si>
  <si>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</si>
  <si>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</si>
  <si>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</si>
  <si>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</si>
  <si>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</si>
  <si>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</si>
  <si>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</si>
  <si>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</si>
  <si>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</si>
  <si>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</si>
  <si>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</si>
  <si>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</si>
  <si>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</si>
  <si>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</si>
  <si>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</si>
  <si>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</si>
  <si>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</si>
  <si>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</si>
  <si>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</si>
  <si>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</si>
  <si>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</si>
  <si>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</si>
  <si>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</si>
  <si>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</si>
  <si>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</si>
  <si>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</si>
  <si>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</si>
  <si>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</si>
  <si>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</si>
  <si>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</si>
  <si>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</si>
  <si>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</si>
  <si>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</si>
  <si>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</si>
  <si>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</si>
  <si>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</si>
  <si>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</si>
  <si>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</si>
  <si>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</si>
  <si>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</si>
  <si>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</si>
  <si>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</si>
  <si>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</si>
  <si>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</si>
  <si>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</si>
  <si>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</si>
  <si>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</si>
  <si>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</si>
  <si>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</si>
  <si>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</si>
  <si>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</si>
  <si>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</si>
  <si>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</si>
  <si>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</si>
  <si>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</si>
  <si>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</si>
  <si>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</si>
  <si>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</si>
  <si>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</si>
  <si>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</si>
  <si>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</si>
  <si>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</si>
  <si>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</si>
  <si>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</si>
  <si>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</si>
  <si>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</si>
  <si>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</si>
  <si>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</si>
  <si>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</si>
  <si>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</si>
  <si>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</si>
  <si>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</si>
  <si>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</si>
  <si>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</si>
  <si>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</si>
  <si>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</si>
  <si>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</si>
  <si>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</si>
  <si>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</si>
  <si>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</si>
  <si>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</si>
  <si>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</si>
  <si>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</si>
  <si>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</si>
  <si>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</si>
  <si>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</si>
  <si>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</si>
  <si>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</si>
  <si>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</si>
  <si>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</si>
  <si>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</si>
  <si>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</si>
  <si>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</si>
  <si>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</si>
  <si>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</si>
  <si>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</si>
  <si>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</si>
  <si>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</si>
  <si>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</si>
  <si>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</si>
  <si>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</si>
  <si>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</si>
  <si>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</si>
  <si>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</si>
  <si>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</si>
  <si>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</si>
  <si>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</si>
  <si>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</si>
  <si>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</si>
  <si>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</si>
  <si>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</si>
  <si>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</si>
  <si>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</si>
  <si>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</si>
  <si>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</si>
  <si>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</si>
  <si>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</si>
  <si>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</si>
  <si>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</si>
  <si>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</si>
  <si>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</si>
  <si>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</si>
  <si>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</si>
  <si>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</si>
  <si>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</si>
  <si>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</si>
  <si>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</si>
  <si>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</si>
  <si>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</si>
  <si>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</si>
  <si>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</si>
  <si>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</si>
  <si>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</si>
  <si>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</si>
  <si>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</si>
  <si>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</si>
  <si>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</si>
  <si>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</si>
  <si>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</si>
  <si>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</si>
  <si>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</si>
  <si>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</si>
  <si>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</si>
  <si>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</si>
  <si>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</si>
  <si>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</si>
  <si>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</si>
  <si>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</si>
  <si>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</si>
  <si>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</si>
  <si>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</si>
  <si>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</si>
  <si>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</si>
  <si>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</si>
  <si>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</si>
  <si>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</si>
  <si>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</si>
  <si>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</si>
  <si>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</si>
  <si>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</si>
  <si>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</si>
  <si>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</si>
  <si>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</si>
  <si>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</si>
  <si>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</si>
  <si>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</si>
  <si>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</si>
  <si>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</si>
  <si>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</si>
  <si>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</si>
  <si>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</si>
  <si>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</si>
  <si>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</si>
  <si>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</si>
  <si>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</si>
  <si>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</si>
  <si>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</si>
  <si>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</si>
  <si>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</si>
  <si>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</si>
  <si>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</si>
  <si>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</si>
  <si>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</si>
  <si>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</si>
  <si>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</si>
  <si>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</si>
  <si>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</si>
  <si>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</si>
  <si>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</si>
  <si>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</si>
  <si>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</si>
  <si>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</si>
  <si>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</si>
  <si>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</si>
  <si>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</si>
  <si>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</si>
  <si>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</si>
  <si>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</si>
  <si>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</si>
  <si>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</si>
  <si>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</si>
  <si>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</si>
  <si>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</si>
  <si>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</si>
  <si>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</si>
  <si>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</si>
  <si>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</si>
  <si>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</si>
  <si>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</si>
  <si>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</si>
  <si>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</si>
  <si>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</si>
  <si>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</si>
  <si>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</si>
  <si>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</si>
  <si>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</si>
  <si>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</si>
  <si>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</si>
  <si>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</si>
  <si>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</si>
  <si>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</si>
  <si>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</si>
  <si>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</si>
  <si>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</si>
  <si>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</si>
  <si>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</si>
  <si>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</si>
  <si>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</si>
  <si>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</si>
  <si>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</si>
  <si>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</si>
  <si>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</si>
  <si>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</si>
  <si>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</si>
  <si>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</si>
  <si>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</si>
  <si>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</si>
  <si>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</si>
  <si>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</si>
  <si>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</si>
  <si>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</si>
  <si>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</si>
  <si>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</si>
  <si>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</si>
  <si>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</si>
  <si>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</si>
  <si>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</si>
  <si>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</si>
  <si>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</si>
  <si>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</si>
  <si>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</si>
  <si>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</si>
  <si>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</si>
  <si>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</si>
  <si>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</si>
  <si>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</si>
  <si>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</si>
  <si>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</si>
  <si>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</si>
  <si>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</si>
  <si>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</si>
  <si>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</si>
  <si>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</si>
  <si>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</si>
  <si>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</si>
  <si>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</si>
  <si>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</si>
  <si>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</si>
  <si>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</si>
  <si>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</si>
  <si>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</si>
  <si>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</si>
  <si>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</si>
  <si>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</si>
  <si>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</si>
  <si>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</si>
  <si>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Agudu Primary Health center</t>
  </si>
  <si>
    <t>Reporting Period:</t>
  </si>
  <si>
    <t>Q1(Oct - Dec)</t>
  </si>
  <si>
    <t>Facility Code:</t>
  </si>
  <si>
    <t>vmFu5pzEpEb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</si>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</sst>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49</v>
      </c>
      <c r="G8" s="155">
        <f>ROUND(SUM('All Questions'!D31:D35)/5+G12,0)</f>
        <v>59</v>
      </c>
      <c r="H8" s="156">
        <f>ROUND(SUM('All Questions'!D37,'All Questions'!D40)/2+'All Questions'!D26+H12,0)</f>
        <v>96</v>
      </c>
      <c r="I8" s="157">
        <f>ROUND((SUM('All Questions'!E11:E14)/4)+I12,0)</f>
        <v>0</v>
      </c>
      <c r="J8" s="155">
        <f>ROUND(SUM('All Questions'!E15:E21)/7+J12,0)</f>
        <v>0</v>
      </c>
      <c r="K8" s="155">
        <f>ROUND(SUM('All Questions'!E23:E30)/4+K12,0)</f>
        <v>24</v>
      </c>
      <c r="L8" s="155">
        <f>ROUND(SUM('All Questions'!E31:E35)/5+L12,0)</f>
        <v>28</v>
      </c>
      <c r="M8" s="156">
        <f>ROUND(('All Questions'!E37+'All Questions'!E40)/2+'All Questions'!E26+M12,0)</f>
        <v>47</v>
      </c>
      <c r="N8" s="157">
        <f>ROUND((SUM('All Questions'!F11:F14)/4)+N12,0)</f>
        <v>0</v>
      </c>
      <c r="O8" s="155">
        <f>ROUND(SUM('All Questions'!F15:F21)/7+O12,0)</f>
        <v>0</v>
      </c>
      <c r="P8" s="155">
        <f>ROUND(SUM('All Questions'!F23:F30)/4+P12,0)</f>
        <v>26</v>
      </c>
      <c r="Q8" s="155">
        <f>ROUND(SUM('All Questions'!F31:F35)/5+Q12,0)</f>
        <v>32</v>
      </c>
      <c r="R8" s="156">
        <f>ROUND(('All Questions'!F37+'All Questions'!F40)/2+'All Questions'!F26+R12,0)</f>
        <v>50</v>
      </c>
      <c r="S8" s="141">
        <f>'All Questions'!F2</f>
        <v>0</v>
      </c>
      <c r="T8" s="142" t="e">
        <f>(AVERAGE(F8:H8)+AVERAGE(K8:M8)+AVERAGE(P8:R8))/S8</f>
        <v>#DIV/0!</v>
      </c>
      <c r="V8" s="309">
        <f>AVERAGE(F8:H8)+AVERAGE(K8:M8)+AVERAGE(P8:R8)</f>
        <v>137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v>
      </c>
      <c r="G9" s="158"/>
      <c r="H9" s="160"/>
      <c r="I9" s="161"/>
      <c r="J9" s="158"/>
      <c r="K9" s="159">
        <f>ROUND('All Questions'!E29+K13,0)</f>
        <v>0</v>
      </c>
      <c r="L9" s="158"/>
      <c r="M9" s="160"/>
      <c r="N9" s="161"/>
      <c r="O9" s="158"/>
      <c r="P9" s="159">
        <f>ROUND('All Questions'!F29+P13,0)</f>
        <v>1</v>
      </c>
      <c r="Q9" s="158"/>
      <c r="R9" s="160"/>
      <c r="S9" s="141">
        <f>'All Questions'!F3</f>
        <v>0</v>
      </c>
      <c r="T9" s="143" t="e">
        <f>SUM(F9,K9,P9)/S9</f>
        <v>#DIV/0!</v>
      </c>
      <c r="V9" s="309">
        <f>SUM(F9+K9+P9)</f>
        <v>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48</v>
      </c>
      <c r="G10" s="159">
        <f>ROUND(SUM('All Questions'!D31:D35)/5,0)</f>
        <v>58</v>
      </c>
      <c r="H10" s="162">
        <f>ROUND(('All Questions'!D37+'All Questions'!D40)/2+'All Questions'!D26,0)</f>
        <v>94</v>
      </c>
      <c r="I10" s="163">
        <f>ROUND((SUM('All Questions'!E11:E14)/4),0)</f>
        <v>0</v>
      </c>
      <c r="J10" s="164">
        <f>ROUND(SUM('All Questions'!E15:E21)/7,0)</f>
        <v>0</v>
      </c>
      <c r="K10" s="164">
        <f>ROUND(SUM('All Questions'!E23:E30)/4,0)</f>
        <v>22</v>
      </c>
      <c r="L10" s="164">
        <f>ROUND(SUM('All Questions'!E31:E35)/5,0)</f>
        <v>27</v>
      </c>
      <c r="M10" s="165">
        <f>ROUND(('All Questions'!E37+'All Questions'!E40)/2+'All Questions'!E26,0)</f>
        <v>45</v>
      </c>
      <c r="N10" s="166">
        <f>ROUND((SUM('All Questions'!F11:F14)/4),0)</f>
        <v>0</v>
      </c>
      <c r="O10" s="164">
        <f>ROUND(SUM('All Questions'!F15:F21)/7,0)</f>
        <v>0</v>
      </c>
      <c r="P10" s="164">
        <f>ROUND(SUM('All Questions'!F23:F30)/4,0)</f>
        <v>25</v>
      </c>
      <c r="Q10" s="164">
        <f>ROUND(SUM('All Questions'!F31:F35)/5,0)</f>
        <v>32</v>
      </c>
      <c r="R10" s="165">
        <f>ROUND(('All Questions'!F37+'All Questions'!F40)/2+'All Questions'!F26,0)</f>
        <v>50</v>
      </c>
      <c r="S10" s="141">
        <f>'All Questions'!F4</f>
        <v>0</v>
      </c>
      <c r="T10" s="143" t="e">
        <f>(AVERAGE(F10:H10)+AVERAGE(K10:M10)+AVERAGE(P10:R10))/S10</f>
        <v>#DIV/0!</v>
      </c>
      <c r="V10" s="309">
        <f>AVERAGE(F10:H10)+AVERAGE(K10:M10)+AVERAGE(P10:R10)</f>
        <v>133.66666666666666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v>
      </c>
      <c r="G11" s="167"/>
      <c r="H11" s="169"/>
      <c r="I11" s="170"/>
      <c r="J11" s="167"/>
      <c r="K11" s="171">
        <f>ROUND('All Questions'!E29,0)</f>
        <v>0</v>
      </c>
      <c r="L11" s="167"/>
      <c r="M11" s="169"/>
      <c r="N11" s="170"/>
      <c r="O11" s="167"/>
      <c r="P11" s="171">
        <f>ROUND('All Questions'!F29,0)</f>
        <v>1</v>
      </c>
      <c r="Q11" s="167"/>
      <c r="R11" s="169"/>
      <c r="S11" s="141">
        <f>'All Questions'!F5</f>
        <v>0</v>
      </c>
      <c r="T11" s="144" t="e">
        <f>SUM(F11,K11,P11)/S11</f>
        <v>#DIV/0!</v>
      </c>
      <c r="V11" s="309">
        <f>SUM(F11+K11+P11)</f>
        <v>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1</v>
      </c>
      <c r="H12" s="174">
        <f>ROUND(SUM('All Questions'!D82:D83)/2,0)</f>
        <v>2</v>
      </c>
      <c r="I12" s="175">
        <f>ROUND(SUM('All Questions'!E54:E58)+'All Questions'!E71/4,0)</f>
        <v>0</v>
      </c>
      <c r="J12" s="176">
        <f>ROUND(SUM('All Questions'!E60:E63)/4,0)</f>
        <v>0</v>
      </c>
      <c r="K12" s="176">
        <f>ROUND(SUM('All Questions'!E67:E72)/3,0)</f>
        <v>1</v>
      </c>
      <c r="L12" s="176">
        <f>ROUND(SUM('All Questions'!E73:E80)/4,0)</f>
        <v>1</v>
      </c>
      <c r="M12" s="177">
        <f>ROUND(SUM('All Questions'!E82:E83)/2,0)</f>
        <v>2</v>
      </c>
      <c r="N12" s="178">
        <f>ROUND(SUM('All Questions'!F54:F58)+'All Questions'!F71/4,0)</f>
        <v>0</v>
      </c>
      <c r="O12" s="176">
        <f>ROUND(SUM('All Questions'!F60:F63)/4,0)</f>
        <v>0</v>
      </c>
      <c r="P12" s="176">
        <f>ROUND(SUM('All Questions'!F67:F72)/3,0)</f>
        <v>1</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196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53</v>
      </c>
      <c r="F9" s="301">
        <v>78</v>
      </c>
      <c r="G9" s="207" t="s">
        <v>67</v>
      </c>
    </row>
    <row r="10" hidden="1" ht="45" customHeight="1">
      <c r="A10" s="226"/>
      <c r="B10" s="238">
        <v>1113</v>
      </c>
      <c r="C10" s="242" t="s">
        <v>83</v>
      </c>
      <c r="D10" s="301">
        <v>97</v>
      </c>
      <c r="E10" s="301">
        <v>45</v>
      </c>
      <c r="F10" s="301">
        <v>50</v>
      </c>
      <c r="G10" s="207" t="s">
        <v>67</v>
      </c>
    </row>
    <row r="11" hidden="1" ht="45" customHeight="1">
      <c r="A11" s="226"/>
      <c r="B11" s="238">
        <v>1114</v>
      </c>
      <c r="C11" s="243" t="s">
        <v>84</v>
      </c>
      <c r="D11" s="301">
        <v>97</v>
      </c>
      <c r="E11" s="301">
        <v>45</v>
      </c>
      <c r="F11" s="301">
        <v>50</v>
      </c>
      <c r="G11" s="207" t="s">
        <v>67</v>
      </c>
    </row>
    <row r="12" hidden="1" ht="45" customHeight="1">
      <c r="A12" s="226"/>
      <c r="B12" s="238">
        <v>1115</v>
      </c>
      <c r="C12" s="242" t="s">
        <v>85</v>
      </c>
      <c r="D12" s="301">
        <v>96</v>
      </c>
      <c r="E12" s="301">
        <v>45</v>
      </c>
      <c r="F12" s="301">
        <v>50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47</v>
      </c>
      <c r="E25" s="301">
        <v>34</v>
      </c>
      <c r="F25" s="301">
        <v>35</v>
      </c>
      <c r="G25" s="207" t="s">
        <v>67</v>
      </c>
    </row>
    <row r="26" hidden="1" ht="45" customHeight="1">
      <c r="A26" s="226"/>
      <c r="B26" s="238">
        <v>1134</v>
      </c>
      <c r="C26" s="242" t="s">
        <v>99</v>
      </c>
      <c r="D26" s="301">
        <v>47</v>
      </c>
      <c r="E26" s="301">
        <v>11</v>
      </c>
      <c r="F26" s="301">
        <v>15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v>
      </c>
      <c r="E29" s="301">
        <v>0</v>
      </c>
      <c r="F29" s="301">
        <v>1</v>
      </c>
      <c r="G29" s="207" t="s">
        <v>67</v>
      </c>
    </row>
    <row r="30" hidden="1" ht="45" customHeight="1">
      <c r="A30" s="226"/>
      <c r="B30" s="238">
        <v>1138</v>
      </c>
      <c r="C30" s="242" t="s">
        <v>103</v>
      </c>
      <c r="D30" s="301">
        <v>95</v>
      </c>
      <c r="E30" s="301">
        <v>45</v>
      </c>
      <c r="F30" s="301">
        <v>49</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96</v>
      </c>
      <c r="E33" s="301">
        <v>45</v>
      </c>
      <c r="F33" s="301">
        <v>60</v>
      </c>
      <c r="G33" s="207" t="s">
        <v>67</v>
      </c>
    </row>
    <row r="34" hidden="1" ht="45" customHeight="1">
      <c r="A34" s="226"/>
      <c r="B34" s="238">
        <v>1144</v>
      </c>
      <c r="C34" s="242" t="s">
        <v>107</v>
      </c>
      <c r="D34" s="301">
        <v>97</v>
      </c>
      <c r="E34" s="301">
        <v>45</v>
      </c>
      <c r="F34" s="301">
        <v>50</v>
      </c>
      <c r="G34" s="207" t="s">
        <v>67</v>
      </c>
    </row>
    <row r="35" hidden="1" ht="45" customHeight="1">
      <c r="A35" s="226"/>
      <c r="B35" s="238">
        <v>1145</v>
      </c>
      <c r="C35" s="242" t="s">
        <v>108</v>
      </c>
      <c r="D35" s="301">
        <v>96</v>
      </c>
      <c r="E35" s="301">
        <v>45</v>
      </c>
      <c r="F35" s="301">
        <v>49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47</v>
      </c>
      <c r="E37" s="301">
        <v>34</v>
      </c>
      <c r="F37" s="301">
        <v>35</v>
      </c>
      <c r="G37" s="207" t="s">
        <v>67</v>
      </c>
    </row>
    <row r="38" hidden="1" ht="45" customHeight="1">
      <c r="A38" s="226"/>
      <c r="B38" s="238">
        <v>1153</v>
      </c>
      <c r="C38" s="242" t="s">
        <v>111</v>
      </c>
      <c r="D38" s="301">
        <v>47</v>
      </c>
      <c r="E38" s="301">
        <v>34</v>
      </c>
      <c r="F38" s="301">
        <v>34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47</v>
      </c>
      <c r="E40" s="301">
        <v>34</v>
      </c>
      <c r="F40" s="301">
        <v>35</v>
      </c>
      <c r="G40" s="207" t="s">
        <v>67</v>
      </c>
    </row>
    <row r="41" hidden="1" ht="45" customHeight="1">
      <c r="A41" s="226"/>
      <c r="B41" s="238">
        <v>1156</v>
      </c>
      <c r="C41" s="242" t="s">
        <v>113</v>
      </c>
      <c r="D41" s="301">
        <v>47</v>
      </c>
      <c r="E41" s="301">
        <v>34</v>
      </c>
      <c r="F41" s="301">
        <v>33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0</v>
      </c>
      <c r="F43" s="301">
        <v>1</v>
      </c>
      <c r="G43" s="207" t="s">
        <v>67</v>
      </c>
    </row>
    <row r="44" hidden="1" ht="45" customHeight="1" s="250" customFormat="1">
      <c r="A44" s="226"/>
      <c r="B44" s="238">
        <v>1159</v>
      </c>
      <c r="C44" s="242" t="s">
        <v>116</v>
      </c>
      <c r="D44" s="301">
        <v>2</v>
      </c>
      <c r="E44" s="301">
        <v>0</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50</v>
      </c>
      <c r="E52" s="301">
        <v>83</v>
      </c>
      <c r="F52" s="301">
        <v>85</v>
      </c>
      <c r="G52" s="207" t="s">
        <v>117</v>
      </c>
    </row>
    <row r="53" hidden="1" ht="45" customHeight="1">
      <c r="A53" s="226"/>
      <c r="B53" s="238">
        <v>1213</v>
      </c>
      <c r="C53" s="242" t="s">
        <v>131</v>
      </c>
      <c r="D53" s="301">
        <v>2</v>
      </c>
      <c r="E53" s="301">
        <v>3</v>
      </c>
      <c r="F53" s="301">
        <v>0</v>
      </c>
      <c r="G53" s="207" t="s">
        <v>117</v>
      </c>
    </row>
    <row r="54" hidden="1" ht="45" customHeight="1">
      <c r="A54" s="226"/>
      <c r="B54" s="238">
        <v>1214</v>
      </c>
      <c r="C54" s="264" t="s">
        <v>132</v>
      </c>
      <c r="D54" s="301">
        <v>2</v>
      </c>
      <c r="E54" s="301">
        <v>3</v>
      </c>
      <c r="F54" s="301">
        <v>5</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2</v>
      </c>
      <c r="E56" s="301">
        <v>3</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v>
      </c>
      <c r="E67" s="301">
        <v>2</v>
      </c>
      <c r="F67" s="301">
        <v>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v>
      </c>
      <c r="E71" s="301">
        <v>2</v>
      </c>
      <c r="F71" s="301">
        <v>1</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v>
      </c>
      <c r="E73" s="301">
        <v>2</v>
      </c>
      <c r="F73" s="301">
        <v>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v>
      </c>
      <c r="E79" s="301">
        <v>2</v>
      </c>
      <c r="F79" s="301">
        <v>1</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v>
      </c>
      <c r="E82" s="301">
        <v>2</v>
      </c>
      <c r="F82" s="301">
        <v>1</v>
      </c>
      <c r="G82" s="207" t="s">
        <v>117</v>
      </c>
    </row>
    <row r="83" hidden="1" ht="45" customHeight="1">
      <c r="A83" s="226"/>
      <c r="B83" s="238">
        <v>1253</v>
      </c>
      <c r="C83" s="242" t="s">
        <v>161</v>
      </c>
      <c r="D83" s="301">
        <v>2</v>
      </c>
      <c r="E83" s="301">
        <v>2</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289</v>
      </c>
      <c r="AZ1366" s="0" t="s">
        <v>293</v>
      </c>
      <c r="BA1366" s="0" t="s">
        <v>285</v>
      </c>
      <c r="BB1366" s="0" t="str">
        <f t="shared" si="21"/>
        <v>IHVNnaLafia</v>
      </c>
    </row>
    <row r="1367">
      <c r="AV1367" s="0" t="s">
        <v>471</v>
      </c>
      <c r="AW1367" s="0" t="s">
        <v>286</v>
      </c>
      <c r="AX1367" s="0" t="s">
        <v>583</v>
      </c>
      <c r="AY1367" s="0" t="s">
        <v>3780</v>
      </c>
      <c r="AZ1367" s="0" t="s">
        <v>3781</v>
      </c>
      <c r="BA1367" s="0" t="s">
        <v>285</v>
      </c>
      <c r="BB1367" s="0" t="str">
        <f t="shared" si="21"/>
        <v>IHVNnaLafia</v>
      </c>
    </row>
    <row r="1368">
      <c r="AV1368" s="0" t="s">
        <v>471</v>
      </c>
      <c r="AW1368" s="0" t="s">
        <v>286</v>
      </c>
      <c r="AX1368" s="0" t="s">
        <v>583</v>
      </c>
      <c r="AY1368" s="0" t="s">
        <v>3782</v>
      </c>
      <c r="AZ1368" s="0" t="s">
        <v>3783</v>
      </c>
      <c r="BA1368" s="0" t="s">
        <v>285</v>
      </c>
      <c r="BB1368" s="0" t="str">
        <f t="shared" si="21"/>
        <v>IHVNnaLafia</v>
      </c>
    </row>
    <row r="1369">
      <c r="AV1369" s="0" t="s">
        <v>471</v>
      </c>
      <c r="AW1369" s="0" t="s">
        <v>286</v>
      </c>
      <c r="AX1369" s="0" t="s">
        <v>583</v>
      </c>
      <c r="AY1369" s="0" t="s">
        <v>3784</v>
      </c>
      <c r="AZ1369" s="0" t="s">
        <v>3785</v>
      </c>
      <c r="BA1369" s="0" t="s">
        <v>285</v>
      </c>
      <c r="BB1369" s="0" t="str">
        <f t="shared" si="21"/>
        <v>IHVNnaLafia</v>
      </c>
    </row>
    <row r="1370">
      <c r="AV1370" s="0" t="s">
        <v>471</v>
      </c>
      <c r="AW1370" s="0" t="s">
        <v>286</v>
      </c>
      <c r="AX1370" s="0" t="s">
        <v>583</v>
      </c>
      <c r="AY1370" s="0" t="s">
        <v>3786</v>
      </c>
      <c r="AZ1370" s="0" t="s">
        <v>3787</v>
      </c>
      <c r="BA1370" s="0" t="s">
        <v>285</v>
      </c>
      <c r="BB1370" s="0" t="str">
        <f t="shared" si="21"/>
        <v>IHVNnaLafia</v>
      </c>
    </row>
    <row r="1371">
      <c r="AV1371" s="0" t="s">
        <v>471</v>
      </c>
      <c r="AW1371" s="0" t="s">
        <v>286</v>
      </c>
      <c r="AX1371" s="0" t="s">
        <v>583</v>
      </c>
      <c r="AY1371" s="0" t="s">
        <v>3788</v>
      </c>
      <c r="AZ1371" s="0" t="s">
        <v>3789</v>
      </c>
      <c r="BA1371" s="0" t="s">
        <v>285</v>
      </c>
      <c r="BB1371" s="0" t="str">
        <f t="shared" si="21"/>
        <v>IHVNnaLafia</v>
      </c>
    </row>
    <row r="1372">
      <c r="AV1372" s="0" t="s">
        <v>471</v>
      </c>
      <c r="AW1372" s="0" t="s">
        <v>286</v>
      </c>
      <c r="AX1372" s="0" t="s">
        <v>583</v>
      </c>
      <c r="AY1372" s="0" t="s">
        <v>3790</v>
      </c>
      <c r="AZ1372" s="0" t="s">
        <v>3791</v>
      </c>
      <c r="BA1372" s="0" t="s">
        <v>285</v>
      </c>
      <c r="BB1372" s="0" t="str">
        <f t="shared" si="21"/>
        <v>IHVNnaLafia</v>
      </c>
    </row>
    <row r="1373">
      <c r="AV1373" s="0" t="s">
        <v>471</v>
      </c>
      <c r="AW1373" s="0" t="s">
        <v>286</v>
      </c>
      <c r="AX1373" s="0" t="s">
        <v>583</v>
      </c>
      <c r="AY1373" s="0" t="s">
        <v>3792</v>
      </c>
      <c r="AZ1373" s="0" t="s">
        <v>3793</v>
      </c>
      <c r="BA1373" s="0" t="s">
        <v>285</v>
      </c>
      <c r="BB1373" s="0" t="str">
        <f t="shared" si="21"/>
        <v>IHVNnaLafia</v>
      </c>
    </row>
    <row r="1374">
      <c r="AV1374" s="0" t="s">
        <v>471</v>
      </c>
      <c r="AW1374" s="0" t="s">
        <v>286</v>
      </c>
      <c r="AX1374" s="0" t="s">
        <v>583</v>
      </c>
      <c r="AY1374" s="0" t="s">
        <v>3794</v>
      </c>
      <c r="AZ1374" s="0" t="s">
        <v>3795</v>
      </c>
      <c r="BA1374" s="0" t="s">
        <v>285</v>
      </c>
      <c r="BB1374" s="0" t="str">
        <f t="shared" si="21"/>
        <v>IHVNnaLafia</v>
      </c>
    </row>
    <row r="1375">
      <c r="AV1375" s="0" t="s">
        <v>471</v>
      </c>
      <c r="AW1375" s="0" t="s">
        <v>286</v>
      </c>
      <c r="AX1375" s="0" t="s">
        <v>583</v>
      </c>
      <c r="AY1375" s="0" t="s">
        <v>3796</v>
      </c>
      <c r="AZ1375" s="0" t="s">
        <v>3797</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