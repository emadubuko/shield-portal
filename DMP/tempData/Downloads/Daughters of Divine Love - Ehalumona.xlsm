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<sst xmlns="http://schemas.openxmlformats.org/spreadsheetml/2006/main" count="4056" uniqueCount="4056">
  <si>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</si>
  <si>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</si>
  <si>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</si>
  <si>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</si>
  <si>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</si>
  <si>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</si>
  <si>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</si>
  <si>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</si>
  <si>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</si>
  <si>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</si>
  <si>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</si>
  <si>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</si>
  <si>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</si>
  <si>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</si>
  <si>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</si>
  <si>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</si>
  <si>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</si>
  <si>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</si>
  <si>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</si>
  <si>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</si>
  <si>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</si>
  <si>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</si>
  <si>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</si>
  <si>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</si>
  <si>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</si>
  <si>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</si>
  <si>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</si>
  <si>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</si>
  <si>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</si>
  <si>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</si>
  <si>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</si>
  <si>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</si>
  <si>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</si>
  <si>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</si>
  <si>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</si>
  <si>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</si>
  <si>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</si>
  <si>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</si>
  <si>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</si>
  <si>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</si>
  <si>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</si>
  <si>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</si>
  <si>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</si>
  <si>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</si>
  <si>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</si>
  <si>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</si>
  <si>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</si>
  <si>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</si>
  <si>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</si>
  <si>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</si>
  <si>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</si>
  <si>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</si>
  <si>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</si>
  <si>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</si>
  <si>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</si>
  <si>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</si>
  <si>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</si>
  <si>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</si>
  <si>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</si>
  <si>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</si>
  <si>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</si>
  <si>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</si>
  <si>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</si>
  <si>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</si>
  <si>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</si>
  <si>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</si>
  <si>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</si>
  <si>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</si>
  <si>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</si>
  <si>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</si>
  <si>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</si>
  <si>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</si>
  <si>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</si>
  <si>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</si>
  <si>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</si>
  <si>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</si>
  <si>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</si>
  <si>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</si>
  <si>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</si>
  <si>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</si>
  <si>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</si>
  <si>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</si>
  <si>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</si>
  <si>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</si>
  <si>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</si>
  <si>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</si>
  <si>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</si>
  <si>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</si>
  <si>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</si>
  <si>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</si>
  <si>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</si>
  <si>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</si>
  <si>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</si>
  <si>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</si>
  <si>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</si>
  <si>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</si>
  <si>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</si>
  <si>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</si>
  <si>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</si>
  <si>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</si>
  <si>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</si>
  <si>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</si>
  <si>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</si>
  <si>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</si>
  <si>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</si>
  <si>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</si>
  <si>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</si>
  <si>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</si>
  <si>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</si>
  <si>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</si>
  <si>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</si>
  <si>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</si>
  <si>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</si>
  <si>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</si>
  <si>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</si>
  <si>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</si>
  <si>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</si>
  <si>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</si>
  <si>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</si>
  <si>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</si>
  <si>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</si>
  <si>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</si>
  <si>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</si>
  <si>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</si>
  <si>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</si>
  <si>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</si>
  <si>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</si>
  <si>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</si>
  <si>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</si>
  <si>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</si>
  <si>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</si>
  <si>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</si>
  <si>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</si>
  <si>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</si>
  <si>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</si>
  <si>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</si>
  <si>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</si>
  <si>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</si>
  <si>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</si>
  <si>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</si>
  <si>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</si>
  <si>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</si>
  <si>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</si>
  <si>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</si>
  <si>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</si>
  <si>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</si>
  <si>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</si>
  <si>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</si>
  <si>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</si>
  <si>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</si>
  <si>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</si>
  <si>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</si>
  <si>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</si>
  <si>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</si>
  <si>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</si>
  <si>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</si>
  <si>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</si>
  <si>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</si>
  <si>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</si>
  <si>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</si>
  <si>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</si>
  <si>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</si>
  <si>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</si>
  <si>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</si>
  <si>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</si>
  <si>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</si>
  <si>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</si>
  <si>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</si>
  <si>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</si>
  <si>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</si>
  <si>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</si>
  <si>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</si>
  <si>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</si>
  <si>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</si>
  <si>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</si>
  <si>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</si>
  <si>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</si>
  <si>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</si>
  <si>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</si>
  <si>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</si>
  <si>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</si>
  <si>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</si>
  <si>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</si>
  <si>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</si>
  <si>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</si>
  <si>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</si>
  <si>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</si>
  <si>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</si>
  <si>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</si>
  <si>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</si>
  <si>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</si>
  <si>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</si>
  <si>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</si>
  <si>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</si>
  <si>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</si>
  <si>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</si>
  <si>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</si>
  <si>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</si>
  <si>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</si>
  <si>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</si>
  <si>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</si>
  <si>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</si>
  <si>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</si>
  <si>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</si>
  <si>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</si>
  <si>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</si>
  <si>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</si>
  <si>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</si>
  <si>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</si>
  <si>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</si>
  <si>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</si>
  <si>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</si>
  <si>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</si>
  <si>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</si>
  <si>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</si>
  <si>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</si>
  <si>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</si>
  <si>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</si>
  <si>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</si>
  <si>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</si>
  <si>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</si>
  <si>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</si>
  <si>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</si>
  <si>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</si>
  <si>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</si>
  <si>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</si>
  <si>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</si>
  <si>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</si>
  <si>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</si>
  <si>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</si>
  <si>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</si>
  <si>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</si>
  <si>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</si>
  <si>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</si>
  <si>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</si>
  <si>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</si>
  <si>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</si>
  <si>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</si>
  <si>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</si>
  <si>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</si>
  <si>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</si>
  <si>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</si>
  <si>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</si>
  <si>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</si>
  <si>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</si>
  <si>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</si>
  <si>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</si>
  <si>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</si>
  <si>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</si>
  <si>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</si>
  <si>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</si>
  <si>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</si>
  <si>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</si>
  <si>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</si>
  <si>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</si>
  <si>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</si>
  <si>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</si>
  <si>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</si>
  <si>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</si>
  <si>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</si>
  <si>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</si>
  <si>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</si>
  <si>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</si>
  <si>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</si>
  <si>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</si>
  <si>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</si>
  <si>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</si>
  <si>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</si>
  <si>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</si>
  <si>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</si>
  <si>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</si>
  <si>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</si>
  <si>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</si>
  <si>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</si>
  <si>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</si>
  <si>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</si>
  <si>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</si>
  <si>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</si>
  <si>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</si>
  <si>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</si>
  <si>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</si>
  <si>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</si>
  <si>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</si>
  <si>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</si>
  <si>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</si>
  <si>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</si>
  <si>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</si>
  <si>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Udenu</t>
  </si>
  <si>
    <t>Facility Name:</t>
  </si>
  <si>
    <t>Daughters of Divine Love - Ehalumona</t>
  </si>
  <si>
    <t>Reporting Period:</t>
  </si>
  <si>
    <t>Q1(Oct - Dec)</t>
  </si>
  <si>
    <t>Facility Code:</t>
  </si>
  <si>
    <t>hIF3m3kzL4C</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</si>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</sst>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345</v>
      </c>
      <c r="G8" s="155">
        <f>ROUND(SUM('All Questions'!D31:D35)/5+G12,0)</f>
        <v>395</v>
      </c>
      <c r="H8" s="156">
        <f>ROUND(SUM('All Questions'!D37,'All Questions'!D40)/2+'All Questions'!D26+H12,0)</f>
        <v>369</v>
      </c>
      <c r="I8" s="157">
        <f>ROUND((SUM('All Questions'!E11:E14)/4)+I12,0)</f>
        <v>0</v>
      </c>
      <c r="J8" s="155">
        <f>ROUND(SUM('All Questions'!E15:E21)/7+J12,0)</f>
        <v>0</v>
      </c>
      <c r="K8" s="155">
        <f>ROUND(SUM('All Questions'!E23:E30)/4+K12,0)</f>
        <v>318</v>
      </c>
      <c r="L8" s="155">
        <f>ROUND(SUM('All Questions'!E31:E35)/5+L12,0)</f>
        <v>334</v>
      </c>
      <c r="M8" s="156">
        <f>ROUND(('All Questions'!E37+'All Questions'!E40)/2+'All Questions'!E26+M12,0)</f>
        <v>363</v>
      </c>
      <c r="N8" s="157">
        <f>ROUND((SUM('All Questions'!F11:F14)/4)+N12,0)</f>
        <v>0</v>
      </c>
      <c r="O8" s="155">
        <f>ROUND(SUM('All Questions'!F15:F21)/7+O12,0)</f>
        <v>0</v>
      </c>
      <c r="P8" s="155">
        <f>ROUND(SUM('All Questions'!F23:F30)/4+P12,0)</f>
        <v>282</v>
      </c>
      <c r="Q8" s="155">
        <f>ROUND(SUM('All Questions'!F31:F35)/5+Q12,0)</f>
        <v>531</v>
      </c>
      <c r="R8" s="156">
        <f>ROUND(('All Questions'!F37+'All Questions'!F40)/2+'All Questions'!F26+R12,0)</f>
        <v>625</v>
      </c>
      <c r="S8" s="141">
        <f>'All Questions'!F2</f>
        <v>0</v>
      </c>
      <c r="T8" s="142" t="e">
        <f>(AVERAGE(F8:H8)+AVERAGE(K8:M8)+AVERAGE(P8:R8))/S8</f>
        <v>#DIV/0!</v>
      </c>
      <c r="V8" s="309">
        <f>AVERAGE(F8:H8)+AVERAGE(K8:M8)+AVERAGE(P8:R8)</f>
        <v>1187.3333333333333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13</v>
      </c>
      <c r="G9" s="158"/>
      <c r="H9" s="160"/>
      <c r="I9" s="161"/>
      <c r="J9" s="158"/>
      <c r="K9" s="159">
        <f>ROUND('All Questions'!E29+K13,0)</f>
        <v>3</v>
      </c>
      <c r="L9" s="158"/>
      <c r="M9" s="160"/>
      <c r="N9" s="161"/>
      <c r="O9" s="158"/>
      <c r="P9" s="159">
        <f>ROUND('All Questions'!F29+P13,0)</f>
        <v>6</v>
      </c>
      <c r="Q9" s="158"/>
      <c r="R9" s="160"/>
      <c r="S9" s="141">
        <f>'All Questions'!F3</f>
        <v>0</v>
      </c>
      <c r="T9" s="143" t="e">
        <f>SUM(F9,K9,P9)/S9</f>
        <v>#DIV/0!</v>
      </c>
      <c r="V9" s="309">
        <f>SUM(F9+K9+P9)</f>
        <v>22</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303</v>
      </c>
      <c r="G10" s="159">
        <f>ROUND(SUM('All Questions'!D31:D35)/5,0)</f>
        <v>303</v>
      </c>
      <c r="H10" s="162">
        <f>ROUND(('All Questions'!D37+'All Questions'!D40)/2+'All Questions'!D26,0)</f>
        <v>303</v>
      </c>
      <c r="I10" s="163">
        <f>ROUND((SUM('All Questions'!E11:E14)/4),0)</f>
        <v>0</v>
      </c>
      <c r="J10" s="164">
        <f>ROUND(SUM('All Questions'!E15:E21)/7,0)</f>
        <v>0</v>
      </c>
      <c r="K10" s="164">
        <f>ROUND(SUM('All Questions'!E23:E30)/4,0)</f>
        <v>312</v>
      </c>
      <c r="L10" s="164">
        <f>ROUND(SUM('All Questions'!E31:E35)/5,0)</f>
        <v>318</v>
      </c>
      <c r="M10" s="165">
        <f>ROUND(('All Questions'!E37+'All Questions'!E40)/2+'All Questions'!E26,0)</f>
        <v>343</v>
      </c>
      <c r="N10" s="166">
        <f>ROUND((SUM('All Questions'!F11:F14)/4),0)</f>
        <v>0</v>
      </c>
      <c r="O10" s="164">
        <f>ROUND(SUM('All Questions'!F15:F21)/7,0)</f>
        <v>0</v>
      </c>
      <c r="P10" s="164">
        <f>ROUND(SUM('All Questions'!F23:F30)/4,0)</f>
        <v>278</v>
      </c>
      <c r="Q10" s="164">
        <f>ROUND(SUM('All Questions'!F31:F35)/5,0)</f>
        <v>522</v>
      </c>
      <c r="R10" s="165">
        <f>ROUND(('All Questions'!F37+'All Questions'!F40)/2+'All Questions'!F26,0)</f>
        <v>608</v>
      </c>
      <c r="S10" s="141">
        <f>'All Questions'!F4</f>
        <v>0</v>
      </c>
      <c r="T10" s="143" t="e">
        <f>(AVERAGE(F10:H10)+AVERAGE(K10:M10)+AVERAGE(P10:R10))/S10</f>
        <v>#DIV/0!</v>
      </c>
      <c r="V10" s="309">
        <f>AVERAGE(F10:H10)+AVERAGE(K10:M10)+AVERAGE(P10:R10)</f>
        <v>1096.6666666666665</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13</v>
      </c>
      <c r="G11" s="167"/>
      <c r="H11" s="169"/>
      <c r="I11" s="170"/>
      <c r="J11" s="167"/>
      <c r="K11" s="171">
        <f>ROUND('All Questions'!E29,0)</f>
        <v>3</v>
      </c>
      <c r="L11" s="167"/>
      <c r="M11" s="169"/>
      <c r="N11" s="170"/>
      <c r="O11" s="167"/>
      <c r="P11" s="171">
        <f>ROUND('All Questions'!F29,0)</f>
        <v>6</v>
      </c>
      <c r="Q11" s="167"/>
      <c r="R11" s="169"/>
      <c r="S11" s="141">
        <f>'All Questions'!F5</f>
        <v>0</v>
      </c>
      <c r="T11" s="144" t="e">
        <f>SUM(F11,K11,P11)/S11</f>
        <v>#DIV/0!</v>
      </c>
      <c r="V11" s="309">
        <f>SUM(F11+K11+P11)</f>
        <v>22</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42</v>
      </c>
      <c r="G12" s="173">
        <f>ROUND(SUM('All Questions'!D73:D80)/4,0)</f>
        <v>92</v>
      </c>
      <c r="H12" s="174">
        <f>ROUND(SUM('All Questions'!D82:D83)/2,0)</f>
        <v>66</v>
      </c>
      <c r="I12" s="175">
        <f>ROUND(SUM('All Questions'!E54:E58)+'All Questions'!E71/4,0)</f>
        <v>0</v>
      </c>
      <c r="J12" s="176">
        <f>ROUND(SUM('All Questions'!E60:E63)/4,0)</f>
        <v>0</v>
      </c>
      <c r="K12" s="176">
        <f>ROUND(SUM('All Questions'!E67:E72)/3,0)</f>
        <v>6</v>
      </c>
      <c r="L12" s="176">
        <f>ROUND(SUM('All Questions'!E73:E80)/4,0)</f>
        <v>16</v>
      </c>
      <c r="M12" s="177">
        <f>ROUND(SUM('All Questions'!E82:E83)/2,0)</f>
        <v>20</v>
      </c>
      <c r="N12" s="178">
        <f>ROUND(SUM('All Questions'!F54:F58)+'All Questions'!F71/4,0)</f>
        <v>0</v>
      </c>
      <c r="O12" s="176">
        <f>ROUND(SUM('All Questions'!F60:F63)/4,0)</f>
        <v>0</v>
      </c>
      <c r="P12" s="176">
        <f>ROUND(SUM('All Questions'!F67:F72)/3,0)</f>
        <v>4</v>
      </c>
      <c r="Q12" s="176">
        <f>ROUND(SUM('All Questions'!F73:F80)/4,0)</f>
        <v>9</v>
      </c>
      <c r="R12" s="177">
        <f>ROUND(SUM('All Questions'!F82:F83)/2,0)</f>
        <v>17</v>
      </c>
      <c r="S12" s="145">
        <f>'All Questions'!F46</f>
        <v>0</v>
      </c>
      <c r="T12" s="146" t="e">
        <f ref="T12:T15" t="shared" si="1">(AVERAGE(F12:H12)+AVERAGE(K12:M12)+AVERAGE(P12:R12))/S12</f>
        <v>#DIV/0!</v>
      </c>
      <c r="V12" s="309">
        <f>AVERAGE(F12:H12)+AVERAGE(K12:M12)+AVERAGE(P12:R12)</f>
        <v>90.666666666666671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1</v>
      </c>
      <c r="H14" s="180">
        <f>ROUND(SUM('All Questions'!D88:D89)/2,0)</f>
        <v>1</v>
      </c>
      <c r="I14" s="187">
        <f>ROUND('All Questions'!E57,0)</f>
        <v>0</v>
      </c>
      <c r="J14" s="183">
        <f>ROUND('All Questions'!E64,0)</f>
        <v>0</v>
      </c>
      <c r="K14" s="183">
        <f>ROUND(SUM('All Questions'!E69:E70),0)</f>
        <v>1</v>
      </c>
      <c r="L14" s="183">
        <f>ROUND(SUM('All Questions'!E74,'All Questions'!E76,'All Questions'!E78,'All Questions'!E80)/4,0)</f>
        <v>1</v>
      </c>
      <c r="M14" s="184">
        <f>ROUND(SUM('All Questions'!E88:E89)/2,0)</f>
        <v>2</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2.333333333333333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7</v>
      </c>
      <c r="G17" s="155">
        <f>ROUND(SUM('All Questions'!D155:D158)/4,0)</f>
        <v>7</v>
      </c>
      <c r="H17" s="197">
        <f>ROUND(SUM('All Questions'!D160,'All Questions'!D163)/2,0)</f>
        <v>7</v>
      </c>
      <c r="I17" s="198">
        <f>ROUND(SUM('All Questions'!E145:E146)/2,0)</f>
        <v>0</v>
      </c>
      <c r="J17" s="199">
        <f>ROUND(SUM('All Questions'!E147:E150)/4,0)</f>
        <v>0</v>
      </c>
      <c r="K17" s="199">
        <f>ROUND(SUM('All Questions'!E151:E154)/2,0)</f>
        <v>8</v>
      </c>
      <c r="L17" s="199">
        <f>ROUND(SUM('All Questions'!E155:E158)/4,0)</f>
        <v>8</v>
      </c>
      <c r="M17" s="197">
        <f>ROUND(SUM('All Questions'!E160,'All Questions'!E163)/2,0)</f>
        <v>8</v>
      </c>
      <c r="N17" s="200">
        <f>ROUND(SUM('All Questions'!F145:F146)/2,0)</f>
        <v>0</v>
      </c>
      <c r="O17" s="199">
        <f>ROUND(SUM('All Questions'!F147:F150)/4,0)</f>
        <v>0</v>
      </c>
      <c r="P17" s="199">
        <f>ROUND(SUM('All Questions'!F151:F154)/2,0)</f>
        <v>9</v>
      </c>
      <c r="Q17" s="199">
        <f>ROUND(SUM('All Questions'!F155:F158)/4,0)</f>
        <v>9</v>
      </c>
      <c r="R17" s="199">
        <f>ROUND(SUM('All Questions'!F160,'All Questions'!F163)/2,0)</f>
        <v>9</v>
      </c>
      <c r="S17" s="151">
        <f>'All Questions'!F141</f>
        <v>0</v>
      </c>
      <c r="T17" s="142" t="e">
        <f>(AVERAGE(F17:H17)+AVERAGE(K17:M17)+AVERAGE(P17:R17))/S17</f>
        <v>#DIV/0!</v>
      </c>
      <c r="V17" s="309">
        <f t="shared" si="2"/>
        <v>24</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405</v>
      </c>
      <c r="Q18" s="204">
        <f>ROUND(SUM('All Questions'!F186:F189)/4,0)</f>
        <v>336</v>
      </c>
      <c r="R18" s="303">
        <f>ROUND(('All Questions'!F191-('All Questions'!F194+'All Questions'!F197+'All Questions'!F200)),0)</f>
        <v>604</v>
      </c>
      <c r="S18" s="152">
        <f>'All Questions'!F166</f>
        <v>0</v>
      </c>
      <c r="T18" s="144" t="e">
        <f>AVERAGE(P18:R18)/S18</f>
        <v>#DIV/0!</v>
      </c>
      <c r="V18" s="309">
        <f>AVERAGE(P18:R18)</f>
        <v>448.33333333333331</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1128</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303</v>
      </c>
      <c r="E10" s="301">
        <v>0</v>
      </c>
      <c r="F10" s="301">
        <v>0</v>
      </c>
      <c r="G10" s="207" t="s">
        <v>67</v>
      </c>
    </row>
    <row r="11" hidden="1" ht="45" customHeight="1">
      <c r="A11" s="226"/>
      <c r="B11" s="238">
        <v>1114</v>
      </c>
      <c r="C11" s="243" t="s">
        <v>84</v>
      </c>
      <c r="D11" s="301">
        <v>303</v>
      </c>
      <c r="E11" s="301">
        <v>340</v>
      </c>
      <c r="F11" s="301">
        <v>607</v>
      </c>
      <c r="G11" s="207" t="s">
        <v>67</v>
      </c>
    </row>
    <row r="12" hidden="1" ht="45" customHeight="1">
      <c r="A12" s="226"/>
      <c r="B12" s="238">
        <v>1115</v>
      </c>
      <c r="C12" s="242" t="s">
        <v>85</v>
      </c>
      <c r="D12" s="301">
        <v>303</v>
      </c>
      <c r="E12" s="301">
        <v>340</v>
      </c>
      <c r="F12" s="301">
        <v>607</v>
      </c>
      <c r="G12" s="207" t="s">
        <v>67</v>
      </c>
    </row>
    <row r="13" hidden="1" ht="45" customHeight="1">
      <c r="A13" s="226" t="s">
        <v>86</v>
      </c>
      <c r="B13" s="238">
        <v>1116</v>
      </c>
      <c r="C13" s="242" t="s">
        <v>87</v>
      </c>
      <c r="D13" s="301">
        <v>303</v>
      </c>
      <c r="E13" s="301">
        <v>340</v>
      </c>
      <c r="F13" s="301">
        <v>607</v>
      </c>
      <c r="G13" s="207" t="s">
        <v>67</v>
      </c>
    </row>
    <row r="14" hidden="1" ht="45" customHeight="1">
      <c r="A14" s="226"/>
      <c r="B14" s="238">
        <v>1117</v>
      </c>
      <c r="C14" s="242" t="s">
        <v>88</v>
      </c>
      <c r="D14" s="301">
        <v>303</v>
      </c>
      <c r="E14" s="301">
        <v>340</v>
      </c>
      <c r="F14" s="301">
        <v>607</v>
      </c>
      <c r="G14" s="207" t="s">
        <v>67</v>
      </c>
    </row>
    <row r="15" hidden="1" ht="45" customHeight="1">
      <c r="A15" s="226">
        <v>1116</v>
      </c>
      <c r="B15" s="238">
        <v>1121</v>
      </c>
      <c r="C15" s="243" t="str">
        <f>C13</f>
        <v>How many HTC clients have a completed Client intake form </v>
      </c>
      <c r="D15" s="302">
        <v>303</v>
      </c>
      <c r="E15" s="302">
        <v>340</v>
      </c>
      <c r="F15" s="302">
        <v>607</v>
      </c>
      <c r="G15" s="207"/>
    </row>
    <row r="16" hidden="1" ht="45" customHeight="1">
      <c r="A16" s="226"/>
      <c r="B16" s="238">
        <v>1122</v>
      </c>
      <c r="C16" s="243" t="s">
        <v>89</v>
      </c>
      <c r="D16" s="301">
        <v>303</v>
      </c>
      <c r="E16" s="301">
        <v>340</v>
      </c>
      <c r="F16" s="301">
        <v>607</v>
      </c>
      <c r="G16" s="207" t="s">
        <v>67</v>
      </c>
    </row>
    <row r="17" hidden="1" ht="45" customHeight="1">
      <c r="A17" s="226"/>
      <c r="B17" s="238">
        <v>1123</v>
      </c>
      <c r="C17" s="242" t="s">
        <v>90</v>
      </c>
      <c r="D17" s="301">
        <v>303</v>
      </c>
      <c r="E17" s="301">
        <v>340</v>
      </c>
      <c r="F17" s="301">
        <v>607</v>
      </c>
      <c r="G17" s="207" t="s">
        <v>67</v>
      </c>
    </row>
    <row r="18" hidden="1" ht="45" customHeight="1">
      <c r="A18" s="226"/>
      <c r="B18" s="238">
        <v>1124</v>
      </c>
      <c r="C18" s="242" t="s">
        <v>91</v>
      </c>
      <c r="D18" s="301">
        <v>303</v>
      </c>
      <c r="E18" s="301">
        <v>340</v>
      </c>
      <c r="F18" s="301">
        <v>607</v>
      </c>
      <c r="G18" s="207" t="s">
        <v>67</v>
      </c>
    </row>
    <row r="19" hidden="1" ht="45" customHeight="1">
      <c r="A19" s="226"/>
      <c r="B19" s="238">
        <v>1125</v>
      </c>
      <c r="C19" s="242" t="s">
        <v>92</v>
      </c>
      <c r="D19" s="301">
        <v>303</v>
      </c>
      <c r="E19" s="301">
        <v>229</v>
      </c>
      <c r="F19" s="301">
        <v>183</v>
      </c>
      <c r="G19" s="207" t="s">
        <v>67</v>
      </c>
    </row>
    <row r="20" hidden="1" ht="45" customHeight="1">
      <c r="A20" s="226"/>
      <c r="B20" s="238">
        <v>1126</v>
      </c>
      <c r="C20" s="242" t="s">
        <v>93</v>
      </c>
      <c r="D20" s="301">
        <v>303</v>
      </c>
      <c r="E20" s="301">
        <v>229</v>
      </c>
      <c r="F20" s="301">
        <v>183</v>
      </c>
      <c r="G20" s="207" t="s">
        <v>67</v>
      </c>
    </row>
    <row r="21" hidden="1" ht="45" customHeight="1">
      <c r="A21" s="226"/>
      <c r="B21" s="238">
        <v>1127</v>
      </c>
      <c r="C21" s="242" t="s">
        <v>94</v>
      </c>
      <c r="D21" s="301">
        <v>303</v>
      </c>
      <c r="E21" s="301">
        <v>229</v>
      </c>
      <c r="F21" s="301">
        <v>183</v>
      </c>
      <c r="G21" s="207" t="s">
        <v>67</v>
      </c>
    </row>
    <row r="22" hidden="1" ht="45" customHeight="1">
      <c r="A22" s="226"/>
      <c r="B22" s="238"/>
      <c r="C22" s="245" t="s">
        <v>95</v>
      </c>
      <c r="D22" s="246"/>
      <c r="E22" s="246"/>
      <c r="F22" s="247"/>
      <c r="G22" s="207" t="s">
        <v>67</v>
      </c>
    </row>
    <row r="23" hidden="1" ht="45" customHeight="1">
      <c r="A23" s="226"/>
      <c r="B23" s="238">
        <v>1131</v>
      </c>
      <c r="C23" s="242" t="s">
        <v>96</v>
      </c>
      <c r="D23" s="301">
        <v>143</v>
      </c>
      <c r="E23" s="301">
        <v>158</v>
      </c>
      <c r="F23" s="301">
        <v>241</v>
      </c>
      <c r="G23" s="207" t="s">
        <v>67</v>
      </c>
    </row>
    <row r="24" hidden="1" ht="45" customHeight="1">
      <c r="A24" s="226"/>
      <c r="B24" s="238">
        <v>1132</v>
      </c>
      <c r="C24" s="242" t="s">
        <v>97</v>
      </c>
      <c r="D24" s="301">
        <v>160</v>
      </c>
      <c r="E24" s="301">
        <v>182</v>
      </c>
      <c r="F24" s="301">
        <v>0</v>
      </c>
      <c r="G24" s="207" t="s">
        <v>67</v>
      </c>
    </row>
    <row r="25" hidden="1" ht="45" customHeight="1">
      <c r="A25" s="226"/>
      <c r="B25" s="238">
        <v>1133</v>
      </c>
      <c r="C25" s="242" t="s">
        <v>98</v>
      </c>
      <c r="D25" s="301">
        <v>291</v>
      </c>
      <c r="E25" s="301">
        <v>327</v>
      </c>
      <c r="F25" s="301">
        <v>0</v>
      </c>
      <c r="G25" s="207" t="s">
        <v>67</v>
      </c>
    </row>
    <row r="26" hidden="1" ht="45" customHeight="1">
      <c r="A26" s="226"/>
      <c r="B26" s="238">
        <v>1134</v>
      </c>
      <c r="C26" s="242" t="s">
        <v>99</v>
      </c>
      <c r="D26" s="301">
        <v>12</v>
      </c>
      <c r="E26" s="301">
        <v>14</v>
      </c>
      <c r="F26" s="301">
        <v>79</v>
      </c>
      <c r="G26" s="207" t="s">
        <v>67</v>
      </c>
    </row>
    <row r="27" hidden="1" ht="45" customHeight="1">
      <c r="A27" s="226"/>
      <c r="B27" s="238">
        <v>1135</v>
      </c>
      <c r="C27" s="242" t="s">
        <v>100</v>
      </c>
      <c r="D27" s="301">
        <v>303</v>
      </c>
      <c r="E27" s="301">
        <v>340</v>
      </c>
      <c r="F27" s="301">
        <v>607</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13</v>
      </c>
      <c r="E29" s="301">
        <v>3</v>
      </c>
      <c r="F29" s="301">
        <v>6</v>
      </c>
      <c r="G29" s="207" t="s">
        <v>67</v>
      </c>
    </row>
    <row r="30" hidden="1" ht="45" customHeight="1">
      <c r="A30" s="226"/>
      <c r="B30" s="238">
        <v>1138</v>
      </c>
      <c r="C30" s="242" t="s">
        <v>103</v>
      </c>
      <c r="D30" s="301">
        <v>290</v>
      </c>
      <c r="E30" s="301">
        <v>226</v>
      </c>
      <c r="F30" s="301">
        <v>177</v>
      </c>
      <c r="G30" s="207" t="s">
        <v>67</v>
      </c>
    </row>
    <row r="31" hidden="1" ht="45" customHeight="1">
      <c r="A31" s="226">
        <v>1116</v>
      </c>
      <c r="B31" s="238">
        <v>1141</v>
      </c>
      <c r="C31" s="242" t="s">
        <v>104</v>
      </c>
      <c r="D31" s="302">
        <v>303</v>
      </c>
      <c r="E31" s="302">
        <v>340</v>
      </c>
      <c r="F31" s="302">
        <v>607</v>
      </c>
      <c r="G31" s="207"/>
    </row>
    <row r="32" hidden="1" ht="45" customHeight="1">
      <c r="A32" s="226"/>
      <c r="B32" s="238">
        <v>1142</v>
      </c>
      <c r="C32" s="243" t="s">
        <v>105</v>
      </c>
      <c r="D32" s="302">
        <v>303</v>
      </c>
      <c r="E32" s="302">
        <v>340</v>
      </c>
      <c r="F32" s="302">
        <v>607</v>
      </c>
      <c r="G32" s="207"/>
    </row>
    <row r="33" hidden="1" ht="45" customHeight="1">
      <c r="A33" s="226"/>
      <c r="B33" s="238">
        <v>1143</v>
      </c>
      <c r="C33" s="242" t="s">
        <v>106</v>
      </c>
      <c r="D33" s="301">
        <v>303</v>
      </c>
      <c r="E33" s="301">
        <v>340</v>
      </c>
      <c r="F33" s="301">
        <v>607</v>
      </c>
      <c r="G33" s="207" t="s">
        <v>67</v>
      </c>
    </row>
    <row r="34" hidden="1" ht="45" customHeight="1">
      <c r="A34" s="226"/>
      <c r="B34" s="238">
        <v>1144</v>
      </c>
      <c r="C34" s="242" t="s">
        <v>107</v>
      </c>
      <c r="D34" s="301">
        <v>303</v>
      </c>
      <c r="E34" s="301">
        <v>229</v>
      </c>
      <c r="F34" s="301">
        <v>183</v>
      </c>
      <c r="G34" s="207" t="s">
        <v>67</v>
      </c>
    </row>
    <row r="35" hidden="1" ht="45" customHeight="1">
      <c r="A35" s="226"/>
      <c r="B35" s="238">
        <v>1145</v>
      </c>
      <c r="C35" s="242" t="s">
        <v>108</v>
      </c>
      <c r="D35" s="301">
        <v>303</v>
      </c>
      <c r="E35" s="301">
        <v>340</v>
      </c>
      <c r="F35" s="301">
        <v>607</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291</v>
      </c>
      <c r="E37" s="301">
        <v>329</v>
      </c>
      <c r="F37" s="301">
        <v>529</v>
      </c>
      <c r="G37" s="207" t="s">
        <v>67</v>
      </c>
    </row>
    <row r="38" hidden="1" ht="45" customHeight="1">
      <c r="A38" s="226"/>
      <c r="B38" s="238">
        <v>1153</v>
      </c>
      <c r="C38" s="242" t="s">
        <v>111</v>
      </c>
      <c r="D38" s="301">
        <v>291</v>
      </c>
      <c r="E38" s="301">
        <v>329</v>
      </c>
      <c r="F38" s="301">
        <v>529</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291</v>
      </c>
      <c r="E40" s="301">
        <v>329</v>
      </c>
      <c r="F40" s="301">
        <v>529</v>
      </c>
      <c r="G40" s="207" t="s">
        <v>67</v>
      </c>
    </row>
    <row r="41" hidden="1" ht="45" customHeight="1">
      <c r="A41" s="226"/>
      <c r="B41" s="238">
        <v>1156</v>
      </c>
      <c r="C41" s="242" t="s">
        <v>113</v>
      </c>
      <c r="D41" s="301">
        <v>291</v>
      </c>
      <c r="E41" s="301">
        <v>329</v>
      </c>
      <c r="F41" s="301">
        <v>529</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12</v>
      </c>
      <c r="E43" s="301">
        <v>3</v>
      </c>
      <c r="F43" s="301">
        <v>6</v>
      </c>
      <c r="G43" s="207" t="s">
        <v>67</v>
      </c>
    </row>
    <row r="44" hidden="1" ht="45" customHeight="1" s="250" customFormat="1">
      <c r="A44" s="226"/>
      <c r="B44" s="238">
        <v>1159</v>
      </c>
      <c r="C44" s="242" t="s">
        <v>116</v>
      </c>
      <c r="D44" s="301">
        <v>12</v>
      </c>
      <c r="E44" s="301">
        <v>3</v>
      </c>
      <c r="F44" s="301">
        <v>6</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162</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0</v>
      </c>
      <c r="E51" s="301">
        <v>0</v>
      </c>
      <c r="F51" s="301">
        <v>0</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1</v>
      </c>
      <c r="E53" s="301">
        <v>2</v>
      </c>
      <c r="F53" s="301">
        <v>1</v>
      </c>
      <c r="G53" s="207" t="s">
        <v>117</v>
      </c>
    </row>
    <row r="54" hidden="1" ht="45" customHeight="1">
      <c r="A54" s="226"/>
      <c r="B54" s="238">
        <v>1214</v>
      </c>
      <c r="C54" s="264" t="s">
        <v>132</v>
      </c>
      <c r="D54" s="301">
        <v>15</v>
      </c>
      <c r="E54" s="301">
        <v>22</v>
      </c>
      <c r="F54" s="301">
        <v>12</v>
      </c>
      <c r="G54" s="207" t="s">
        <v>117</v>
      </c>
    </row>
    <row r="55" hidden="1" ht="45" customHeight="1">
      <c r="A55" s="226"/>
      <c r="B55" s="238">
        <v>1215</v>
      </c>
      <c r="C55" s="242" t="s">
        <v>133</v>
      </c>
      <c r="D55" s="301">
        <v>1</v>
      </c>
      <c r="E55" s="301">
        <v>1</v>
      </c>
      <c r="F55" s="301">
        <v>1</v>
      </c>
      <c r="G55" s="207" t="s">
        <v>117</v>
      </c>
    </row>
    <row r="56" hidden="1" ht="45" customHeight="1">
      <c r="A56" s="226"/>
      <c r="B56" s="238">
        <v>1216</v>
      </c>
      <c r="C56" s="243" t="s">
        <v>134</v>
      </c>
      <c r="D56" s="301">
        <v>15</v>
      </c>
      <c r="E56" s="301">
        <v>22</v>
      </c>
      <c r="F56" s="301">
        <v>12</v>
      </c>
      <c r="G56" s="207" t="s">
        <v>117</v>
      </c>
    </row>
    <row r="57" hidden="1" ht="45" customHeight="1">
      <c r="A57" s="226"/>
      <c r="B57" s="238">
        <v>1217</v>
      </c>
      <c r="C57" s="243" t="s">
        <v>135</v>
      </c>
      <c r="D57" s="301">
        <v>1</v>
      </c>
      <c r="E57" s="301">
        <v>1</v>
      </c>
      <c r="F57" s="301">
        <v>1</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15</v>
      </c>
      <c r="E59" s="301">
        <v>22</v>
      </c>
      <c r="F59" s="301">
        <v>12</v>
      </c>
      <c r="G59" s="207" t="s">
        <v>117</v>
      </c>
    </row>
    <row r="60" hidden="1" ht="45" customHeight="1">
      <c r="A60" s="226"/>
      <c r="B60" s="238">
        <v>1222</v>
      </c>
      <c r="C60" s="264" t="s">
        <v>138</v>
      </c>
      <c r="D60" s="301">
        <v>124</v>
      </c>
      <c r="E60" s="301">
        <v>22</v>
      </c>
      <c r="F60" s="301">
        <v>12</v>
      </c>
      <c r="G60" s="207" t="s">
        <v>117</v>
      </c>
    </row>
    <row r="61" hidden="1" ht="45" customHeight="1">
      <c r="A61" s="226"/>
      <c r="B61" s="238">
        <v>1223</v>
      </c>
      <c r="C61" s="264" t="s">
        <v>139</v>
      </c>
      <c r="D61" s="301">
        <v>124</v>
      </c>
      <c r="E61" s="301">
        <v>17</v>
      </c>
      <c r="F61" s="301">
        <v>12</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1</v>
      </c>
      <c r="E64" s="301">
        <v>1</v>
      </c>
      <c r="F64" s="301">
        <v>0</v>
      </c>
      <c r="G64" s="207" t="s">
        <v>117</v>
      </c>
    </row>
    <row r="65" hidden="1" ht="45" customHeight="1">
      <c r="A65" s="226"/>
      <c r="B65" s="238">
        <v>1227</v>
      </c>
      <c r="C65" s="264" t="s">
        <v>143</v>
      </c>
      <c r="D65" s="301">
        <v>1</v>
      </c>
      <c r="E65" s="301">
        <v>1</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124</v>
      </c>
      <c r="E67" s="301">
        <v>17</v>
      </c>
      <c r="F67" s="301">
        <v>12</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1</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124</v>
      </c>
      <c r="E73" s="301">
        <v>22</v>
      </c>
      <c r="F73" s="301">
        <v>12</v>
      </c>
      <c r="G73" s="207" t="s">
        <v>117</v>
      </c>
    </row>
    <row r="74" hidden="1" ht="45" customHeight="1">
      <c r="A74" s="226"/>
      <c r="B74" s="238">
        <v>1242</v>
      </c>
      <c r="C74" s="242" t="s">
        <v>152</v>
      </c>
      <c r="D74" s="301">
        <v>1</v>
      </c>
      <c r="E74" s="301">
        <v>1</v>
      </c>
      <c r="F74" s="301">
        <v>0</v>
      </c>
      <c r="G74" s="207" t="s">
        <v>117</v>
      </c>
    </row>
    <row r="75" hidden="1" ht="45" customHeight="1">
      <c r="A75" s="226"/>
      <c r="B75" s="238">
        <v>1243</v>
      </c>
      <c r="C75" s="243" t="s">
        <v>153</v>
      </c>
      <c r="D75" s="301">
        <v>124</v>
      </c>
      <c r="E75" s="301">
        <v>17</v>
      </c>
      <c r="F75" s="301">
        <v>12</v>
      </c>
      <c r="G75" s="207" t="s">
        <v>117</v>
      </c>
    </row>
    <row r="76" hidden="1" ht="45" customHeight="1">
      <c r="A76" s="226"/>
      <c r="B76" s="238">
        <v>1244</v>
      </c>
      <c r="C76" s="243" t="s">
        <v>154</v>
      </c>
      <c r="D76" s="301">
        <v>1</v>
      </c>
      <c r="E76" s="301">
        <v>1</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118</v>
      </c>
      <c r="E79" s="301">
        <v>23</v>
      </c>
      <c r="F79" s="301">
        <v>12</v>
      </c>
      <c r="G79" s="207" t="s">
        <v>117</v>
      </c>
    </row>
    <row r="80" hidden="1" ht="45" customHeight="1">
      <c r="A80" s="226"/>
      <c r="B80" s="238">
        <v>1248</v>
      </c>
      <c r="C80" s="242" t="s">
        <v>158</v>
      </c>
      <c r="D80" s="301">
        <v>1</v>
      </c>
      <c r="E80" s="301">
        <v>2</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14</v>
      </c>
      <c r="E82" s="301">
        <v>17</v>
      </c>
      <c r="F82" s="301">
        <v>22</v>
      </c>
      <c r="G82" s="207" t="s">
        <v>117</v>
      </c>
    </row>
    <row r="83" hidden="1" ht="45" customHeight="1">
      <c r="A83" s="226"/>
      <c r="B83" s="238">
        <v>1253</v>
      </c>
      <c r="C83" s="242" t="s">
        <v>161</v>
      </c>
      <c r="D83" s="301">
        <v>118</v>
      </c>
      <c r="E83" s="301">
        <v>23</v>
      </c>
      <c r="F83" s="301">
        <v>12</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1</v>
      </c>
      <c r="F88" s="301">
        <v>0</v>
      </c>
      <c r="G88" s="207" t="s">
        <v>117</v>
      </c>
    </row>
    <row r="89" hidden="1" ht="45" customHeight="1">
      <c r="A89" s="226"/>
      <c r="B89" s="238">
        <v>1259</v>
      </c>
      <c r="C89" s="242" t="s">
        <v>167</v>
      </c>
      <c r="D89" s="301">
        <v>1</v>
      </c>
      <c r="E89" s="301">
        <v>2</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14</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24</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7</v>
      </c>
      <c r="E144" s="301">
        <v>8</v>
      </c>
      <c r="F144" s="301">
        <v>9</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7</v>
      </c>
      <c r="E146" s="301">
        <v>8</v>
      </c>
      <c r="F146" s="301">
        <v>9</v>
      </c>
      <c r="G146" s="207" t="s">
        <v>219</v>
      </c>
    </row>
    <row r="147" hidden="1" ht="45" customHeight="1">
      <c r="A147" s="226"/>
      <c r="B147" s="238">
        <v>1521</v>
      </c>
      <c r="C147" s="264" t="s">
        <v>227</v>
      </c>
      <c r="D147" s="301">
        <v>7</v>
      </c>
      <c r="E147" s="301">
        <v>8</v>
      </c>
      <c r="F147" s="301">
        <v>9</v>
      </c>
      <c r="G147" s="207" t="s">
        <v>219</v>
      </c>
    </row>
    <row r="148" hidden="1" ht="45" customHeight="1">
      <c r="A148" s="226"/>
      <c r="B148" s="238">
        <v>1522</v>
      </c>
      <c r="C148" s="264" t="s">
        <v>228</v>
      </c>
      <c r="D148" s="301">
        <v>7</v>
      </c>
      <c r="E148" s="301">
        <v>8</v>
      </c>
      <c r="F148" s="301">
        <v>9</v>
      </c>
      <c r="G148" s="207" t="s">
        <v>219</v>
      </c>
    </row>
    <row r="149" hidden="1" ht="45" customHeight="1">
      <c r="A149" s="226"/>
      <c r="B149" s="238">
        <v>1523</v>
      </c>
      <c r="C149" s="264" t="s">
        <v>229</v>
      </c>
      <c r="D149" s="301">
        <v>5</v>
      </c>
      <c r="E149" s="301">
        <v>4</v>
      </c>
      <c r="F149" s="301">
        <v>8</v>
      </c>
      <c r="G149" s="207" t="s">
        <v>219</v>
      </c>
    </row>
    <row r="150" hidden="1" ht="45" customHeight="1">
      <c r="A150" s="226"/>
      <c r="B150" s="238">
        <v>1524</v>
      </c>
      <c r="C150" s="264" t="s">
        <v>230</v>
      </c>
      <c r="D150" s="301">
        <v>7</v>
      </c>
      <c r="E150" s="301">
        <v>8</v>
      </c>
      <c r="F150" s="301">
        <v>9</v>
      </c>
      <c r="G150" s="207" t="s">
        <v>219</v>
      </c>
    </row>
    <row r="151" hidden="1" ht="45" customHeight="1">
      <c r="A151" s="226"/>
      <c r="B151" s="238">
        <v>1531</v>
      </c>
      <c r="C151" s="242" t="s">
        <v>231</v>
      </c>
      <c r="D151" s="301">
        <v>2</v>
      </c>
      <c r="E151" s="301">
        <v>5</v>
      </c>
      <c r="F151" s="301">
        <v>3</v>
      </c>
      <c r="G151" s="207" t="s">
        <v>219</v>
      </c>
    </row>
    <row r="152" hidden="1" ht="45" customHeight="1">
      <c r="A152" s="226"/>
      <c r="B152" s="238">
        <v>1532</v>
      </c>
      <c r="C152" s="242" t="s">
        <v>232</v>
      </c>
      <c r="D152" s="301">
        <v>5</v>
      </c>
      <c r="E152" s="301">
        <v>3</v>
      </c>
      <c r="F152" s="301">
        <v>6</v>
      </c>
      <c r="G152" s="207" t="s">
        <v>219</v>
      </c>
    </row>
    <row r="153" hidden="1" ht="45" customHeight="1">
      <c r="A153" s="226"/>
      <c r="B153" s="238">
        <v>1533</v>
      </c>
      <c r="C153" s="242" t="s">
        <v>233</v>
      </c>
      <c r="D153" s="301">
        <v>7</v>
      </c>
      <c r="E153" s="301">
        <v>8</v>
      </c>
      <c r="F153" s="301">
        <v>9</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7</v>
      </c>
      <c r="E155" s="301">
        <v>8</v>
      </c>
      <c r="F155" s="301">
        <v>9</v>
      </c>
      <c r="G155" s="207" t="s">
        <v>219</v>
      </c>
    </row>
    <row r="156" hidden="1" ht="45" customHeight="1">
      <c r="A156" s="226"/>
      <c r="B156" s="238">
        <v>1542</v>
      </c>
      <c r="C156" s="264" t="s">
        <v>236</v>
      </c>
      <c r="D156" s="301">
        <v>7</v>
      </c>
      <c r="E156" s="301">
        <v>8</v>
      </c>
      <c r="F156" s="301">
        <v>9</v>
      </c>
      <c r="G156" s="207" t="s">
        <v>219</v>
      </c>
    </row>
    <row r="157" hidden="1" ht="45" customHeight="1">
      <c r="A157" s="226"/>
      <c r="B157" s="238">
        <v>1543</v>
      </c>
      <c r="C157" s="264" t="s">
        <v>237</v>
      </c>
      <c r="D157" s="301">
        <v>7</v>
      </c>
      <c r="E157" s="301">
        <v>8</v>
      </c>
      <c r="F157" s="301">
        <v>9</v>
      </c>
      <c r="G157" s="207" t="s">
        <v>219</v>
      </c>
    </row>
    <row r="158" hidden="1" ht="45" customHeight="1">
      <c r="A158" s="226"/>
      <c r="B158" s="238">
        <v>1544</v>
      </c>
      <c r="C158" s="242" t="s">
        <v>238</v>
      </c>
      <c r="D158" s="301">
        <v>7</v>
      </c>
      <c r="E158" s="301">
        <v>8</v>
      </c>
      <c r="F158" s="301">
        <v>9</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7</v>
      </c>
      <c r="E160" s="301">
        <v>8</v>
      </c>
      <c r="F160" s="301">
        <v>9</v>
      </c>
      <c r="G160" s="207" t="s">
        <v>219</v>
      </c>
    </row>
    <row r="161" hidden="1" ht="45" customHeight="1">
      <c r="A161" s="226"/>
      <c r="B161" s="238">
        <v>1553</v>
      </c>
      <c r="C161" s="242" t="s">
        <v>241</v>
      </c>
      <c r="D161" s="301">
        <v>7</v>
      </c>
      <c r="E161" s="301">
        <v>8</v>
      </c>
      <c r="F161" s="301">
        <v>9</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7</v>
      </c>
      <c r="E163" s="301">
        <v>8</v>
      </c>
      <c r="F163" s="301">
        <v>9</v>
      </c>
      <c r="G163" s="207" t="s">
        <v>219</v>
      </c>
    </row>
    <row r="164" hidden="1" ht="45" customHeight="1">
      <c r="A164" s="226"/>
      <c r="B164" s="238">
        <v>1556</v>
      </c>
      <c r="C164" s="242" t="s">
        <v>241</v>
      </c>
      <c r="D164" s="301">
        <v>7</v>
      </c>
      <c r="E164" s="301">
        <v>8</v>
      </c>
      <c r="F164" s="301">
        <v>9</v>
      </c>
      <c r="G164" s="207" t="s">
        <v>219</v>
      </c>
    </row>
    <row r="165" hidden="1" ht="45" customHeight="1">
      <c r="A165" s="226"/>
      <c r="C165" s="278"/>
      <c r="D165" s="279"/>
      <c r="G165" s="207"/>
    </row>
    <row r="166" hidden="1" ht="45" customHeight="1">
      <c r="A166" s="226"/>
      <c r="B166" s="281" t="s">
        <v>244</v>
      </c>
      <c r="C166" s="260" t="s">
        <v>245</v>
      </c>
      <c r="D166" s="228"/>
      <c r="E166" s="231"/>
      <c r="F166" s="300">
        <v>476</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7</v>
      </c>
      <c r="E171" s="301">
        <v>8</v>
      </c>
      <c r="F171" s="301">
        <v>9</v>
      </c>
      <c r="G171" s="207" t="s">
        <v>244</v>
      </c>
    </row>
    <row r="172" hidden="1" ht="45" customHeight="1">
      <c r="A172" s="226"/>
      <c r="B172" s="238">
        <v>1614</v>
      </c>
      <c r="C172" s="283" t="s">
        <v>251</v>
      </c>
      <c r="D172" s="301">
        <v>7</v>
      </c>
      <c r="E172" s="301">
        <v>8</v>
      </c>
      <c r="F172" s="301">
        <v>9</v>
      </c>
      <c r="G172" s="207" t="s">
        <v>244</v>
      </c>
    </row>
    <row r="173" hidden="1" ht="45" customHeight="1">
      <c r="A173" s="226"/>
      <c r="B173" s="238">
        <v>1615</v>
      </c>
      <c r="C173" s="242" t="s">
        <v>252</v>
      </c>
      <c r="D173" s="301">
        <v>301</v>
      </c>
      <c r="E173" s="301">
        <v>278</v>
      </c>
      <c r="F173" s="301">
        <v>333</v>
      </c>
      <c r="G173" s="207" t="s">
        <v>244</v>
      </c>
    </row>
    <row r="174" hidden="1" ht="45" customHeight="1">
      <c r="A174" s="226"/>
      <c r="B174" s="238">
        <v>1616</v>
      </c>
      <c r="C174" s="242" t="s">
        <v>253</v>
      </c>
      <c r="D174" s="301">
        <v>29</v>
      </c>
      <c r="E174" s="301">
        <v>29</v>
      </c>
      <c r="F174" s="301">
        <v>28</v>
      </c>
      <c r="G174" s="207" t="s">
        <v>244</v>
      </c>
    </row>
    <row r="175" hidden="1" ht="45" customHeight="1">
      <c r="A175" s="226"/>
      <c r="B175" s="238">
        <v>1621</v>
      </c>
      <c r="C175" s="242" t="s">
        <v>254</v>
      </c>
      <c r="D175" s="301">
        <v>29</v>
      </c>
      <c r="E175" s="301">
        <v>29</v>
      </c>
      <c r="F175" s="301">
        <v>28</v>
      </c>
      <c r="G175" s="207" t="s">
        <v>244</v>
      </c>
    </row>
    <row r="176" hidden="1" ht="45" customHeight="1">
      <c r="A176" s="226"/>
      <c r="B176" s="238">
        <v>1622</v>
      </c>
      <c r="C176" s="242" t="s">
        <v>255</v>
      </c>
      <c r="D176" s="301">
        <v>29</v>
      </c>
      <c r="E176" s="301">
        <v>28</v>
      </c>
      <c r="F176" s="301">
        <v>27</v>
      </c>
      <c r="G176" s="207" t="s">
        <v>244</v>
      </c>
    </row>
    <row r="177" hidden="1" ht="45" customHeight="1">
      <c r="A177" s="226"/>
      <c r="B177" s="238">
        <v>1623</v>
      </c>
      <c r="C177" s="242" t="s">
        <v>256</v>
      </c>
      <c r="D177" s="301">
        <v>29</v>
      </c>
      <c r="E177" s="301">
        <v>29</v>
      </c>
      <c r="F177" s="301">
        <v>28</v>
      </c>
      <c r="G177" s="207" t="s">
        <v>244</v>
      </c>
    </row>
    <row r="178" hidden="1" ht="45" customHeight="1">
      <c r="A178" s="226"/>
      <c r="B178" s="238">
        <v>1624</v>
      </c>
      <c r="C178" s="242" t="s">
        <v>257</v>
      </c>
      <c r="D178" s="301">
        <v>29</v>
      </c>
      <c r="E178" s="301">
        <v>28</v>
      </c>
      <c r="F178" s="301">
        <v>27</v>
      </c>
      <c r="G178" s="207" t="s">
        <v>244</v>
      </c>
    </row>
    <row r="179" hidden="1" ht="45" customHeight="1">
      <c r="A179" s="226"/>
      <c r="B179" s="238">
        <v>1625</v>
      </c>
      <c r="C179" s="242" t="s">
        <v>258</v>
      </c>
      <c r="D179" s="301">
        <v>261</v>
      </c>
      <c r="E179" s="301">
        <v>391</v>
      </c>
      <c r="F179" s="301">
        <v>441</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139</v>
      </c>
      <c r="E181" s="301">
        <v>143</v>
      </c>
      <c r="F181" s="301">
        <v>0</v>
      </c>
      <c r="G181" s="207" t="s">
        <v>244</v>
      </c>
    </row>
    <row r="182" hidden="1" ht="45" customHeight="1">
      <c r="A182" s="226"/>
      <c r="B182" s="238">
        <v>1632</v>
      </c>
      <c r="C182" s="242" t="s">
        <v>261</v>
      </c>
      <c r="D182" s="301">
        <v>305</v>
      </c>
      <c r="E182" s="301">
        <v>309</v>
      </c>
      <c r="F182" s="301">
        <v>315</v>
      </c>
      <c r="G182" s="207" t="s">
        <v>244</v>
      </c>
    </row>
    <row r="183" hidden="1" ht="45" customHeight="1">
      <c r="A183" s="226"/>
      <c r="B183" s="238">
        <v>1633</v>
      </c>
      <c r="C183" s="242" t="s">
        <v>262</v>
      </c>
      <c r="D183" s="301">
        <v>421</v>
      </c>
      <c r="E183" s="301">
        <v>428</v>
      </c>
      <c r="F183" s="301">
        <v>436</v>
      </c>
      <c r="G183" s="207" t="s">
        <v>244</v>
      </c>
    </row>
    <row r="184" hidden="1" ht="45" customHeight="1">
      <c r="A184" s="226"/>
      <c r="B184" s="238">
        <v>1634</v>
      </c>
      <c r="C184" s="242" t="s">
        <v>263</v>
      </c>
      <c r="D184" s="301">
        <v>21</v>
      </c>
      <c r="E184" s="301">
        <v>22</v>
      </c>
      <c r="F184" s="301">
        <v>22</v>
      </c>
      <c r="G184" s="207" t="s">
        <v>244</v>
      </c>
    </row>
    <row r="185" hidden="1" ht="45" customHeight="1">
      <c r="A185" s="226"/>
      <c r="B185" s="238">
        <v>1635</v>
      </c>
      <c r="C185" s="242" t="s">
        <v>264</v>
      </c>
      <c r="D185" s="301">
        <v>261</v>
      </c>
      <c r="E185" s="301">
        <v>391</v>
      </c>
      <c r="F185" s="301">
        <v>441</v>
      </c>
      <c r="G185" s="207" t="s">
        <v>244</v>
      </c>
    </row>
    <row r="186" hidden="1" ht="45" customHeight="1">
      <c r="A186" s="226"/>
      <c r="B186" s="238">
        <v>1641</v>
      </c>
      <c r="C186" s="242" t="s">
        <v>265</v>
      </c>
      <c r="D186" s="301">
        <v>261</v>
      </c>
      <c r="E186" s="301">
        <v>391</v>
      </c>
      <c r="F186" s="301">
        <v>441</v>
      </c>
      <c r="G186" s="207" t="s">
        <v>244</v>
      </c>
    </row>
    <row r="187" hidden="1" ht="45" customHeight="1">
      <c r="A187" s="226"/>
      <c r="B187" s="238">
        <v>1642</v>
      </c>
      <c r="C187" s="242" t="s">
        <v>264</v>
      </c>
      <c r="D187" s="301">
        <v>261</v>
      </c>
      <c r="E187" s="301">
        <v>391</v>
      </c>
      <c r="F187" s="301">
        <v>441</v>
      </c>
      <c r="G187" s="207" t="s">
        <v>244</v>
      </c>
    </row>
    <row r="188" hidden="1" ht="45" customHeight="1">
      <c r="A188" s="226"/>
      <c r="B188" s="238">
        <v>1643</v>
      </c>
      <c r="C188" s="242" t="s">
        <v>266</v>
      </c>
      <c r="D188" s="301">
        <v>444</v>
      </c>
      <c r="E188" s="301">
        <v>452</v>
      </c>
      <c r="F188" s="301">
        <v>461</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588</v>
      </c>
      <c r="E191" s="301">
        <v>596</v>
      </c>
      <c r="F191" s="301">
        <v>605</v>
      </c>
      <c r="G191" s="207" t="s">
        <v>244</v>
      </c>
    </row>
    <row r="192" hidden="1" ht="45" customHeight="1">
      <c r="A192" s="226"/>
      <c r="B192" s="238">
        <v>1653</v>
      </c>
      <c r="C192" s="242" t="s">
        <v>270</v>
      </c>
      <c r="D192" s="301">
        <v>588</v>
      </c>
      <c r="E192" s="301">
        <v>596</v>
      </c>
      <c r="F192" s="301">
        <v>605</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1</v>
      </c>
      <c r="E197" s="301">
        <v>1</v>
      </c>
      <c r="F197" s="301">
        <v>1</v>
      </c>
      <c r="G197" s="207" t="s">
        <v>244</v>
      </c>
    </row>
    <row r="198" hidden="1" ht="45" customHeight="1">
      <c r="A198" s="226"/>
      <c r="B198" s="238">
        <v>1659</v>
      </c>
      <c r="C198" s="242" t="s">
        <v>276</v>
      </c>
      <c r="D198" s="301">
        <v>1</v>
      </c>
      <c r="E198" s="301">
        <v>1</v>
      </c>
      <c r="F198" s="301">
        <v>1</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1620</v>
      </c>
      <c r="AZ282" s="0" t="s">
        <v>1621</v>
      </c>
      <c r="BA282" s="0" t="s">
        <v>285</v>
      </c>
      <c r="BB282" s="0" t="str">
        <f t="shared" si="4"/>
        <v>CCCRNenEnuguEast</v>
      </c>
    </row>
    <row r="283">
      <c r="E283" s="0" t="s">
        <v>661</v>
      </c>
      <c r="AV283" s="0" t="s">
        <v>471</v>
      </c>
      <c r="AW283" s="0" t="s">
        <v>286</v>
      </c>
      <c r="AX283" s="0" t="s">
        <v>447</v>
      </c>
      <c r="AY283" s="0" t="s">
        <v>1622</v>
      </c>
      <c r="AZ283" s="0" t="s">
        <v>1623</v>
      </c>
      <c r="BA283" s="0" t="s">
        <v>285</v>
      </c>
      <c r="BB283" s="0" t="str">
        <f t="shared" si="4"/>
        <v>CCCRNenEnuguEast</v>
      </c>
    </row>
    <row r="284">
      <c r="E284" s="0" t="s">
        <v>697</v>
      </c>
      <c r="AV284" s="0" t="s">
        <v>471</v>
      </c>
      <c r="AW284" s="0" t="s">
        <v>286</v>
      </c>
      <c r="AX284" s="0" t="s">
        <v>447</v>
      </c>
      <c r="AY284" s="0" t="s">
        <v>1624</v>
      </c>
      <c r="AZ284" s="0" t="s">
        <v>1625</v>
      </c>
      <c r="BA284" s="0" t="s">
        <v>285</v>
      </c>
      <c r="BB284" s="0" t="str">
        <f t="shared" si="4"/>
        <v>CCCRNenEnuguEast</v>
      </c>
    </row>
    <row r="285">
      <c r="E285" s="0" t="s">
        <v>545</v>
      </c>
      <c r="AV285" s="0" t="s">
        <v>471</v>
      </c>
      <c r="AW285" s="0" t="s">
        <v>286</v>
      </c>
      <c r="AX285" s="0" t="s">
        <v>447</v>
      </c>
      <c r="AY285" s="0" t="s">
        <v>1626</v>
      </c>
      <c r="AZ285" s="0" t="s">
        <v>1627</v>
      </c>
      <c r="BA285" s="0" t="s">
        <v>285</v>
      </c>
      <c r="BB285" s="0" t="str">
        <f t="shared" si="4"/>
        <v>CCCRNenEnuguEast</v>
      </c>
    </row>
    <row r="286">
      <c r="E286" s="0" t="s">
        <v>584</v>
      </c>
      <c r="AV286" s="0" t="s">
        <v>471</v>
      </c>
      <c r="AW286" s="0" t="s">
        <v>286</v>
      </c>
      <c r="AX286" s="0" t="s">
        <v>447</v>
      </c>
      <c r="AY286" s="0" t="s">
        <v>1628</v>
      </c>
      <c r="AZ286" s="0" t="s">
        <v>1629</v>
      </c>
      <c r="BA286" s="0" t="s">
        <v>285</v>
      </c>
      <c r="BB286" s="0" t="str">
        <f t="shared" si="4"/>
        <v>CCCRNenEnuguEast</v>
      </c>
    </row>
    <row r="287">
      <c r="E287" s="0" t="s">
        <v>585</v>
      </c>
      <c r="AV287" s="0" t="s">
        <v>471</v>
      </c>
      <c r="AW287" s="0" t="s">
        <v>286</v>
      </c>
      <c r="AX287" s="0" t="s">
        <v>447</v>
      </c>
      <c r="AY287" s="0" t="s">
        <v>1630</v>
      </c>
      <c r="AZ287" s="0" t="s">
        <v>1631</v>
      </c>
      <c r="BA287" s="0" t="s">
        <v>285</v>
      </c>
      <c r="BB287" s="0" t="str">
        <f t="shared" si="4"/>
        <v>CCCRNenEnuguEast</v>
      </c>
    </row>
    <row r="288">
      <c r="E288" s="0" t="s">
        <v>624</v>
      </c>
      <c r="AV288" s="0" t="s">
        <v>471</v>
      </c>
      <c r="AW288" s="0" t="s">
        <v>286</v>
      </c>
      <c r="AX288" s="0" t="s">
        <v>447</v>
      </c>
      <c r="AY288" s="0" t="s">
        <v>1632</v>
      </c>
      <c r="AZ288" s="0" t="s">
        <v>1633</v>
      </c>
      <c r="BA288" s="0" t="s">
        <v>285</v>
      </c>
      <c r="BB288" s="0" t="str">
        <f t="shared" si="4"/>
        <v>CCCRNenEnuguEast</v>
      </c>
    </row>
    <row r="289">
      <c r="E289" s="0" t="s">
        <v>662</v>
      </c>
      <c r="AV289" s="0" t="s">
        <v>471</v>
      </c>
      <c r="AW289" s="0" t="s">
        <v>286</v>
      </c>
      <c r="AX289" s="0" t="s">
        <v>447</v>
      </c>
      <c r="AY289" s="0" t="s">
        <v>1634</v>
      </c>
      <c r="AZ289" s="0" t="s">
        <v>1635</v>
      </c>
      <c r="BA289" s="0" t="s">
        <v>285</v>
      </c>
      <c r="BB289" s="0" t="str">
        <f t="shared" si="4"/>
        <v>CCCRNenEnuguEast</v>
      </c>
    </row>
    <row r="290">
      <c r="E290" s="0" t="s">
        <v>698</v>
      </c>
      <c r="AV290" s="0" t="s">
        <v>471</v>
      </c>
      <c r="AW290" s="0" t="s">
        <v>286</v>
      </c>
      <c r="AX290" s="0" t="s">
        <v>447</v>
      </c>
      <c r="AY290" s="0" t="s">
        <v>1636</v>
      </c>
      <c r="AZ290" s="0" t="s">
        <v>1637</v>
      </c>
      <c r="BA290" s="0" t="s">
        <v>285</v>
      </c>
      <c r="BB290" s="0" t="str">
        <f t="shared" si="4"/>
        <v>CCCRNenEnuguEast</v>
      </c>
    </row>
    <row r="291">
      <c r="E291" s="0" t="s">
        <v>732</v>
      </c>
      <c r="AV291" s="0" t="s">
        <v>471</v>
      </c>
      <c r="AW291" s="0" t="s">
        <v>286</v>
      </c>
      <c r="AX291" s="0" t="s">
        <v>447</v>
      </c>
      <c r="AY291" s="0" t="s">
        <v>1638</v>
      </c>
      <c r="AZ291" s="0" t="s">
        <v>1639</v>
      </c>
      <c r="BA291" s="0" t="s">
        <v>285</v>
      </c>
      <c r="BB291" s="0" t="str">
        <f t="shared" si="4"/>
        <v>CCCRNenEnuguEast</v>
      </c>
    </row>
    <row r="292">
      <c r="E292" s="0" t="s">
        <v>546</v>
      </c>
      <c r="AV292" s="0" t="s">
        <v>471</v>
      </c>
      <c r="AW292" s="0" t="s">
        <v>286</v>
      </c>
      <c r="AX292" s="0" t="s">
        <v>490</v>
      </c>
      <c r="AY292" s="0" t="s">
        <v>1640</v>
      </c>
      <c r="AZ292" s="0" t="s">
        <v>1641</v>
      </c>
      <c r="BA292" s="0" t="s">
        <v>285</v>
      </c>
      <c r="BB292" s="0" t="str">
        <f t="shared" si="4"/>
        <v>CCCRNenEnuguNorth</v>
      </c>
    </row>
    <row r="293">
      <c r="E293" s="0" t="s">
        <v>765</v>
      </c>
      <c r="AV293" s="0" t="s">
        <v>471</v>
      </c>
      <c r="AW293" s="0" t="s">
        <v>286</v>
      </c>
      <c r="AX293" s="0" t="s">
        <v>490</v>
      </c>
      <c r="AY293" s="0" t="s">
        <v>1642</v>
      </c>
      <c r="AZ293" s="0" t="s">
        <v>1643</v>
      </c>
      <c r="BA293" s="0" t="s">
        <v>285</v>
      </c>
      <c r="BB293" s="0" t="str">
        <f t="shared" si="4"/>
        <v>CCCRNenEnuguNorth</v>
      </c>
    </row>
    <row r="294">
      <c r="E294" s="0" t="s">
        <v>649</v>
      </c>
      <c r="AV294" s="0" t="s">
        <v>471</v>
      </c>
      <c r="AW294" s="0" t="s">
        <v>286</v>
      </c>
      <c r="AX294" s="0" t="s">
        <v>490</v>
      </c>
      <c r="AY294" s="0" t="s">
        <v>1644</v>
      </c>
      <c r="AZ294" s="0" t="s">
        <v>1645</v>
      </c>
      <c r="BA294" s="0" t="s">
        <v>285</v>
      </c>
      <c r="BB294" s="0" t="str">
        <f t="shared" si="4"/>
        <v>CCCRNenEnuguNorth</v>
      </c>
    </row>
    <row r="295">
      <c r="E295" s="0" t="s">
        <v>459</v>
      </c>
      <c r="AV295" s="0" t="s">
        <v>471</v>
      </c>
      <c r="AW295" s="0" t="s">
        <v>286</v>
      </c>
      <c r="AX295" s="0" t="s">
        <v>490</v>
      </c>
      <c r="AY295" s="0" t="s">
        <v>1646</v>
      </c>
      <c r="AZ295" s="0" t="s">
        <v>1647</v>
      </c>
      <c r="BA295" s="0" t="s">
        <v>285</v>
      </c>
      <c r="BB295" s="0" t="str">
        <f t="shared" si="4"/>
        <v>CCCRNenEnuguNorth</v>
      </c>
    </row>
    <row r="296">
      <c r="E296" s="0" t="s">
        <v>794</v>
      </c>
      <c r="AV296" s="0" t="s">
        <v>471</v>
      </c>
      <c r="AW296" s="0" t="s">
        <v>286</v>
      </c>
      <c r="AX296" s="0" t="s">
        <v>490</v>
      </c>
      <c r="AY296" s="0" t="s">
        <v>1648</v>
      </c>
      <c r="AZ296" s="0" t="s">
        <v>1649</v>
      </c>
      <c r="BA296" s="0" t="s">
        <v>285</v>
      </c>
      <c r="BB296" s="0" t="str">
        <f t="shared" si="4"/>
        <v>CCCRNenEnuguNorth</v>
      </c>
    </row>
    <row r="297">
      <c r="E297" s="0" t="s">
        <v>851</v>
      </c>
      <c r="AV297" s="0" t="s">
        <v>471</v>
      </c>
      <c r="AW297" s="0" t="s">
        <v>286</v>
      </c>
      <c r="AX297" s="0" t="s">
        <v>490</v>
      </c>
      <c r="AY297" s="0" t="s">
        <v>1650</v>
      </c>
      <c r="AZ297" s="0" t="s">
        <v>1651</v>
      </c>
      <c r="BA297" s="0" t="s">
        <v>285</v>
      </c>
      <c r="BB297" s="0" t="str">
        <f t="shared" si="4"/>
        <v>CCCRNenEnuguNorth</v>
      </c>
    </row>
    <row r="298">
      <c r="E298" s="0" t="s">
        <v>854</v>
      </c>
      <c r="AV298" s="0" t="s">
        <v>471</v>
      </c>
      <c r="AW298" s="0" t="s">
        <v>286</v>
      </c>
      <c r="AX298" s="0" t="s">
        <v>531</v>
      </c>
      <c r="AY298" s="0" t="s">
        <v>1652</v>
      </c>
      <c r="AZ298" s="0" t="s">
        <v>1653</v>
      </c>
      <c r="BA298" s="0" t="s">
        <v>285</v>
      </c>
      <c r="BB298" s="0" t="str">
        <f t="shared" si="4"/>
        <v>CCCRNenEnuguSouth</v>
      </c>
    </row>
    <row r="299">
      <c r="E299" s="0" t="s">
        <v>880</v>
      </c>
      <c r="AV299" s="0" t="s">
        <v>471</v>
      </c>
      <c r="AW299" s="0" t="s">
        <v>286</v>
      </c>
      <c r="AX299" s="0" t="s">
        <v>531</v>
      </c>
      <c r="AY299" s="0" t="s">
        <v>1654</v>
      </c>
      <c r="AZ299" s="0" t="s">
        <v>1655</v>
      </c>
      <c r="BA299" s="0" t="s">
        <v>285</v>
      </c>
      <c r="BB299" s="0" t="str">
        <f t="shared" si="4"/>
        <v>CCCRNenEnuguSouth</v>
      </c>
    </row>
    <row r="300">
      <c r="E300" s="0" t="s">
        <v>905</v>
      </c>
      <c r="AV300" s="0" t="s">
        <v>471</v>
      </c>
      <c r="AW300" s="0" t="s">
        <v>286</v>
      </c>
      <c r="AX300" s="0" t="s">
        <v>531</v>
      </c>
      <c r="AY300" s="0" t="s">
        <v>1656</v>
      </c>
      <c r="AZ300" s="0" t="s">
        <v>1657</v>
      </c>
      <c r="BA300" s="0" t="s">
        <v>285</v>
      </c>
      <c r="BB300" s="0" t="str">
        <f t="shared" si="4"/>
        <v>CCCRNenEnuguSouth</v>
      </c>
    </row>
    <row r="301">
      <c r="E301" s="0" t="s">
        <v>930</v>
      </c>
      <c r="AV301" s="0" t="s">
        <v>471</v>
      </c>
      <c r="AW301" s="0" t="s">
        <v>286</v>
      </c>
      <c r="AX301" s="0" t="s">
        <v>531</v>
      </c>
      <c r="AY301" s="0" t="s">
        <v>1658</v>
      </c>
      <c r="AZ301" s="0" t="s">
        <v>1659</v>
      </c>
      <c r="BA301" s="0" t="s">
        <v>285</v>
      </c>
      <c r="BB301" s="0" t="str">
        <f t="shared" si="4"/>
        <v>CCCRNenEnuguSouth</v>
      </c>
    </row>
    <row r="302">
      <c r="AV302" s="0" t="s">
        <v>471</v>
      </c>
      <c r="AW302" s="0" t="s">
        <v>286</v>
      </c>
      <c r="AX302" s="0" t="s">
        <v>531</v>
      </c>
      <c r="AY302" s="0" t="s">
        <v>1660</v>
      </c>
      <c r="AZ302" s="0" t="s">
        <v>1661</v>
      </c>
      <c r="BA302" s="0" t="s">
        <v>285</v>
      </c>
      <c r="BB302" s="0" t="str">
        <f t="shared" si="4"/>
        <v>CCCRNenEnuguSouth</v>
      </c>
    </row>
    <row r="303">
      <c r="AV303" s="0" t="s">
        <v>471</v>
      </c>
      <c r="AW303" s="0" t="s">
        <v>286</v>
      </c>
      <c r="AX303" s="0" t="s">
        <v>531</v>
      </c>
      <c r="AY303" s="0" t="s">
        <v>1662</v>
      </c>
      <c r="AZ303" s="0" t="s">
        <v>1663</v>
      </c>
      <c r="BA303" s="0" t="s">
        <v>285</v>
      </c>
      <c r="BB303" s="0" t="str">
        <f t="shared" si="4"/>
        <v>CCCRNenEnuguSouth</v>
      </c>
    </row>
    <row r="304">
      <c r="AV304" s="0" t="s">
        <v>471</v>
      </c>
      <c r="AW304" s="0" t="s">
        <v>286</v>
      </c>
      <c r="AX304" s="0" t="s">
        <v>571</v>
      </c>
      <c r="AY304" s="0" t="s">
        <v>1664</v>
      </c>
      <c r="AZ304" s="0" t="s">
        <v>1665</v>
      </c>
      <c r="BA304" s="0" t="s">
        <v>285</v>
      </c>
      <c r="BB304" s="0" t="str">
        <f t="shared" si="4"/>
        <v>CCCRNenIgboEtiti</v>
      </c>
    </row>
    <row r="305">
      <c r="AV305" s="0" t="s">
        <v>471</v>
      </c>
      <c r="AW305" s="0" t="s">
        <v>286</v>
      </c>
      <c r="AX305" s="0" t="s">
        <v>571</v>
      </c>
      <c r="AY305" s="0" t="s">
        <v>1666</v>
      </c>
      <c r="AZ305" s="0" t="s">
        <v>1667</v>
      </c>
      <c r="BA305" s="0" t="s">
        <v>285</v>
      </c>
      <c r="BB305" s="0" t="str">
        <f t="shared" si="4"/>
        <v>CCCRNenIgboEtiti</v>
      </c>
    </row>
    <row r="306">
      <c r="AV306" s="0" t="s">
        <v>471</v>
      </c>
      <c r="AW306" s="0" t="s">
        <v>286</v>
      </c>
      <c r="AX306" s="0" t="s">
        <v>571</v>
      </c>
      <c r="AY306" s="0" t="s">
        <v>1668</v>
      </c>
      <c r="AZ306" s="0" t="s">
        <v>1669</v>
      </c>
      <c r="BA306" s="0" t="s">
        <v>285</v>
      </c>
      <c r="BB306" s="0" t="str">
        <f t="shared" si="4"/>
        <v>CCCRNenIgboEtiti</v>
      </c>
    </row>
    <row r="307">
      <c r="AV307" s="0" t="s">
        <v>471</v>
      </c>
      <c r="AW307" s="0" t="s">
        <v>286</v>
      </c>
      <c r="AX307" s="0" t="s">
        <v>571</v>
      </c>
      <c r="AY307" s="0" t="s">
        <v>1670</v>
      </c>
      <c r="AZ307" s="0" t="s">
        <v>1671</v>
      </c>
      <c r="BA307" s="0" t="s">
        <v>285</v>
      </c>
      <c r="BB307" s="0" t="str">
        <f t="shared" si="4"/>
        <v>CCCRNenIgboEtiti</v>
      </c>
    </row>
    <row r="308">
      <c r="AV308" s="0" t="s">
        <v>471</v>
      </c>
      <c r="AW308" s="0" t="s">
        <v>286</v>
      </c>
      <c r="AX308" s="0" t="s">
        <v>571</v>
      </c>
      <c r="AY308" s="0" t="s">
        <v>1672</v>
      </c>
      <c r="AZ308" s="0" t="s">
        <v>1673</v>
      </c>
      <c r="BA308" s="0" t="s">
        <v>285</v>
      </c>
      <c r="BB308" s="0" t="str">
        <f t="shared" si="4"/>
        <v>CCCRNenIgboEtiti</v>
      </c>
    </row>
    <row r="309">
      <c r="AV309" s="0" t="s">
        <v>471</v>
      </c>
      <c r="AW309" s="0" t="s">
        <v>286</v>
      </c>
      <c r="AX309" s="0" t="s">
        <v>609</v>
      </c>
      <c r="AY309" s="0" t="s">
        <v>1674</v>
      </c>
      <c r="AZ309" s="0" t="s">
        <v>1675</v>
      </c>
      <c r="BA309" s="0" t="s">
        <v>285</v>
      </c>
      <c r="BB309" s="0" t="str">
        <f t="shared" si="4"/>
        <v>CCCRNenIgboEzeNorth</v>
      </c>
    </row>
    <row r="310">
      <c r="AV310" s="0" t="s">
        <v>471</v>
      </c>
      <c r="AW310" s="0" t="s">
        <v>286</v>
      </c>
      <c r="AX310" s="0" t="s">
        <v>609</v>
      </c>
      <c r="AY310" s="0" t="s">
        <v>1676</v>
      </c>
      <c r="AZ310" s="0" t="s">
        <v>1677</v>
      </c>
      <c r="BA310" s="0" t="s">
        <v>285</v>
      </c>
      <c r="BB310" s="0" t="str">
        <f t="shared" si="4"/>
        <v>CCCRNenIgboEzeNorth</v>
      </c>
    </row>
    <row r="311">
      <c r="AV311" s="0" t="s">
        <v>471</v>
      </c>
      <c r="AW311" s="0" t="s">
        <v>286</v>
      </c>
      <c r="AX311" s="0" t="s">
        <v>609</v>
      </c>
      <c r="AY311" s="0" t="s">
        <v>1678</v>
      </c>
      <c r="AZ311" s="0" t="s">
        <v>1679</v>
      </c>
      <c r="BA311" s="0" t="s">
        <v>285</v>
      </c>
      <c r="BB311" s="0" t="str">
        <f t="shared" si="4"/>
        <v>CCCRNenIgboEzeNorth</v>
      </c>
    </row>
    <row r="312">
      <c r="AV312" s="0" t="s">
        <v>471</v>
      </c>
      <c r="AW312" s="0" t="s">
        <v>286</v>
      </c>
      <c r="AX312" s="0" t="s">
        <v>609</v>
      </c>
      <c r="AY312" s="0" t="s">
        <v>1680</v>
      </c>
      <c r="AZ312" s="0" t="s">
        <v>1681</v>
      </c>
      <c r="BA312" s="0" t="s">
        <v>285</v>
      </c>
      <c r="BB312" s="0" t="str">
        <f t="shared" si="4"/>
        <v>CCCRNenIgboEzeNorth</v>
      </c>
    </row>
    <row r="313">
      <c r="AV313" s="0" t="s">
        <v>471</v>
      </c>
      <c r="AW313" s="0" t="s">
        <v>286</v>
      </c>
      <c r="AX313" s="0" t="s">
        <v>609</v>
      </c>
      <c r="AY313" s="0" t="s">
        <v>1682</v>
      </c>
      <c r="AZ313" s="0" t="s">
        <v>1683</v>
      </c>
      <c r="BA313" s="0" t="s">
        <v>285</v>
      </c>
      <c r="BB313" s="0" t="str">
        <f t="shared" si="4"/>
        <v>CCCRNenIgboEzeNorth</v>
      </c>
    </row>
    <row r="314">
      <c r="AV314" s="0" t="s">
        <v>471</v>
      </c>
      <c r="AW314" s="0" t="s">
        <v>286</v>
      </c>
      <c r="AX314" s="0" t="s">
        <v>609</v>
      </c>
      <c r="AY314" s="0" t="s">
        <v>1684</v>
      </c>
      <c r="AZ314" s="0" t="s">
        <v>1685</v>
      </c>
      <c r="BA314" s="0" t="s">
        <v>285</v>
      </c>
      <c r="BB314" s="0" t="str">
        <f t="shared" si="4"/>
        <v>CCCRNenIgboEzeNorth</v>
      </c>
    </row>
    <row r="315">
      <c r="AV315" s="0" t="s">
        <v>471</v>
      </c>
      <c r="AW315" s="0" t="s">
        <v>286</v>
      </c>
      <c r="AX315" s="0" t="s">
        <v>609</v>
      </c>
      <c r="AY315" s="0" t="s">
        <v>1686</v>
      </c>
      <c r="AZ315" s="0" t="s">
        <v>1687</v>
      </c>
      <c r="BA315" s="0" t="s">
        <v>285</v>
      </c>
      <c r="BB315" s="0" t="str">
        <f t="shared" si="4"/>
        <v>CCCRNenIgboEzeNorth</v>
      </c>
    </row>
    <row r="316">
      <c r="AV316" s="0" t="s">
        <v>471</v>
      </c>
      <c r="AW316" s="0" t="s">
        <v>286</v>
      </c>
      <c r="AX316" s="0" t="s">
        <v>648</v>
      </c>
      <c r="AY316" s="0" t="s">
        <v>1688</v>
      </c>
      <c r="AZ316" s="0" t="s">
        <v>1689</v>
      </c>
      <c r="BA316" s="0" t="s">
        <v>285</v>
      </c>
      <c r="BB316" s="0" t="str">
        <f t="shared" si="4"/>
        <v>CCCRNenIgboEzeSouth</v>
      </c>
    </row>
    <row r="317">
      <c r="AV317" s="0" t="s">
        <v>471</v>
      </c>
      <c r="AW317" s="0" t="s">
        <v>286</v>
      </c>
      <c r="AX317" s="0" t="s">
        <v>648</v>
      </c>
      <c r="AY317" s="0" t="s">
        <v>1690</v>
      </c>
      <c r="AZ317" s="0" t="s">
        <v>1691</v>
      </c>
      <c r="BA317" s="0" t="s">
        <v>285</v>
      </c>
      <c r="BB317" s="0" t="str">
        <f t="shared" si="4"/>
        <v>CCCRNenIgboEzeSouth</v>
      </c>
    </row>
    <row r="318">
      <c r="AV318" s="0" t="s">
        <v>471</v>
      </c>
      <c r="AW318" s="0" t="s">
        <v>286</v>
      </c>
      <c r="AX318" s="0" t="s">
        <v>648</v>
      </c>
      <c r="AY318" s="0" t="s">
        <v>1692</v>
      </c>
      <c r="AZ318" s="0" t="s">
        <v>1693</v>
      </c>
      <c r="BA318" s="0" t="s">
        <v>285</v>
      </c>
      <c r="BB318" s="0" t="str">
        <f t="shared" si="4"/>
        <v>CCCRNenIgboEzeSouth</v>
      </c>
    </row>
    <row r="319">
      <c r="AV319" s="0" t="s">
        <v>471</v>
      </c>
      <c r="AW319" s="0" t="s">
        <v>286</v>
      </c>
      <c r="AX319" s="0" t="s">
        <v>685</v>
      </c>
      <c r="AY319" s="0" t="s">
        <v>1694</v>
      </c>
      <c r="AZ319" s="0" t="s">
        <v>1695</v>
      </c>
      <c r="BA319" s="0" t="s">
        <v>285</v>
      </c>
      <c r="BB319" s="0" t="str">
        <f t="shared" si="4"/>
        <v>CCCRNenIsiuzo</v>
      </c>
    </row>
    <row r="320">
      <c r="AV320" s="0" t="s">
        <v>471</v>
      </c>
      <c r="AW320" s="0" t="s">
        <v>286</v>
      </c>
      <c r="AX320" s="0" t="s">
        <v>685</v>
      </c>
      <c r="AY320" s="0" t="s">
        <v>1696</v>
      </c>
      <c r="AZ320" s="0" t="s">
        <v>1697</v>
      </c>
      <c r="BA320" s="0" t="s">
        <v>285</v>
      </c>
      <c r="BB320" s="0" t="str">
        <f t="shared" si="4"/>
        <v>CCCRNenIsiuzo</v>
      </c>
    </row>
    <row r="321">
      <c r="AV321" s="0" t="s">
        <v>471</v>
      </c>
      <c r="AW321" s="0" t="s">
        <v>286</v>
      </c>
      <c r="AX321" s="0" t="s">
        <v>685</v>
      </c>
      <c r="AY321" s="0" t="s">
        <v>1698</v>
      </c>
      <c r="AZ321" s="0" t="s">
        <v>1699</v>
      </c>
      <c r="BA321" s="0" t="s">
        <v>285</v>
      </c>
      <c r="BB321" s="0" t="str">
        <f t="shared" si="4"/>
        <v>CCCRNenIsiuzo</v>
      </c>
    </row>
    <row r="322">
      <c r="AV322" s="0" t="s">
        <v>471</v>
      </c>
      <c r="AW322" s="0" t="s">
        <v>286</v>
      </c>
      <c r="AX322" s="0" t="s">
        <v>685</v>
      </c>
      <c r="AY322" s="0" t="s">
        <v>1700</v>
      </c>
      <c r="AZ322" s="0" t="s">
        <v>1701</v>
      </c>
      <c r="BA322" s="0" t="s">
        <v>285</v>
      </c>
      <c r="BB322" s="0" t="str">
        <f t="shared" si="4"/>
        <v>CCCRNenIsiuzo</v>
      </c>
    </row>
    <row r="323">
      <c r="AV323" s="0" t="s">
        <v>471</v>
      </c>
      <c r="AW323" s="0" t="s">
        <v>286</v>
      </c>
      <c r="AX323" s="0" t="s">
        <v>685</v>
      </c>
      <c r="AY323" s="0" t="s">
        <v>1702</v>
      </c>
      <c r="AZ323" s="0" t="s">
        <v>1703</v>
      </c>
      <c r="BA323" s="0" t="s">
        <v>285</v>
      </c>
      <c r="BB323" s="0" t="str">
        <f ref="BB323:BB386" t="shared" si="5">SUBSTITUTE(SUBSTITUTE(BA323&amp;AX323," ",""),"-","")</f>
        <v>CCCRNenIsiuzo</v>
      </c>
    </row>
    <row r="324">
      <c r="AV324" s="0" t="s">
        <v>471</v>
      </c>
      <c r="AW324" s="0" t="s">
        <v>286</v>
      </c>
      <c r="AX324" s="0" t="s">
        <v>720</v>
      </c>
      <c r="AY324" s="0" t="s">
        <v>1704</v>
      </c>
      <c r="AZ324" s="0" t="s">
        <v>1705</v>
      </c>
      <c r="BA324" s="0" t="s">
        <v>285</v>
      </c>
      <c r="BB324" s="0" t="str">
        <f t="shared" si="5"/>
        <v>CCCRNenNkanuEast</v>
      </c>
    </row>
    <row r="325">
      <c r="AV325" s="0" t="s">
        <v>471</v>
      </c>
      <c r="AW325" s="0" t="s">
        <v>286</v>
      </c>
      <c r="AX325" s="0" t="s">
        <v>753</v>
      </c>
      <c r="AY325" s="0" t="s">
        <v>1706</v>
      </c>
      <c r="AZ325" s="0" t="s">
        <v>1707</v>
      </c>
      <c r="BA325" s="0" t="s">
        <v>285</v>
      </c>
      <c r="BB325" s="0" t="str">
        <f t="shared" si="5"/>
        <v>CCCRNenNkanuWest</v>
      </c>
    </row>
    <row r="326">
      <c r="AV326" s="0" t="s">
        <v>471</v>
      </c>
      <c r="AW326" s="0" t="s">
        <v>286</v>
      </c>
      <c r="AX326" s="0" t="s">
        <v>753</v>
      </c>
      <c r="AY326" s="0" t="s">
        <v>1708</v>
      </c>
      <c r="AZ326" s="0" t="s">
        <v>1709</v>
      </c>
      <c r="BA326" s="0" t="s">
        <v>285</v>
      </c>
      <c r="BB326" s="0" t="str">
        <f t="shared" si="5"/>
        <v>CCCRNenNkanuWest</v>
      </c>
    </row>
    <row r="327">
      <c r="AV327" s="0" t="s">
        <v>471</v>
      </c>
      <c r="AW327" s="0" t="s">
        <v>286</v>
      </c>
      <c r="AX327" s="0" t="s">
        <v>753</v>
      </c>
      <c r="AY327" s="0" t="s">
        <v>1710</v>
      </c>
      <c r="AZ327" s="0" t="s">
        <v>1711</v>
      </c>
      <c r="BA327" s="0" t="s">
        <v>285</v>
      </c>
      <c r="BB327" s="0" t="str">
        <f t="shared" si="5"/>
        <v>CCCRNenNkanuWest</v>
      </c>
    </row>
    <row r="328">
      <c r="AV328" s="0" t="s">
        <v>471</v>
      </c>
      <c r="AW328" s="0" t="s">
        <v>286</v>
      </c>
      <c r="AX328" s="0" t="s">
        <v>785</v>
      </c>
      <c r="AY328" s="0" t="s">
        <v>1712</v>
      </c>
      <c r="AZ328" s="0" t="s">
        <v>1713</v>
      </c>
      <c r="BA328" s="0" t="s">
        <v>285</v>
      </c>
      <c r="BB328" s="0" t="str">
        <f t="shared" si="5"/>
        <v>CCCRNenNsukka</v>
      </c>
    </row>
    <row r="329">
      <c r="AV329" s="0" t="s">
        <v>471</v>
      </c>
      <c r="AW329" s="0" t="s">
        <v>286</v>
      </c>
      <c r="AX329" s="0" t="s">
        <v>785</v>
      </c>
      <c r="AY329" s="0" t="s">
        <v>1714</v>
      </c>
      <c r="AZ329" s="0" t="s">
        <v>1715</v>
      </c>
      <c r="BA329" s="0" t="s">
        <v>285</v>
      </c>
      <c r="BB329" s="0" t="str">
        <f t="shared" si="5"/>
        <v>CCCRNenNsukka</v>
      </c>
    </row>
    <row r="330">
      <c r="AV330" s="0" t="s">
        <v>471</v>
      </c>
      <c r="AW330" s="0" t="s">
        <v>286</v>
      </c>
      <c r="AX330" s="0" t="s">
        <v>785</v>
      </c>
      <c r="AY330" s="0" t="s">
        <v>1716</v>
      </c>
      <c r="AZ330" s="0" t="s">
        <v>1717</v>
      </c>
      <c r="BA330" s="0" t="s">
        <v>285</v>
      </c>
      <c r="BB330" s="0" t="str">
        <f t="shared" si="5"/>
        <v>CCCRNenNsukka</v>
      </c>
    </row>
    <row r="331">
      <c r="AV331" s="0" t="s">
        <v>471</v>
      </c>
      <c r="AW331" s="0" t="s">
        <v>286</v>
      </c>
      <c r="AX331" s="0" t="s">
        <v>785</v>
      </c>
      <c r="AY331" s="0" t="s">
        <v>1718</v>
      </c>
      <c r="AZ331" s="0" t="s">
        <v>1719</v>
      </c>
      <c r="BA331" s="0" t="s">
        <v>285</v>
      </c>
      <c r="BB331" s="0" t="str">
        <f t="shared" si="5"/>
        <v>CCCRNenNsukka</v>
      </c>
    </row>
    <row r="332">
      <c r="AV332" s="0" t="s">
        <v>471</v>
      </c>
      <c r="AW332" s="0" t="s">
        <v>286</v>
      </c>
      <c r="AX332" s="0" t="s">
        <v>785</v>
      </c>
      <c r="AY332" s="0" t="s">
        <v>1720</v>
      </c>
      <c r="AZ332" s="0" t="s">
        <v>1721</v>
      </c>
      <c r="BA332" s="0" t="s">
        <v>285</v>
      </c>
      <c r="BB332" s="0" t="str">
        <f t="shared" si="5"/>
        <v>CCCRNenNsukka</v>
      </c>
    </row>
    <row r="333">
      <c r="AV333" s="0" t="s">
        <v>471</v>
      </c>
      <c r="AW333" s="0" t="s">
        <v>286</v>
      </c>
      <c r="AX333" s="0" t="s">
        <v>785</v>
      </c>
      <c r="AY333" s="0" t="s">
        <v>1722</v>
      </c>
      <c r="AZ333" s="0" t="s">
        <v>1723</v>
      </c>
      <c r="BA333" s="0" t="s">
        <v>285</v>
      </c>
      <c r="BB333" s="0" t="str">
        <f t="shared" si="5"/>
        <v>CCCRNenNsukka</v>
      </c>
    </row>
    <row r="334">
      <c r="AV334" s="0" t="s">
        <v>471</v>
      </c>
      <c r="AW334" s="0" t="s">
        <v>286</v>
      </c>
      <c r="AX334" s="0" t="s">
        <v>785</v>
      </c>
      <c r="AY334" s="0" t="s">
        <v>1724</v>
      </c>
      <c r="AZ334" s="0" t="s">
        <v>1725</v>
      </c>
      <c r="BA334" s="0" t="s">
        <v>285</v>
      </c>
      <c r="BB334" s="0" t="str">
        <f t="shared" si="5"/>
        <v>CCCRNenNsukka</v>
      </c>
    </row>
    <row r="335">
      <c r="AV335" s="0" t="s">
        <v>471</v>
      </c>
      <c r="AW335" s="0" t="s">
        <v>286</v>
      </c>
      <c r="AX335" s="0" t="s">
        <v>785</v>
      </c>
      <c r="AY335" s="0" t="s">
        <v>1726</v>
      </c>
      <c r="AZ335" s="0" t="s">
        <v>1727</v>
      </c>
      <c r="BA335" s="0" t="s">
        <v>285</v>
      </c>
      <c r="BB335" s="0" t="str">
        <f t="shared" si="5"/>
        <v>CCCRNenNsukka</v>
      </c>
    </row>
    <row r="336">
      <c r="AV336" s="0" t="s">
        <v>471</v>
      </c>
      <c r="AW336" s="0" t="s">
        <v>286</v>
      </c>
      <c r="AX336" s="0" t="s">
        <v>785</v>
      </c>
      <c r="AY336" s="0" t="s">
        <v>1728</v>
      </c>
      <c r="AZ336" s="0" t="s">
        <v>1729</v>
      </c>
      <c r="BA336" s="0" t="s">
        <v>285</v>
      </c>
      <c r="BB336" s="0" t="str">
        <f t="shared" si="5"/>
        <v>CCCRNenNsukka</v>
      </c>
    </row>
    <row r="337">
      <c r="AV337" s="0" t="s">
        <v>471</v>
      </c>
      <c r="AW337" s="0" t="s">
        <v>286</v>
      </c>
      <c r="AX337" s="0" t="s">
        <v>785</v>
      </c>
      <c r="AY337" s="0" t="s">
        <v>1730</v>
      </c>
      <c r="AZ337" s="0" t="s">
        <v>1731</v>
      </c>
      <c r="BA337" s="0" t="s">
        <v>285</v>
      </c>
      <c r="BB337" s="0" t="str">
        <f t="shared" si="5"/>
        <v>CCCRNenNsukka</v>
      </c>
    </row>
    <row r="338">
      <c r="AV338" s="0" t="s">
        <v>471</v>
      </c>
      <c r="AW338" s="0" t="s">
        <v>286</v>
      </c>
      <c r="AX338" s="0" t="s">
        <v>815</v>
      </c>
      <c r="AY338" s="0" t="s">
        <v>289</v>
      </c>
      <c r="AZ338" s="0" t="s">
        <v>293</v>
      </c>
      <c r="BA338" s="0" t="s">
        <v>285</v>
      </c>
      <c r="BB338" s="0" t="str">
        <f t="shared" si="5"/>
        <v>CCCRNenUdenu</v>
      </c>
    </row>
    <row r="339">
      <c r="AV339" s="0" t="s">
        <v>471</v>
      </c>
      <c r="AW339" s="0" t="s">
        <v>286</v>
      </c>
      <c r="AX339" s="0" t="s">
        <v>815</v>
      </c>
      <c r="AY339" s="0" t="s">
        <v>1732</v>
      </c>
      <c r="AZ339" s="0" t="s">
        <v>1733</v>
      </c>
      <c r="BA339" s="0" t="s">
        <v>285</v>
      </c>
      <c r="BB339" s="0" t="str">
        <f t="shared" si="5"/>
        <v>CCCRNenUdenu</v>
      </c>
    </row>
    <row r="340">
      <c r="AV340" s="0" t="s">
        <v>471</v>
      </c>
      <c r="AW340" s="0" t="s">
        <v>286</v>
      </c>
      <c r="AX340" s="0" t="s">
        <v>815</v>
      </c>
      <c r="AY340" s="0" t="s">
        <v>1734</v>
      </c>
      <c r="AZ340" s="0" t="s">
        <v>1735</v>
      </c>
      <c r="BA340" s="0" t="s">
        <v>285</v>
      </c>
      <c r="BB340" s="0" t="str">
        <f t="shared" si="5"/>
        <v>CCCRNenUdenu</v>
      </c>
    </row>
    <row r="341">
      <c r="AV341" s="0" t="s">
        <v>471</v>
      </c>
      <c r="AW341" s="0" t="s">
        <v>286</v>
      </c>
      <c r="AX341" s="0" t="s">
        <v>815</v>
      </c>
      <c r="AY341" s="0" t="s">
        <v>1736</v>
      </c>
      <c r="AZ341" s="0" t="s">
        <v>1737</v>
      </c>
      <c r="BA341" s="0" t="s">
        <v>285</v>
      </c>
      <c r="BB341" s="0" t="str">
        <f t="shared" si="5"/>
        <v>CCCRNenUdenu</v>
      </c>
    </row>
    <row r="342">
      <c r="AV342" s="0" t="s">
        <v>471</v>
      </c>
      <c r="AW342" s="0" t="s">
        <v>286</v>
      </c>
      <c r="AX342" s="0" t="s">
        <v>815</v>
      </c>
      <c r="AY342" s="0" t="s">
        <v>1738</v>
      </c>
      <c r="AZ342" s="0" t="s">
        <v>1739</v>
      </c>
      <c r="BA342" s="0" t="s">
        <v>285</v>
      </c>
      <c r="BB342" s="0" t="str">
        <f t="shared" si="5"/>
        <v>CCCRNenUdenu</v>
      </c>
    </row>
    <row r="343">
      <c r="AV343" s="0" t="s">
        <v>471</v>
      </c>
      <c r="AW343" s="0" t="s">
        <v>286</v>
      </c>
      <c r="AX343" s="0" t="s">
        <v>815</v>
      </c>
      <c r="AY343" s="0" t="s">
        <v>1740</v>
      </c>
      <c r="AZ343" s="0" t="s">
        <v>1741</v>
      </c>
      <c r="BA343" s="0" t="s">
        <v>285</v>
      </c>
      <c r="BB343" s="0" t="str">
        <f t="shared" si="5"/>
        <v>CCCRNenUdenu</v>
      </c>
    </row>
    <row r="344">
      <c r="AV344" s="0" t="s">
        <v>471</v>
      </c>
      <c r="AW344" s="0" t="s">
        <v>286</v>
      </c>
      <c r="AX344" s="0" t="s">
        <v>815</v>
      </c>
      <c r="AY344" s="0" t="s">
        <v>1742</v>
      </c>
      <c r="AZ344" s="0" t="s">
        <v>1743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