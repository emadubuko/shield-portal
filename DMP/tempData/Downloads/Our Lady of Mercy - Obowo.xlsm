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<sst xmlns="http://schemas.openxmlformats.org/spreadsheetml/2006/main" count="4056" uniqueCount="4056">
  <si>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</si>
  <si>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</si>
  <si>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</si>
  <si>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</si>
  <si>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</si>
  <si>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</si>
  <si>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</si>
  <si>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</si>
  <si>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</si>
  <si>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</si>
  <si>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</si>
  <si>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</si>
  <si>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</si>
  <si>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</si>
  <si>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</si>
  <si>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</si>
  <si>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</si>
  <si>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</si>
  <si>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</si>
  <si>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</si>
  <si>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</si>
  <si>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</si>
  <si>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</si>
  <si>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</si>
  <si>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</si>
  <si>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</si>
  <si>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</si>
  <si>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</si>
  <si>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</si>
  <si>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</si>
  <si>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</si>
  <si>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</si>
  <si>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</si>
  <si>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</si>
  <si>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</si>
  <si>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</si>
  <si>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</si>
  <si>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</si>
  <si>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</si>
  <si>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</si>
  <si>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</si>
  <si>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</si>
  <si>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</si>
  <si>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</si>
  <si>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</si>
  <si>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</si>
  <si>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</si>
  <si>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</si>
  <si>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</si>
  <si>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</si>
  <si>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</si>
  <si>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</si>
  <si>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</si>
  <si>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</si>
  <si>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</si>
  <si>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</si>
  <si>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</si>
  <si>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</si>
  <si>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</si>
  <si>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</si>
  <si>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</si>
  <si>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</si>
  <si>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</si>
  <si>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</si>
  <si>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</si>
  <si>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</si>
  <si>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</si>
  <si>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</si>
  <si>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</si>
  <si>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</si>
  <si>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</si>
  <si>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</si>
  <si>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</si>
  <si>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</si>
  <si>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</si>
  <si>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</si>
  <si>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</si>
  <si>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</si>
  <si>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</si>
  <si>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</si>
  <si>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</si>
  <si>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</si>
  <si>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</si>
  <si>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</si>
  <si>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</si>
  <si>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</si>
  <si>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</si>
  <si>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</si>
  <si>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</si>
  <si>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</si>
  <si>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</si>
  <si>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</si>
  <si>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</si>
  <si>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</si>
  <si>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</si>
  <si>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</si>
  <si>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</si>
  <si>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</si>
  <si>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</si>
  <si>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</si>
  <si>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</si>
  <si>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</si>
  <si>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</si>
  <si>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</si>
  <si>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</si>
  <si>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</si>
  <si>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</si>
  <si>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</si>
  <si>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</si>
  <si>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</si>
  <si>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</si>
  <si>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</si>
  <si>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</si>
  <si>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</si>
  <si>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</si>
  <si>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</si>
  <si>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</si>
  <si>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</si>
  <si>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</si>
  <si>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</si>
  <si>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</si>
  <si>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</si>
  <si>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</si>
  <si>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</si>
  <si>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</si>
  <si>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</si>
  <si>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</si>
  <si>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</si>
  <si>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</si>
  <si>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</si>
  <si>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</si>
  <si>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</si>
  <si>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</si>
  <si>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</si>
  <si>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</si>
  <si>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</si>
  <si>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</si>
  <si>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</si>
  <si>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</si>
  <si>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</si>
  <si>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</si>
  <si>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</si>
  <si>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</si>
  <si>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</si>
  <si>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</si>
  <si>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</si>
  <si>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</si>
  <si>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</si>
  <si>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</si>
  <si>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</si>
  <si>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</si>
  <si>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</si>
  <si>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</si>
  <si>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</si>
  <si>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</si>
  <si>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</si>
  <si>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</si>
  <si>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</si>
  <si>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</si>
  <si>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</si>
  <si>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</si>
  <si>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</si>
  <si>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</si>
  <si>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</si>
  <si>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</si>
  <si>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</si>
  <si>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</si>
  <si>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</si>
  <si>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</si>
  <si>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</si>
  <si>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</si>
  <si>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</si>
  <si>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</si>
  <si>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</si>
  <si>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</si>
  <si>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</si>
  <si>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</si>
  <si>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</si>
  <si>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</si>
  <si>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</si>
  <si>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</si>
  <si>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</si>
  <si>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</si>
  <si>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</si>
  <si>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</si>
  <si>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</si>
  <si>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</si>
  <si>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</si>
  <si>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</si>
  <si>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</si>
  <si>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</si>
  <si>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</si>
  <si>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</si>
  <si>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</si>
  <si>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</si>
  <si>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</si>
  <si>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</si>
  <si>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</si>
  <si>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</si>
  <si>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</si>
  <si>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</si>
  <si>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</si>
  <si>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</si>
  <si>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</si>
  <si>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</si>
  <si>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</si>
  <si>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</si>
  <si>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</si>
  <si>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</si>
  <si>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</si>
  <si>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</si>
  <si>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</si>
  <si>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</si>
  <si>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</si>
  <si>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</si>
  <si>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</si>
  <si>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</si>
  <si>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</si>
  <si>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</si>
  <si>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</si>
  <si>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</si>
  <si>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</si>
  <si>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</si>
  <si>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</si>
  <si>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</si>
  <si>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</si>
  <si>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</si>
  <si>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</si>
  <si>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</si>
  <si>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</si>
  <si>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</si>
  <si>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</si>
  <si>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</si>
  <si>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</si>
  <si>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</si>
  <si>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</si>
  <si>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</si>
  <si>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</si>
  <si>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</si>
  <si>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</si>
  <si>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</si>
  <si>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</si>
  <si>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</si>
  <si>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</si>
  <si>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</si>
  <si>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</si>
  <si>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</si>
  <si>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</si>
  <si>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</si>
  <si>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</si>
  <si>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</si>
  <si>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</si>
  <si>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</si>
  <si>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</si>
  <si>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</si>
  <si>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</si>
  <si>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</si>
  <si>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</si>
  <si>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</si>
  <si>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</si>
  <si>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</si>
  <si>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</si>
  <si>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</si>
  <si>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</si>
  <si>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</si>
  <si>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</si>
  <si>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</si>
  <si>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</si>
  <si>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</si>
  <si>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</si>
  <si>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</si>
  <si>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</si>
  <si>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</si>
  <si>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</si>
  <si>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</si>
  <si>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</si>
  <si>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</si>
  <si>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</si>
  <si>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</si>
  <si>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</si>
  <si>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</si>
  <si>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</si>
  <si>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</si>
  <si>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</si>
  <si>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</si>
  <si>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</si>
  <si>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Imo</t>
  </si>
  <si>
    <t>Obowo</t>
  </si>
  <si>
    <t>Facility Name:</t>
  </si>
  <si>
    <t>Our Lady of Mercy - Obowo</t>
  </si>
  <si>
    <t>Reporting Period:</t>
  </si>
  <si>
    <t>Q1(Oct - Dec)</t>
  </si>
  <si>
    <t>Facility Code:</t>
  </si>
  <si>
    <t>nELlSoRvjxw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</si>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</sst>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32</v>
      </c>
      <c r="G8" s="155">
        <f>ROUND(SUM('All Questions'!D31:D35)/5+G12,0)</f>
        <v>32</v>
      </c>
      <c r="H8" s="156">
        <f>ROUND(SUM('All Questions'!D37,'All Questions'!D40)/2+'All Questions'!D26+H12,0)</f>
        <v>33</v>
      </c>
      <c r="I8" s="157">
        <f>ROUND((SUM('All Questions'!E11:E14)/4)+I12,0)</f>
        <v>0</v>
      </c>
      <c r="J8" s="155">
        <f>ROUND(SUM('All Questions'!E15:E21)/7+J12,0)</f>
        <v>0</v>
      </c>
      <c r="K8" s="155">
        <f>ROUND(SUM('All Questions'!E23:E30)/4+K12,0)</f>
        <v>34</v>
      </c>
      <c r="L8" s="155">
        <f>ROUND(SUM('All Questions'!E31:E35)/5+L12,0)</f>
        <v>31</v>
      </c>
      <c r="M8" s="156">
        <f>ROUND(('All Questions'!E37+'All Questions'!E40)/2+'All Questions'!E26+M12,0)</f>
        <v>41</v>
      </c>
      <c r="N8" s="157">
        <f>ROUND((SUM('All Questions'!F11:F14)/4)+N12,0)</f>
        <v>0</v>
      </c>
      <c r="O8" s="155">
        <f>ROUND(SUM('All Questions'!F15:F21)/7+O12,0)</f>
        <v>0</v>
      </c>
      <c r="P8" s="155">
        <f>ROUND(SUM('All Questions'!F23:F30)/4+P12,0)</f>
        <v>36</v>
      </c>
      <c r="Q8" s="155">
        <f>ROUND(SUM('All Questions'!F31:F35)/5+Q12,0)</f>
        <v>30</v>
      </c>
      <c r="R8" s="156">
        <f>ROUND(('All Questions'!F37+'All Questions'!F40)/2+'All Questions'!F26+R12,0)</f>
        <v>39</v>
      </c>
      <c r="S8" s="141">
        <f>'All Questions'!F2</f>
        <v>0</v>
      </c>
      <c r="T8" s="142" t="e">
        <f>(AVERAGE(F8:H8)+AVERAGE(K8:M8)+AVERAGE(P8:R8))/S8</f>
        <v>#DIV/0!</v>
      </c>
      <c r="V8" s="309">
        <f>AVERAGE(F8:H8)+AVERAGE(K8:M8)+AVERAGE(P8:R8)</f>
        <v>102.66666666666667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7</v>
      </c>
      <c r="G9" s="158"/>
      <c r="H9" s="160"/>
      <c r="I9" s="161"/>
      <c r="J9" s="158"/>
      <c r="K9" s="159">
        <f>ROUND('All Questions'!E29+K13,0)</f>
        <v>8</v>
      </c>
      <c r="L9" s="158"/>
      <c r="M9" s="160"/>
      <c r="N9" s="161"/>
      <c r="O9" s="158"/>
      <c r="P9" s="159">
        <f>ROUND('All Questions'!F29+P13,0)</f>
        <v>5</v>
      </c>
      <c r="Q9" s="158"/>
      <c r="R9" s="160"/>
      <c r="S9" s="141">
        <f>'All Questions'!F3</f>
        <v>0</v>
      </c>
      <c r="T9" s="143" t="e">
        <f>SUM(F9,K9,P9)/S9</f>
        <v>#DIV/0!</v>
      </c>
      <c r="V9" s="309">
        <f>SUM(F9+K9+P9)</f>
        <v>20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26</v>
      </c>
      <c r="G10" s="159">
        <f>ROUND(SUM('All Questions'!D31:D35)/5,0)</f>
        <v>25</v>
      </c>
      <c r="H10" s="162">
        <f>ROUND(('All Questions'!D37+'All Questions'!D40)/2+'All Questions'!D26,0)</f>
        <v>23</v>
      </c>
      <c r="I10" s="163">
        <f>ROUND((SUM('All Questions'!E11:E14)/4),0)</f>
        <v>0</v>
      </c>
      <c r="J10" s="164">
        <f>ROUND(SUM('All Questions'!E15:E21)/7,0)</f>
        <v>0</v>
      </c>
      <c r="K10" s="164">
        <f>ROUND(SUM('All Questions'!E23:E30)/4,0)</f>
        <v>27</v>
      </c>
      <c r="L10" s="164">
        <f>ROUND(SUM('All Questions'!E31:E35)/5,0)</f>
        <v>21</v>
      </c>
      <c r="M10" s="165">
        <f>ROUND(('All Questions'!E37+'All Questions'!E40)/2+'All Questions'!E26,0)</f>
        <v>31</v>
      </c>
      <c r="N10" s="166">
        <f>ROUND((SUM('All Questions'!F11:F14)/4),0)</f>
        <v>0</v>
      </c>
      <c r="O10" s="164">
        <f>ROUND(SUM('All Questions'!F15:F21)/7,0)</f>
        <v>0</v>
      </c>
      <c r="P10" s="164">
        <f>ROUND(SUM('All Questions'!F23:F30)/4,0)</f>
        <v>30</v>
      </c>
      <c r="Q10" s="164">
        <f>ROUND(SUM('All Questions'!F31:F35)/5,0)</f>
        <v>25</v>
      </c>
      <c r="R10" s="165">
        <f>ROUND(('All Questions'!F37+'All Questions'!F40)/2+'All Questions'!F26,0)</f>
        <v>35</v>
      </c>
      <c r="S10" s="141">
        <f>'All Questions'!F4</f>
        <v>0</v>
      </c>
      <c r="T10" s="143" t="e">
        <f>(AVERAGE(F10:H10)+AVERAGE(K10:M10)+AVERAGE(P10:R10))/S10</f>
        <v>#DIV/0!</v>
      </c>
      <c r="V10" s="309">
        <f>AVERAGE(F10:H10)+AVERAGE(K10:M10)+AVERAGE(P10:R10)</f>
        <v>81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6</v>
      </c>
      <c r="G11" s="167"/>
      <c r="H11" s="169"/>
      <c r="I11" s="170"/>
      <c r="J11" s="167"/>
      <c r="K11" s="171">
        <f>ROUND('All Questions'!E29,0)</f>
        <v>6</v>
      </c>
      <c r="L11" s="167"/>
      <c r="M11" s="169"/>
      <c r="N11" s="170"/>
      <c r="O11" s="167"/>
      <c r="P11" s="171">
        <f>ROUND('All Questions'!F29,0)</f>
        <v>4</v>
      </c>
      <c r="Q11" s="167"/>
      <c r="R11" s="169"/>
      <c r="S11" s="141">
        <f>'All Questions'!F5</f>
        <v>0</v>
      </c>
      <c r="T11" s="144" t="e">
        <f>SUM(F11,K11,P11)/S11</f>
        <v>#DIV/0!</v>
      </c>
      <c r="V11" s="309">
        <f>SUM(F11+K11+P11)</f>
        <v>16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v>
      </c>
      <c r="G12" s="173">
        <f>ROUND(SUM('All Questions'!D73:D80)/4,0)</f>
        <v>7</v>
      </c>
      <c r="H12" s="174">
        <f>ROUND(SUM('All Questions'!D82:D83)/2,0)</f>
        <v>10</v>
      </c>
      <c r="I12" s="175">
        <f>ROUND(SUM('All Questions'!E54:E58)+'All Questions'!E71/4,0)</f>
        <v>0</v>
      </c>
      <c r="J12" s="176">
        <f>ROUND(SUM('All Questions'!E60:E63)/4,0)</f>
        <v>0</v>
      </c>
      <c r="K12" s="176">
        <f>ROUND(SUM('All Questions'!E67:E72)/3,0)</f>
        <v>7</v>
      </c>
      <c r="L12" s="176">
        <f>ROUND(SUM('All Questions'!E73:E80)/4,0)</f>
        <v>10</v>
      </c>
      <c r="M12" s="177">
        <f>ROUND(SUM('All Questions'!E82:E83)/2,0)</f>
        <v>10</v>
      </c>
      <c r="N12" s="178">
        <f>ROUND(SUM('All Questions'!F54:F58)+'All Questions'!F71/4,0)</f>
        <v>0</v>
      </c>
      <c r="O12" s="176">
        <f>ROUND(SUM('All Questions'!F60:F63)/4,0)</f>
        <v>0</v>
      </c>
      <c r="P12" s="176">
        <f>ROUND(SUM('All Questions'!F67:F72)/3,0)</f>
        <v>6</v>
      </c>
      <c r="Q12" s="176">
        <f>ROUND(SUM('All Questions'!F73:F80)/4,0)</f>
        <v>5</v>
      </c>
      <c r="R12" s="177">
        <f>ROUND(SUM('All Questions'!F82:F83)/2,0)</f>
        <v>4</v>
      </c>
      <c r="S12" s="145">
        <f>'All Questions'!F46</f>
        <v>0</v>
      </c>
      <c r="T12" s="146" t="e">
        <f ref="T12:T15" t="shared" si="1">(AVERAGE(F12:H12)+AVERAGE(K12:M12)+AVERAGE(P12:R12))/S12</f>
        <v>#DIV/0!</v>
      </c>
      <c r="V12" s="309">
        <f>AVERAGE(F12:H12)+AVERAGE(K12:M12)+AVERAGE(P12:R12)</f>
        <v>21.666666666666668</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2</v>
      </c>
      <c r="I13" s="181"/>
      <c r="J13" s="182"/>
      <c r="K13" s="183">
        <f>ROUND('All Questions'!E72,0)</f>
        <v>2</v>
      </c>
      <c r="L13" s="182"/>
      <c r="M13" s="184">
        <f>ROUND(SUM('All Questions'!E85:E86)/2,0)</f>
        <v>1</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3.5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2</v>
      </c>
      <c r="M14" s="184">
        <f>ROUND(SUM('All Questions'!E88:E89)/2,0)</f>
        <v>2</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2.666666666666667</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10</v>
      </c>
      <c r="G15" s="159">
        <f>ROUND(SUM('All Questions'!D131:D133)/3,0)</f>
        <v>4</v>
      </c>
      <c r="H15" s="162">
        <f>ROUND(SUM('All Questions'!D135,'All Questions'!D138),0)</f>
        <v>10</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8.3333333333333339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4</v>
      </c>
      <c r="L16" s="194">
        <f>ROUND(SUM('All Questions'!E106:E109)/4,0)</f>
        <v>2</v>
      </c>
      <c r="M16" s="195">
        <f>ROUND(SUM('All Questions'!E111,'All Questions'!E112,'All Questions'!E114,'All Questions'!E115)/4,0)</f>
        <v>2</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4.333333333333333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4</v>
      </c>
      <c r="G17" s="155">
        <f>ROUND(SUM('All Questions'!D155:D158)/4,0)</f>
        <v>5</v>
      </c>
      <c r="H17" s="197">
        <f>ROUND(SUM('All Questions'!D160,'All Questions'!D163)/2,0)</f>
        <v>4</v>
      </c>
      <c r="I17" s="198">
        <f>ROUND(SUM('All Questions'!E145:E146)/2,0)</f>
        <v>0</v>
      </c>
      <c r="J17" s="199">
        <f>ROUND(SUM('All Questions'!E147:E150)/4,0)</f>
        <v>0</v>
      </c>
      <c r="K17" s="199">
        <f>ROUND(SUM('All Questions'!E151:E154)/2,0)</f>
        <v>3</v>
      </c>
      <c r="L17" s="199">
        <f>ROUND(SUM('All Questions'!E155:E158)/4,0)</f>
        <v>4</v>
      </c>
      <c r="M17" s="197">
        <f>ROUND(SUM('All Questions'!E160,'All Questions'!E163)/2,0)</f>
        <v>3</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7.6666666666666661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287</v>
      </c>
      <c r="Q18" s="204">
        <f>ROUND(SUM('All Questions'!F186:F189)/4,0)</f>
        <v>248</v>
      </c>
      <c r="R18" s="303">
        <f>ROUND(('All Questions'!F191-('All Questions'!F194+'All Questions'!F197+'All Questions'!F200)),0)</f>
        <v>367</v>
      </c>
      <c r="S18" s="152">
        <f>'All Questions'!F166</f>
        <v>0</v>
      </c>
      <c r="T18" s="144" t="e">
        <f>AVERAGE(P18:R18)/S18</f>
        <v>#DIV/0!</v>
      </c>
      <c r="V18" s="309">
        <f>AVERAGE(P18:R18)</f>
        <v>300.66666666666669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137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148</v>
      </c>
      <c r="E9" s="301">
        <v>161</v>
      </c>
      <c r="F9" s="301">
        <v>161</v>
      </c>
      <c r="G9" s="207" t="s">
        <v>67</v>
      </c>
    </row>
    <row r="10" hidden="1" ht="45" customHeight="1">
      <c r="A10" s="226"/>
      <c r="B10" s="238">
        <v>1113</v>
      </c>
      <c r="C10" s="242" t="s">
        <v>83</v>
      </c>
      <c r="D10" s="301">
        <v>20</v>
      </c>
      <c r="E10" s="301">
        <v>20</v>
      </c>
      <c r="F10" s="301">
        <v>21</v>
      </c>
      <c r="G10" s="207" t="s">
        <v>67</v>
      </c>
    </row>
    <row r="11" hidden="1" ht="45" customHeight="1">
      <c r="A11" s="226"/>
      <c r="B11" s="238">
        <v>1114</v>
      </c>
      <c r="C11" s="243" t="s">
        <v>84</v>
      </c>
      <c r="D11" s="301">
        <v>20</v>
      </c>
      <c r="E11" s="301">
        <v>20</v>
      </c>
      <c r="F11" s="301">
        <v>21</v>
      </c>
      <c r="G11" s="207" t="s">
        <v>67</v>
      </c>
    </row>
    <row r="12" hidden="1" ht="45" customHeight="1">
      <c r="A12" s="226"/>
      <c r="B12" s="238">
        <v>1115</v>
      </c>
      <c r="C12" s="242" t="s">
        <v>85</v>
      </c>
      <c r="D12" s="301">
        <v>6</v>
      </c>
      <c r="E12" s="301">
        <v>7</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20</v>
      </c>
      <c r="E14" s="301">
        <v>20</v>
      </c>
      <c r="F14" s="301">
        <v>21</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20</v>
      </c>
      <c r="E16" s="301">
        <v>20</v>
      </c>
      <c r="F16" s="301">
        <v>21</v>
      </c>
      <c r="G16" s="207" t="s">
        <v>67</v>
      </c>
    </row>
    <row r="17" hidden="1" ht="45" customHeight="1">
      <c r="A17" s="226"/>
      <c r="B17" s="238">
        <v>1123</v>
      </c>
      <c r="C17" s="242" t="s">
        <v>90</v>
      </c>
      <c r="D17" s="301">
        <v>20</v>
      </c>
      <c r="E17" s="301">
        <v>20</v>
      </c>
      <c r="F17" s="301">
        <v>21</v>
      </c>
      <c r="G17" s="207" t="s">
        <v>67</v>
      </c>
    </row>
    <row r="18" hidden="1" ht="45" customHeight="1">
      <c r="A18" s="226"/>
      <c r="B18" s="238">
        <v>1124</v>
      </c>
      <c r="C18" s="242" t="s">
        <v>91</v>
      </c>
      <c r="D18" s="301">
        <v>6</v>
      </c>
      <c r="E18" s="301">
        <v>7</v>
      </c>
      <c r="F18" s="301">
        <v>0</v>
      </c>
      <c r="G18" s="207" t="s">
        <v>67</v>
      </c>
    </row>
    <row r="19" hidden="1" ht="45" customHeight="1">
      <c r="A19" s="226"/>
      <c r="B19" s="238">
        <v>1125</v>
      </c>
      <c r="C19" s="242" t="s">
        <v>92</v>
      </c>
      <c r="D19" s="301">
        <v>6</v>
      </c>
      <c r="E19" s="301">
        <v>7</v>
      </c>
      <c r="F19" s="301">
        <v>0</v>
      </c>
      <c r="G19" s="207" t="s">
        <v>67</v>
      </c>
    </row>
    <row r="20" hidden="1" ht="45" customHeight="1">
      <c r="A20" s="226"/>
      <c r="B20" s="238">
        <v>1126</v>
      </c>
      <c r="C20" s="242" t="s">
        <v>93</v>
      </c>
      <c r="D20" s="301">
        <v>6</v>
      </c>
      <c r="E20" s="301">
        <v>7</v>
      </c>
      <c r="F20" s="301">
        <v>0</v>
      </c>
      <c r="G20" s="207" t="s">
        <v>67</v>
      </c>
    </row>
    <row r="21" hidden="1" ht="45" customHeight="1">
      <c r="A21" s="226"/>
      <c r="B21" s="238">
        <v>1127</v>
      </c>
      <c r="C21" s="242" t="s">
        <v>94</v>
      </c>
      <c r="D21" s="301">
        <v>6</v>
      </c>
      <c r="E21" s="301">
        <v>7</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12</v>
      </c>
      <c r="E23" s="301">
        <v>11</v>
      </c>
      <c r="F23" s="301">
        <v>20</v>
      </c>
      <c r="G23" s="207" t="s">
        <v>67</v>
      </c>
    </row>
    <row r="24" hidden="1" ht="45" customHeight="1">
      <c r="A24" s="226"/>
      <c r="B24" s="238">
        <v>1132</v>
      </c>
      <c r="C24" s="242" t="s">
        <v>97</v>
      </c>
      <c r="D24" s="301">
        <v>24</v>
      </c>
      <c r="E24" s="301">
        <v>20</v>
      </c>
      <c r="F24" s="301">
        <v>14</v>
      </c>
      <c r="G24" s="207" t="s">
        <v>67</v>
      </c>
    </row>
    <row r="25" hidden="1" ht="45" customHeight="1">
      <c r="A25" s="226"/>
      <c r="B25" s="238">
        <v>1133</v>
      </c>
      <c r="C25" s="242" t="s">
        <v>98</v>
      </c>
      <c r="D25" s="301">
        <v>19</v>
      </c>
      <c r="E25" s="301">
        <v>21</v>
      </c>
      <c r="F25" s="301">
        <v>35</v>
      </c>
      <c r="G25" s="207" t="s">
        <v>67</v>
      </c>
    </row>
    <row r="26" hidden="1" ht="45" customHeight="1">
      <c r="A26" s="226"/>
      <c r="B26" s="238">
        <v>1134</v>
      </c>
      <c r="C26" s="242" t="s">
        <v>99</v>
      </c>
      <c r="D26" s="301">
        <v>4</v>
      </c>
      <c r="E26" s="301">
        <v>10</v>
      </c>
      <c r="F26" s="301">
        <v>4</v>
      </c>
      <c r="G26" s="207" t="s">
        <v>67</v>
      </c>
    </row>
    <row r="27" hidden="1" ht="45" customHeight="1">
      <c r="A27" s="226"/>
      <c r="B27" s="238">
        <v>1135</v>
      </c>
      <c r="C27" s="242" t="s">
        <v>100</v>
      </c>
      <c r="D27" s="301">
        <v>6</v>
      </c>
      <c r="E27" s="301">
        <v>7</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6</v>
      </c>
      <c r="E29" s="301">
        <v>6</v>
      </c>
      <c r="F29" s="301">
        <v>4</v>
      </c>
      <c r="G29" s="207" t="s">
        <v>67</v>
      </c>
    </row>
    <row r="30" hidden="1" ht="45" customHeight="1">
      <c r="A30" s="226"/>
      <c r="B30" s="238">
        <v>1138</v>
      </c>
      <c r="C30" s="242" t="s">
        <v>103</v>
      </c>
      <c r="D30" s="301">
        <v>35</v>
      </c>
      <c r="E30" s="301">
        <v>32</v>
      </c>
      <c r="F30" s="301">
        <v>41</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6</v>
      </c>
      <c r="E32" s="302">
        <v>7</v>
      </c>
      <c r="F32" s="302">
        <v>0</v>
      </c>
      <c r="G32" s="207"/>
    </row>
    <row r="33" hidden="1" ht="45" customHeight="1">
      <c r="A33" s="226"/>
      <c r="B33" s="238">
        <v>1143</v>
      </c>
      <c r="C33" s="242" t="s">
        <v>106</v>
      </c>
      <c r="D33" s="301">
        <v>40</v>
      </c>
      <c r="E33" s="301">
        <v>31</v>
      </c>
      <c r="F33" s="301">
        <v>39</v>
      </c>
      <c r="G33" s="207" t="s">
        <v>67</v>
      </c>
    </row>
    <row r="34" hidden="1" ht="45" customHeight="1">
      <c r="A34" s="226"/>
      <c r="B34" s="238">
        <v>1144</v>
      </c>
      <c r="C34" s="242" t="s">
        <v>107</v>
      </c>
      <c r="D34" s="301">
        <v>41</v>
      </c>
      <c r="E34" s="301">
        <v>37</v>
      </c>
      <c r="F34" s="301">
        <v>45</v>
      </c>
      <c r="G34" s="207" t="s">
        <v>67</v>
      </c>
    </row>
    <row r="35" hidden="1" ht="45" customHeight="1">
      <c r="A35" s="226"/>
      <c r="B35" s="238">
        <v>1145</v>
      </c>
      <c r="C35" s="242" t="s">
        <v>108</v>
      </c>
      <c r="D35" s="301">
        <v>40</v>
      </c>
      <c r="E35" s="301">
        <v>31</v>
      </c>
      <c r="F35" s="301">
        <v>39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19</v>
      </c>
      <c r="E37" s="301">
        <v>21</v>
      </c>
      <c r="F37" s="301">
        <v>31</v>
      </c>
      <c r="G37" s="207" t="s">
        <v>67</v>
      </c>
    </row>
    <row r="38" hidden="1" ht="45" customHeight="1">
      <c r="A38" s="226"/>
      <c r="B38" s="238">
        <v>1153</v>
      </c>
      <c r="C38" s="242" t="s">
        <v>111</v>
      </c>
      <c r="D38" s="301">
        <v>29</v>
      </c>
      <c r="E38" s="301">
        <v>19</v>
      </c>
      <c r="F38" s="301">
        <v>32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19</v>
      </c>
      <c r="E40" s="301">
        <v>21</v>
      </c>
      <c r="F40" s="301">
        <v>31</v>
      </c>
      <c r="G40" s="207" t="s">
        <v>67</v>
      </c>
    </row>
    <row r="41" hidden="1" ht="45" customHeight="1">
      <c r="A41" s="226"/>
      <c r="B41" s="238">
        <v>1156</v>
      </c>
      <c r="C41" s="242" t="s">
        <v>113</v>
      </c>
      <c r="D41" s="301">
        <v>29</v>
      </c>
      <c r="E41" s="301">
        <v>19</v>
      </c>
      <c r="F41" s="301">
        <v>31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v>
      </c>
      <c r="E43" s="301">
        <v>4</v>
      </c>
      <c r="F43" s="301">
        <v>6</v>
      </c>
      <c r="G43" s="207" t="s">
        <v>67</v>
      </c>
    </row>
    <row r="44" hidden="1" ht="45" customHeight="1" s="250" customFormat="1">
      <c r="A44" s="226"/>
      <c r="B44" s="238">
        <v>1159</v>
      </c>
      <c r="C44" s="242" t="s">
        <v>116</v>
      </c>
      <c r="D44" s="301">
        <v>6</v>
      </c>
      <c r="E44" s="301">
        <v>2</v>
      </c>
      <c r="F44" s="301">
        <v>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10</v>
      </c>
      <c r="E53" s="301">
        <v>10</v>
      </c>
      <c r="F53" s="301">
        <v>4</v>
      </c>
      <c r="G53" s="207" t="s">
        <v>117</v>
      </c>
    </row>
    <row r="54" hidden="1" ht="45" customHeight="1">
      <c r="A54" s="226"/>
      <c r="B54" s="238">
        <v>1214</v>
      </c>
      <c r="C54" s="264" t="s">
        <v>132</v>
      </c>
      <c r="D54" s="301">
        <v>10</v>
      </c>
      <c r="E54" s="301">
        <v>10</v>
      </c>
      <c r="F54" s="301">
        <v>4</v>
      </c>
      <c r="G54" s="207" t="s">
        <v>117</v>
      </c>
    </row>
    <row r="55" hidden="1" ht="45" customHeight="1">
      <c r="A55" s="226"/>
      <c r="B55" s="238">
        <v>1215</v>
      </c>
      <c r="C55" s="242" t="s">
        <v>133</v>
      </c>
      <c r="D55" s="301">
        <v>10</v>
      </c>
      <c r="E55" s="301">
        <v>10</v>
      </c>
      <c r="F55" s="301">
        <v>8</v>
      </c>
      <c r="G55" s="207" t="s">
        <v>117</v>
      </c>
    </row>
    <row r="56" hidden="1" ht="45" customHeight="1">
      <c r="A56" s="226"/>
      <c r="B56" s="238">
        <v>1216</v>
      </c>
      <c r="C56" s="243" t="s">
        <v>134</v>
      </c>
      <c r="D56" s="301">
        <v>10</v>
      </c>
      <c r="E56" s="301">
        <v>10</v>
      </c>
      <c r="F56" s="301">
        <v>4</v>
      </c>
      <c r="G56" s="207" t="s">
        <v>117</v>
      </c>
    </row>
    <row r="57" hidden="1" ht="45" customHeight="1">
      <c r="A57" s="226"/>
      <c r="B57" s="238">
        <v>1217</v>
      </c>
      <c r="C57" s="243" t="s">
        <v>135</v>
      </c>
      <c r="D57" s="301">
        <v>0</v>
      </c>
      <c r="E57" s="301">
        <v>1</v>
      </c>
      <c r="F57" s="301">
        <v>1</v>
      </c>
      <c r="G57" s="207" t="s">
        <v>117</v>
      </c>
    </row>
    <row r="58" hidden="1" ht="45" customHeight="1">
      <c r="A58" s="226"/>
      <c r="B58" s="238">
        <v>1218</v>
      </c>
      <c r="C58" s="243" t="s">
        <v>136</v>
      </c>
      <c r="D58" s="301">
        <v>10</v>
      </c>
      <c r="E58" s="301">
        <v>9</v>
      </c>
      <c r="F58" s="301">
        <v>4</v>
      </c>
      <c r="G58" s="207" t="s">
        <v>117</v>
      </c>
    </row>
    <row r="59" hidden="1" ht="45" customHeight="1">
      <c r="A59" s="226"/>
      <c r="B59" s="238">
        <v>1221</v>
      </c>
      <c r="C59" s="264" t="s">
        <v>137</v>
      </c>
      <c r="D59" s="301">
        <v>9</v>
      </c>
      <c r="E59" s="301">
        <v>10</v>
      </c>
      <c r="F59" s="301">
        <v>4</v>
      </c>
      <c r="G59" s="207" t="s">
        <v>117</v>
      </c>
    </row>
    <row r="60" hidden="1" ht="45" customHeight="1">
      <c r="A60" s="226"/>
      <c r="B60" s="238">
        <v>1222</v>
      </c>
      <c r="C60" s="264" t="s">
        <v>138</v>
      </c>
      <c r="D60" s="301">
        <v>9</v>
      </c>
      <c r="E60" s="301">
        <v>10</v>
      </c>
      <c r="F60" s="301">
        <v>4</v>
      </c>
      <c r="G60" s="207" t="s">
        <v>117</v>
      </c>
    </row>
    <row r="61" hidden="1" ht="45" customHeight="1">
      <c r="A61" s="226"/>
      <c r="B61" s="238">
        <v>1223</v>
      </c>
      <c r="C61" s="264" t="s">
        <v>139</v>
      </c>
      <c r="D61" s="301">
        <v>10</v>
      </c>
      <c r="E61" s="301">
        <v>9</v>
      </c>
      <c r="F61" s="301">
        <v>4</v>
      </c>
      <c r="G61" s="207" t="s">
        <v>117</v>
      </c>
    </row>
    <row r="62" hidden="1" ht="54.65" customHeight="1">
      <c r="A62" s="226"/>
      <c r="B62" s="238">
        <v>1224</v>
      </c>
      <c r="C62" s="264" t="s">
        <v>140</v>
      </c>
      <c r="D62" s="301">
        <v>10</v>
      </c>
      <c r="E62" s="301">
        <v>9</v>
      </c>
      <c r="F62" s="301">
        <v>4</v>
      </c>
      <c r="G62" s="207" t="s">
        <v>117</v>
      </c>
    </row>
    <row r="63" hidden="1" ht="66.65" customHeight="1">
      <c r="A63" s="226"/>
      <c r="B63" s="238">
        <v>1225</v>
      </c>
      <c r="C63" s="264" t="s">
        <v>141</v>
      </c>
      <c r="D63" s="301">
        <v>10</v>
      </c>
      <c r="E63" s="301">
        <v>9</v>
      </c>
      <c r="F63" s="301">
        <v>4</v>
      </c>
      <c r="G63" s="207" t="s">
        <v>117</v>
      </c>
    </row>
    <row r="64" hidden="1" ht="45" customHeight="1">
      <c r="A64" s="226"/>
      <c r="B64" s="238">
        <v>1226</v>
      </c>
      <c r="C64" s="264" t="s">
        <v>142</v>
      </c>
      <c r="D64" s="301">
        <v>0</v>
      </c>
      <c r="E64" s="301">
        <v>1</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v>
      </c>
      <c r="E67" s="301">
        <v>10</v>
      </c>
      <c r="F67" s="301">
        <v>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v>
      </c>
      <c r="E71" s="301">
        <v>7</v>
      </c>
      <c r="F71" s="301">
        <v>7</v>
      </c>
      <c r="G71" s="207" t="s">
        <v>117</v>
      </c>
    </row>
    <row r="72" hidden="1" ht="45" customHeight="1">
      <c r="A72" s="226"/>
      <c r="B72" s="238">
        <v>1236</v>
      </c>
      <c r="C72" s="242" t="s">
        <v>150</v>
      </c>
      <c r="D72" s="301">
        <v>1</v>
      </c>
      <c r="E72" s="301">
        <v>2</v>
      </c>
      <c r="F72" s="301">
        <v>1</v>
      </c>
      <c r="G72" s="207" t="s">
        <v>117</v>
      </c>
    </row>
    <row r="73" hidden="1" ht="45" customHeight="1">
      <c r="A73" s="226"/>
      <c r="B73" s="238">
        <v>1241</v>
      </c>
      <c r="C73" s="242" t="s">
        <v>151</v>
      </c>
      <c r="D73" s="301">
        <v>9</v>
      </c>
      <c r="E73" s="301">
        <v>10</v>
      </c>
      <c r="F73" s="301">
        <v>8</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10</v>
      </c>
      <c r="E75" s="301">
        <v>10</v>
      </c>
      <c r="F75" s="301">
        <v>8</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10</v>
      </c>
      <c r="E79" s="301">
        <v>9</v>
      </c>
      <c r="F79" s="301">
        <v>0</v>
      </c>
      <c r="G79" s="207" t="s">
        <v>117</v>
      </c>
    </row>
    <row r="80" hidden="1" ht="45" customHeight="1">
      <c r="A80" s="226"/>
      <c r="B80" s="238">
        <v>1248</v>
      </c>
      <c r="C80" s="242" t="s">
        <v>158</v>
      </c>
      <c r="D80" s="301">
        <v>0</v>
      </c>
      <c r="E80" s="301">
        <v>10</v>
      </c>
      <c r="F80" s="301">
        <v>4</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10</v>
      </c>
      <c r="E82" s="301">
        <v>10</v>
      </c>
      <c r="F82" s="301">
        <v>0</v>
      </c>
      <c r="G82" s="207" t="s">
        <v>117</v>
      </c>
    </row>
    <row r="83" hidden="1" ht="45" customHeight="1">
      <c r="A83" s="226"/>
      <c r="B83" s="238">
        <v>1253</v>
      </c>
      <c r="C83" s="242" t="s">
        <v>161</v>
      </c>
      <c r="D83" s="301">
        <v>10</v>
      </c>
      <c r="E83" s="301">
        <v>9</v>
      </c>
      <c r="F83" s="301">
        <v>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3</v>
      </c>
      <c r="E86" s="301">
        <v>2</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1</v>
      </c>
      <c r="G88" s="207" t="s">
        <v>117</v>
      </c>
    </row>
    <row r="89" hidden="1" ht="45" customHeight="1">
      <c r="A89" s="226"/>
      <c r="B89" s="238">
        <v>1259</v>
      </c>
      <c r="C89" s="242" t="s">
        <v>167</v>
      </c>
      <c r="D89" s="301">
        <v>0</v>
      </c>
      <c r="E89" s="301">
        <v>4</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2</v>
      </c>
      <c r="F93" s="301">
        <v>1</v>
      </c>
      <c r="G93" s="266" t="s">
        <v>168</v>
      </c>
    </row>
    <row r="94" ht="45" customHeight="1">
      <c r="A94" s="226"/>
      <c r="B94" s="238">
        <v>1314</v>
      </c>
      <c r="C94" s="269" t="s">
        <v>173</v>
      </c>
      <c r="D94" s="301">
        <v>1</v>
      </c>
      <c r="E94" s="301">
        <v>3</v>
      </c>
      <c r="F94" s="301">
        <v>1</v>
      </c>
      <c r="G94" s="266" t="s">
        <v>168</v>
      </c>
    </row>
    <row r="95" ht="45" customHeight="1">
      <c r="A95" s="226"/>
      <c r="B95" s="238">
        <v>1315</v>
      </c>
      <c r="C95" s="243" t="s">
        <v>174</v>
      </c>
      <c r="D95" s="301">
        <v>0</v>
      </c>
      <c r="E95" s="301">
        <v>3</v>
      </c>
      <c r="F95" s="301">
        <v>1</v>
      </c>
      <c r="G95" s="266" t="s">
        <v>168</v>
      </c>
    </row>
    <row r="96" ht="45" customHeight="1" s="270" customFormat="1">
      <c r="A96" s="226"/>
      <c r="B96" s="238">
        <v>1316</v>
      </c>
      <c r="C96" s="243" t="s">
        <v>175</v>
      </c>
      <c r="D96" s="301">
        <v>1</v>
      </c>
      <c r="E96" s="301">
        <v>3</v>
      </c>
      <c r="F96" s="301">
        <v>1</v>
      </c>
      <c r="G96" s="266" t="s">
        <v>168</v>
      </c>
    </row>
    <row r="97" ht="45" customHeight="1" s="270" customFormat="1">
      <c r="A97" s="226"/>
      <c r="B97" s="238">
        <v>1321</v>
      </c>
      <c r="C97" s="242" t="s">
        <v>176</v>
      </c>
      <c r="D97" s="301">
        <v>0</v>
      </c>
      <c r="E97" s="301">
        <v>1</v>
      </c>
      <c r="F97" s="301">
        <v>1</v>
      </c>
      <c r="G97" s="266" t="s">
        <v>168</v>
      </c>
    </row>
    <row r="98" ht="45" customHeight="1" s="270" customFormat="1">
      <c r="A98" s="226"/>
      <c r="B98" s="238">
        <v>1322</v>
      </c>
      <c r="C98" s="242" t="s">
        <v>177</v>
      </c>
      <c r="D98" s="301">
        <v>0</v>
      </c>
      <c r="E98" s="301">
        <v>1</v>
      </c>
      <c r="F98" s="301">
        <v>1</v>
      </c>
      <c r="G98" s="266" t="s">
        <v>168</v>
      </c>
    </row>
    <row r="99" ht="45" customHeight="1" s="270" customFormat="1">
      <c r="A99" s="226"/>
      <c r="B99" s="238">
        <v>1323</v>
      </c>
      <c r="C99" s="242" t="s">
        <v>178</v>
      </c>
      <c r="D99" s="301">
        <v>1</v>
      </c>
      <c r="E99" s="301">
        <v>3</v>
      </c>
      <c r="F99" s="301">
        <v>1</v>
      </c>
      <c r="G99" s="266" t="s">
        <v>168</v>
      </c>
    </row>
    <row r="100" ht="45" customHeight="1" s="270" customFormat="1">
      <c r="A100" s="226"/>
      <c r="B100" s="238">
        <v>1324</v>
      </c>
      <c r="C100" s="242" t="s">
        <v>179</v>
      </c>
      <c r="D100" s="301">
        <v>1</v>
      </c>
      <c r="E100" s="301">
        <v>3</v>
      </c>
      <c r="F100" s="301">
        <v>1</v>
      </c>
      <c r="G100" s="266" t="s">
        <v>168</v>
      </c>
    </row>
    <row r="101" ht="45" customHeight="1" s="270" customFormat="1">
      <c r="A101" s="226"/>
      <c r="B101" s="238">
        <v>1331</v>
      </c>
      <c r="C101" s="242" t="s">
        <v>180</v>
      </c>
      <c r="D101" s="301">
        <v>1</v>
      </c>
      <c r="E101" s="301">
        <v>3</v>
      </c>
      <c r="F101" s="301">
        <v>1</v>
      </c>
      <c r="G101" s="266" t="s">
        <v>168</v>
      </c>
    </row>
    <row r="102" ht="45" customHeight="1" s="270" customFormat="1">
      <c r="A102" s="226"/>
      <c r="B102" s="238">
        <v>1332</v>
      </c>
      <c r="C102" s="242" t="s">
        <v>181</v>
      </c>
      <c r="D102" s="301">
        <v>1</v>
      </c>
      <c r="E102" s="301">
        <v>3</v>
      </c>
      <c r="F102" s="301">
        <v>1</v>
      </c>
      <c r="G102" s="266" t="s">
        <v>168</v>
      </c>
    </row>
    <row r="103" ht="45" customHeight="1" s="270" customFormat="1">
      <c r="A103" s="226"/>
      <c r="B103" s="238">
        <v>1333</v>
      </c>
      <c r="C103" s="242" t="s">
        <v>182</v>
      </c>
      <c r="D103" s="301">
        <v>0</v>
      </c>
      <c r="E103" s="301">
        <v>1</v>
      </c>
      <c r="F103" s="301">
        <v>1</v>
      </c>
      <c r="G103" s="266" t="s">
        <v>168</v>
      </c>
    </row>
    <row r="104" ht="45" customHeight="1" s="270" customFormat="1">
      <c r="A104" s="226"/>
      <c r="B104" s="238">
        <v>1334</v>
      </c>
      <c r="C104" s="242" t="s">
        <v>183</v>
      </c>
      <c r="D104" s="301">
        <v>0</v>
      </c>
      <c r="E104" s="301">
        <v>1</v>
      </c>
      <c r="F104" s="301">
        <v>1</v>
      </c>
      <c r="G104" s="266" t="s">
        <v>168</v>
      </c>
    </row>
    <row r="105" ht="45" customHeight="1" s="270" customFormat="1">
      <c r="A105" s="226"/>
      <c r="B105" s="238">
        <v>1335</v>
      </c>
      <c r="C105" s="242" t="s">
        <v>184</v>
      </c>
      <c r="D105" s="301">
        <v>0</v>
      </c>
      <c r="E105" s="301">
        <v>1</v>
      </c>
      <c r="F105" s="301">
        <v>1</v>
      </c>
      <c r="G105" s="266" t="s">
        <v>168</v>
      </c>
    </row>
    <row r="106" ht="45" customHeight="1" s="270" customFormat="1">
      <c r="A106" s="226"/>
      <c r="B106" s="238">
        <v>1341</v>
      </c>
      <c r="C106" s="242" t="s">
        <v>185</v>
      </c>
      <c r="D106" s="301">
        <v>1</v>
      </c>
      <c r="E106" s="301">
        <v>2</v>
      </c>
      <c r="F106" s="301">
        <v>0</v>
      </c>
      <c r="G106" s="266" t="s">
        <v>168</v>
      </c>
    </row>
    <row r="107" hidden="1" ht="45" customHeight="1" s="270" customFormat="1">
      <c r="A107" s="226"/>
      <c r="B107" s="238">
        <v>1342</v>
      </c>
      <c r="C107" s="242" t="s">
        <v>186</v>
      </c>
      <c r="D107" s="271">
        <f>D94</f>
        <v>1</v>
      </c>
      <c r="E107" s="271">
        <f>E94</f>
        <v>3</v>
      </c>
      <c r="F107" s="271">
        <f>F94</f>
        <v>1</v>
      </c>
      <c r="G107" s="266"/>
    </row>
    <row r="108" ht="45" customHeight="1" s="270" customFormat="1">
      <c r="A108" s="226"/>
      <c r="B108" s="238">
        <v>1343</v>
      </c>
      <c r="C108" s="242" t="s">
        <v>187</v>
      </c>
      <c r="D108" s="301">
        <v>1</v>
      </c>
      <c r="E108" s="301">
        <v>2</v>
      </c>
      <c r="F108" s="301">
        <v>0</v>
      </c>
      <c r="G108" s="266" t="s">
        <v>168</v>
      </c>
    </row>
    <row r="109" ht="45" customHeight="1" s="270" customFormat="1">
      <c r="A109" s="226"/>
      <c r="B109" s="238">
        <v>1344</v>
      </c>
      <c r="C109" s="242" t="s">
        <v>188</v>
      </c>
      <c r="D109" s="301">
        <v>1</v>
      </c>
      <c r="E109" s="301">
        <v>2</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2</v>
      </c>
      <c r="F111" s="301">
        <v>0</v>
      </c>
      <c r="G111" s="266" t="s">
        <v>168</v>
      </c>
    </row>
    <row r="112" ht="45" customHeight="1" s="270" customFormat="1">
      <c r="A112" s="226"/>
      <c r="B112" s="238">
        <v>1353</v>
      </c>
      <c r="C112" s="242" t="s">
        <v>191</v>
      </c>
      <c r="D112" s="301">
        <v>1</v>
      </c>
      <c r="E112" s="301">
        <v>2</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2</v>
      </c>
      <c r="F114" s="301">
        <v>0</v>
      </c>
      <c r="G114" s="266" t="s">
        <v>168</v>
      </c>
    </row>
    <row r="115" ht="45" customHeight="1" s="270" customFormat="1">
      <c r="A115" s="226"/>
      <c r="B115" s="238">
        <v>1356</v>
      </c>
      <c r="C115" s="242" t="s">
        <v>193</v>
      </c>
      <c r="D115" s="301">
        <v>1</v>
      </c>
      <c r="E115" s="301">
        <v>2</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6</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5</v>
      </c>
      <c r="E119" s="301">
        <v>0</v>
      </c>
      <c r="F119" s="301">
        <v>0</v>
      </c>
      <c r="G119" s="207" t="s">
        <v>194</v>
      </c>
    </row>
    <row r="120" hidden="1" ht="45" customHeight="1" s="270" customFormat="1">
      <c r="A120" s="226"/>
      <c r="B120" s="238">
        <v>1414</v>
      </c>
      <c r="C120" s="243" t="s">
        <v>198</v>
      </c>
      <c r="D120" s="301">
        <v>5</v>
      </c>
      <c r="E120" s="301">
        <v>1</v>
      </c>
      <c r="F120" s="301">
        <v>0</v>
      </c>
      <c r="G120" s="207" t="s">
        <v>194</v>
      </c>
    </row>
    <row r="121" hidden="1" ht="45" customHeight="1" s="270" customFormat="1">
      <c r="A121" s="226"/>
      <c r="B121" s="238">
        <v>1422</v>
      </c>
      <c r="C121" s="242" t="s">
        <v>199</v>
      </c>
      <c r="D121" s="301">
        <v>5</v>
      </c>
      <c r="E121" s="301">
        <v>1</v>
      </c>
      <c r="F121" s="301">
        <v>0</v>
      </c>
      <c r="G121" s="207" t="s">
        <v>194</v>
      </c>
    </row>
    <row r="122" hidden="1" ht="45" customHeight="1" s="270" customFormat="1">
      <c r="A122" s="226"/>
      <c r="B122" s="238">
        <v>1423</v>
      </c>
      <c r="C122" s="242" t="s">
        <v>200</v>
      </c>
      <c r="D122" s="301">
        <v>2</v>
      </c>
      <c r="E122" s="301">
        <v>1</v>
      </c>
      <c r="F122" s="301">
        <v>0</v>
      </c>
      <c r="G122" s="207" t="s">
        <v>194</v>
      </c>
    </row>
    <row r="123" hidden="1" ht="45" customHeight="1" s="270" customFormat="1">
      <c r="A123" s="226"/>
      <c r="B123" s="238">
        <v>1424</v>
      </c>
      <c r="C123" s="242" t="s">
        <v>201</v>
      </c>
      <c r="D123" s="301">
        <v>1</v>
      </c>
      <c r="E123" s="301">
        <v>3</v>
      </c>
      <c r="F123" s="301">
        <v>1</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5</v>
      </c>
      <c r="E126" s="301">
        <v>0</v>
      </c>
      <c r="F126" s="301">
        <v>0</v>
      </c>
      <c r="G126" s="207" t="s">
        <v>194</v>
      </c>
    </row>
    <row r="127" hidden="1" ht="45" customHeight="1" s="270" customFormat="1">
      <c r="A127" s="226"/>
      <c r="B127" s="238">
        <v>1432</v>
      </c>
      <c r="C127" s="242" t="s">
        <v>206</v>
      </c>
      <c r="D127" s="301">
        <v>5</v>
      </c>
      <c r="E127" s="301">
        <v>0</v>
      </c>
      <c r="F127" s="301">
        <v>0</v>
      </c>
      <c r="G127" s="207" t="s">
        <v>194</v>
      </c>
    </row>
    <row r="128" hidden="1" ht="45" customHeight="1" s="270" customFormat="1">
      <c r="A128" s="226"/>
      <c r="B128" s="238">
        <v>1433</v>
      </c>
      <c r="C128" s="242" t="s">
        <v>207</v>
      </c>
      <c r="D128" s="301">
        <v>5</v>
      </c>
      <c r="E128" s="301">
        <v>0</v>
      </c>
      <c r="F128" s="301">
        <v>0</v>
      </c>
      <c r="G128" s="207" t="s">
        <v>194</v>
      </c>
    </row>
    <row r="129" hidden="1" ht="45" customHeight="1" s="270" customFormat="1">
      <c r="A129" s="226"/>
      <c r="B129" s="238">
        <v>1434</v>
      </c>
      <c r="C129" s="242" t="s">
        <v>208</v>
      </c>
      <c r="D129" s="301">
        <v>5</v>
      </c>
      <c r="E129" s="301">
        <v>0</v>
      </c>
      <c r="F129" s="301">
        <v>0</v>
      </c>
      <c r="G129" s="207" t="s">
        <v>194</v>
      </c>
    </row>
    <row r="130" hidden="1" ht="45" customHeight="1" s="270" customFormat="1">
      <c r="A130" s="226"/>
      <c r="B130" s="238">
        <v>1435</v>
      </c>
      <c r="C130" s="242" t="s">
        <v>209</v>
      </c>
      <c r="D130" s="301">
        <v>2</v>
      </c>
      <c r="E130" s="301">
        <v>1</v>
      </c>
      <c r="F130" s="301">
        <v>0</v>
      </c>
      <c r="G130" s="207" t="s">
        <v>194</v>
      </c>
    </row>
    <row r="131" hidden="1" ht="45" customHeight="1" s="270" customFormat="1">
      <c r="A131" s="226"/>
      <c r="B131" s="238">
        <v>1441</v>
      </c>
      <c r="C131" s="242" t="s">
        <v>210</v>
      </c>
      <c r="D131" s="301">
        <v>5</v>
      </c>
      <c r="E131" s="301">
        <v>0</v>
      </c>
      <c r="F131" s="301">
        <v>0</v>
      </c>
      <c r="G131" s="207" t="s">
        <v>194</v>
      </c>
    </row>
    <row r="132" hidden="1" ht="45" customHeight="1" s="270" customFormat="1">
      <c r="A132" s="226"/>
      <c r="B132" s="238">
        <v>1442</v>
      </c>
      <c r="C132" s="242" t="s">
        <v>211</v>
      </c>
      <c r="D132" s="271">
        <f>D120</f>
        <v>5</v>
      </c>
      <c r="E132" s="271">
        <f>E120</f>
        <v>1</v>
      </c>
      <c r="F132" s="271">
        <f>F120</f>
        <v>0</v>
      </c>
      <c r="G132" s="207"/>
    </row>
    <row r="133" hidden="1" ht="45" customHeight="1" s="270" customFormat="1">
      <c r="A133" s="226"/>
      <c r="B133" s="238">
        <v>1443</v>
      </c>
      <c r="C133" s="242" t="s">
        <v>212</v>
      </c>
      <c r="D133" s="301">
        <v>2</v>
      </c>
      <c r="E133" s="301">
        <v>1</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5</v>
      </c>
      <c r="E135" s="301">
        <v>0</v>
      </c>
      <c r="F135" s="301">
        <v>0</v>
      </c>
      <c r="G135" s="207" t="s">
        <v>194</v>
      </c>
    </row>
    <row r="136" hidden="1" ht="45" customHeight="1" s="270" customFormat="1">
      <c r="A136" s="226"/>
      <c r="B136" s="238">
        <v>1453</v>
      </c>
      <c r="C136" s="242" t="s">
        <v>215</v>
      </c>
      <c r="D136" s="301">
        <v>5</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5</v>
      </c>
      <c r="E138" s="301">
        <v>0</v>
      </c>
      <c r="F138" s="301">
        <v>0</v>
      </c>
      <c r="G138" s="207" t="s">
        <v>194</v>
      </c>
    </row>
    <row r="139" hidden="1" ht="45" customHeight="1">
      <c r="A139" s="226"/>
      <c r="B139" s="238">
        <v>1456</v>
      </c>
      <c r="C139" s="242" t="s">
        <v>218</v>
      </c>
      <c r="D139" s="301">
        <v>5</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7</v>
      </c>
      <c r="E144" s="301">
        <v>6</v>
      </c>
      <c r="F144" s="301">
        <v>0</v>
      </c>
      <c r="G144" s="207" t="s">
        <v>219</v>
      </c>
    </row>
    <row r="145" hidden="1" ht="45" customHeight="1">
      <c r="A145" s="226"/>
      <c r="B145" s="238">
        <v>1514</v>
      </c>
      <c r="C145" s="264" t="s">
        <v>225</v>
      </c>
      <c r="D145" s="301">
        <v>7</v>
      </c>
      <c r="E145" s="301">
        <v>6</v>
      </c>
      <c r="F145" s="301">
        <v>0</v>
      </c>
      <c r="G145" s="207" t="s">
        <v>219</v>
      </c>
    </row>
    <row r="146" hidden="1" ht="45" customHeight="1">
      <c r="A146" s="226">
        <v>1541</v>
      </c>
      <c r="B146" s="238">
        <v>1515</v>
      </c>
      <c r="C146" s="264" t="s">
        <v>226</v>
      </c>
      <c r="D146" s="301">
        <v>4</v>
      </c>
      <c r="E146" s="301">
        <v>4</v>
      </c>
      <c r="F146" s="301">
        <v>0</v>
      </c>
      <c r="G146" s="207" t="s">
        <v>219</v>
      </c>
    </row>
    <row r="147" hidden="1" ht="45" customHeight="1">
      <c r="A147" s="226"/>
      <c r="B147" s="238">
        <v>1521</v>
      </c>
      <c r="C147" s="264" t="s">
        <v>227</v>
      </c>
      <c r="D147" s="301">
        <v>7</v>
      </c>
      <c r="E147" s="301">
        <v>6</v>
      </c>
      <c r="F147" s="301">
        <v>0</v>
      </c>
      <c r="G147" s="207" t="s">
        <v>219</v>
      </c>
    </row>
    <row r="148" hidden="1" ht="45" customHeight="1">
      <c r="A148" s="226"/>
      <c r="B148" s="238">
        <v>1522</v>
      </c>
      <c r="C148" s="264" t="s">
        <v>228</v>
      </c>
      <c r="D148" s="301">
        <v>7</v>
      </c>
      <c r="E148" s="301">
        <v>6</v>
      </c>
      <c r="F148" s="301">
        <v>0</v>
      </c>
      <c r="G148" s="207" t="s">
        <v>219</v>
      </c>
    </row>
    <row r="149" hidden="1" ht="45" customHeight="1">
      <c r="A149" s="226"/>
      <c r="B149" s="238">
        <v>1523</v>
      </c>
      <c r="C149" s="264" t="s">
        <v>229</v>
      </c>
      <c r="D149" s="301">
        <v>6</v>
      </c>
      <c r="E149" s="301">
        <v>4</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v>
      </c>
      <c r="E151" s="301">
        <v>2</v>
      </c>
      <c r="F151" s="301">
        <v>0</v>
      </c>
      <c r="G151" s="207" t="s">
        <v>219</v>
      </c>
    </row>
    <row r="152" hidden="1" ht="45" customHeight="1">
      <c r="A152" s="226"/>
      <c r="B152" s="238">
        <v>1532</v>
      </c>
      <c r="C152" s="242" t="s">
        <v>232</v>
      </c>
      <c r="D152" s="301">
        <v>5</v>
      </c>
      <c r="E152" s="301">
        <v>4</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7</v>
      </c>
      <c r="E155" s="301">
        <v>6</v>
      </c>
      <c r="F155" s="301">
        <v>0</v>
      </c>
      <c r="G155" s="207" t="s">
        <v>219</v>
      </c>
    </row>
    <row r="156" hidden="1" ht="45" customHeight="1">
      <c r="A156" s="226"/>
      <c r="B156" s="238">
        <v>1542</v>
      </c>
      <c r="C156" s="264" t="s">
        <v>236</v>
      </c>
      <c r="D156" s="301">
        <v>7</v>
      </c>
      <c r="E156" s="301">
        <v>6</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7</v>
      </c>
      <c r="E158" s="301">
        <v>4</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7</v>
      </c>
      <c r="E161" s="301">
        <v>6</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7</v>
      </c>
      <c r="E163" s="301">
        <v>6</v>
      </c>
      <c r="F163" s="301">
        <v>0</v>
      </c>
      <c r="G163" s="207" t="s">
        <v>219</v>
      </c>
    </row>
    <row r="164" hidden="1" ht="45" customHeight="1">
      <c r="A164" s="226"/>
      <c r="B164" s="238">
        <v>1556</v>
      </c>
      <c r="C164" s="242" t="s">
        <v>241</v>
      </c>
      <c r="D164" s="301">
        <v>7</v>
      </c>
      <c r="E164" s="301">
        <v>6</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368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124</v>
      </c>
      <c r="E170" s="301">
        <v>127</v>
      </c>
      <c r="F170" s="301">
        <v>107</v>
      </c>
      <c r="G170" s="207" t="s">
        <v>244</v>
      </c>
    </row>
    <row r="171" hidden="1" ht="45" customHeight="1">
      <c r="A171" s="226"/>
      <c r="B171" s="238">
        <v>1613</v>
      </c>
      <c r="C171" s="242" t="s">
        <v>224</v>
      </c>
      <c r="D171" s="301">
        <v>7</v>
      </c>
      <c r="E171" s="301">
        <v>6</v>
      </c>
      <c r="F171" s="301">
        <v>0</v>
      </c>
      <c r="G171" s="207" t="s">
        <v>244</v>
      </c>
    </row>
    <row r="172" hidden="1" ht="45" customHeight="1">
      <c r="A172" s="226"/>
      <c r="B172" s="238">
        <v>1614</v>
      </c>
      <c r="C172" s="283" t="s">
        <v>251</v>
      </c>
      <c r="D172" s="301">
        <v>7</v>
      </c>
      <c r="E172" s="301">
        <v>6</v>
      </c>
      <c r="F172" s="301">
        <v>0</v>
      </c>
      <c r="G172" s="207" t="s">
        <v>244</v>
      </c>
    </row>
    <row r="173" hidden="1" ht="45" customHeight="1">
      <c r="A173" s="226"/>
      <c r="B173" s="238">
        <v>1615</v>
      </c>
      <c r="C173" s="242" t="s">
        <v>252</v>
      </c>
      <c r="D173" s="301">
        <v>30</v>
      </c>
      <c r="E173" s="301">
        <v>30</v>
      </c>
      <c r="F173" s="301">
        <v>25</v>
      </c>
      <c r="G173" s="207" t="s">
        <v>244</v>
      </c>
    </row>
    <row r="174" hidden="1" ht="45" customHeight="1">
      <c r="A174" s="226"/>
      <c r="B174" s="238">
        <v>1616</v>
      </c>
      <c r="C174" s="242" t="s">
        <v>253</v>
      </c>
      <c r="D174" s="301">
        <v>30</v>
      </c>
      <c r="E174" s="301">
        <v>30</v>
      </c>
      <c r="F174" s="301">
        <v>25</v>
      </c>
      <c r="G174" s="207" t="s">
        <v>244</v>
      </c>
    </row>
    <row r="175" hidden="1" ht="45" customHeight="1">
      <c r="A175" s="226"/>
      <c r="B175" s="238">
        <v>1621</v>
      </c>
      <c r="C175" s="242" t="s">
        <v>254</v>
      </c>
      <c r="D175" s="301">
        <v>30</v>
      </c>
      <c r="E175" s="301">
        <v>30</v>
      </c>
      <c r="F175" s="301">
        <v>25</v>
      </c>
      <c r="G175" s="207" t="s">
        <v>244</v>
      </c>
    </row>
    <row r="176" hidden="1" ht="45" customHeight="1">
      <c r="A176" s="226"/>
      <c r="B176" s="238">
        <v>1622</v>
      </c>
      <c r="C176" s="242" t="s">
        <v>255</v>
      </c>
      <c r="D176" s="301">
        <v>30</v>
      </c>
      <c r="E176" s="301">
        <v>30</v>
      </c>
      <c r="F176" s="301">
        <v>25</v>
      </c>
      <c r="G176" s="207" t="s">
        <v>244</v>
      </c>
    </row>
    <row r="177" hidden="1" ht="45" customHeight="1">
      <c r="A177" s="226"/>
      <c r="B177" s="238">
        <v>1623</v>
      </c>
      <c r="C177" s="242" t="s">
        <v>256</v>
      </c>
      <c r="D177" s="301">
        <v>30</v>
      </c>
      <c r="E177" s="301">
        <v>30</v>
      </c>
      <c r="F177" s="301">
        <v>25</v>
      </c>
      <c r="G177" s="207" t="s">
        <v>244</v>
      </c>
    </row>
    <row r="178" hidden="1" ht="45" customHeight="1">
      <c r="A178" s="226"/>
      <c r="B178" s="238">
        <v>1624</v>
      </c>
      <c r="C178" s="242" t="s">
        <v>257</v>
      </c>
      <c r="D178" s="301">
        <v>30</v>
      </c>
      <c r="E178" s="301">
        <v>30</v>
      </c>
      <c r="F178" s="301">
        <v>25</v>
      </c>
      <c r="G178" s="207" t="s">
        <v>244</v>
      </c>
    </row>
    <row r="179" hidden="1" ht="45" customHeight="1">
      <c r="A179" s="226"/>
      <c r="B179" s="238">
        <v>1625</v>
      </c>
      <c r="C179" s="242" t="s">
        <v>258</v>
      </c>
      <c r="D179" s="301">
        <v>30</v>
      </c>
      <c r="E179" s="301">
        <v>30</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103</v>
      </c>
      <c r="E181" s="301">
        <v>104</v>
      </c>
      <c r="F181" s="301">
        <v>105</v>
      </c>
      <c r="G181" s="207" t="s">
        <v>244</v>
      </c>
    </row>
    <row r="182" hidden="1" ht="45" customHeight="1">
      <c r="A182" s="226"/>
      <c r="B182" s="238">
        <v>1632</v>
      </c>
      <c r="C182" s="242" t="s">
        <v>261</v>
      </c>
      <c r="D182" s="301">
        <v>262</v>
      </c>
      <c r="E182" s="301">
        <v>260</v>
      </c>
      <c r="F182" s="301">
        <v>262</v>
      </c>
      <c r="G182" s="207" t="s">
        <v>244</v>
      </c>
    </row>
    <row r="183" hidden="1" ht="45" customHeight="1">
      <c r="A183" s="226"/>
      <c r="B183" s="238">
        <v>1633</v>
      </c>
      <c r="C183" s="242" t="s">
        <v>262</v>
      </c>
      <c r="D183" s="301">
        <v>342</v>
      </c>
      <c r="E183" s="301">
        <v>351</v>
      </c>
      <c r="F183" s="301">
        <v>345</v>
      </c>
      <c r="G183" s="207" t="s">
        <v>244</v>
      </c>
    </row>
    <row r="184" hidden="1" ht="45" customHeight="1">
      <c r="A184" s="226"/>
      <c r="B184" s="238">
        <v>1634</v>
      </c>
      <c r="C184" s="242" t="s">
        <v>263</v>
      </c>
      <c r="D184" s="301">
        <v>26</v>
      </c>
      <c r="E184" s="301">
        <v>17</v>
      </c>
      <c r="F184" s="301">
        <v>21</v>
      </c>
      <c r="G184" s="207" t="s">
        <v>244</v>
      </c>
    </row>
    <row r="185" hidden="1" ht="45" customHeight="1">
      <c r="A185" s="226"/>
      <c r="B185" s="238">
        <v>1635</v>
      </c>
      <c r="C185" s="242" t="s">
        <v>264</v>
      </c>
      <c r="D185" s="301">
        <v>132</v>
      </c>
      <c r="E185" s="301">
        <v>148</v>
      </c>
      <c r="F185" s="301">
        <v>128</v>
      </c>
      <c r="G185" s="207" t="s">
        <v>244</v>
      </c>
    </row>
    <row r="186" hidden="1" ht="45" customHeight="1">
      <c r="A186" s="226"/>
      <c r="B186" s="238">
        <v>1641</v>
      </c>
      <c r="C186" s="242" t="s">
        <v>265</v>
      </c>
      <c r="D186" s="301">
        <v>132</v>
      </c>
      <c r="E186" s="301">
        <v>148</v>
      </c>
      <c r="F186" s="301">
        <v>128</v>
      </c>
      <c r="G186" s="207" t="s">
        <v>244</v>
      </c>
    </row>
    <row r="187" hidden="1" ht="45" customHeight="1">
      <c r="A187" s="226"/>
      <c r="B187" s="238">
        <v>1642</v>
      </c>
      <c r="C187" s="242" t="s">
        <v>264</v>
      </c>
      <c r="D187" s="301">
        <v>132</v>
      </c>
      <c r="E187" s="301">
        <v>148</v>
      </c>
      <c r="F187" s="301">
        <v>128</v>
      </c>
      <c r="G187" s="207" t="s">
        <v>244</v>
      </c>
    </row>
    <row r="188" hidden="1" ht="45" customHeight="1">
      <c r="A188" s="226"/>
      <c r="B188" s="238">
        <v>1643</v>
      </c>
      <c r="C188" s="242" t="s">
        <v>266</v>
      </c>
      <c r="D188" s="301">
        <v>368</v>
      </c>
      <c r="E188" s="301">
        <v>368</v>
      </c>
      <c r="F188" s="301">
        <v>368</v>
      </c>
      <c r="G188" s="207" t="s">
        <v>244</v>
      </c>
    </row>
    <row r="189" hidden="1" ht="45" customHeight="1">
      <c r="A189" s="226"/>
      <c r="B189" s="238">
        <v>1644</v>
      </c>
      <c r="C189" s="242" t="s">
        <v>267</v>
      </c>
      <c r="D189" s="301">
        <v>372</v>
      </c>
      <c r="E189" s="301">
        <v>373</v>
      </c>
      <c r="F189" s="301">
        <v>368</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368</v>
      </c>
      <c r="E191" s="301">
        <v>368</v>
      </c>
      <c r="F191" s="301">
        <v>368</v>
      </c>
      <c r="G191" s="207" t="s">
        <v>244</v>
      </c>
    </row>
    <row r="192" hidden="1" ht="45" customHeight="1">
      <c r="A192" s="226"/>
      <c r="B192" s="238">
        <v>1653</v>
      </c>
      <c r="C192" s="242" t="s">
        <v>270</v>
      </c>
      <c r="D192" s="301">
        <v>368</v>
      </c>
      <c r="E192" s="301">
        <v>368</v>
      </c>
      <c r="F192" s="301">
        <v>368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1</v>
      </c>
      <c r="F194" s="301">
        <v>1</v>
      </c>
      <c r="G194" s="207" t="s">
        <v>244</v>
      </c>
    </row>
    <row r="195" hidden="1" ht="45" customHeight="1">
      <c r="A195" s="226"/>
      <c r="B195" s="238">
        <v>1656</v>
      </c>
      <c r="C195" s="242" t="s">
        <v>273</v>
      </c>
      <c r="D195" s="301">
        <v>1</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v>
      </c>
      <c r="E197" s="301">
        <v>3</v>
      </c>
      <c r="F197" s="301">
        <v>0</v>
      </c>
      <c r="G197" s="207" t="s">
        <v>244</v>
      </c>
    </row>
    <row r="198" hidden="1" ht="45" customHeight="1">
      <c r="A198" s="226"/>
      <c r="B198" s="238">
        <v>1659</v>
      </c>
      <c r="C198" s="242" t="s">
        <v>276</v>
      </c>
      <c r="D198" s="301">
        <v>1</v>
      </c>
      <c r="E198" s="301">
        <v>1</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1</v>
      </c>
      <c r="F200" s="301">
        <v>0</v>
      </c>
      <c r="G200" s="207" t="s">
        <v>244</v>
      </c>
    </row>
    <row r="201" hidden="1" ht="45" customHeight="1">
      <c r="A201" s="226"/>
      <c r="B201" s="238">
        <v>1662</v>
      </c>
      <c r="C201" s="242" t="s">
        <v>279</v>
      </c>
      <c r="D201" s="301">
        <v>0</v>
      </c>
      <c r="E201" s="301">
        <v>1</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285</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615</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621</v>
      </c>
      <c r="AV136" s="0" t="s">
        <v>471</v>
      </c>
      <c r="AW136" s="0" t="s">
        <v>411</v>
      </c>
      <c r="AX136" s="0" t="s">
        <v>693</v>
      </c>
      <c r="AY136" s="0" t="s">
        <v>1324</v>
      </c>
      <c r="AZ136" s="0" t="s">
        <v>1325</v>
      </c>
      <c r="BA136" s="0" t="s">
        <v>474</v>
      </c>
      <c r="BB136" s="0" t="str">
        <f t="shared" si="2"/>
        <v>APINlaIkeja</v>
      </c>
    </row>
    <row r="137">
      <c r="E137" s="0" t="s">
        <v>623</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661</v>
      </c>
      <c r="AV283" s="0" t="s">
        <v>471</v>
      </c>
      <c r="AW283" s="0" t="s">
        <v>401</v>
      </c>
      <c r="AX283" s="0" t="s">
        <v>447</v>
      </c>
      <c r="AY283" s="0" t="s">
        <v>1622</v>
      </c>
      <c r="AZ283" s="0" t="s">
        <v>1623</v>
      </c>
      <c r="BA283" s="0" t="s">
        <v>556</v>
      </c>
      <c r="BB283" s="0" t="str">
        <f t="shared" si="4"/>
        <v>CCCRNenEnuguEast</v>
      </c>
    </row>
    <row r="284">
      <c r="E284" s="0" t="s">
        <v>697</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662</v>
      </c>
      <c r="AV289" s="0" t="s">
        <v>471</v>
      </c>
      <c r="AW289" s="0" t="s">
        <v>401</v>
      </c>
      <c r="AX289" s="0" t="s">
        <v>447</v>
      </c>
      <c r="AY289" s="0" t="s">
        <v>1634</v>
      </c>
      <c r="AZ289" s="0" t="s">
        <v>1635</v>
      </c>
      <c r="BA289" s="0" t="s">
        <v>556</v>
      </c>
      <c r="BB289" s="0" t="str">
        <f t="shared" si="4"/>
        <v>CCCRNenEnuguEast</v>
      </c>
    </row>
    <row r="290">
      <c r="E290" s="0" t="s">
        <v>698</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649</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648</v>
      </c>
      <c r="AY316" s="0" t="s">
        <v>1688</v>
      </c>
      <c r="AZ316" s="0" t="s">
        <v>1689</v>
      </c>
      <c r="BA316" s="0" t="s">
        <v>556</v>
      </c>
      <c r="BB316" s="0" t="str">
        <f t="shared" si="4"/>
        <v>CCCRNenIgboEzeSouth</v>
      </c>
    </row>
    <row r="317">
      <c r="AV317" s="0" t="s">
        <v>471</v>
      </c>
      <c r="AW317" s="0" t="s">
        <v>401</v>
      </c>
      <c r="AX317" s="0" t="s">
        <v>648</v>
      </c>
      <c r="AY317" s="0" t="s">
        <v>1690</v>
      </c>
      <c r="AZ317" s="0" t="s">
        <v>1691</v>
      </c>
      <c r="BA317" s="0" t="s">
        <v>556</v>
      </c>
      <c r="BB317" s="0" t="str">
        <f t="shared" si="4"/>
        <v>CCCRNenIgboEzeSouth</v>
      </c>
    </row>
    <row r="318">
      <c r="AV318" s="0" t="s">
        <v>471</v>
      </c>
      <c r="AW318" s="0" t="s">
        <v>401</v>
      </c>
      <c r="AX318" s="0" t="s">
        <v>648</v>
      </c>
      <c r="AY318" s="0" t="s">
        <v>1692</v>
      </c>
      <c r="AZ318" s="0" t="s">
        <v>1693</v>
      </c>
      <c r="BA318" s="0" t="s">
        <v>556</v>
      </c>
      <c r="BB318" s="0" t="str">
        <f t="shared" si="4"/>
        <v>CCCRNenIgboEzeSouth</v>
      </c>
    </row>
    <row r="319">
      <c r="AV319" s="0" t="s">
        <v>471</v>
      </c>
      <c r="AW319" s="0" t="s">
        <v>401</v>
      </c>
      <c r="AX319" s="0" t="s">
        <v>685</v>
      </c>
      <c r="AY319" s="0" t="s">
        <v>1694</v>
      </c>
      <c r="AZ319" s="0" t="s">
        <v>1695</v>
      </c>
      <c r="BA319" s="0" t="s">
        <v>556</v>
      </c>
      <c r="BB319" s="0" t="str">
        <f t="shared" si="4"/>
        <v>CCCRNenIsiuzo</v>
      </c>
    </row>
    <row r="320">
      <c r="AV320" s="0" t="s">
        <v>471</v>
      </c>
      <c r="AW320" s="0" t="s">
        <v>401</v>
      </c>
      <c r="AX320" s="0" t="s">
        <v>685</v>
      </c>
      <c r="AY320" s="0" t="s">
        <v>1696</v>
      </c>
      <c r="AZ320" s="0" t="s">
        <v>1697</v>
      </c>
      <c r="BA320" s="0" t="s">
        <v>556</v>
      </c>
      <c r="BB320" s="0" t="str">
        <f t="shared" si="4"/>
        <v>CCCRNenIsiuzo</v>
      </c>
    </row>
    <row r="321">
      <c r="AV321" s="0" t="s">
        <v>471</v>
      </c>
      <c r="AW321" s="0" t="s">
        <v>401</v>
      </c>
      <c r="AX321" s="0" t="s">
        <v>685</v>
      </c>
      <c r="AY321" s="0" t="s">
        <v>1698</v>
      </c>
      <c r="AZ321" s="0" t="s">
        <v>1699</v>
      </c>
      <c r="BA321" s="0" t="s">
        <v>556</v>
      </c>
      <c r="BB321" s="0" t="str">
        <f t="shared" si="4"/>
        <v>CCCRNenIsiuzo</v>
      </c>
    </row>
    <row r="322">
      <c r="AV322" s="0" t="s">
        <v>471</v>
      </c>
      <c r="AW322" s="0" t="s">
        <v>401</v>
      </c>
      <c r="AX322" s="0" t="s">
        <v>685</v>
      </c>
      <c r="AY322" s="0" t="s">
        <v>1700</v>
      </c>
      <c r="AZ322" s="0" t="s">
        <v>1701</v>
      </c>
      <c r="BA322" s="0" t="s">
        <v>556</v>
      </c>
      <c r="BB322" s="0" t="str">
        <f t="shared" si="4"/>
        <v>CCCRNenIsiuzo</v>
      </c>
    </row>
    <row r="323">
      <c r="AV323" s="0" t="s">
        <v>471</v>
      </c>
      <c r="AW323" s="0" t="s">
        <v>401</v>
      </c>
      <c r="AX323" s="0" t="s">
        <v>685</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286</v>
      </c>
      <c r="AX347" s="0" t="s">
        <v>450</v>
      </c>
      <c r="AY347" s="0" t="s">
        <v>1750</v>
      </c>
      <c r="AZ347" s="0" t="s">
        <v>1751</v>
      </c>
      <c r="BA347" s="0" t="s">
        <v>556</v>
      </c>
      <c r="BB347" s="0" t="str">
        <f t="shared" si="5"/>
        <v>CCCRNimAbohMbaise</v>
      </c>
    </row>
    <row r="348">
      <c r="AV348" s="0" t="s">
        <v>471</v>
      </c>
      <c r="AW348" s="0" t="s">
        <v>286</v>
      </c>
      <c r="AX348" s="0" t="s">
        <v>450</v>
      </c>
      <c r="AY348" s="0" t="s">
        <v>1752</v>
      </c>
      <c r="AZ348" s="0" t="s">
        <v>1753</v>
      </c>
      <c r="BA348" s="0" t="s">
        <v>556</v>
      </c>
      <c r="BB348" s="0" t="str">
        <f t="shared" si="5"/>
        <v>CCCRNimAbohMbaise</v>
      </c>
    </row>
    <row r="349">
      <c r="AV349" s="0" t="s">
        <v>471</v>
      </c>
      <c r="AW349" s="0" t="s">
        <v>286</v>
      </c>
      <c r="AX349" s="0" t="s">
        <v>450</v>
      </c>
      <c r="AY349" s="0" t="s">
        <v>1754</v>
      </c>
      <c r="AZ349" s="0" t="s">
        <v>1755</v>
      </c>
      <c r="BA349" s="0" t="s">
        <v>556</v>
      </c>
      <c r="BB349" s="0" t="str">
        <f t="shared" si="5"/>
        <v>CCCRNimAbohMbaise</v>
      </c>
    </row>
    <row r="350">
      <c r="AV350" s="0" t="s">
        <v>471</v>
      </c>
      <c r="AW350" s="0" t="s">
        <v>286</v>
      </c>
      <c r="AX350" s="0" t="s">
        <v>450</v>
      </c>
      <c r="AY350" s="0" t="s">
        <v>1756</v>
      </c>
      <c r="AZ350" s="0" t="s">
        <v>1757</v>
      </c>
      <c r="BA350" s="0" t="s">
        <v>556</v>
      </c>
      <c r="BB350" s="0" t="str">
        <f t="shared" si="5"/>
        <v>CCCRNimAbohMbaise</v>
      </c>
    </row>
    <row r="351">
      <c r="AV351" s="0" t="s">
        <v>471</v>
      </c>
      <c r="AW351" s="0" t="s">
        <v>286</v>
      </c>
      <c r="AX351" s="0" t="s">
        <v>450</v>
      </c>
      <c r="AY351" s="0" t="s">
        <v>1758</v>
      </c>
      <c r="AZ351" s="0" t="s">
        <v>1759</v>
      </c>
      <c r="BA351" s="0" t="s">
        <v>556</v>
      </c>
      <c r="BB351" s="0" t="str">
        <f t="shared" si="5"/>
        <v>CCCRNimAbohMbaise</v>
      </c>
    </row>
    <row r="352">
      <c r="AV352" s="0" t="s">
        <v>471</v>
      </c>
      <c r="AW352" s="0" t="s">
        <v>286</v>
      </c>
      <c r="AX352" s="0" t="s">
        <v>493</v>
      </c>
      <c r="AY352" s="0" t="s">
        <v>1760</v>
      </c>
      <c r="AZ352" s="0" t="s">
        <v>1761</v>
      </c>
      <c r="BA352" s="0" t="s">
        <v>556</v>
      </c>
      <c r="BB352" s="0" t="str">
        <f t="shared" si="5"/>
        <v>CCCRNimAhiazuMbaise</v>
      </c>
    </row>
    <row r="353">
      <c r="AV353" s="0" t="s">
        <v>471</v>
      </c>
      <c r="AW353" s="0" t="s">
        <v>286</v>
      </c>
      <c r="AX353" s="0" t="s">
        <v>493</v>
      </c>
      <c r="AY353" s="0" t="s">
        <v>1762</v>
      </c>
      <c r="AZ353" s="0" t="s">
        <v>1763</v>
      </c>
      <c r="BA353" s="0" t="s">
        <v>556</v>
      </c>
      <c r="BB353" s="0" t="str">
        <f t="shared" si="5"/>
        <v>CCCRNimAhiazuMbaise</v>
      </c>
    </row>
    <row r="354">
      <c r="AV354" s="0" t="s">
        <v>471</v>
      </c>
      <c r="AW354" s="0" t="s">
        <v>286</v>
      </c>
      <c r="AX354" s="0" t="s">
        <v>493</v>
      </c>
      <c r="AY354" s="0" t="s">
        <v>1764</v>
      </c>
      <c r="AZ354" s="0" t="s">
        <v>1765</v>
      </c>
      <c r="BA354" s="0" t="s">
        <v>556</v>
      </c>
      <c r="BB354" s="0" t="str">
        <f t="shared" si="5"/>
        <v>CCCRNimAhiazuMbaise</v>
      </c>
    </row>
    <row r="355">
      <c r="AV355" s="0" t="s">
        <v>471</v>
      </c>
      <c r="AW355" s="0" t="s">
        <v>286</v>
      </c>
      <c r="AX355" s="0" t="s">
        <v>534</v>
      </c>
      <c r="AY355" s="0" t="s">
        <v>1766</v>
      </c>
      <c r="AZ355" s="0" t="s">
        <v>1767</v>
      </c>
      <c r="BA355" s="0" t="s">
        <v>556</v>
      </c>
      <c r="BB355" s="0" t="str">
        <f t="shared" si="5"/>
        <v>CCCRNimEzinihitte</v>
      </c>
    </row>
    <row r="356">
      <c r="AV356" s="0" t="s">
        <v>471</v>
      </c>
      <c r="AW356" s="0" t="s">
        <v>286</v>
      </c>
      <c r="AX356" s="0" t="s">
        <v>534</v>
      </c>
      <c r="AY356" s="0" t="s">
        <v>1768</v>
      </c>
      <c r="AZ356" s="0" t="s">
        <v>1769</v>
      </c>
      <c r="BA356" s="0" t="s">
        <v>556</v>
      </c>
      <c r="BB356" s="0" t="str">
        <f t="shared" si="5"/>
        <v>CCCRNimEzinihitte</v>
      </c>
    </row>
    <row r="357">
      <c r="AV357" s="0" t="s">
        <v>471</v>
      </c>
      <c r="AW357" s="0" t="s">
        <v>286</v>
      </c>
      <c r="AX357" s="0" t="s">
        <v>534</v>
      </c>
      <c r="AY357" s="0" t="s">
        <v>1770</v>
      </c>
      <c r="AZ357" s="0" t="s">
        <v>1771</v>
      </c>
      <c r="BA357" s="0" t="s">
        <v>556</v>
      </c>
      <c r="BB357" s="0" t="str">
        <f t="shared" si="5"/>
        <v>CCCRNimEzinihitte</v>
      </c>
    </row>
    <row r="358">
      <c r="AV358" s="0" t="s">
        <v>471</v>
      </c>
      <c r="AW358" s="0" t="s">
        <v>286</v>
      </c>
      <c r="AX358" s="0" t="s">
        <v>575</v>
      </c>
      <c r="AY358" s="0" t="s">
        <v>1772</v>
      </c>
      <c r="AZ358" s="0" t="s">
        <v>1773</v>
      </c>
      <c r="BA358" s="0" t="s">
        <v>556</v>
      </c>
      <c r="BB358" s="0" t="str">
        <f t="shared" si="5"/>
        <v>CCCRNimIdeatoNorth</v>
      </c>
    </row>
    <row r="359">
      <c r="AV359" s="0" t="s">
        <v>471</v>
      </c>
      <c r="AW359" s="0" t="s">
        <v>286</v>
      </c>
      <c r="AX359" s="0" t="s">
        <v>575</v>
      </c>
      <c r="AY359" s="0" t="s">
        <v>1774</v>
      </c>
      <c r="AZ359" s="0" t="s">
        <v>1775</v>
      </c>
      <c r="BA359" s="0" t="s">
        <v>556</v>
      </c>
      <c r="BB359" s="0" t="str">
        <f t="shared" si="5"/>
        <v>CCCRNimIdeatoNorth</v>
      </c>
    </row>
    <row r="360">
      <c r="AV360" s="0" t="s">
        <v>471</v>
      </c>
      <c r="AW360" s="0" t="s">
        <v>286</v>
      </c>
      <c r="AX360" s="0" t="s">
        <v>575</v>
      </c>
      <c r="AY360" s="0" t="s">
        <v>1776</v>
      </c>
      <c r="AZ360" s="0" t="s">
        <v>1777</v>
      </c>
      <c r="BA360" s="0" t="s">
        <v>556</v>
      </c>
      <c r="BB360" s="0" t="str">
        <f t="shared" si="5"/>
        <v>CCCRNimIdeatoNorth</v>
      </c>
    </row>
    <row r="361">
      <c r="AV361" s="0" t="s">
        <v>471</v>
      </c>
      <c r="AW361" s="0" t="s">
        <v>286</v>
      </c>
      <c r="AX361" s="0" t="s">
        <v>575</v>
      </c>
      <c r="AY361" s="0" t="s">
        <v>1778</v>
      </c>
      <c r="AZ361" s="0" t="s">
        <v>1779</v>
      </c>
      <c r="BA361" s="0" t="s">
        <v>556</v>
      </c>
      <c r="BB361" s="0" t="str">
        <f t="shared" si="5"/>
        <v>CCCRNimIdeatoNorth</v>
      </c>
    </row>
    <row r="362">
      <c r="AV362" s="0" t="s">
        <v>471</v>
      </c>
      <c r="AW362" s="0" t="s">
        <v>286</v>
      </c>
      <c r="AX362" s="0" t="s">
        <v>575</v>
      </c>
      <c r="AY362" s="0" t="s">
        <v>1780</v>
      </c>
      <c r="AZ362" s="0" t="s">
        <v>1781</v>
      </c>
      <c r="BA362" s="0" t="s">
        <v>556</v>
      </c>
      <c r="BB362" s="0" t="str">
        <f t="shared" si="5"/>
        <v>CCCRNimIdeatoNorth</v>
      </c>
    </row>
    <row r="363">
      <c r="AV363" s="0" t="s">
        <v>471</v>
      </c>
      <c r="AW363" s="0" t="s">
        <v>286</v>
      </c>
      <c r="AX363" s="0" t="s">
        <v>613</v>
      </c>
      <c r="AY363" s="0" t="s">
        <v>1782</v>
      </c>
      <c r="AZ363" s="0" t="s">
        <v>1783</v>
      </c>
      <c r="BA363" s="0" t="s">
        <v>556</v>
      </c>
      <c r="BB363" s="0" t="str">
        <f t="shared" si="5"/>
        <v>CCCRNimIdeatoSouth</v>
      </c>
    </row>
    <row r="364">
      <c r="AV364" s="0" t="s">
        <v>471</v>
      </c>
      <c r="AW364" s="0" t="s">
        <v>286</v>
      </c>
      <c r="AX364" s="0" t="s">
        <v>651</v>
      </c>
      <c r="AY364" s="0" t="s">
        <v>1784</v>
      </c>
      <c r="AZ364" s="0" t="s">
        <v>1785</v>
      </c>
      <c r="BA364" s="0" t="s">
        <v>556</v>
      </c>
      <c r="BB364" s="0" t="str">
        <f t="shared" si="5"/>
        <v>CCCRNimIkeduru</v>
      </c>
    </row>
    <row r="365">
      <c r="AV365" s="0" t="s">
        <v>471</v>
      </c>
      <c r="AW365" s="0" t="s">
        <v>286</v>
      </c>
      <c r="AX365" s="0" t="s">
        <v>651</v>
      </c>
      <c r="AY365" s="0" t="s">
        <v>1786</v>
      </c>
      <c r="AZ365" s="0" t="s">
        <v>1787</v>
      </c>
      <c r="BA365" s="0" t="s">
        <v>556</v>
      </c>
      <c r="BB365" s="0" t="str">
        <f t="shared" si="5"/>
        <v>CCCRNimIkeduru</v>
      </c>
    </row>
    <row r="366">
      <c r="AV366" s="0" t="s">
        <v>471</v>
      </c>
      <c r="AW366" s="0" t="s">
        <v>286</v>
      </c>
      <c r="AX366" s="0" t="s">
        <v>651</v>
      </c>
      <c r="AY366" s="0" t="s">
        <v>1788</v>
      </c>
      <c r="AZ366" s="0" t="s">
        <v>1789</v>
      </c>
      <c r="BA366" s="0" t="s">
        <v>556</v>
      </c>
      <c r="BB366" s="0" t="str">
        <f t="shared" si="5"/>
        <v>CCCRNimIkeduru</v>
      </c>
    </row>
    <row r="367">
      <c r="AV367" s="0" t="s">
        <v>471</v>
      </c>
      <c r="AW367" s="0" t="s">
        <v>286</v>
      </c>
      <c r="AX367" s="0" t="s">
        <v>687</v>
      </c>
      <c r="AY367" s="0" t="s">
        <v>1790</v>
      </c>
      <c r="AZ367" s="0" t="s">
        <v>1791</v>
      </c>
      <c r="BA367" s="0" t="s">
        <v>556</v>
      </c>
      <c r="BB367" s="0" t="str">
        <f t="shared" si="5"/>
        <v>CCCRNimIsu</v>
      </c>
    </row>
    <row r="368">
      <c r="AV368" s="0" t="s">
        <v>471</v>
      </c>
      <c r="AW368" s="0" t="s">
        <v>286</v>
      </c>
      <c r="AX368" s="0" t="s">
        <v>687</v>
      </c>
      <c r="AY368" s="0" t="s">
        <v>1792</v>
      </c>
      <c r="AZ368" s="0" t="s">
        <v>1793</v>
      </c>
      <c r="BA368" s="0" t="s">
        <v>556</v>
      </c>
      <c r="BB368" s="0" t="str">
        <f t="shared" si="5"/>
        <v>CCCRNimIsu</v>
      </c>
    </row>
    <row r="369">
      <c r="AV369" s="0" t="s">
        <v>471</v>
      </c>
      <c r="AW369" s="0" t="s">
        <v>286</v>
      </c>
      <c r="AX369" s="0" t="s">
        <v>687</v>
      </c>
      <c r="AY369" s="0" t="s">
        <v>1794</v>
      </c>
      <c r="AZ369" s="0" t="s">
        <v>1795</v>
      </c>
      <c r="BA369" s="0" t="s">
        <v>556</v>
      </c>
      <c r="BB369" s="0" t="str">
        <f t="shared" si="5"/>
        <v>CCCRNimIsu</v>
      </c>
    </row>
    <row r="370">
      <c r="AV370" s="0" t="s">
        <v>471</v>
      </c>
      <c r="AW370" s="0" t="s">
        <v>286</v>
      </c>
      <c r="AX370" s="0" t="s">
        <v>722</v>
      </c>
      <c r="AY370" s="0" t="s">
        <v>1796</v>
      </c>
      <c r="AZ370" s="0" t="s">
        <v>1797</v>
      </c>
      <c r="BA370" s="0" t="s">
        <v>556</v>
      </c>
      <c r="BB370" s="0" t="str">
        <f t="shared" si="5"/>
        <v>CCCRNimMbaitoli</v>
      </c>
    </row>
    <row r="371">
      <c r="AV371" s="0" t="s">
        <v>471</v>
      </c>
      <c r="AW371" s="0" t="s">
        <v>286</v>
      </c>
      <c r="AX371" s="0" t="s">
        <v>722</v>
      </c>
      <c r="AY371" s="0" t="s">
        <v>1798</v>
      </c>
      <c r="AZ371" s="0" t="s">
        <v>1799</v>
      </c>
      <c r="BA371" s="0" t="s">
        <v>556</v>
      </c>
      <c r="BB371" s="0" t="str">
        <f t="shared" si="5"/>
        <v>CCCRNimMbaitoli</v>
      </c>
    </row>
    <row r="372">
      <c r="AV372" s="0" t="s">
        <v>471</v>
      </c>
      <c r="AW372" s="0" t="s">
        <v>286</v>
      </c>
      <c r="AX372" s="0" t="s">
        <v>722</v>
      </c>
      <c r="AY372" s="0" t="s">
        <v>1800</v>
      </c>
      <c r="AZ372" s="0" t="s">
        <v>1801</v>
      </c>
      <c r="BA372" s="0" t="s">
        <v>556</v>
      </c>
      <c r="BB372" s="0" t="str">
        <f t="shared" si="5"/>
        <v>CCCRNimMbaitoli</v>
      </c>
    </row>
    <row r="373">
      <c r="AV373" s="0" t="s">
        <v>471</v>
      </c>
      <c r="AW373" s="0" t="s">
        <v>286</v>
      </c>
      <c r="AX373" s="0" t="s">
        <v>722</v>
      </c>
      <c r="AY373" s="0" t="s">
        <v>1802</v>
      </c>
      <c r="AZ373" s="0" t="s">
        <v>1803</v>
      </c>
      <c r="BA373" s="0" t="s">
        <v>556</v>
      </c>
      <c r="BB373" s="0" t="str">
        <f t="shared" si="5"/>
        <v>CCCRNimMbaitoli</v>
      </c>
    </row>
    <row r="374">
      <c r="AV374" s="0" t="s">
        <v>471</v>
      </c>
      <c r="AW374" s="0" t="s">
        <v>286</v>
      </c>
      <c r="AX374" s="0" t="s">
        <v>755</v>
      </c>
      <c r="AY374" s="0" t="s">
        <v>1804</v>
      </c>
      <c r="AZ374" s="0" t="s">
        <v>1805</v>
      </c>
      <c r="BA374" s="0" t="s">
        <v>556</v>
      </c>
      <c r="BB374" s="0" t="str">
        <f t="shared" si="5"/>
        <v>CCCRNimNgorOkpala</v>
      </c>
    </row>
    <row r="375">
      <c r="AV375" s="0" t="s">
        <v>471</v>
      </c>
      <c r="AW375" s="0" t="s">
        <v>286</v>
      </c>
      <c r="AX375" s="0" t="s">
        <v>755</v>
      </c>
      <c r="AY375" s="0" t="s">
        <v>1806</v>
      </c>
      <c r="AZ375" s="0" t="s">
        <v>1807</v>
      </c>
      <c r="BA375" s="0" t="s">
        <v>556</v>
      </c>
      <c r="BB375" s="0" t="str">
        <f t="shared" si="5"/>
        <v>CCCRNimNgorOkpala</v>
      </c>
    </row>
    <row r="376">
      <c r="AV376" s="0" t="s">
        <v>471</v>
      </c>
      <c r="AW376" s="0" t="s">
        <v>286</v>
      </c>
      <c r="AX376" s="0" t="s">
        <v>755</v>
      </c>
      <c r="AY376" s="0" t="s">
        <v>1808</v>
      </c>
      <c r="AZ376" s="0" t="s">
        <v>1809</v>
      </c>
      <c r="BA376" s="0" t="s">
        <v>556</v>
      </c>
      <c r="BB376" s="0" t="str">
        <f t="shared" si="5"/>
        <v>CCCRNimNgorOkpala</v>
      </c>
    </row>
    <row r="377">
      <c r="AV377" s="0" t="s">
        <v>471</v>
      </c>
      <c r="AW377" s="0" t="s">
        <v>286</v>
      </c>
      <c r="AX377" s="0" t="s">
        <v>755</v>
      </c>
      <c r="AY377" s="0" t="s">
        <v>1810</v>
      </c>
      <c r="AZ377" s="0" t="s">
        <v>1811</v>
      </c>
      <c r="BA377" s="0" t="s">
        <v>556</v>
      </c>
      <c r="BB377" s="0" t="str">
        <f t="shared" si="5"/>
        <v>CCCRNimNgorOkpala</v>
      </c>
    </row>
    <row r="378">
      <c r="AV378" s="0" t="s">
        <v>471</v>
      </c>
      <c r="AW378" s="0" t="s">
        <v>286</v>
      </c>
      <c r="AX378" s="0" t="s">
        <v>787</v>
      </c>
      <c r="AY378" s="0" t="s">
        <v>1812</v>
      </c>
      <c r="AZ378" s="0" t="s">
        <v>1813</v>
      </c>
      <c r="BA378" s="0" t="s">
        <v>556</v>
      </c>
      <c r="BB378" s="0" t="str">
        <f t="shared" si="5"/>
        <v>CCCRNimNjaba</v>
      </c>
    </row>
    <row r="379">
      <c r="AV379" s="0" t="s">
        <v>471</v>
      </c>
      <c r="AW379" s="0" t="s">
        <v>286</v>
      </c>
      <c r="AX379" s="0" t="s">
        <v>787</v>
      </c>
      <c r="AY379" s="0" t="s">
        <v>1814</v>
      </c>
      <c r="AZ379" s="0" t="s">
        <v>1815</v>
      </c>
      <c r="BA379" s="0" t="s">
        <v>556</v>
      </c>
      <c r="BB379" s="0" t="str">
        <f t="shared" si="5"/>
        <v>CCCRNimNjaba</v>
      </c>
    </row>
    <row r="380">
      <c r="AV380" s="0" t="s">
        <v>471</v>
      </c>
      <c r="AW380" s="0" t="s">
        <v>286</v>
      </c>
      <c r="AX380" s="0" t="s">
        <v>817</v>
      </c>
      <c r="AY380" s="0" t="s">
        <v>1816</v>
      </c>
      <c r="AZ380" s="0" t="s">
        <v>1817</v>
      </c>
      <c r="BA380" s="0" t="s">
        <v>556</v>
      </c>
      <c r="BB380" s="0" t="str">
        <f t="shared" si="5"/>
        <v>CCCRNimNkwerre</v>
      </c>
    </row>
    <row r="381">
      <c r="AV381" s="0" t="s">
        <v>471</v>
      </c>
      <c r="AW381" s="0" t="s">
        <v>286</v>
      </c>
      <c r="AX381" s="0" t="s">
        <v>817</v>
      </c>
      <c r="AY381" s="0" t="s">
        <v>1818</v>
      </c>
      <c r="AZ381" s="0" t="s">
        <v>1819</v>
      </c>
      <c r="BA381" s="0" t="s">
        <v>556</v>
      </c>
      <c r="BB381" s="0" t="str">
        <f t="shared" si="5"/>
        <v>CCCRNimNkwerre</v>
      </c>
    </row>
    <row r="382">
      <c r="AV382" s="0" t="s">
        <v>471</v>
      </c>
      <c r="AW382" s="0" t="s">
        <v>286</v>
      </c>
      <c r="AX382" s="0" t="s">
        <v>817</v>
      </c>
      <c r="AY382" s="0" t="s">
        <v>1820</v>
      </c>
      <c r="AZ382" s="0" t="s">
        <v>1821</v>
      </c>
      <c r="BA382" s="0" t="s">
        <v>556</v>
      </c>
      <c r="BB382" s="0" t="str">
        <f t="shared" si="5"/>
        <v>CCCRNimNkwerre</v>
      </c>
    </row>
    <row r="383">
      <c r="AV383" s="0" t="s">
        <v>471</v>
      </c>
      <c r="AW383" s="0" t="s">
        <v>286</v>
      </c>
      <c r="AX383" s="0" t="s">
        <v>817</v>
      </c>
      <c r="AY383" s="0" t="s">
        <v>1822</v>
      </c>
      <c r="AZ383" s="0" t="s">
        <v>1823</v>
      </c>
      <c r="BA383" s="0" t="s">
        <v>556</v>
      </c>
      <c r="BB383" s="0" t="str">
        <f t="shared" si="5"/>
        <v>CCCRNimNkwerre</v>
      </c>
    </row>
    <row r="384">
      <c r="AV384" s="0" t="s">
        <v>471</v>
      </c>
      <c r="AW384" s="0" t="s">
        <v>286</v>
      </c>
      <c r="AX384" s="0" t="s">
        <v>817</v>
      </c>
      <c r="AY384" s="0" t="s">
        <v>1824</v>
      </c>
      <c r="AZ384" s="0" t="s">
        <v>1825</v>
      </c>
      <c r="BA384" s="0" t="s">
        <v>556</v>
      </c>
      <c r="BB384" s="0" t="str">
        <f t="shared" si="5"/>
        <v>CCCRNimNkwerre</v>
      </c>
    </row>
    <row r="385">
      <c r="AV385" s="0" t="s">
        <v>471</v>
      </c>
      <c r="AW385" s="0" t="s">
        <v>286</v>
      </c>
      <c r="AX385" s="0" t="s">
        <v>845</v>
      </c>
      <c r="AY385" s="0" t="s">
        <v>1826</v>
      </c>
      <c r="AZ385" s="0" t="s">
        <v>1827</v>
      </c>
      <c r="BA385" s="0" t="s">
        <v>556</v>
      </c>
      <c r="BB385" s="0" t="str">
        <f t="shared" si="5"/>
        <v>CCCRNimNwangele</v>
      </c>
    </row>
    <row r="386">
      <c r="AV386" s="0" t="s">
        <v>471</v>
      </c>
      <c r="AW386" s="0" t="s">
        <v>286</v>
      </c>
      <c r="AX386" s="0" t="s">
        <v>845</v>
      </c>
      <c r="AY386" s="0" t="s">
        <v>1828</v>
      </c>
      <c r="AZ386" s="0" t="s">
        <v>1829</v>
      </c>
      <c r="BA386" s="0" t="s">
        <v>556</v>
      </c>
      <c r="BB386" s="0" t="str">
        <f t="shared" si="5"/>
        <v>CCCRNimNwangele</v>
      </c>
    </row>
    <row r="387">
      <c r="AV387" s="0" t="s">
        <v>471</v>
      </c>
      <c r="AW387" s="0" t="s">
        <v>286</v>
      </c>
      <c r="AX387" s="0" t="s">
        <v>845</v>
      </c>
      <c r="AY387" s="0" t="s">
        <v>1830</v>
      </c>
      <c r="AZ387" s="0" t="s">
        <v>1831</v>
      </c>
      <c r="BA387" s="0" t="s">
        <v>556</v>
      </c>
      <c r="BB387" s="0" t="str">
        <f ref="BB387:BB450" t="shared" si="6">SUBSTITUTE(SUBSTITUTE(BA387&amp;AX387," ",""),"-","")</f>
        <v>CCCRNimNwangele</v>
      </c>
    </row>
    <row r="388">
      <c r="AV388" s="0" t="s">
        <v>471</v>
      </c>
      <c r="AW388" s="0" t="s">
        <v>286</v>
      </c>
      <c r="AX388" s="0" t="s">
        <v>873</v>
      </c>
      <c r="AY388" s="0" t="s">
        <v>1832</v>
      </c>
      <c r="AZ388" s="0" t="s">
        <v>1833</v>
      </c>
      <c r="BA388" s="0" t="s">
        <v>556</v>
      </c>
      <c r="BB388" s="0" t="str">
        <f t="shared" si="6"/>
        <v>CCCRNimOguta</v>
      </c>
    </row>
    <row r="389">
      <c r="AV389" s="0" t="s">
        <v>471</v>
      </c>
      <c r="AW389" s="0" t="s">
        <v>286</v>
      </c>
      <c r="AX389" s="0" t="s">
        <v>873</v>
      </c>
      <c r="AY389" s="0" t="s">
        <v>1834</v>
      </c>
      <c r="AZ389" s="0" t="s">
        <v>1835</v>
      </c>
      <c r="BA389" s="0" t="s">
        <v>556</v>
      </c>
      <c r="BB389" s="0" t="str">
        <f t="shared" si="6"/>
        <v>CCCRNimOguta</v>
      </c>
    </row>
    <row r="390">
      <c r="AV390" s="0" t="s">
        <v>471</v>
      </c>
      <c r="AW390" s="0" t="s">
        <v>286</v>
      </c>
      <c r="AX390" s="0" t="s">
        <v>873</v>
      </c>
      <c r="AY390" s="0" t="s">
        <v>1836</v>
      </c>
      <c r="AZ390" s="0" t="s">
        <v>1837</v>
      </c>
      <c r="BA390" s="0" t="s">
        <v>556</v>
      </c>
      <c r="BB390" s="0" t="str">
        <f t="shared" si="6"/>
        <v>CCCRNimOguta</v>
      </c>
    </row>
    <row r="391">
      <c r="AV391" s="0" t="s">
        <v>471</v>
      </c>
      <c r="AW391" s="0" t="s">
        <v>286</v>
      </c>
      <c r="AX391" s="0" t="s">
        <v>873</v>
      </c>
      <c r="AY391" s="0" t="s">
        <v>1838</v>
      </c>
      <c r="AZ391" s="0" t="s">
        <v>1839</v>
      </c>
      <c r="BA391" s="0" t="s">
        <v>556</v>
      </c>
      <c r="BB391" s="0" t="str">
        <f t="shared" si="6"/>
        <v>CCCRNimOguta</v>
      </c>
    </row>
    <row r="392">
      <c r="AV392" s="0" t="s">
        <v>471</v>
      </c>
      <c r="AW392" s="0" t="s">
        <v>286</v>
      </c>
      <c r="AX392" s="0" t="s">
        <v>873</v>
      </c>
      <c r="AY392" s="0" t="s">
        <v>1840</v>
      </c>
      <c r="AZ392" s="0" t="s">
        <v>1841</v>
      </c>
      <c r="BA392" s="0" t="s">
        <v>556</v>
      </c>
      <c r="BB392" s="0" t="str">
        <f t="shared" si="6"/>
        <v>CCCRNimOguta</v>
      </c>
    </row>
    <row r="393">
      <c r="AV393" s="0" t="s">
        <v>471</v>
      </c>
      <c r="AW393" s="0" t="s">
        <v>286</v>
      </c>
      <c r="AX393" s="0" t="s">
        <v>1226</v>
      </c>
      <c r="AY393" s="304" t="s">
        <v>1842</v>
      </c>
      <c r="AZ393" s="0" t="s">
        <v>1843</v>
      </c>
      <c r="BA393" s="0" t="s">
        <v>556</v>
      </c>
      <c r="BB393" s="0" t="str">
        <f t="shared" si="6"/>
        <v>CCCRNimOhajiEgbema</v>
      </c>
    </row>
    <row r="394">
      <c r="AV394" s="0" t="s">
        <v>471</v>
      </c>
      <c r="AW394" s="0" t="s">
        <v>286</v>
      </c>
      <c r="AX394" s="0" t="s">
        <v>1226</v>
      </c>
      <c r="AY394" s="304" t="s">
        <v>1844</v>
      </c>
      <c r="AZ394" s="0" t="s">
        <v>1845</v>
      </c>
      <c r="BA394" s="0" t="s">
        <v>556</v>
      </c>
      <c r="BB394" s="0" t="str">
        <f t="shared" si="6"/>
        <v>CCCRNimOhajiEgbema</v>
      </c>
    </row>
    <row r="395">
      <c r="AV395" s="0" t="s">
        <v>471</v>
      </c>
      <c r="AW395" s="0" t="s">
        <v>286</v>
      </c>
      <c r="AX395" s="0" t="s">
        <v>1226</v>
      </c>
      <c r="AY395" s="304" t="s">
        <v>1846</v>
      </c>
      <c r="AZ395" s="0" t="s">
        <v>1847</v>
      </c>
      <c r="BA395" s="0" t="s">
        <v>556</v>
      </c>
      <c r="BB395" s="0" t="str">
        <f t="shared" si="6"/>
        <v>CCCRNimOhajiEgbema</v>
      </c>
    </row>
    <row r="396">
      <c r="AV396" s="0" t="s">
        <v>471</v>
      </c>
      <c r="AW396" s="0" t="s">
        <v>286</v>
      </c>
      <c r="AX396" s="0" t="s">
        <v>1226</v>
      </c>
      <c r="AY396" s="304" t="s">
        <v>1848</v>
      </c>
      <c r="AZ396" s="0" t="s">
        <v>1849</v>
      </c>
      <c r="BA396" s="0" t="s">
        <v>556</v>
      </c>
      <c r="BB396" s="0" t="str">
        <f t="shared" si="6"/>
        <v>CCCRNimOhajiEgbema</v>
      </c>
    </row>
    <row r="397">
      <c r="AV397" s="0" t="s">
        <v>471</v>
      </c>
      <c r="AW397" s="0" t="s">
        <v>286</v>
      </c>
      <c r="AX397" s="0" t="s">
        <v>1226</v>
      </c>
      <c r="AY397" s="304" t="s">
        <v>1850</v>
      </c>
      <c r="AZ397" s="0" t="s">
        <v>1851</v>
      </c>
      <c r="BA397" s="0" t="s">
        <v>556</v>
      </c>
      <c r="BB397" s="0" t="str">
        <f t="shared" si="6"/>
        <v>CCCRNimOhajiEgbema</v>
      </c>
    </row>
    <row r="398">
      <c r="AV398" s="0" t="s">
        <v>471</v>
      </c>
      <c r="AW398" s="0" t="s">
        <v>286</v>
      </c>
      <c r="AX398" s="0" t="s">
        <v>923</v>
      </c>
      <c r="AY398" s="0" t="s">
        <v>1852</v>
      </c>
      <c r="AZ398" s="0" t="s">
        <v>1853</v>
      </c>
      <c r="BA398" s="0" t="s">
        <v>556</v>
      </c>
      <c r="BB398" s="0" t="str">
        <f t="shared" si="6"/>
        <v>CCCRNimOrlu</v>
      </c>
    </row>
    <row r="399">
      <c r="AV399" s="0" t="s">
        <v>471</v>
      </c>
      <c r="AW399" s="0" t="s">
        <v>286</v>
      </c>
      <c r="AX399" s="0" t="s">
        <v>923</v>
      </c>
      <c r="AY399" s="0" t="s">
        <v>1854</v>
      </c>
      <c r="AZ399" s="0" t="s">
        <v>1855</v>
      </c>
      <c r="BA399" s="0" t="s">
        <v>556</v>
      </c>
      <c r="BB399" s="0" t="str">
        <f t="shared" si="6"/>
        <v>CCCRNimOrlu</v>
      </c>
    </row>
    <row r="400">
      <c r="AV400" s="0" t="s">
        <v>471</v>
      </c>
      <c r="AW400" s="0" t="s">
        <v>286</v>
      </c>
      <c r="AX400" s="0" t="s">
        <v>923</v>
      </c>
      <c r="AY400" s="0" t="s">
        <v>1856</v>
      </c>
      <c r="AZ400" s="0" t="s">
        <v>1857</v>
      </c>
      <c r="BA400" s="0" t="s">
        <v>556</v>
      </c>
      <c r="BB400" s="0" t="str">
        <f t="shared" si="6"/>
        <v>CCCRNimOrlu</v>
      </c>
    </row>
    <row r="401">
      <c r="AV401" s="0" t="s">
        <v>471</v>
      </c>
      <c r="AW401" s="0" t="s">
        <v>286</v>
      </c>
      <c r="AX401" s="0" t="s">
        <v>923</v>
      </c>
      <c r="AY401" s="0" t="s">
        <v>1858</v>
      </c>
      <c r="AZ401" s="0" t="s">
        <v>1859</v>
      </c>
      <c r="BA401" s="0" t="s">
        <v>556</v>
      </c>
      <c r="BB401" s="0" t="str">
        <f t="shared" si="6"/>
        <v>CCCRNimOrlu</v>
      </c>
    </row>
    <row r="402">
      <c r="AV402" s="0" t="s">
        <v>471</v>
      </c>
      <c r="AW402" s="0" t="s">
        <v>286</v>
      </c>
      <c r="AX402" s="0" t="s">
        <v>923</v>
      </c>
      <c r="AY402" s="0" t="s">
        <v>1860</v>
      </c>
      <c r="AZ402" s="0" t="s">
        <v>1861</v>
      </c>
      <c r="BA402" s="0" t="s">
        <v>556</v>
      </c>
      <c r="BB402" s="0" t="str">
        <f t="shared" si="6"/>
        <v>CCCRNimOrlu</v>
      </c>
    </row>
    <row r="403">
      <c r="AV403" s="0" t="s">
        <v>471</v>
      </c>
      <c r="AW403" s="0" t="s">
        <v>286</v>
      </c>
      <c r="AX403" s="0" t="s">
        <v>947</v>
      </c>
      <c r="AY403" s="0" t="s">
        <v>1862</v>
      </c>
      <c r="AZ403" s="0" t="s">
        <v>1863</v>
      </c>
      <c r="BA403" s="0" t="s">
        <v>556</v>
      </c>
      <c r="BB403" s="0" t="str">
        <f t="shared" si="6"/>
        <v>CCCRNimOrsu</v>
      </c>
    </row>
    <row r="404">
      <c r="AV404" s="0" t="s">
        <v>471</v>
      </c>
      <c r="AW404" s="0" t="s">
        <v>286</v>
      </c>
      <c r="AX404" s="0" t="s">
        <v>969</v>
      </c>
      <c r="AY404" s="0" t="s">
        <v>1864</v>
      </c>
      <c r="AZ404" s="0" t="s">
        <v>1865</v>
      </c>
      <c r="BA404" s="0" t="s">
        <v>556</v>
      </c>
      <c r="BB404" s="0" t="str">
        <f t="shared" si="6"/>
        <v>CCCRNimOruEast</v>
      </c>
    </row>
    <row r="405">
      <c r="AV405" s="0" t="s">
        <v>471</v>
      </c>
      <c r="AW405" s="0" t="s">
        <v>286</v>
      </c>
      <c r="AX405" s="0" t="s">
        <v>969</v>
      </c>
      <c r="AY405" s="0" t="s">
        <v>1866</v>
      </c>
      <c r="AZ405" s="0" t="s">
        <v>1867</v>
      </c>
      <c r="BA405" s="0" t="s">
        <v>556</v>
      </c>
      <c r="BB405" s="0" t="str">
        <f t="shared" si="6"/>
        <v>CCCRNimOruEast</v>
      </c>
    </row>
    <row r="406">
      <c r="AV406" s="0" t="s">
        <v>471</v>
      </c>
      <c r="AW406" s="0" t="s">
        <v>286</v>
      </c>
      <c r="AX406" s="0" t="s">
        <v>969</v>
      </c>
      <c r="AY406" s="0" t="s">
        <v>1868</v>
      </c>
      <c r="AZ406" s="0" t="s">
        <v>1869</v>
      </c>
      <c r="BA406" s="0" t="s">
        <v>556</v>
      </c>
      <c r="BB406" s="0" t="str">
        <f t="shared" si="6"/>
        <v>CCCRNimOruEast</v>
      </c>
    </row>
    <row r="407">
      <c r="AV407" s="0" t="s">
        <v>471</v>
      </c>
      <c r="AW407" s="0" t="s">
        <v>286</v>
      </c>
      <c r="AX407" s="0" t="s">
        <v>969</v>
      </c>
      <c r="AY407" s="0" t="s">
        <v>1870</v>
      </c>
      <c r="AZ407" s="0" t="s">
        <v>1871</v>
      </c>
      <c r="BA407" s="0" t="s">
        <v>556</v>
      </c>
      <c r="BB407" s="0" t="str">
        <f t="shared" si="6"/>
        <v>CCCRNimOruEast</v>
      </c>
    </row>
    <row r="408">
      <c r="AV408" s="0" t="s">
        <v>471</v>
      </c>
      <c r="AW408" s="0" t="s">
        <v>286</v>
      </c>
      <c r="AX408" s="0" t="s">
        <v>969</v>
      </c>
      <c r="AY408" s="0" t="s">
        <v>1872</v>
      </c>
      <c r="AZ408" s="0" t="s">
        <v>1873</v>
      </c>
      <c r="BA408" s="0" t="s">
        <v>556</v>
      </c>
      <c r="BB408" s="0" t="str">
        <f t="shared" si="6"/>
        <v>CCCRNimOruEast</v>
      </c>
    </row>
    <row r="409">
      <c r="AV409" s="0" t="s">
        <v>471</v>
      </c>
      <c r="AW409" s="0" t="s">
        <v>286</v>
      </c>
      <c r="AX409" s="0" t="s">
        <v>988</v>
      </c>
      <c r="AY409" s="0" t="s">
        <v>1874</v>
      </c>
      <c r="AZ409" s="0" t="s">
        <v>1875</v>
      </c>
      <c r="BA409" s="0" t="s">
        <v>556</v>
      </c>
      <c r="BB409" s="0" t="str">
        <f t="shared" si="6"/>
        <v>CCCRNimOruWest</v>
      </c>
    </row>
    <row r="410">
      <c r="AV410" s="0" t="s">
        <v>471</v>
      </c>
      <c r="AW410" s="0" t="s">
        <v>286</v>
      </c>
      <c r="AX410" s="0" t="s">
        <v>1005</v>
      </c>
      <c r="AY410" s="0" t="s">
        <v>1876</v>
      </c>
      <c r="AZ410" s="0" t="s">
        <v>1877</v>
      </c>
      <c r="BA410" s="0" t="s">
        <v>556</v>
      </c>
      <c r="BB410" s="0" t="str">
        <f t="shared" si="6"/>
        <v>CCCRNimOwerriMunicipal</v>
      </c>
    </row>
    <row r="411">
      <c r="AV411" s="0" t="s">
        <v>471</v>
      </c>
      <c r="AW411" s="0" t="s">
        <v>286</v>
      </c>
      <c r="AX411" s="0" t="s">
        <v>1005</v>
      </c>
      <c r="AY411" s="0" t="s">
        <v>1878</v>
      </c>
      <c r="AZ411" s="0" t="s">
        <v>1879</v>
      </c>
      <c r="BA411" s="0" t="s">
        <v>556</v>
      </c>
      <c r="BB411" s="0" t="str">
        <f t="shared" si="6"/>
        <v>CCCRNimOwerriMunicipal</v>
      </c>
    </row>
    <row r="412">
      <c r="AV412" s="0" t="s">
        <v>471</v>
      </c>
      <c r="AW412" s="0" t="s">
        <v>286</v>
      </c>
      <c r="AX412" s="0" t="s">
        <v>1005</v>
      </c>
      <c r="AY412" s="0" t="s">
        <v>1880</v>
      </c>
      <c r="AZ412" s="0" t="s">
        <v>1881</v>
      </c>
      <c r="BA412" s="0" t="s">
        <v>556</v>
      </c>
      <c r="BB412" s="0" t="str">
        <f t="shared" si="6"/>
        <v>CCCRNimOwerriMunicipal</v>
      </c>
    </row>
    <row r="413">
      <c r="AV413" s="0" t="s">
        <v>471</v>
      </c>
      <c r="AW413" s="0" t="s">
        <v>286</v>
      </c>
      <c r="AX413" s="0" t="s">
        <v>1005</v>
      </c>
      <c r="AY413" s="0" t="s">
        <v>1882</v>
      </c>
      <c r="AZ413" s="0" t="s">
        <v>1883</v>
      </c>
      <c r="BA413" s="0" t="s">
        <v>556</v>
      </c>
      <c r="BB413" s="0" t="str">
        <f t="shared" si="6"/>
        <v>CCCRNimOwerriMunicipal</v>
      </c>
    </row>
    <row r="414">
      <c r="AV414" s="0" t="s">
        <v>471</v>
      </c>
      <c r="AW414" s="0" t="s">
        <v>286</v>
      </c>
      <c r="AX414" s="0" t="s">
        <v>1005</v>
      </c>
      <c r="AY414" s="0" t="s">
        <v>1884</v>
      </c>
      <c r="AZ414" s="0" t="s">
        <v>1885</v>
      </c>
      <c r="BA414" s="0" t="s">
        <v>556</v>
      </c>
      <c r="BB414" s="0" t="str">
        <f t="shared" si="6"/>
        <v>CCCRNimOwerriMunicipal</v>
      </c>
    </row>
    <row r="415">
      <c r="AV415" s="0" t="s">
        <v>471</v>
      </c>
      <c r="AW415" s="0" t="s">
        <v>286</v>
      </c>
      <c r="AX415" s="0" t="s">
        <v>1021</v>
      </c>
      <c r="AY415" s="0" t="s">
        <v>1886</v>
      </c>
      <c r="AZ415" s="0" t="s">
        <v>1887</v>
      </c>
      <c r="BA415" s="0" t="s">
        <v>556</v>
      </c>
      <c r="BB415" s="0" t="str">
        <f t="shared" si="6"/>
        <v>CCCRNimOwerriNorth</v>
      </c>
    </row>
    <row r="416">
      <c r="AV416" s="0" t="s">
        <v>471</v>
      </c>
      <c r="AW416" s="0" t="s">
        <v>286</v>
      </c>
      <c r="AX416" s="0" t="s">
        <v>1021</v>
      </c>
      <c r="AY416" s="0" t="s">
        <v>1888</v>
      </c>
      <c r="AZ416" s="0" t="s">
        <v>1889</v>
      </c>
      <c r="BA416" s="0" t="s">
        <v>556</v>
      </c>
      <c r="BB416" s="0" t="str">
        <f t="shared" si="6"/>
        <v>CCCRNimOwerriNorth</v>
      </c>
    </row>
    <row r="417">
      <c r="AV417" s="0" t="s">
        <v>471</v>
      </c>
      <c r="AW417" s="0" t="s">
        <v>286</v>
      </c>
      <c r="AX417" s="0" t="s">
        <v>1021</v>
      </c>
      <c r="AY417" s="0" t="s">
        <v>1890</v>
      </c>
      <c r="AZ417" s="0" t="s">
        <v>1891</v>
      </c>
      <c r="BA417" s="0" t="s">
        <v>556</v>
      </c>
      <c r="BB417" s="0" t="str">
        <f t="shared" si="6"/>
        <v>CCCRNimOwerriNorth</v>
      </c>
    </row>
    <row r="418">
      <c r="AV418" s="0" t="s">
        <v>471</v>
      </c>
      <c r="AW418" s="0" t="s">
        <v>286</v>
      </c>
      <c r="AX418" s="0" t="s">
        <v>1021</v>
      </c>
      <c r="AY418" s="0" t="s">
        <v>1892</v>
      </c>
      <c r="AZ418" s="0" t="s">
        <v>1893</v>
      </c>
      <c r="BA418" s="0" t="s">
        <v>556</v>
      </c>
      <c r="BB418" s="0" t="str">
        <f t="shared" si="6"/>
        <v>CCCRNimOwerriNorth</v>
      </c>
    </row>
    <row r="419">
      <c r="AV419" s="0" t="s">
        <v>471</v>
      </c>
      <c r="AW419" s="0" t="s">
        <v>286</v>
      </c>
      <c r="AX419" s="0" t="s">
        <v>1021</v>
      </c>
      <c r="AY419" s="0" t="s">
        <v>1894</v>
      </c>
      <c r="AZ419" s="0" t="s">
        <v>1895</v>
      </c>
      <c r="BA419" s="0" t="s">
        <v>556</v>
      </c>
      <c r="BB419" s="0" t="str">
        <f t="shared" si="6"/>
        <v>CCCRNimOwerriNorth</v>
      </c>
    </row>
    <row r="420">
      <c r="AV420" s="0" t="s">
        <v>471</v>
      </c>
      <c r="AW420" s="0" t="s">
        <v>286</v>
      </c>
      <c r="AX420" s="0" t="s">
        <v>1036</v>
      </c>
      <c r="AY420" s="0" t="s">
        <v>1896</v>
      </c>
      <c r="AZ420" s="0" t="s">
        <v>1897</v>
      </c>
      <c r="BA420" s="0" t="s">
        <v>556</v>
      </c>
      <c r="BB420" s="0" t="str">
        <f t="shared" si="6"/>
        <v>CCCRNimOwerriWest</v>
      </c>
    </row>
    <row r="421">
      <c r="AV421" s="0" t="s">
        <v>471</v>
      </c>
      <c r="AW421" s="0" t="s">
        <v>286</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641</v>
      </c>
      <c r="AY611" s="0" t="s">
        <v>2277</v>
      </c>
      <c r="AZ611" s="0" t="s">
        <v>2278</v>
      </c>
      <c r="BA611" s="0" t="s">
        <v>596</v>
      </c>
      <c r="BB611" s="0" t="str">
        <f t="shared" si="9"/>
        <v>CIHPbeGwerWest</v>
      </c>
    </row>
    <row r="612">
      <c r="AV612" s="0" t="s">
        <v>471</v>
      </c>
      <c r="AW612" s="0" t="s">
        <v>394</v>
      </c>
      <c r="AX612" s="0" t="s">
        <v>641</v>
      </c>
      <c r="AY612" s="0" t="s">
        <v>2279</v>
      </c>
      <c r="AZ612" s="0" t="s">
        <v>2280</v>
      </c>
      <c r="BA612" s="0" t="s">
        <v>596</v>
      </c>
      <c r="BB612" s="0" t="str">
        <f t="shared" si="9"/>
        <v>CIHPbeGwerWest</v>
      </c>
    </row>
    <row r="613">
      <c r="AV613" s="0" t="s">
        <v>471</v>
      </c>
      <c r="AW613" s="0" t="s">
        <v>394</v>
      </c>
      <c r="AX613" s="0" t="s">
        <v>641</v>
      </c>
      <c r="AY613" s="0" t="s">
        <v>2281</v>
      </c>
      <c r="AZ613" s="0" t="s">
        <v>2282</v>
      </c>
      <c r="BA613" s="0" t="s">
        <v>596</v>
      </c>
      <c r="BB613" s="0" t="str">
        <f t="shared" si="9"/>
        <v>CIHPbeGwerWest</v>
      </c>
    </row>
    <row r="614">
      <c r="AV614" s="0" t="s">
        <v>471</v>
      </c>
      <c r="AW614" s="0" t="s">
        <v>394</v>
      </c>
      <c r="AX614" s="0" t="s">
        <v>641</v>
      </c>
      <c r="AY614" s="0" t="s">
        <v>2283</v>
      </c>
      <c r="AZ614" s="0" t="s">
        <v>2284</v>
      </c>
      <c r="BA614" s="0" t="s">
        <v>596</v>
      </c>
      <c r="BB614" s="0" t="str">
        <f t="shared" si="9"/>
        <v>CIHPbeGwerWest</v>
      </c>
    </row>
    <row r="615">
      <c r="AV615" s="0" t="s">
        <v>471</v>
      </c>
      <c r="AW615" s="0" t="s">
        <v>394</v>
      </c>
      <c r="AX615" s="0" t="s">
        <v>641</v>
      </c>
      <c r="AY615" s="0" t="s">
        <v>2285</v>
      </c>
      <c r="AZ615" s="0" t="s">
        <v>2286</v>
      </c>
      <c r="BA615" s="0" t="s">
        <v>596</v>
      </c>
      <c r="BB615" s="0" t="str">
        <f t="shared" si="9"/>
        <v>CIHPbeGwerWest</v>
      </c>
    </row>
    <row r="616">
      <c r="AV616" s="0" t="s">
        <v>471</v>
      </c>
      <c r="AW616" s="0" t="s">
        <v>394</v>
      </c>
      <c r="AX616" s="0" t="s">
        <v>641</v>
      </c>
      <c r="AY616" s="0" t="s">
        <v>2287</v>
      </c>
      <c r="AZ616" s="0" t="s">
        <v>2288</v>
      </c>
      <c r="BA616" s="0" t="s">
        <v>596</v>
      </c>
      <c r="BB616" s="0" t="str">
        <f t="shared" si="9"/>
        <v>CIHPbeGwerWest</v>
      </c>
    </row>
    <row r="617">
      <c r="AV617" s="0" t="s">
        <v>471</v>
      </c>
      <c r="AW617" s="0" t="s">
        <v>394</v>
      </c>
      <c r="AX617" s="0" t="s">
        <v>641</v>
      </c>
      <c r="AY617" s="0" t="s">
        <v>2289</v>
      </c>
      <c r="AZ617" s="0" t="s">
        <v>2290</v>
      </c>
      <c r="BA617" s="0" t="s">
        <v>596</v>
      </c>
      <c r="BB617" s="0" t="str">
        <f t="shared" si="9"/>
        <v>CIHPbeGwerWest</v>
      </c>
    </row>
    <row r="618">
      <c r="AV618" s="0" t="s">
        <v>471</v>
      </c>
      <c r="AW618" s="0" t="s">
        <v>394</v>
      </c>
      <c r="AX618" s="0" t="s">
        <v>641</v>
      </c>
      <c r="AY618" s="0" t="s">
        <v>2291</v>
      </c>
      <c r="AZ618" s="0" t="s">
        <v>2292</v>
      </c>
      <c r="BA618" s="0" t="s">
        <v>596</v>
      </c>
      <c r="BB618" s="0" t="str">
        <f t="shared" si="9"/>
        <v>CIHPbeGwerWest</v>
      </c>
    </row>
    <row r="619">
      <c r="AV619" s="0" t="s">
        <v>471</v>
      </c>
      <c r="AW619" s="0" t="s">
        <v>394</v>
      </c>
      <c r="AX619" s="0" t="s">
        <v>641</v>
      </c>
      <c r="AY619" s="0" t="s">
        <v>2293</v>
      </c>
      <c r="AZ619" s="0" t="s">
        <v>2294</v>
      </c>
      <c r="BA619" s="0" t="s">
        <v>596</v>
      </c>
      <c r="BB619" s="0" t="str">
        <f t="shared" si="9"/>
        <v>CIHPbeGwerWest</v>
      </c>
    </row>
    <row r="620">
      <c r="AV620" s="0" t="s">
        <v>471</v>
      </c>
      <c r="AW620" s="0" t="s">
        <v>394</v>
      </c>
      <c r="AX620" s="0" t="s">
        <v>641</v>
      </c>
      <c r="AY620" s="0" t="s">
        <v>2295</v>
      </c>
      <c r="AZ620" s="0" t="s">
        <v>2296</v>
      </c>
      <c r="BA620" s="0" t="s">
        <v>596</v>
      </c>
      <c r="BB620" s="0" t="str">
        <f t="shared" si="9"/>
        <v>CIHPbeGwerWest</v>
      </c>
    </row>
    <row r="621">
      <c r="AV621" s="0" t="s">
        <v>471</v>
      </c>
      <c r="AW621" s="0" t="s">
        <v>394</v>
      </c>
      <c r="AX621" s="0" t="s">
        <v>641</v>
      </c>
      <c r="AY621" s="0" t="s">
        <v>2297</v>
      </c>
      <c r="AZ621" s="0" t="s">
        <v>2298</v>
      </c>
      <c r="BA621" s="0" t="s">
        <v>596</v>
      </c>
      <c r="BB621" s="0" t="str">
        <f t="shared" si="9"/>
        <v>CIHPbeGwerWest</v>
      </c>
    </row>
    <row r="622">
      <c r="AV622" s="0" t="s">
        <v>471</v>
      </c>
      <c r="AW622" s="0" t="s">
        <v>394</v>
      </c>
      <c r="AX622" s="0" t="s">
        <v>641</v>
      </c>
      <c r="AY622" s="0" t="s">
        <v>2299</v>
      </c>
      <c r="AZ622" s="0" t="s">
        <v>2300</v>
      </c>
      <c r="BA622" s="0" t="s">
        <v>596</v>
      </c>
      <c r="BB622" s="0" t="str">
        <f t="shared" si="9"/>
        <v>CIHPbeGwerWest</v>
      </c>
    </row>
    <row r="623">
      <c r="AV623" s="0" t="s">
        <v>471</v>
      </c>
      <c r="AW623" s="0" t="s">
        <v>394</v>
      </c>
      <c r="AX623" s="0" t="s">
        <v>641</v>
      </c>
      <c r="AY623" s="0" t="s">
        <v>2301</v>
      </c>
      <c r="AZ623" s="0" t="s">
        <v>2302</v>
      </c>
      <c r="BA623" s="0" t="s">
        <v>596</v>
      </c>
      <c r="BB623" s="0" t="str">
        <f t="shared" si="9"/>
        <v>CIHPbeGwerWest</v>
      </c>
    </row>
    <row r="624">
      <c r="AV624" s="0" t="s">
        <v>471</v>
      </c>
      <c r="AW624" s="0" t="s">
        <v>394</v>
      </c>
      <c r="AX624" s="0" t="s">
        <v>641</v>
      </c>
      <c r="AY624" s="0" t="s">
        <v>2303</v>
      </c>
      <c r="AZ624" s="0" t="s">
        <v>2304</v>
      </c>
      <c r="BA624" s="0" t="s">
        <v>596</v>
      </c>
      <c r="BB624" s="0" t="str">
        <f t="shared" si="9"/>
        <v>CIHPbeGwerWest</v>
      </c>
    </row>
    <row r="625">
      <c r="AV625" s="0" t="s">
        <v>471</v>
      </c>
      <c r="AW625" s="0" t="s">
        <v>394</v>
      </c>
      <c r="AX625" s="0" t="s">
        <v>641</v>
      </c>
      <c r="AY625" s="0" t="s">
        <v>2305</v>
      </c>
      <c r="AZ625" s="0" t="s">
        <v>2306</v>
      </c>
      <c r="BA625" s="0" t="s">
        <v>596</v>
      </c>
      <c r="BB625" s="0" t="str">
        <f t="shared" si="9"/>
        <v>CIHPbeGwerWest</v>
      </c>
    </row>
    <row r="626">
      <c r="AV626" s="0" t="s">
        <v>471</v>
      </c>
      <c r="AW626" s="0" t="s">
        <v>394</v>
      </c>
      <c r="AX626" s="0" t="s">
        <v>641</v>
      </c>
      <c r="AY626" s="0" t="s">
        <v>2307</v>
      </c>
      <c r="AZ626" s="0" t="s">
        <v>2308</v>
      </c>
      <c r="BA626" s="0" t="s">
        <v>596</v>
      </c>
      <c r="BB626" s="0" t="str">
        <f t="shared" si="9"/>
        <v>CIHPbeGwerWest</v>
      </c>
    </row>
    <row r="627">
      <c r="AV627" s="0" t="s">
        <v>471</v>
      </c>
      <c r="AW627" s="0" t="s">
        <v>394</v>
      </c>
      <c r="AX627" s="0" t="s">
        <v>641</v>
      </c>
      <c r="AY627" s="0" t="s">
        <v>2309</v>
      </c>
      <c r="AZ627" s="0" t="s">
        <v>2310</v>
      </c>
      <c r="BA627" s="0" t="s">
        <v>596</v>
      </c>
      <c r="BB627" s="0" t="str">
        <f t="shared" si="9"/>
        <v>CIHPbeGwerWest</v>
      </c>
    </row>
    <row r="628">
      <c r="AV628" s="0" t="s">
        <v>471</v>
      </c>
      <c r="AW628" s="0" t="s">
        <v>394</v>
      </c>
      <c r="AX628" s="0" t="s">
        <v>641</v>
      </c>
      <c r="AY628" s="0" t="s">
        <v>2311</v>
      </c>
      <c r="AZ628" s="0" t="s">
        <v>2312</v>
      </c>
      <c r="BA628" s="0" t="s">
        <v>596</v>
      </c>
      <c r="BB628" s="0" t="str">
        <f t="shared" si="9"/>
        <v>CIHPbeGwerWest</v>
      </c>
    </row>
    <row r="629">
      <c r="AV629" s="0" t="s">
        <v>471</v>
      </c>
      <c r="AW629" s="0" t="s">
        <v>394</v>
      </c>
      <c r="AX629" s="0" t="s">
        <v>641</v>
      </c>
      <c r="AY629" s="0" t="s">
        <v>2313</v>
      </c>
      <c r="AZ629" s="0" t="s">
        <v>2314</v>
      </c>
      <c r="BA629" s="0" t="s">
        <v>596</v>
      </c>
      <c r="BB629" s="0" t="str">
        <f t="shared" si="9"/>
        <v>CIHPbeGwerWest</v>
      </c>
    </row>
    <row r="630">
      <c r="AV630" s="0" t="s">
        <v>471</v>
      </c>
      <c r="AW630" s="0" t="s">
        <v>394</v>
      </c>
      <c r="AX630" s="0" t="s">
        <v>641</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650</v>
      </c>
      <c r="AY779" s="0" t="s">
        <v>2613</v>
      </c>
      <c r="AZ779" s="0" t="s">
        <v>2614</v>
      </c>
      <c r="BA779" s="0" t="s">
        <v>596</v>
      </c>
      <c r="BB779" s="0" t="str">
        <f t="shared" si="12"/>
        <v>CIHPgoKaltungo</v>
      </c>
    </row>
    <row r="780">
      <c r="AV780" s="0" t="s">
        <v>471</v>
      </c>
      <c r="AW780" s="0" t="s">
        <v>403</v>
      </c>
      <c r="AX780" s="0" t="s">
        <v>650</v>
      </c>
      <c r="AY780" s="0" t="s">
        <v>2615</v>
      </c>
      <c r="AZ780" s="0" t="s">
        <v>2616</v>
      </c>
      <c r="BA780" s="0" t="s">
        <v>596</v>
      </c>
      <c r="BB780" s="0" t="str">
        <f t="shared" si="12"/>
        <v>CIHPgoKaltungo</v>
      </c>
    </row>
    <row r="781">
      <c r="AV781" s="0" t="s">
        <v>471</v>
      </c>
      <c r="AW781" s="0" t="s">
        <v>403</v>
      </c>
      <c r="AX781" s="0" t="s">
        <v>650</v>
      </c>
      <c r="AY781" s="0" t="s">
        <v>2617</v>
      </c>
      <c r="AZ781" s="0" t="s">
        <v>2618</v>
      </c>
      <c r="BA781" s="0" t="s">
        <v>596</v>
      </c>
      <c r="BB781" s="0" t="str">
        <f t="shared" si="12"/>
        <v>CIHPgoKaltungo</v>
      </c>
    </row>
    <row r="782">
      <c r="AV782" s="0" t="s">
        <v>471</v>
      </c>
      <c r="AW782" s="0" t="s">
        <v>403</v>
      </c>
      <c r="AX782" s="0" t="s">
        <v>650</v>
      </c>
      <c r="AY782" s="0" t="s">
        <v>2619</v>
      </c>
      <c r="AZ782" s="0" t="s">
        <v>2620</v>
      </c>
      <c r="BA782" s="0" t="s">
        <v>596</v>
      </c>
      <c r="BB782" s="0" t="str">
        <f t="shared" si="12"/>
        <v>CIHPgoKaltungo</v>
      </c>
    </row>
    <row r="783">
      <c r="AV783" s="0" t="s">
        <v>471</v>
      </c>
      <c r="AW783" s="0" t="s">
        <v>403</v>
      </c>
      <c r="AX783" s="0" t="s">
        <v>650</v>
      </c>
      <c r="AY783" s="0" t="s">
        <v>2621</v>
      </c>
      <c r="AZ783" s="0" t="s">
        <v>2622</v>
      </c>
      <c r="BA783" s="0" t="s">
        <v>596</v>
      </c>
      <c r="BB783" s="0" t="str">
        <f t="shared" si="12"/>
        <v>CIHPgoKaltungo</v>
      </c>
    </row>
    <row r="784">
      <c r="AV784" s="0" t="s">
        <v>471</v>
      </c>
      <c r="AW784" s="0" t="s">
        <v>403</v>
      </c>
      <c r="AX784" s="0" t="s">
        <v>650</v>
      </c>
      <c r="AY784" s="0" t="s">
        <v>2623</v>
      </c>
      <c r="AZ784" s="0" t="s">
        <v>2624</v>
      </c>
      <c r="BA784" s="0" t="s">
        <v>596</v>
      </c>
      <c r="BB784" s="0" t="str">
        <f t="shared" si="12"/>
        <v>CIHPgoKaltungo</v>
      </c>
    </row>
    <row r="785">
      <c r="AV785" s="0" t="s">
        <v>471</v>
      </c>
      <c r="AW785" s="0" t="s">
        <v>403</v>
      </c>
      <c r="AX785" s="0" t="s">
        <v>650</v>
      </c>
      <c r="AY785" s="0" t="s">
        <v>2625</v>
      </c>
      <c r="AZ785" s="0" t="s">
        <v>2626</v>
      </c>
      <c r="BA785" s="0" t="s">
        <v>596</v>
      </c>
      <c r="BB785" s="0" t="str">
        <f t="shared" si="12"/>
        <v>CIHPgoKaltungo</v>
      </c>
    </row>
    <row r="786">
      <c r="AV786" s="0" t="s">
        <v>471</v>
      </c>
      <c r="AW786" s="0" t="s">
        <v>403</v>
      </c>
      <c r="AX786" s="0" t="s">
        <v>686</v>
      </c>
      <c r="AY786" s="0" t="s">
        <v>2627</v>
      </c>
      <c r="AZ786" s="0" t="s">
        <v>2628</v>
      </c>
      <c r="BA786" s="0" t="s">
        <v>596</v>
      </c>
      <c r="BB786" s="0" t="str">
        <f t="shared" si="12"/>
        <v>CIHPgoKwami</v>
      </c>
    </row>
    <row r="787">
      <c r="AV787" s="0" t="s">
        <v>471</v>
      </c>
      <c r="AW787" s="0" t="s">
        <v>403</v>
      </c>
      <c r="AX787" s="0" t="s">
        <v>686</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653</v>
      </c>
      <c r="AY846" s="0" t="s">
        <v>2747</v>
      </c>
      <c r="AZ846" s="0" t="s">
        <v>2748</v>
      </c>
      <c r="BA846" s="0" t="s">
        <v>596</v>
      </c>
      <c r="BB846" s="0" t="str">
        <f t="shared" si="13"/>
        <v>CIHPkdSanga</v>
      </c>
    </row>
    <row r="847">
      <c r="AV847" s="0" t="s">
        <v>471</v>
      </c>
      <c r="AW847" s="0" t="s">
        <v>405</v>
      </c>
      <c r="AX847" s="0" t="s">
        <v>653</v>
      </c>
      <c r="AY847" s="0" t="s">
        <v>2749</v>
      </c>
      <c r="AZ847" s="0" t="s">
        <v>2750</v>
      </c>
      <c r="BA847" s="0" t="s">
        <v>596</v>
      </c>
      <c r="BB847" s="0" t="str">
        <f t="shared" si="13"/>
        <v>CIHPkdSanga</v>
      </c>
    </row>
    <row r="848">
      <c r="AV848" s="0" t="s">
        <v>471</v>
      </c>
      <c r="AW848" s="0" t="s">
        <v>405</v>
      </c>
      <c r="AX848" s="0" t="s">
        <v>653</v>
      </c>
      <c r="AY848" s="0" t="s">
        <v>2751</v>
      </c>
      <c r="AZ848" s="0" t="s">
        <v>2752</v>
      </c>
      <c r="BA848" s="0" t="s">
        <v>596</v>
      </c>
      <c r="BB848" s="0" t="str">
        <f t="shared" si="13"/>
        <v>CIHPkdSanga</v>
      </c>
    </row>
    <row r="849">
      <c r="AV849" s="0" t="s">
        <v>471</v>
      </c>
      <c r="AW849" s="0" t="s">
        <v>405</v>
      </c>
      <c r="AX849" s="0" t="s">
        <v>653</v>
      </c>
      <c r="AY849" s="0" t="s">
        <v>2753</v>
      </c>
      <c r="AZ849" s="0" t="s">
        <v>2754</v>
      </c>
      <c r="BA849" s="0" t="s">
        <v>596</v>
      </c>
      <c r="BB849" s="0" t="str">
        <f t="shared" si="13"/>
        <v>CIHPkdSanga</v>
      </c>
    </row>
    <row r="850">
      <c r="AV850" s="0" t="s">
        <v>471</v>
      </c>
      <c r="AW850" s="0" t="s">
        <v>405</v>
      </c>
      <c r="AX850" s="0" t="s">
        <v>653</v>
      </c>
      <c r="AY850" s="0" t="s">
        <v>2755</v>
      </c>
      <c r="AZ850" s="0" t="s">
        <v>2756</v>
      </c>
      <c r="BA850" s="0" t="s">
        <v>596</v>
      </c>
      <c r="BB850" s="0" t="str">
        <f t="shared" si="13"/>
        <v>CIHPkdSanga</v>
      </c>
    </row>
    <row r="851">
      <c r="AV851" s="0" t="s">
        <v>471</v>
      </c>
      <c r="AW851" s="0" t="s">
        <v>405</v>
      </c>
      <c r="AX851" s="0" t="s">
        <v>653</v>
      </c>
      <c r="AY851" s="0" t="s">
        <v>2757</v>
      </c>
      <c r="AZ851" s="0" t="s">
        <v>2758</v>
      </c>
      <c r="BA851" s="0" t="s">
        <v>596</v>
      </c>
      <c r="BB851" s="0" t="str">
        <f t="shared" si="13"/>
        <v>CIHPkdSanga</v>
      </c>
    </row>
    <row r="852">
      <c r="AV852" s="0" t="s">
        <v>471</v>
      </c>
      <c r="AW852" s="0" t="s">
        <v>405</v>
      </c>
      <c r="AX852" s="0" t="s">
        <v>653</v>
      </c>
      <c r="AY852" s="0" t="s">
        <v>2759</v>
      </c>
      <c r="AZ852" s="0" t="s">
        <v>2760</v>
      </c>
      <c r="BA852" s="0" t="s">
        <v>596</v>
      </c>
      <c r="BB852" s="0" t="str">
        <f t="shared" si="13"/>
        <v>CIHPkdSanga</v>
      </c>
    </row>
    <row r="853">
      <c r="AV853" s="0" t="s">
        <v>471</v>
      </c>
      <c r="AW853" s="0" t="s">
        <v>405</v>
      </c>
      <c r="AX853" s="0" t="s">
        <v>653</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689</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655</v>
      </c>
      <c r="AY862" s="0" t="s">
        <v>2779</v>
      </c>
      <c r="AZ862" s="0" t="s">
        <v>2780</v>
      </c>
      <c r="BA862" s="0" t="s">
        <v>596</v>
      </c>
      <c r="BB862" s="0" t="str">
        <f t="shared" si="13"/>
        <v>CIHPkoAnkpa</v>
      </c>
    </row>
    <row r="863">
      <c r="AV863" s="0" t="s">
        <v>471</v>
      </c>
      <c r="AW863" s="0" t="s">
        <v>409</v>
      </c>
      <c r="AX863" s="0" t="s">
        <v>655</v>
      </c>
      <c r="AY863" s="0" t="s">
        <v>2781</v>
      </c>
      <c r="AZ863" s="0" t="s">
        <v>2782</v>
      </c>
      <c r="BA863" s="0" t="s">
        <v>596</v>
      </c>
      <c r="BB863" s="0" t="str">
        <f t="shared" si="13"/>
        <v>CIHPkoAnkpa</v>
      </c>
    </row>
    <row r="864">
      <c r="AV864" s="0" t="s">
        <v>471</v>
      </c>
      <c r="AW864" s="0" t="s">
        <v>409</v>
      </c>
      <c r="AX864" s="0" t="s">
        <v>655</v>
      </c>
      <c r="AY864" s="0" t="s">
        <v>2783</v>
      </c>
      <c r="AZ864" s="0" t="s">
        <v>2784</v>
      </c>
      <c r="BA864" s="0" t="s">
        <v>596</v>
      </c>
      <c r="BB864" s="0" t="str">
        <f t="shared" si="13"/>
        <v>CIHPkoAnkpa</v>
      </c>
    </row>
    <row r="865">
      <c r="AV865" s="0" t="s">
        <v>471</v>
      </c>
      <c r="AW865" s="0" t="s">
        <v>409</v>
      </c>
      <c r="AX865" s="0" t="s">
        <v>655</v>
      </c>
      <c r="AY865" s="0" t="s">
        <v>2785</v>
      </c>
      <c r="AZ865" s="0" t="s">
        <v>2786</v>
      </c>
      <c r="BA865" s="0" t="s">
        <v>596</v>
      </c>
      <c r="BB865" s="0" t="str">
        <f t="shared" si="13"/>
        <v>CIHPkoAnkpa</v>
      </c>
    </row>
    <row r="866">
      <c r="AV866" s="0" t="s">
        <v>471</v>
      </c>
      <c r="AW866" s="0" t="s">
        <v>409</v>
      </c>
      <c r="AX866" s="0" t="s">
        <v>655</v>
      </c>
      <c r="AY866" s="0" t="s">
        <v>2787</v>
      </c>
      <c r="AZ866" s="0" t="s">
        <v>2788</v>
      </c>
      <c r="BA866" s="0" t="s">
        <v>596</v>
      </c>
      <c r="BB866" s="0" t="str">
        <f t="shared" si="13"/>
        <v>CIHPkoAnkpa</v>
      </c>
    </row>
    <row r="867">
      <c r="AV867" s="0" t="s">
        <v>471</v>
      </c>
      <c r="AW867" s="0" t="s">
        <v>409</v>
      </c>
      <c r="AX867" s="0" t="s">
        <v>655</v>
      </c>
      <c r="AY867" s="0" t="s">
        <v>2789</v>
      </c>
      <c r="AZ867" s="0" t="s">
        <v>2790</v>
      </c>
      <c r="BA867" s="0" t="s">
        <v>596</v>
      </c>
      <c r="BB867" s="0" t="str">
        <f t="shared" si="13"/>
        <v>CIHPkoAnkpa</v>
      </c>
    </row>
    <row r="868">
      <c r="AV868" s="0" t="s">
        <v>471</v>
      </c>
      <c r="AW868" s="0" t="s">
        <v>409</v>
      </c>
      <c r="AX868" s="0" t="s">
        <v>655</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691</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285</v>
      </c>
      <c r="BB893" s="0" t="str">
        <f t="shared" si="13"/>
        <v>ECEWSebEzzaNorth</v>
      </c>
    </row>
    <row r="894">
      <c r="AV894" s="0" t="s">
        <v>471</v>
      </c>
      <c r="AW894" s="0" t="s">
        <v>398</v>
      </c>
      <c r="AX894" s="0" t="s">
        <v>813</v>
      </c>
      <c r="AY894" s="0" t="s">
        <v>2843</v>
      </c>
      <c r="AZ894" s="0" t="s">
        <v>2844</v>
      </c>
      <c r="BA894" s="0" t="s">
        <v>285</v>
      </c>
      <c r="BB894" s="0" t="str">
        <f t="shared" si="13"/>
        <v>ECEWSebEzzaSouth</v>
      </c>
    </row>
    <row r="895">
      <c r="AV895" s="0" t="s">
        <v>471</v>
      </c>
      <c r="AW895" s="0" t="s">
        <v>398</v>
      </c>
      <c r="AX895" s="0" t="s">
        <v>813</v>
      </c>
      <c r="AY895" s="0" t="s">
        <v>2845</v>
      </c>
      <c r="AZ895" s="0" t="s">
        <v>2846</v>
      </c>
      <c r="BA895" s="0" t="s">
        <v>285</v>
      </c>
      <c r="BB895" s="0" t="str">
        <f t="shared" si="13"/>
        <v>ECEWSebEzzaSouth</v>
      </c>
    </row>
    <row r="896">
      <c r="AV896" s="0" t="s">
        <v>471</v>
      </c>
      <c r="AW896" s="0" t="s">
        <v>398</v>
      </c>
      <c r="AX896" s="0" t="s">
        <v>813</v>
      </c>
      <c r="AY896" s="0" t="s">
        <v>2847</v>
      </c>
      <c r="AZ896" s="0" t="s">
        <v>2848</v>
      </c>
      <c r="BA896" s="0" t="s">
        <v>285</v>
      </c>
      <c r="BB896" s="0" t="str">
        <f t="shared" si="13"/>
        <v>ECEWSebEzzaSouth</v>
      </c>
    </row>
    <row r="897">
      <c r="AV897" s="0" t="s">
        <v>471</v>
      </c>
      <c r="AW897" s="0" t="s">
        <v>398</v>
      </c>
      <c r="AX897" s="0" t="s">
        <v>842</v>
      </c>
      <c r="AY897" s="0" t="s">
        <v>2849</v>
      </c>
      <c r="AZ897" s="0" t="s">
        <v>2850</v>
      </c>
      <c r="BA897" s="0" t="s">
        <v>285</v>
      </c>
      <c r="BB897" s="0" t="str">
        <f t="shared" si="13"/>
        <v>ECEWSebIkwo</v>
      </c>
    </row>
    <row r="898">
      <c r="AV898" s="0" t="s">
        <v>471</v>
      </c>
      <c r="AW898" s="0" t="s">
        <v>398</v>
      </c>
      <c r="AX898" s="0" t="s">
        <v>842</v>
      </c>
      <c r="AY898" s="0" t="s">
        <v>2851</v>
      </c>
      <c r="AZ898" s="0" t="s">
        <v>2852</v>
      </c>
      <c r="BA898" s="0" t="s">
        <v>285</v>
      </c>
      <c r="BB898" s="0" t="str">
        <f t="shared" si="13"/>
        <v>ECEWSebIkwo</v>
      </c>
    </row>
    <row r="899">
      <c r="AV899" s="0" t="s">
        <v>471</v>
      </c>
      <c r="AW899" s="0" t="s">
        <v>398</v>
      </c>
      <c r="AX899" s="0" t="s">
        <v>842</v>
      </c>
      <c r="AY899" s="0" t="s">
        <v>2853</v>
      </c>
      <c r="AZ899" s="0" t="s">
        <v>2854</v>
      </c>
      <c r="BA899" s="0" t="s">
        <v>285</v>
      </c>
      <c r="BB899" s="0" t="str">
        <f ref="BB899:BB962" t="shared" si="14">SUBSTITUTE(SUBSTITUTE(BA899&amp;AX899," ",""),"-","")</f>
        <v>ECEWSebIkwo</v>
      </c>
    </row>
    <row r="900">
      <c r="AV900" s="0" t="s">
        <v>471</v>
      </c>
      <c r="AW900" s="0" t="s">
        <v>398</v>
      </c>
      <c r="AX900" s="0" t="s">
        <v>870</v>
      </c>
      <c r="AY900" s="0" t="s">
        <v>2855</v>
      </c>
      <c r="AZ900" s="0" t="s">
        <v>2856</v>
      </c>
      <c r="BA900" s="0" t="s">
        <v>285</v>
      </c>
      <c r="BB900" s="0" t="str">
        <f t="shared" si="14"/>
        <v>ECEWSebIshielu</v>
      </c>
    </row>
    <row r="901">
      <c r="AV901" s="0" t="s">
        <v>471</v>
      </c>
      <c r="AW901" s="0" t="s">
        <v>398</v>
      </c>
      <c r="AX901" s="0" t="s">
        <v>870</v>
      </c>
      <c r="AY901" s="0" t="s">
        <v>2857</v>
      </c>
      <c r="AZ901" s="0" t="s">
        <v>2858</v>
      </c>
      <c r="BA901" s="0" t="s">
        <v>285</v>
      </c>
      <c r="BB901" s="0" t="str">
        <f t="shared" si="14"/>
        <v>ECEWSebIshielu</v>
      </c>
    </row>
    <row r="902">
      <c r="AV902" s="0" t="s">
        <v>471</v>
      </c>
      <c r="AW902" s="0" t="s">
        <v>401</v>
      </c>
      <c r="AX902" s="0" t="s">
        <v>844</v>
      </c>
      <c r="AY902" s="0" t="s">
        <v>2859</v>
      </c>
      <c r="AZ902" s="0" t="s">
        <v>2860</v>
      </c>
      <c r="BA902" s="0" t="s">
        <v>285</v>
      </c>
      <c r="BB902" s="0" t="str">
        <f t="shared" si="14"/>
        <v>ECEWSenAninri</v>
      </c>
    </row>
    <row r="903">
      <c r="AV903" s="0" t="s">
        <v>471</v>
      </c>
      <c r="AW903" s="0" t="s">
        <v>401</v>
      </c>
      <c r="AX903" s="0" t="s">
        <v>844</v>
      </c>
      <c r="AY903" s="0" t="s">
        <v>2861</v>
      </c>
      <c r="AZ903" s="0" t="s">
        <v>2862</v>
      </c>
      <c r="BA903" s="0" t="s">
        <v>285</v>
      </c>
      <c r="BB903" s="0" t="str">
        <f t="shared" si="14"/>
        <v>ECEWSenAninri</v>
      </c>
    </row>
    <row r="904">
      <c r="AV904" s="0" t="s">
        <v>471</v>
      </c>
      <c r="AW904" s="0" t="s">
        <v>401</v>
      </c>
      <c r="AX904" s="0" t="s">
        <v>844</v>
      </c>
      <c r="AY904" s="0" t="s">
        <v>2863</v>
      </c>
      <c r="AZ904" s="0" t="s">
        <v>2864</v>
      </c>
      <c r="BA904" s="0" t="s">
        <v>285</v>
      </c>
      <c r="BB904" s="0" t="str">
        <f t="shared" si="14"/>
        <v>ECEWSenAninri</v>
      </c>
    </row>
    <row r="905">
      <c r="AV905" s="0" t="s">
        <v>471</v>
      </c>
      <c r="AW905" s="0" t="s">
        <v>401</v>
      </c>
      <c r="AX905" s="0" t="s">
        <v>844</v>
      </c>
      <c r="AY905" s="0" t="s">
        <v>2865</v>
      </c>
      <c r="AZ905" s="0" t="s">
        <v>2866</v>
      </c>
      <c r="BA905" s="0" t="s">
        <v>285</v>
      </c>
      <c r="BB905" s="0" t="str">
        <f t="shared" si="14"/>
        <v>ECEWSenAninri</v>
      </c>
    </row>
    <row r="906">
      <c r="AV906" s="0" t="s">
        <v>471</v>
      </c>
      <c r="AW906" s="0" t="s">
        <v>401</v>
      </c>
      <c r="AX906" s="0" t="s">
        <v>844</v>
      </c>
      <c r="AY906" s="0" t="s">
        <v>2867</v>
      </c>
      <c r="AZ906" s="0" t="s">
        <v>2868</v>
      </c>
      <c r="BA906" s="0" t="s">
        <v>285</v>
      </c>
      <c r="BB906" s="0" t="str">
        <f t="shared" si="14"/>
        <v>ECEWSenAninri</v>
      </c>
    </row>
    <row r="907">
      <c r="AV907" s="0" t="s">
        <v>471</v>
      </c>
      <c r="AW907" s="0" t="s">
        <v>401</v>
      </c>
      <c r="AX907" s="0" t="s">
        <v>844</v>
      </c>
      <c r="AY907" s="0" t="s">
        <v>2869</v>
      </c>
      <c r="AZ907" s="0" t="s">
        <v>2870</v>
      </c>
      <c r="BA907" s="0" t="s">
        <v>285</v>
      </c>
      <c r="BB907" s="0" t="str">
        <f t="shared" si="14"/>
        <v>ECEWSenAninri</v>
      </c>
    </row>
    <row r="908">
      <c r="AV908" s="0" t="s">
        <v>471</v>
      </c>
      <c r="AW908" s="0" t="s">
        <v>401</v>
      </c>
      <c r="AX908" s="0" t="s">
        <v>844</v>
      </c>
      <c r="AY908" s="0" t="s">
        <v>2871</v>
      </c>
      <c r="AZ908" s="0" t="s">
        <v>2872</v>
      </c>
      <c r="BA908" s="0" t="s">
        <v>285</v>
      </c>
      <c r="BB908" s="0" t="str">
        <f t="shared" si="14"/>
        <v>ECEWSenAninri</v>
      </c>
    </row>
    <row r="909">
      <c r="AV909" s="0" t="s">
        <v>471</v>
      </c>
      <c r="AW909" s="0" t="s">
        <v>401</v>
      </c>
      <c r="AX909" s="0" t="s">
        <v>872</v>
      </c>
      <c r="AY909" s="0" t="s">
        <v>2873</v>
      </c>
      <c r="AZ909" s="0" t="s">
        <v>2874</v>
      </c>
      <c r="BA909" s="0" t="s">
        <v>285</v>
      </c>
      <c r="BB909" s="0" t="str">
        <f t="shared" si="14"/>
        <v>ECEWSenAwgu</v>
      </c>
    </row>
    <row r="910">
      <c r="AV910" s="0" t="s">
        <v>471</v>
      </c>
      <c r="AW910" s="0" t="s">
        <v>401</v>
      </c>
      <c r="AX910" s="0" t="s">
        <v>872</v>
      </c>
      <c r="AY910" s="0" t="s">
        <v>2875</v>
      </c>
      <c r="AZ910" s="0" t="s">
        <v>2876</v>
      </c>
      <c r="BA910" s="0" t="s">
        <v>285</v>
      </c>
      <c r="BB910" s="0" t="str">
        <f t="shared" si="14"/>
        <v>ECEWSenAwgu</v>
      </c>
    </row>
    <row r="911">
      <c r="AV911" s="0" t="s">
        <v>471</v>
      </c>
      <c r="AW911" s="0" t="s">
        <v>401</v>
      </c>
      <c r="AX911" s="0" t="s">
        <v>872</v>
      </c>
      <c r="AY911" s="0" t="s">
        <v>2877</v>
      </c>
      <c r="AZ911" s="0" t="s">
        <v>2878</v>
      </c>
      <c r="BA911" s="0" t="s">
        <v>285</v>
      </c>
      <c r="BB911" s="0" t="str">
        <f t="shared" si="14"/>
        <v>ECEWSenAwgu</v>
      </c>
    </row>
    <row r="912">
      <c r="AV912" s="0" t="s">
        <v>471</v>
      </c>
      <c r="AW912" s="0" t="s">
        <v>401</v>
      </c>
      <c r="AX912" s="0" t="s">
        <v>872</v>
      </c>
      <c r="AY912" s="0" t="s">
        <v>2879</v>
      </c>
      <c r="AZ912" s="0" t="s">
        <v>2880</v>
      </c>
      <c r="BA912" s="0" t="s">
        <v>285</v>
      </c>
      <c r="BB912" s="0" t="str">
        <f t="shared" si="14"/>
        <v>ECEWSenAwgu</v>
      </c>
    </row>
    <row r="913">
      <c r="AV913" s="0" t="s">
        <v>471</v>
      </c>
      <c r="AW913" s="0" t="s">
        <v>401</v>
      </c>
      <c r="AX913" s="0" t="s">
        <v>897</v>
      </c>
      <c r="AY913" s="0" t="s">
        <v>2881</v>
      </c>
      <c r="AZ913" s="0" t="s">
        <v>2882</v>
      </c>
      <c r="BA913" s="0" t="s">
        <v>285</v>
      </c>
      <c r="BB913" s="0" t="str">
        <f t="shared" si="14"/>
        <v>ECEWSenEzeagu</v>
      </c>
    </row>
    <row r="914">
      <c r="AV914" s="0" t="s">
        <v>471</v>
      </c>
      <c r="AW914" s="0" t="s">
        <v>401</v>
      </c>
      <c r="AX914" s="0" t="s">
        <v>897</v>
      </c>
      <c r="AY914" s="0" t="s">
        <v>2883</v>
      </c>
      <c r="AZ914" s="0" t="s">
        <v>2884</v>
      </c>
      <c r="BA914" s="0" t="s">
        <v>285</v>
      </c>
      <c r="BB914" s="0" t="str">
        <f t="shared" si="14"/>
        <v>ECEWSenEzeagu</v>
      </c>
    </row>
    <row r="915">
      <c r="AV915" s="0" t="s">
        <v>471</v>
      </c>
      <c r="AW915" s="0" t="s">
        <v>401</v>
      </c>
      <c r="AX915" s="0" t="s">
        <v>922</v>
      </c>
      <c r="AY915" s="0" t="s">
        <v>2885</v>
      </c>
      <c r="AZ915" s="0" t="s">
        <v>2886</v>
      </c>
      <c r="BA915" s="0" t="s">
        <v>285</v>
      </c>
      <c r="BB915" s="0" t="str">
        <f t="shared" si="14"/>
        <v>ECEWSenOjiRiver</v>
      </c>
    </row>
    <row r="916">
      <c r="AV916" s="0" t="s">
        <v>471</v>
      </c>
      <c r="AW916" s="0" t="s">
        <v>401</v>
      </c>
      <c r="AX916" s="0" t="s">
        <v>922</v>
      </c>
      <c r="AY916" s="0" t="s">
        <v>2887</v>
      </c>
      <c r="AZ916" s="0" t="s">
        <v>2888</v>
      </c>
      <c r="BA916" s="0" t="s">
        <v>285</v>
      </c>
      <c r="BB916" s="0" t="str">
        <f t="shared" si="14"/>
        <v>ECEWSenOjiRiver</v>
      </c>
    </row>
    <row r="917">
      <c r="AV917" s="0" t="s">
        <v>471</v>
      </c>
      <c r="AW917" s="0" t="s">
        <v>401</v>
      </c>
      <c r="AX917" s="0" t="s">
        <v>922</v>
      </c>
      <c r="AY917" s="0" t="s">
        <v>2889</v>
      </c>
      <c r="AZ917" s="0" t="s">
        <v>2890</v>
      </c>
      <c r="BA917" s="0" t="s">
        <v>285</v>
      </c>
      <c r="BB917" s="0" t="str">
        <f t="shared" si="14"/>
        <v>ECEWSenOjiRiver</v>
      </c>
    </row>
    <row r="918">
      <c r="AV918" s="0" t="s">
        <v>471</v>
      </c>
      <c r="AW918" s="0" t="s">
        <v>401</v>
      </c>
      <c r="AX918" s="0" t="s">
        <v>922</v>
      </c>
      <c r="AY918" s="0" t="s">
        <v>2891</v>
      </c>
      <c r="AZ918" s="0" t="s">
        <v>2892</v>
      </c>
      <c r="BA918" s="0" t="s">
        <v>285</v>
      </c>
      <c r="BB918" s="0" t="str">
        <f t="shared" si="14"/>
        <v>ECEWSenOjiRiver</v>
      </c>
    </row>
    <row r="919">
      <c r="AV919" s="0" t="s">
        <v>471</v>
      </c>
      <c r="AW919" s="0" t="s">
        <v>401</v>
      </c>
      <c r="AX919" s="0" t="s">
        <v>946</v>
      </c>
      <c r="AY919" s="0" t="s">
        <v>2893</v>
      </c>
      <c r="AZ919" s="0" t="s">
        <v>2894</v>
      </c>
      <c r="BA919" s="0" t="s">
        <v>285</v>
      </c>
      <c r="BB919" s="0" t="str">
        <f t="shared" si="14"/>
        <v>ECEWSenUdi</v>
      </c>
    </row>
    <row r="920">
      <c r="AV920" s="0" t="s">
        <v>471</v>
      </c>
      <c r="AW920" s="0" t="s">
        <v>401</v>
      </c>
      <c r="AX920" s="0" t="s">
        <v>946</v>
      </c>
      <c r="AY920" s="0" t="s">
        <v>2895</v>
      </c>
      <c r="AZ920" s="0" t="s">
        <v>2896</v>
      </c>
      <c r="BA920" s="0" t="s">
        <v>285</v>
      </c>
      <c r="BB920" s="0" t="str">
        <f t="shared" si="14"/>
        <v>ECEWSenUdi</v>
      </c>
    </row>
    <row r="921">
      <c r="AV921" s="0" t="s">
        <v>471</v>
      </c>
      <c r="AW921" s="0" t="s">
        <v>401</v>
      </c>
      <c r="AX921" s="0" t="s">
        <v>946</v>
      </c>
      <c r="AY921" s="0" t="s">
        <v>2897</v>
      </c>
      <c r="AZ921" s="0" t="s">
        <v>2898</v>
      </c>
      <c r="BA921" s="0" t="s">
        <v>285</v>
      </c>
      <c r="BB921" s="0" t="str">
        <f t="shared" si="14"/>
        <v>ECEWSenUdi</v>
      </c>
    </row>
    <row r="922">
      <c r="AV922" s="0" t="s">
        <v>471</v>
      </c>
      <c r="AW922" s="0" t="s">
        <v>401</v>
      </c>
      <c r="AX922" s="0" t="s">
        <v>946</v>
      </c>
      <c r="AY922" s="0" t="s">
        <v>2899</v>
      </c>
      <c r="AZ922" s="0" t="s">
        <v>2900</v>
      </c>
      <c r="BA922" s="0" t="s">
        <v>285</v>
      </c>
      <c r="BB922" s="0" t="str">
        <f t="shared" si="14"/>
        <v>ECEWSenUdi</v>
      </c>
    </row>
    <row r="923">
      <c r="AV923" s="0" t="s">
        <v>471</v>
      </c>
      <c r="AW923" s="0" t="s">
        <v>401</v>
      </c>
      <c r="AX923" s="0" t="s">
        <v>946</v>
      </c>
      <c r="AY923" s="0" t="s">
        <v>2901</v>
      </c>
      <c r="AZ923" s="0" t="s">
        <v>2902</v>
      </c>
      <c r="BA923" s="0" t="s">
        <v>285</v>
      </c>
      <c r="BB923" s="0" t="str">
        <f t="shared" si="14"/>
        <v>ECEWSenUdi</v>
      </c>
    </row>
    <row r="924">
      <c r="AV924" s="0" t="s">
        <v>471</v>
      </c>
      <c r="AW924" s="0" t="s">
        <v>401</v>
      </c>
      <c r="AX924" s="0" t="s">
        <v>946</v>
      </c>
      <c r="AY924" s="0" t="s">
        <v>2903</v>
      </c>
      <c r="AZ924" s="0" t="s">
        <v>2904</v>
      </c>
      <c r="BA924" s="0" t="s">
        <v>285</v>
      </c>
      <c r="BB924" s="0" t="str">
        <f t="shared" si="14"/>
        <v>ECEWSenUdi</v>
      </c>
    </row>
    <row r="925">
      <c r="AV925" s="0" t="s">
        <v>471</v>
      </c>
      <c r="AW925" s="0" t="s">
        <v>401</v>
      </c>
      <c r="AX925" s="0" t="s">
        <v>946</v>
      </c>
      <c r="AY925" s="0" t="s">
        <v>2905</v>
      </c>
      <c r="AZ925" s="0" t="s">
        <v>2906</v>
      </c>
      <c r="BA925" s="0" t="s">
        <v>285</v>
      </c>
      <c r="BB925" s="0" t="str">
        <f t="shared" si="14"/>
        <v>ECEWSenUdi</v>
      </c>
    </row>
    <row r="926">
      <c r="AV926" s="0" t="s">
        <v>471</v>
      </c>
      <c r="AW926" s="0" t="s">
        <v>401</v>
      </c>
      <c r="AX926" s="0" t="s">
        <v>946</v>
      </c>
      <c r="AY926" s="0" t="s">
        <v>2907</v>
      </c>
      <c r="AZ926" s="0" t="s">
        <v>2908</v>
      </c>
      <c r="BA926" s="0" t="s">
        <v>285</v>
      </c>
      <c r="BB926" s="0" t="str">
        <f t="shared" si="14"/>
        <v>ECEWSenUdi</v>
      </c>
    </row>
    <row r="927">
      <c r="AV927" s="0" t="s">
        <v>471</v>
      </c>
      <c r="AW927" s="0" t="s">
        <v>401</v>
      </c>
      <c r="AX927" s="0" t="s">
        <v>946</v>
      </c>
      <c r="AY927" s="0" t="s">
        <v>2909</v>
      </c>
      <c r="AZ927" s="0" t="s">
        <v>2910</v>
      </c>
      <c r="BA927" s="0" t="s">
        <v>285</v>
      </c>
      <c r="BB927" s="0" t="str">
        <f t="shared" si="14"/>
        <v>ECEWSenUdi</v>
      </c>
    </row>
    <row r="928">
      <c r="AV928" s="0" t="s">
        <v>471</v>
      </c>
      <c r="AW928" s="0" t="s">
        <v>401</v>
      </c>
      <c r="AX928" s="0" t="s">
        <v>946</v>
      </c>
      <c r="AY928" s="0" t="s">
        <v>2911</v>
      </c>
      <c r="AZ928" s="0" t="s">
        <v>2912</v>
      </c>
      <c r="BA928" s="0" t="s">
        <v>285</v>
      </c>
      <c r="BB928" s="0" t="str">
        <f t="shared" si="14"/>
        <v>ECEWSenUdi</v>
      </c>
    </row>
    <row r="929">
      <c r="AV929" s="0" t="s">
        <v>471</v>
      </c>
      <c r="AW929" s="0" t="s">
        <v>286</v>
      </c>
      <c r="AX929" s="0" t="s">
        <v>1049</v>
      </c>
      <c r="AY929" s="0" t="s">
        <v>2913</v>
      </c>
      <c r="AZ929" s="0" t="s">
        <v>2914</v>
      </c>
      <c r="BA929" s="0" t="s">
        <v>285</v>
      </c>
      <c r="BB929" s="0" t="str">
        <f t="shared" si="14"/>
        <v>ECEWSimEhimeMbano</v>
      </c>
    </row>
    <row r="930">
      <c r="AV930" s="0" t="s">
        <v>471</v>
      </c>
      <c r="AW930" s="0" t="s">
        <v>286</v>
      </c>
      <c r="AX930" s="0" t="s">
        <v>1049</v>
      </c>
      <c r="AY930" s="0" t="s">
        <v>2915</v>
      </c>
      <c r="AZ930" s="0" t="s">
        <v>2916</v>
      </c>
      <c r="BA930" s="0" t="s">
        <v>285</v>
      </c>
      <c r="BB930" s="0" t="str">
        <f t="shared" si="14"/>
        <v>ECEWSimEhimeMbano</v>
      </c>
    </row>
    <row r="931">
      <c r="AV931" s="0" t="s">
        <v>471</v>
      </c>
      <c r="AW931" s="0" t="s">
        <v>286</v>
      </c>
      <c r="AX931" s="0" t="s">
        <v>1049</v>
      </c>
      <c r="AY931" s="0" t="s">
        <v>2917</v>
      </c>
      <c r="AZ931" s="0" t="s">
        <v>2918</v>
      </c>
      <c r="BA931" s="0" t="s">
        <v>285</v>
      </c>
      <c r="BB931" s="0" t="str">
        <f t="shared" si="14"/>
        <v>ECEWSimEhimeMbano</v>
      </c>
    </row>
    <row r="932">
      <c r="AV932" s="0" t="s">
        <v>471</v>
      </c>
      <c r="AW932" s="0" t="s">
        <v>286</v>
      </c>
      <c r="AX932" s="0" t="s">
        <v>1049</v>
      </c>
      <c r="AY932" s="0" t="s">
        <v>2919</v>
      </c>
      <c r="AZ932" s="0" t="s">
        <v>2920</v>
      </c>
      <c r="BA932" s="0" t="s">
        <v>285</v>
      </c>
      <c r="BB932" s="0" t="str">
        <f t="shared" si="14"/>
        <v>ECEWSimEhimeMbano</v>
      </c>
    </row>
    <row r="933">
      <c r="AV933" s="0" t="s">
        <v>471</v>
      </c>
      <c r="AW933" s="0" t="s">
        <v>286</v>
      </c>
      <c r="AX933" s="0" t="s">
        <v>1493</v>
      </c>
      <c r="AY933" s="304" t="s">
        <v>2921</v>
      </c>
      <c r="AZ933" s="0" t="s">
        <v>2922</v>
      </c>
      <c r="BA933" s="0" t="s">
        <v>285</v>
      </c>
      <c r="BB933" s="0" t="str">
        <f t="shared" si="14"/>
        <v>ECEWSimIhitteUboma</v>
      </c>
    </row>
    <row r="934">
      <c r="AV934" s="0" t="s">
        <v>471</v>
      </c>
      <c r="AW934" s="0" t="s">
        <v>286</v>
      </c>
      <c r="AX934" s="0" t="s">
        <v>1493</v>
      </c>
      <c r="AY934" s="304" t="s">
        <v>2923</v>
      </c>
      <c r="AZ934" s="0" t="s">
        <v>2924</v>
      </c>
      <c r="BA934" s="0" t="s">
        <v>285</v>
      </c>
      <c r="BB934" s="0" t="str">
        <f t="shared" si="14"/>
        <v>ECEWSimIhitteUboma</v>
      </c>
    </row>
    <row r="935">
      <c r="AV935" s="0" t="s">
        <v>471</v>
      </c>
      <c r="AW935" s="0" t="s">
        <v>286</v>
      </c>
      <c r="AX935" s="0" t="s">
        <v>1493</v>
      </c>
      <c r="AY935" s="304" t="s">
        <v>2913</v>
      </c>
      <c r="AZ935" s="0" t="s">
        <v>2925</v>
      </c>
      <c r="BA935" s="0" t="s">
        <v>285</v>
      </c>
      <c r="BB935" s="0" t="str">
        <f t="shared" si="14"/>
        <v>ECEWSimIhitteUboma</v>
      </c>
    </row>
    <row r="936">
      <c r="AV936" s="0" t="s">
        <v>471</v>
      </c>
      <c r="AW936" s="0" t="s">
        <v>286</v>
      </c>
      <c r="AX936" s="0" t="s">
        <v>1070</v>
      </c>
      <c r="AY936" s="0" t="s">
        <v>2926</v>
      </c>
      <c r="AZ936" s="0" t="s">
        <v>2927</v>
      </c>
      <c r="BA936" s="0" t="s">
        <v>285</v>
      </c>
      <c r="BB936" s="0" t="str">
        <f t="shared" si="14"/>
        <v>ECEWSimIsialaMbano</v>
      </c>
    </row>
    <row r="937">
      <c r="AV937" s="0" t="s">
        <v>471</v>
      </c>
      <c r="AW937" s="0" t="s">
        <v>286</v>
      </c>
      <c r="AX937" s="0" t="s">
        <v>1078</v>
      </c>
      <c r="AY937" s="0" t="s">
        <v>289</v>
      </c>
      <c r="AZ937" s="0" t="s">
        <v>293</v>
      </c>
      <c r="BA937" s="0" t="s">
        <v>285</v>
      </c>
      <c r="BB937" s="0" t="str">
        <f t="shared" si="14"/>
        <v>ECEWSimObowo</v>
      </c>
    </row>
    <row r="938">
      <c r="AV938" s="0" t="s">
        <v>471</v>
      </c>
      <c r="AW938" s="0" t="s">
        <v>286</v>
      </c>
      <c r="AX938" s="0" t="s">
        <v>1078</v>
      </c>
      <c r="AY938" s="0" t="s">
        <v>2928</v>
      </c>
      <c r="AZ938" s="0" t="s">
        <v>2929</v>
      </c>
      <c r="BA938" s="0" t="s">
        <v>285</v>
      </c>
      <c r="BB938" s="0" t="str">
        <f t="shared" si="14"/>
        <v>ECEWSimObowo</v>
      </c>
    </row>
    <row r="939">
      <c r="AV939" s="0" t="s">
        <v>471</v>
      </c>
      <c r="AW939" s="0" t="s">
        <v>286</v>
      </c>
      <c r="AX939" s="0" t="s">
        <v>1086</v>
      </c>
      <c r="AY939" s="0" t="s">
        <v>2930</v>
      </c>
      <c r="AZ939" s="0" t="s">
        <v>2931</v>
      </c>
      <c r="BA939" s="0" t="s">
        <v>285</v>
      </c>
      <c r="BB939" s="0" t="str">
        <f t="shared" si="14"/>
        <v>ECEWSimOkigwe</v>
      </c>
    </row>
    <row r="940">
      <c r="AV940" s="0" t="s">
        <v>471</v>
      </c>
      <c r="AW940" s="0" t="s">
        <v>286</v>
      </c>
      <c r="AX940" s="0" t="s">
        <v>1086</v>
      </c>
      <c r="AY940" s="0" t="s">
        <v>2932</v>
      </c>
      <c r="AZ940" s="0" t="s">
        <v>2933</v>
      </c>
      <c r="BA940" s="0" t="s">
        <v>285</v>
      </c>
      <c r="BB940" s="0" t="str">
        <f t="shared" si="14"/>
        <v>ECEWSimOkigwe</v>
      </c>
    </row>
    <row r="941">
      <c r="AV941" s="0" t="s">
        <v>471</v>
      </c>
      <c r="AW941" s="0" t="s">
        <v>286</v>
      </c>
      <c r="AX941" s="0" t="s">
        <v>1086</v>
      </c>
      <c r="AY941" s="0" t="s">
        <v>2934</v>
      </c>
      <c r="AZ941" s="0" t="s">
        <v>2935</v>
      </c>
      <c r="BA941" s="0" t="s">
        <v>285</v>
      </c>
      <c r="BB941" s="0" t="str">
        <f t="shared" si="14"/>
        <v>ECEWSimOkigwe</v>
      </c>
    </row>
    <row r="942">
      <c r="AV942" s="0" t="s">
        <v>471</v>
      </c>
      <c r="AW942" s="0" t="s">
        <v>286</v>
      </c>
      <c r="AX942" s="0" t="s">
        <v>1093</v>
      </c>
      <c r="AY942" s="0" t="s">
        <v>2936</v>
      </c>
      <c r="AZ942" s="0" t="s">
        <v>2937</v>
      </c>
      <c r="BA942" s="0" t="s">
        <v>285</v>
      </c>
      <c r="BB942" s="0" t="str">
        <f t="shared" si="14"/>
        <v>ECEWSimOnuimo</v>
      </c>
    </row>
    <row r="943">
      <c r="AV943" s="0" t="s">
        <v>471</v>
      </c>
      <c r="AW943" s="0" t="s">
        <v>286</v>
      </c>
      <c r="AX943" s="0" t="s">
        <v>1093</v>
      </c>
      <c r="AY943" s="0" t="s">
        <v>2938</v>
      </c>
      <c r="AZ943" s="0" t="s">
        <v>2939</v>
      </c>
      <c r="BA943" s="0" t="s">
        <v>285</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615</v>
      </c>
      <c r="AY985" s="0" t="s">
        <v>3022</v>
      </c>
      <c r="AZ985" s="0" t="s">
        <v>3023</v>
      </c>
      <c r="BA985" s="0" t="s">
        <v>672</v>
      </c>
      <c r="BB985" s="0" t="str">
        <f t="shared" si="15"/>
        <v>FGHINkdLere</v>
      </c>
    </row>
    <row r="986">
      <c r="AV986" s="0" t="s">
        <v>471</v>
      </c>
      <c r="AW986" s="0" t="s">
        <v>405</v>
      </c>
      <c r="AX986" s="0" t="s">
        <v>615</v>
      </c>
      <c r="AY986" s="0" t="s">
        <v>3024</v>
      </c>
      <c r="AZ986" s="0" t="s">
        <v>3025</v>
      </c>
      <c r="BA986" s="0" t="s">
        <v>672</v>
      </c>
      <c r="BB986" s="0" t="str">
        <f t="shared" si="15"/>
        <v>FGHINkdLere</v>
      </c>
    </row>
    <row r="987">
      <c r="AV987" s="0" t="s">
        <v>471</v>
      </c>
      <c r="AW987" s="0" t="s">
        <v>405</v>
      </c>
      <c r="AX987" s="0" t="s">
        <v>615</v>
      </c>
      <c r="AY987" s="0" t="s">
        <v>3026</v>
      </c>
      <c r="AZ987" s="0" t="s">
        <v>3027</v>
      </c>
      <c r="BA987" s="0" t="s">
        <v>672</v>
      </c>
      <c r="BB987" s="0" t="str">
        <f t="shared" si="15"/>
        <v>FGHINkdLere</v>
      </c>
    </row>
    <row r="988">
      <c r="AV988" s="0" t="s">
        <v>471</v>
      </c>
      <c r="AW988" s="0" t="s">
        <v>405</v>
      </c>
      <c r="AX988" s="0" t="s">
        <v>615</v>
      </c>
      <c r="AY988" s="0" t="s">
        <v>2159</v>
      </c>
      <c r="AZ988" s="0" t="s">
        <v>3028</v>
      </c>
      <c r="BA988" s="0" t="s">
        <v>672</v>
      </c>
      <c r="BB988" s="0" t="str">
        <f t="shared" si="15"/>
        <v>FGHINkdLere</v>
      </c>
    </row>
    <row r="989">
      <c r="AV989" s="0" t="s">
        <v>471</v>
      </c>
      <c r="AW989" s="0" t="s">
        <v>405</v>
      </c>
      <c r="AX989" s="0" t="s">
        <v>615</v>
      </c>
      <c r="AY989" s="0" t="s">
        <v>3029</v>
      </c>
      <c r="AZ989" s="0" t="s">
        <v>3030</v>
      </c>
      <c r="BA989" s="0" t="s">
        <v>672</v>
      </c>
      <c r="BB989" s="0" t="str">
        <f t="shared" si="15"/>
        <v>FGHINkdLere</v>
      </c>
    </row>
    <row r="990">
      <c r="AV990" s="0" t="s">
        <v>471</v>
      </c>
      <c r="AW990" s="0" t="s">
        <v>405</v>
      </c>
      <c r="AX990" s="0" t="s">
        <v>615</v>
      </c>
      <c r="AY990" s="0" t="s">
        <v>3031</v>
      </c>
      <c r="AZ990" s="0" t="s">
        <v>3032</v>
      </c>
      <c r="BA990" s="0" t="s">
        <v>672</v>
      </c>
      <c r="BB990" s="0" t="str">
        <f t="shared" si="15"/>
        <v>FGHINkdLere</v>
      </c>
    </row>
    <row r="991">
      <c r="AV991" s="0" t="s">
        <v>471</v>
      </c>
      <c r="AW991" s="0" t="s">
        <v>405</v>
      </c>
      <c r="AX991" s="0" t="s">
        <v>615</v>
      </c>
      <c r="AY991" s="0" t="s">
        <v>3033</v>
      </c>
      <c r="AZ991" s="0" t="s">
        <v>3034</v>
      </c>
      <c r="BA991" s="0" t="s">
        <v>672</v>
      </c>
      <c r="BB991" s="0" t="str">
        <f t="shared" si="15"/>
        <v>FGHINkdLere</v>
      </c>
    </row>
    <row r="992">
      <c r="AV992" s="0" t="s">
        <v>471</v>
      </c>
      <c r="AW992" s="0" t="s">
        <v>405</v>
      </c>
      <c r="AX992" s="0" t="s">
        <v>615</v>
      </c>
      <c r="AY992" s="0" t="s">
        <v>3035</v>
      </c>
      <c r="AZ992" s="0" t="s">
        <v>3036</v>
      </c>
      <c r="BA992" s="0" t="s">
        <v>672</v>
      </c>
      <c r="BB992" s="0" t="str">
        <f t="shared" si="15"/>
        <v>FGHINkdLere</v>
      </c>
    </row>
    <row r="993">
      <c r="AV993" s="0" t="s">
        <v>471</v>
      </c>
      <c r="AW993" s="0" t="s">
        <v>405</v>
      </c>
      <c r="AX993" s="0" t="s">
        <v>615</v>
      </c>
      <c r="AY993" s="0" t="s">
        <v>3037</v>
      </c>
      <c r="AZ993" s="0" t="s">
        <v>3038</v>
      </c>
      <c r="BA993" s="0" t="s">
        <v>672</v>
      </c>
      <c r="BB993" s="0" t="str">
        <f t="shared" si="15"/>
        <v>FGHINkdLere</v>
      </c>
    </row>
    <row r="994">
      <c r="AV994" s="0" t="s">
        <v>471</v>
      </c>
      <c r="AW994" s="0" t="s">
        <v>405</v>
      </c>
      <c r="AX994" s="0" t="s">
        <v>615</v>
      </c>
      <c r="AY994" s="0" t="s">
        <v>3039</v>
      </c>
      <c r="AZ994" s="0" t="s">
        <v>3040</v>
      </c>
      <c r="BA994" s="0" t="s">
        <v>672</v>
      </c>
      <c r="BB994" s="0" t="str">
        <f t="shared" si="15"/>
        <v>FGHINkdLere</v>
      </c>
    </row>
    <row r="995">
      <c r="AV995" s="0" t="s">
        <v>471</v>
      </c>
      <c r="AW995" s="0" t="s">
        <v>405</v>
      </c>
      <c r="AX995" s="0" t="s">
        <v>615</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606</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609</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573</v>
      </c>
      <c r="AY1272" s="0" t="s">
        <v>3593</v>
      </c>
      <c r="AZ1272" s="0" t="s">
        <v>3594</v>
      </c>
      <c r="BA1272" s="0" t="s">
        <v>708</v>
      </c>
      <c r="BB1272" s="0" t="str">
        <f t="shared" si="19"/>
        <v>IHVNfcGwagwalada</v>
      </c>
    </row>
    <row r="1273">
      <c r="AV1273" s="0" t="s">
        <v>471</v>
      </c>
      <c r="AW1273" s="0" t="s">
        <v>402</v>
      </c>
      <c r="AX1273" s="0" t="s">
        <v>573</v>
      </c>
      <c r="AY1273" s="0" t="s">
        <v>3595</v>
      </c>
      <c r="AZ1273" s="0" t="s">
        <v>3596</v>
      </c>
      <c r="BA1273" s="0" t="s">
        <v>708</v>
      </c>
      <c r="BB1273" s="0" t="str">
        <f t="shared" si="19"/>
        <v>IHVNfcGwagwalada</v>
      </c>
    </row>
    <row r="1274">
      <c r="AV1274" s="0" t="s">
        <v>471</v>
      </c>
      <c r="AW1274" s="0" t="s">
        <v>402</v>
      </c>
      <c r="AX1274" s="0" t="s">
        <v>573</v>
      </c>
      <c r="AY1274" s="0" t="s">
        <v>3597</v>
      </c>
      <c r="AZ1274" s="0" t="s">
        <v>3598</v>
      </c>
      <c r="BA1274" s="0" t="s">
        <v>708</v>
      </c>
      <c r="BB1274" s="0" t="str">
        <f t="shared" si="19"/>
        <v>IHVNfcGwagwalada</v>
      </c>
    </row>
    <row r="1275">
      <c r="AV1275" s="0" t="s">
        <v>471</v>
      </c>
      <c r="AW1275" s="0" t="s">
        <v>402</v>
      </c>
      <c r="AX1275" s="0" t="s">
        <v>573</v>
      </c>
      <c r="AY1275" s="0" t="s">
        <v>3599</v>
      </c>
      <c r="AZ1275" s="0" t="s">
        <v>3600</v>
      </c>
      <c r="BA1275" s="0" t="s">
        <v>708</v>
      </c>
      <c r="BB1275" s="0" t="str">
        <f t="shared" si="19"/>
        <v>IHVNfcGwagwalada</v>
      </c>
    </row>
    <row r="1276">
      <c r="AV1276" s="0" t="s">
        <v>471</v>
      </c>
      <c r="AW1276" s="0" t="s">
        <v>402</v>
      </c>
      <c r="AX1276" s="0" t="s">
        <v>573</v>
      </c>
      <c r="AY1276" s="0" t="s">
        <v>3601</v>
      </c>
      <c r="AZ1276" s="0" t="s">
        <v>3602</v>
      </c>
      <c r="BA1276" s="0" t="s">
        <v>708</v>
      </c>
      <c r="BB1276" s="0" t="str">
        <f t="shared" si="19"/>
        <v>IHVNfcGwagwalada</v>
      </c>
    </row>
    <row r="1277">
      <c r="AV1277" s="0" t="s">
        <v>471</v>
      </c>
      <c r="AW1277" s="0" t="s">
        <v>402</v>
      </c>
      <c r="AX1277" s="0" t="s">
        <v>573</v>
      </c>
      <c r="AY1277" s="0" t="s">
        <v>3603</v>
      </c>
      <c r="AZ1277" s="0" t="s">
        <v>3604</v>
      </c>
      <c r="BA1277" s="0" t="s">
        <v>708</v>
      </c>
      <c r="BB1277" s="0" t="str">
        <f t="shared" si="19"/>
        <v>IHVNfcGwagwalada</v>
      </c>
    </row>
    <row r="1278">
      <c r="AV1278" s="0" t="s">
        <v>471</v>
      </c>
      <c r="AW1278" s="0" t="s">
        <v>402</v>
      </c>
      <c r="AX1278" s="0" t="s">
        <v>611</v>
      </c>
      <c r="AY1278" s="0" t="s">
        <v>3605</v>
      </c>
      <c r="AZ1278" s="0" t="s">
        <v>3606</v>
      </c>
      <c r="BA1278" s="0" t="s">
        <v>708</v>
      </c>
      <c r="BB1278" s="0" t="str">
        <f t="shared" si="19"/>
        <v>IHVNfcKuje</v>
      </c>
    </row>
    <row r="1279">
      <c r="AV1279" s="0" t="s">
        <v>471</v>
      </c>
      <c r="AW1279" s="0" t="s">
        <v>402</v>
      </c>
      <c r="AX1279" s="0" t="s">
        <v>611</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616</v>
      </c>
      <c r="AY1285" s="0" t="s">
        <v>3619</v>
      </c>
      <c r="AZ1285" s="0" t="s">
        <v>3620</v>
      </c>
      <c r="BA1285" s="0" t="s">
        <v>708</v>
      </c>
      <c r="BB1285" s="0" t="str">
        <f t="shared" si="20"/>
        <v>IHVNknUngogo</v>
      </c>
    </row>
    <row r="1286">
      <c r="AV1286" s="0" t="s">
        <v>471</v>
      </c>
      <c r="AW1286" s="0" t="s">
        <v>406</v>
      </c>
      <c r="AX1286" s="0" t="s">
        <v>616</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621</v>
      </c>
      <c r="AY1430" s="0" t="s">
        <v>3906</v>
      </c>
      <c r="AZ1430" s="0" t="s">
        <v>3907</v>
      </c>
      <c r="BA1430" s="0" t="s">
        <v>708</v>
      </c>
      <c r="BB1430" s="0" t="str">
        <f t="shared" si="22"/>
        <v>IHVNnaObi</v>
      </c>
    </row>
    <row r="1431">
      <c r="AV1431" s="0" t="s">
        <v>471</v>
      </c>
      <c r="AW1431" s="0" t="s">
        <v>412</v>
      </c>
      <c r="AX1431" s="0" t="s">
        <v>621</v>
      </c>
      <c r="AY1431" s="0" t="s">
        <v>3908</v>
      </c>
      <c r="AZ1431" s="0" t="s">
        <v>3909</v>
      </c>
      <c r="BA1431" s="0" t="s">
        <v>708</v>
      </c>
      <c r="BB1431" s="0" t="str">
        <f t="shared" si="22"/>
        <v>IHVNnaObi</v>
      </c>
    </row>
    <row r="1432">
      <c r="AV1432" s="0" t="s">
        <v>471</v>
      </c>
      <c r="AW1432" s="0" t="s">
        <v>412</v>
      </c>
      <c r="AX1432" s="0" t="s">
        <v>621</v>
      </c>
      <c r="AY1432" s="0" t="s">
        <v>3910</v>
      </c>
      <c r="AZ1432" s="0" t="s">
        <v>3911</v>
      </c>
      <c r="BA1432" s="0" t="s">
        <v>708</v>
      </c>
      <c r="BB1432" s="0" t="str">
        <f t="shared" si="22"/>
        <v>IHVNnaObi</v>
      </c>
    </row>
    <row r="1433">
      <c r="AV1433" s="0" t="s">
        <v>471</v>
      </c>
      <c r="AW1433" s="0" t="s">
        <v>412</v>
      </c>
      <c r="AX1433" s="0" t="s">
        <v>621</v>
      </c>
      <c r="AY1433" s="0" t="s">
        <v>3912</v>
      </c>
      <c r="AZ1433" s="0" t="s">
        <v>3913</v>
      </c>
      <c r="BA1433" s="0" t="s">
        <v>708</v>
      </c>
      <c r="BB1433" s="0" t="str">
        <f t="shared" si="22"/>
        <v>IHVNnaObi</v>
      </c>
    </row>
    <row r="1434">
      <c r="AV1434" s="0" t="s">
        <v>471</v>
      </c>
      <c r="AW1434" s="0" t="s">
        <v>412</v>
      </c>
      <c r="AX1434" s="0" t="s">
        <v>621</v>
      </c>
      <c r="AY1434" s="0" t="s">
        <v>3914</v>
      </c>
      <c r="AZ1434" s="0" t="s">
        <v>3915</v>
      </c>
      <c r="BA1434" s="0" t="s">
        <v>708</v>
      </c>
      <c r="BB1434" s="0" t="str">
        <f t="shared" si="22"/>
        <v>IHVNnaObi</v>
      </c>
    </row>
    <row r="1435">
      <c r="AV1435" s="0" t="s">
        <v>471</v>
      </c>
      <c r="AW1435" s="0" t="s">
        <v>412</v>
      </c>
      <c r="AX1435" s="0" t="s">
        <v>621</v>
      </c>
      <c r="AY1435" s="0" t="s">
        <v>3916</v>
      </c>
      <c r="AZ1435" s="0" t="s">
        <v>3917</v>
      </c>
      <c r="BA1435" s="0" t="s">
        <v>708</v>
      </c>
      <c r="BB1435" s="0" t="str">
        <f t="shared" si="22"/>
        <v>IHVNnaObi</v>
      </c>
    </row>
    <row r="1436">
      <c r="AV1436" s="0" t="s">
        <v>471</v>
      </c>
      <c r="AW1436" s="0" t="s">
        <v>412</v>
      </c>
      <c r="AX1436" s="0" t="s">
        <v>621</v>
      </c>
      <c r="AY1436" s="0" t="s">
        <v>3918</v>
      </c>
      <c r="AZ1436" s="0" t="s">
        <v>3919</v>
      </c>
      <c r="BA1436" s="0" t="s">
        <v>708</v>
      </c>
      <c r="BB1436" s="0" t="str">
        <f t="shared" si="22"/>
        <v>IHVNnaObi</v>
      </c>
    </row>
    <row r="1437">
      <c r="AV1437" s="0" t="s">
        <v>471</v>
      </c>
      <c r="AW1437" s="0" t="s">
        <v>412</v>
      </c>
      <c r="AX1437" s="0" t="s">
        <v>621</v>
      </c>
      <c r="AY1437" s="0" t="s">
        <v>3920</v>
      </c>
      <c r="AZ1437" s="0" t="s">
        <v>3921</v>
      </c>
      <c r="BA1437" s="0" t="s">
        <v>708</v>
      </c>
      <c r="BB1437" s="0" t="str">
        <f t="shared" si="22"/>
        <v>IHVNnaObi</v>
      </c>
    </row>
    <row r="1438">
      <c r="AV1438" s="0" t="s">
        <v>471</v>
      </c>
      <c r="AW1438" s="0" t="s">
        <v>412</v>
      </c>
      <c r="AX1438" s="0" t="s">
        <v>621</v>
      </c>
      <c r="AY1438" s="0" t="s">
        <v>3922</v>
      </c>
      <c r="AZ1438" s="0" t="s">
        <v>3923</v>
      </c>
      <c r="BA1438" s="0" t="s">
        <v>708</v>
      </c>
      <c r="BB1438" s="0" t="str">
        <f t="shared" si="22"/>
        <v>IHVNnaObi</v>
      </c>
    </row>
    <row r="1439">
      <c r="AV1439" s="0" t="s">
        <v>471</v>
      </c>
      <c r="AW1439" s="0" t="s">
        <v>412</v>
      </c>
      <c r="AX1439" s="0" t="s">
        <v>621</v>
      </c>
      <c r="AY1439" s="0" t="s">
        <v>3924</v>
      </c>
      <c r="AZ1439" s="0" t="s">
        <v>3925</v>
      </c>
      <c r="BA1439" s="0" t="s">
        <v>708</v>
      </c>
      <c r="BB1439" s="0" t="str">
        <f t="shared" si="22"/>
        <v>IHVNnaObi</v>
      </c>
    </row>
    <row r="1440">
      <c r="AV1440" s="0" t="s">
        <v>471</v>
      </c>
      <c r="AW1440" s="0" t="s">
        <v>412</v>
      </c>
      <c r="AX1440" s="0" t="s">
        <v>621</v>
      </c>
      <c r="AY1440" s="0" t="s">
        <v>3926</v>
      </c>
      <c r="AZ1440" s="0" t="s">
        <v>3927</v>
      </c>
      <c r="BA1440" s="0" t="s">
        <v>708</v>
      </c>
      <c r="BB1440" s="0" t="str">
        <f t="shared" si="22"/>
        <v>IHVNnaObi</v>
      </c>
    </row>
    <row r="1441">
      <c r="AV1441" s="0" t="s">
        <v>471</v>
      </c>
      <c r="AW1441" s="0" t="s">
        <v>412</v>
      </c>
      <c r="AX1441" s="0" t="s">
        <v>621</v>
      </c>
      <c r="AY1441" s="0" t="s">
        <v>3928</v>
      </c>
      <c r="AZ1441" s="0" t="s">
        <v>3929</v>
      </c>
      <c r="BA1441" s="0" t="s">
        <v>708</v>
      </c>
      <c r="BB1441" s="0" t="str">
        <f t="shared" si="22"/>
        <v>IHVNnaObi</v>
      </c>
    </row>
    <row r="1442">
      <c r="AV1442" s="0" t="s">
        <v>471</v>
      </c>
      <c r="AW1442" s="0" t="s">
        <v>412</v>
      </c>
      <c r="AX1442" s="0" t="s">
        <v>621</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623</v>
      </c>
      <c r="AY1449" s="0" t="s">
        <v>3944</v>
      </c>
      <c r="AZ1449" s="0" t="s">
        <v>3945</v>
      </c>
      <c r="BA1449" s="0" t="s">
        <v>708</v>
      </c>
      <c r="BB1449" s="0" t="str">
        <f t="shared" si="22"/>
        <v>IHVNogIfo</v>
      </c>
    </row>
    <row r="1450">
      <c r="AV1450" s="0" t="s">
        <v>471</v>
      </c>
      <c r="AW1450" s="0" t="s">
        <v>414</v>
      </c>
      <c r="AX1450" s="0" t="s">
        <v>623</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624</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625</v>
      </c>
      <c r="AY1464" s="0" t="s">
        <v>3974</v>
      </c>
      <c r="AZ1464" s="0" t="s">
        <v>3975</v>
      </c>
      <c r="BA1464" s="0" t="s">
        <v>708</v>
      </c>
      <c r="BB1464" s="0" t="str">
        <f t="shared" si="22"/>
        <v>IHVNosIfeCentral</v>
      </c>
    </row>
    <row r="1465">
      <c r="AV1465" s="0" t="s">
        <v>471</v>
      </c>
      <c r="AW1465" s="0" t="s">
        <v>416</v>
      </c>
      <c r="AX1465" s="0" t="s">
        <v>625</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