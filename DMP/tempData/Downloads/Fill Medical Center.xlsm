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<sst xmlns="http://schemas.openxmlformats.org/spreadsheetml/2006/main" count="4056" uniqueCount="4056">
  <si>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</si>
  <si>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</si>
  <si>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</si>
  <si>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</si>
  <si>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</si>
  <si>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</si>
  <si>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</si>
  <si>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</si>
  <si>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</si>
  <si>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</si>
  <si>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</si>
  <si>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</si>
  <si>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</si>
  <si>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</si>
  <si>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</si>
  <si>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</si>
  <si>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</si>
  <si>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</si>
  <si>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</si>
  <si>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</si>
  <si>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</si>
  <si>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</si>
  <si>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</si>
  <si>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</si>
  <si>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</si>
  <si>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</si>
  <si>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</si>
  <si>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</si>
  <si>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</si>
  <si>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</si>
  <si>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</si>
  <si>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</si>
  <si>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</si>
  <si>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</si>
  <si>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</si>
  <si>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</si>
  <si>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</si>
  <si>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</si>
  <si>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</si>
  <si>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</si>
  <si>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</si>
  <si>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</si>
  <si>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</si>
  <si>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</si>
  <si>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</si>
  <si>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</si>
  <si>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</si>
  <si>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</si>
  <si>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</si>
  <si>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</si>
  <si>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</si>
  <si>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</si>
  <si>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</si>
  <si>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</si>
  <si>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</si>
  <si>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</si>
  <si>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</si>
  <si>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</si>
  <si>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</si>
  <si>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</si>
  <si>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</si>
  <si>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</si>
  <si>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</si>
  <si>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</si>
  <si>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</si>
  <si>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</si>
  <si>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</si>
  <si>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</si>
  <si>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</si>
  <si>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</si>
  <si>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</si>
  <si>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</si>
  <si>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</si>
  <si>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</si>
  <si>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</si>
  <si>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</si>
  <si>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</si>
  <si>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</si>
  <si>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</si>
  <si>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</si>
  <si>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</si>
  <si>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</si>
  <si>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</si>
  <si>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</si>
  <si>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</si>
  <si>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</si>
  <si>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</si>
  <si>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</si>
  <si>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</si>
  <si>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</si>
  <si>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</si>
  <si>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</si>
  <si>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</si>
  <si>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</si>
  <si>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</si>
  <si>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</si>
  <si>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</si>
  <si>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</si>
  <si>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</si>
  <si>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</si>
  <si>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</si>
  <si>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</si>
  <si>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</si>
  <si>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</si>
  <si>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</si>
  <si>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</si>
  <si>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</si>
  <si>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</si>
  <si>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</si>
  <si>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</si>
  <si>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</si>
  <si>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</si>
  <si>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</si>
  <si>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</si>
  <si>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</si>
  <si>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</si>
  <si>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</si>
  <si>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</si>
  <si>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</si>
  <si>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</si>
  <si>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</si>
  <si>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</si>
  <si>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</si>
  <si>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</si>
  <si>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</si>
  <si>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</si>
  <si>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</si>
  <si>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</si>
  <si>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</si>
  <si>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</si>
  <si>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</si>
  <si>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</si>
  <si>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</si>
  <si>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</si>
  <si>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</si>
  <si>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</si>
  <si>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</si>
  <si>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</si>
  <si>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</si>
  <si>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</si>
  <si>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</si>
  <si>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</si>
  <si>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</si>
  <si>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</si>
  <si>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</si>
  <si>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</si>
  <si>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</si>
  <si>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</si>
  <si>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</si>
  <si>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</si>
  <si>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</si>
  <si>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</si>
  <si>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</si>
  <si>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</si>
  <si>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</si>
  <si>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</si>
  <si>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</si>
  <si>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</si>
  <si>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</si>
  <si>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</si>
  <si>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</si>
  <si>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</si>
  <si>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</si>
  <si>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</si>
  <si>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</si>
  <si>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</si>
  <si>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</si>
  <si>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</si>
  <si>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</si>
  <si>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</si>
  <si>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</si>
  <si>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</si>
  <si>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</si>
  <si>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</si>
  <si>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</si>
  <si>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</si>
  <si>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</si>
  <si>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</si>
  <si>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</si>
  <si>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</si>
  <si>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</si>
  <si>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</si>
  <si>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</si>
  <si>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</si>
  <si>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</si>
  <si>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</si>
  <si>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</si>
  <si>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</si>
  <si>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</si>
  <si>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</si>
  <si>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</si>
  <si>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</si>
  <si>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</si>
  <si>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</si>
  <si>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</si>
  <si>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</si>
  <si>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</si>
  <si>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</si>
  <si>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</si>
  <si>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</si>
  <si>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</si>
  <si>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</si>
  <si>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</si>
  <si>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</si>
  <si>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</si>
  <si>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</si>
  <si>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</si>
  <si>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</si>
  <si>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</si>
  <si>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</si>
  <si>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</si>
  <si>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</si>
  <si>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</si>
  <si>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</si>
  <si>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</si>
  <si>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</si>
  <si>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</si>
  <si>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</si>
  <si>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</si>
  <si>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</si>
  <si>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</si>
  <si>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</si>
  <si>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</si>
  <si>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</si>
  <si>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</si>
  <si>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</si>
  <si>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</si>
  <si>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</si>
  <si>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</si>
  <si>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</si>
  <si>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</si>
  <si>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</si>
  <si>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</si>
  <si>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</si>
  <si>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</si>
  <si>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</si>
  <si>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</si>
  <si>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</si>
  <si>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</si>
  <si>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</si>
  <si>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</si>
  <si>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</si>
  <si>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</si>
  <si>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</si>
  <si>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</si>
  <si>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</si>
  <si>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</si>
  <si>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</si>
  <si>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</si>
  <si>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</si>
  <si>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</si>
  <si>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</si>
  <si>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</si>
  <si>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</si>
  <si>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</si>
  <si>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</si>
  <si>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</si>
  <si>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</si>
  <si>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</si>
  <si>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</si>
  <si>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</si>
  <si>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</si>
  <si>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</si>
  <si>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</si>
  <si>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</si>
  <si>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</si>
  <si>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</si>
  <si>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</si>
  <si>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</si>
  <si>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</si>
  <si>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</si>
  <si>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</si>
  <si>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</si>
  <si>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</si>
  <si>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</si>
  <si>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</si>
  <si>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</si>
  <si>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</si>
  <si>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</si>
  <si>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</si>
  <si>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</si>
  <si>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</si>
  <si>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</si>
  <si>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</si>
  <si>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</si>
  <si>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</si>
  <si>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</si>
  <si>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Bwari</t>
  </si>
  <si>
    <t>Facility Name:</t>
  </si>
  <si>
    <t>Fill Medical Center</t>
  </si>
  <si>
    <t>Reporting Period:</t>
  </si>
  <si>
    <t>Q1(Oct - Dec)</t>
  </si>
  <si>
    <t>Facility Code:</t>
  </si>
  <si>
    <t>RI2jHNRJMdn</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</si>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</sst>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v>
      </c>
      <c r="G8" s="155">
        <f>ROUND(SUM('All Questions'!D31:D35)/5+G12,0)</f>
        <v>8</v>
      </c>
      <c r="H8" s="156">
        <f>ROUND(SUM('All Questions'!D37,'All Questions'!D40)/2+'All Questions'!D26+H12,0)</f>
        <v>13</v>
      </c>
      <c r="I8" s="157">
        <f>ROUND((SUM('All Questions'!E11:E14)/4)+I12,0)</f>
        <v>0</v>
      </c>
      <c r="J8" s="155">
        <f>ROUND(SUM('All Questions'!E15:E21)/7+J12,0)</f>
        <v>0</v>
      </c>
      <c r="K8" s="155">
        <f>ROUND(SUM('All Questions'!E23:E30)/4+K12,0)</f>
        <v>9</v>
      </c>
      <c r="L8" s="155">
        <f>ROUND(SUM('All Questions'!E31:E35)/5+L12,0)</f>
        <v>11</v>
      </c>
      <c r="M8" s="156">
        <f>ROUND(('All Questions'!E37+'All Questions'!E40)/2+'All Questions'!E26+M12,0)</f>
        <v>17</v>
      </c>
      <c r="N8" s="157">
        <f>ROUND((SUM('All Questions'!F11:F14)/4)+N12,0)</f>
        <v>0</v>
      </c>
      <c r="O8" s="155">
        <f>ROUND(SUM('All Questions'!F15:F21)/7+O12,0)</f>
        <v>0</v>
      </c>
      <c r="P8" s="155">
        <f>ROUND(SUM('All Questions'!F23:F30)/4+P12,0)</f>
        <v>6</v>
      </c>
      <c r="Q8" s="155">
        <f>ROUND(SUM('All Questions'!F31:F35)/5+Q12,0)</f>
        <v>8</v>
      </c>
      <c r="R8" s="156">
        <f>ROUND(('All Questions'!F37+'All Questions'!F40)/2+'All Questions'!F26+R12,0)</f>
        <v>14</v>
      </c>
      <c r="S8" s="141">
        <f>'All Questions'!F2</f>
        <v>0</v>
      </c>
      <c r="T8" s="142" t="e">
        <f>(AVERAGE(F8:H8)+AVERAGE(K8:M8)+AVERAGE(P8:R8))/S8</f>
        <v>#DIV/0!</v>
      </c>
      <c r="V8" s="309">
        <f>AVERAGE(F8:H8)+AVERAGE(K8:M8)+AVERAGE(P8:R8)</f>
        <v>30.666666666666671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6</v>
      </c>
      <c r="G10" s="159">
        <f>ROUND(SUM('All Questions'!D31:D35)/5,0)</f>
        <v>8</v>
      </c>
      <c r="H10" s="162">
        <f>ROUND(('All Questions'!D37+'All Questions'!D40)/2+'All Questions'!D26,0)</f>
        <v>13</v>
      </c>
      <c r="I10" s="163">
        <f>ROUND((SUM('All Questions'!E11:E14)/4),0)</f>
        <v>0</v>
      </c>
      <c r="J10" s="164">
        <f>ROUND(SUM('All Questions'!E15:E21)/7,0)</f>
        <v>0</v>
      </c>
      <c r="K10" s="164">
        <f>ROUND(SUM('All Questions'!E23:E30)/4,0)</f>
        <v>8</v>
      </c>
      <c r="L10" s="164">
        <f>ROUND(SUM('All Questions'!E31:E35)/5,0)</f>
        <v>10</v>
      </c>
      <c r="M10" s="165">
        <f>ROUND(('All Questions'!E37+'All Questions'!E40)/2+'All Questions'!E26,0)</f>
        <v>16</v>
      </c>
      <c r="N10" s="166">
        <f>ROUND((SUM('All Questions'!F11:F14)/4),0)</f>
        <v>0</v>
      </c>
      <c r="O10" s="164">
        <f>ROUND(SUM('All Questions'!F15:F21)/7,0)</f>
        <v>0</v>
      </c>
      <c r="P10" s="164">
        <f>ROUND(SUM('All Questions'!F23:F30)/4,0)</f>
        <v>6</v>
      </c>
      <c r="Q10" s="164">
        <f>ROUND(SUM('All Questions'!F31:F35)/5,0)</f>
        <v>8</v>
      </c>
      <c r="R10" s="165">
        <f>ROUND(('All Questions'!F37+'All Questions'!F40)/2+'All Questions'!F26,0)</f>
        <v>14</v>
      </c>
      <c r="S10" s="141">
        <f>'All Questions'!F4</f>
        <v>0</v>
      </c>
      <c r="T10" s="143" t="e">
        <f>(AVERAGE(F10:H10)+AVERAGE(K10:M10)+AVERAGE(P10:R10))/S10</f>
        <v>#DIV/0!</v>
      </c>
      <c r="V10" s="309">
        <f>AVERAGE(F10:H10)+AVERAGE(K10:M10)+AVERAGE(P10:R10)</f>
        <v>29.666666666666671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0</v>
      </c>
      <c r="H12" s="174">
        <f>ROUND(SUM('All Questions'!D82:D83)/2,0)</f>
        <v>0</v>
      </c>
      <c r="I12" s="175">
        <f>ROUND(SUM('All Questions'!E54:E58)+'All Questions'!E71/4,0)</f>
        <v>0</v>
      </c>
      <c r="J12" s="176">
        <f>ROUND(SUM('All Questions'!E60:E63)/4,0)</f>
        <v>0</v>
      </c>
      <c r="K12" s="176">
        <f>ROUND(SUM('All Questions'!E67:E72)/3,0)</f>
        <v>1</v>
      </c>
      <c r="L12" s="176">
        <f>ROUND(SUM('All Questions'!E73:E80)/4,0)</f>
        <v>1</v>
      </c>
      <c r="M12" s="177">
        <f>ROUND(SUM('All Questions'!E82:E83)/2,0)</f>
        <v>1</v>
      </c>
      <c r="N12" s="178">
        <f>ROUND(SUM('All Questions'!F54:F58)+'All Questions'!F71/4,0)</f>
        <v>0</v>
      </c>
      <c r="O12" s="176">
        <f>ROUND(SUM('All Questions'!F60:F63)/4,0)</f>
        <v>0</v>
      </c>
      <c r="P12" s="176">
        <f>ROUND(SUM('All Questions'!F67:F72)/3,0)</f>
        <v>0</v>
      </c>
      <c r="Q12" s="176">
        <f>ROUND(SUM('All Questions'!F73:F80)/4,0)</f>
        <v>0</v>
      </c>
      <c r="R12" s="177">
        <f>ROUND(SUM('All Questions'!F82:F83)/2,0)</f>
        <v>0</v>
      </c>
      <c r="S12" s="145">
        <f>'All Questions'!F46</f>
        <v>0</v>
      </c>
      <c r="T12" s="146" t="e">
        <f ref="T12:T15" t="shared" si="1">(AVERAGE(F12:H12)+AVERAGE(K12:M12)+AVERAGE(P12:R12))/S12</f>
        <v>#DIV/0!</v>
      </c>
      <c r="V12" s="309">
        <f>AVERAGE(F12:H12)+AVERAGE(K12:M12)+AVERAGE(P12:R12)</f>
        <v>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4</v>
      </c>
      <c r="Q18" s="204">
        <f>ROUND(SUM('All Questions'!F186:F189)/4,0)</f>
        <v>3</v>
      </c>
      <c r="R18" s="303">
        <f>ROUND(('All Questions'!F191-('All Questions'!F194+'All Questions'!F197+'All Questions'!F200)),0)</f>
        <v>0</v>
      </c>
      <c r="S18" s="152">
        <f>'All Questions'!F166</f>
        <v>0</v>
      </c>
      <c r="T18" s="144" t="e">
        <f>AVERAGE(P18:R18)/S18</f>
        <v>#DIV/0!</v>
      </c>
      <c r="V18" s="309">
        <f>AVERAGE(P18:R18)</f>
        <v>2.3333333333333335</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15</v>
      </c>
      <c r="E9" s="301">
        <v>15</v>
      </c>
      <c r="F9" s="301">
        <v>25</v>
      </c>
      <c r="G9" s="207" t="s">
        <v>67</v>
      </c>
    </row>
    <row r="10" hidden="1" ht="45" customHeight="1">
      <c r="A10" s="226"/>
      <c r="B10" s="238">
        <v>1113</v>
      </c>
      <c r="C10" s="242" t="s">
        <v>83</v>
      </c>
      <c r="D10" s="301">
        <v>13</v>
      </c>
      <c r="E10" s="301">
        <v>16</v>
      </c>
      <c r="F10" s="301">
        <v>13</v>
      </c>
      <c r="G10" s="207" t="s">
        <v>67</v>
      </c>
    </row>
    <row r="11" hidden="1" ht="45" customHeight="1">
      <c r="A11" s="226"/>
      <c r="B11" s="238">
        <v>1114</v>
      </c>
      <c r="C11" s="243" t="s">
        <v>84</v>
      </c>
      <c r="D11" s="301">
        <v>13</v>
      </c>
      <c r="E11" s="301">
        <v>16</v>
      </c>
      <c r="F11" s="301">
        <v>13</v>
      </c>
      <c r="G11" s="207" t="s">
        <v>67</v>
      </c>
    </row>
    <row r="12" hidden="1" ht="45" customHeight="1">
      <c r="A12" s="226"/>
      <c r="B12" s="238">
        <v>1115</v>
      </c>
      <c r="C12" s="242" t="s">
        <v>85</v>
      </c>
      <c r="D12" s="301">
        <v>13</v>
      </c>
      <c r="E12" s="301">
        <v>16</v>
      </c>
      <c r="F12" s="301">
        <v>13</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13</v>
      </c>
      <c r="E25" s="301">
        <v>15</v>
      </c>
      <c r="F25" s="301">
        <v>12</v>
      </c>
      <c r="G25" s="207" t="s">
        <v>67</v>
      </c>
    </row>
    <row r="26" hidden="1" ht="45" customHeight="1">
      <c r="A26" s="226"/>
      <c r="B26" s="238">
        <v>1134</v>
      </c>
      <c r="C26" s="242" t="s">
        <v>99</v>
      </c>
      <c r="D26" s="301">
        <v>0</v>
      </c>
      <c r="E26" s="301">
        <v>1</v>
      </c>
      <c r="F26" s="301">
        <v>1</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13</v>
      </c>
      <c r="E30" s="301">
        <v>16</v>
      </c>
      <c r="F30" s="301">
        <v>13</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13</v>
      </c>
      <c r="E33" s="301">
        <v>16</v>
      </c>
      <c r="F33" s="301">
        <v>13</v>
      </c>
      <c r="G33" s="207" t="s">
        <v>67</v>
      </c>
    </row>
    <row r="34" hidden="1" ht="45" customHeight="1">
      <c r="A34" s="226"/>
      <c r="B34" s="238">
        <v>1144</v>
      </c>
      <c r="C34" s="242" t="s">
        <v>107</v>
      </c>
      <c r="D34" s="301">
        <v>13</v>
      </c>
      <c r="E34" s="301">
        <v>16</v>
      </c>
      <c r="F34" s="301">
        <v>13</v>
      </c>
      <c r="G34" s="207" t="s">
        <v>67</v>
      </c>
    </row>
    <row r="35" hidden="1" ht="45" customHeight="1">
      <c r="A35" s="226"/>
      <c r="B35" s="238">
        <v>1145</v>
      </c>
      <c r="C35" s="242" t="s">
        <v>108</v>
      </c>
      <c r="D35" s="301">
        <v>13</v>
      </c>
      <c r="E35" s="301">
        <v>16</v>
      </c>
      <c r="F35" s="301">
        <v>13</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13</v>
      </c>
      <c r="E37" s="301">
        <v>15</v>
      </c>
      <c r="F37" s="301">
        <v>13</v>
      </c>
      <c r="G37" s="207" t="s">
        <v>67</v>
      </c>
    </row>
    <row r="38" hidden="1" ht="45" customHeight="1">
      <c r="A38" s="226"/>
      <c r="B38" s="238">
        <v>1153</v>
      </c>
      <c r="C38" s="242" t="s">
        <v>111</v>
      </c>
      <c r="D38" s="301">
        <v>13</v>
      </c>
      <c r="E38" s="301">
        <v>15</v>
      </c>
      <c r="F38" s="301">
        <v>13</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13</v>
      </c>
      <c r="E40" s="301">
        <v>15</v>
      </c>
      <c r="F40" s="301">
        <v>13</v>
      </c>
      <c r="G40" s="207" t="s">
        <v>67</v>
      </c>
    </row>
    <row r="41" hidden="1" ht="45" customHeight="1">
      <c r="A41" s="226"/>
      <c r="B41" s="238">
        <v>1156</v>
      </c>
      <c r="C41" s="242" t="s">
        <v>113</v>
      </c>
      <c r="D41" s="301">
        <v>13</v>
      </c>
      <c r="E41" s="301">
        <v>15</v>
      </c>
      <c r="F41" s="301">
        <v>13</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93</v>
      </c>
      <c r="E52" s="301">
        <v>97</v>
      </c>
      <c r="F52" s="301">
        <v>96</v>
      </c>
      <c r="G52" s="207" t="s">
        <v>117</v>
      </c>
    </row>
    <row r="53" hidden="1" ht="45" customHeight="1">
      <c r="A53" s="226"/>
      <c r="B53" s="238">
        <v>1213</v>
      </c>
      <c r="C53" s="242" t="s">
        <v>131</v>
      </c>
      <c r="D53" s="301">
        <v>0</v>
      </c>
      <c r="E53" s="301">
        <v>1</v>
      </c>
      <c r="F53" s="301">
        <v>0</v>
      </c>
      <c r="G53" s="207" t="s">
        <v>117</v>
      </c>
    </row>
    <row r="54" hidden="1" ht="45" customHeight="1">
      <c r="A54" s="226"/>
      <c r="B54" s="238">
        <v>1214</v>
      </c>
      <c r="C54" s="264" t="s">
        <v>132</v>
      </c>
      <c r="D54" s="301">
        <v>0</v>
      </c>
      <c r="E54" s="301">
        <v>1</v>
      </c>
      <c r="F54" s="301">
        <v>0</v>
      </c>
      <c r="G54" s="207" t="s">
        <v>117</v>
      </c>
    </row>
    <row r="55" hidden="1" ht="45" customHeight="1">
      <c r="A55" s="226"/>
      <c r="B55" s="238">
        <v>1215</v>
      </c>
      <c r="C55" s="242" t="s">
        <v>133</v>
      </c>
      <c r="D55" s="301">
        <v>0</v>
      </c>
      <c r="E55" s="301">
        <v>1</v>
      </c>
      <c r="F55" s="301">
        <v>0</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1</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1</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1</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0</v>
      </c>
      <c r="E75" s="301">
        <v>1</v>
      </c>
      <c r="F75" s="301">
        <v>0</v>
      </c>
      <c r="G75" s="207" t="s">
        <v>117</v>
      </c>
    </row>
    <row r="76" hidden="1" ht="45" customHeight="1">
      <c r="A76" s="226"/>
      <c r="B76" s="238">
        <v>1244</v>
      </c>
      <c r="C76" s="243" t="s">
        <v>154</v>
      </c>
      <c r="D76" s="301">
        <v>0</v>
      </c>
      <c r="E76" s="301">
        <v>1</v>
      </c>
      <c r="F76" s="301">
        <v>0</v>
      </c>
      <c r="G76" s="207" t="s">
        <v>117</v>
      </c>
    </row>
    <row r="77" hidden="1" ht="45" customHeight="1">
      <c r="A77" s="226"/>
      <c r="B77" s="238">
        <v>1245</v>
      </c>
      <c r="C77" s="243" t="s">
        <v>155</v>
      </c>
      <c r="D77" s="301">
        <v>0</v>
      </c>
      <c r="E77" s="301">
        <v>1</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1</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0</v>
      </c>
      <c r="E82" s="301">
        <v>1</v>
      </c>
      <c r="F82" s="301">
        <v>0</v>
      </c>
      <c r="G82" s="207" t="s">
        <v>117</v>
      </c>
    </row>
    <row r="83" hidden="1" ht="45" customHeight="1">
      <c r="A83" s="226"/>
      <c r="B83" s="238">
        <v>1253</v>
      </c>
      <c r="C83" s="242" t="s">
        <v>161</v>
      </c>
      <c r="D83" s="301">
        <v>0</v>
      </c>
      <c r="E83" s="301">
        <v>1</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0</v>
      </c>
      <c r="E171" s="301">
        <v>0</v>
      </c>
      <c r="F171" s="301">
        <v>8</v>
      </c>
      <c r="G171" s="207" t="s">
        <v>244</v>
      </c>
    </row>
    <row r="172" hidden="1" ht="45" customHeight="1">
      <c r="A172" s="226"/>
      <c r="B172" s="238">
        <v>1614</v>
      </c>
      <c r="C172" s="283" t="s">
        <v>251</v>
      </c>
      <c r="D172" s="301">
        <v>5</v>
      </c>
      <c r="E172" s="301">
        <v>2</v>
      </c>
      <c r="F172" s="301">
        <v>4</v>
      </c>
      <c r="G172" s="207" t="s">
        <v>244</v>
      </c>
    </row>
    <row r="173" hidden="1" ht="45" customHeight="1">
      <c r="A173" s="226"/>
      <c r="B173" s="238">
        <v>1615</v>
      </c>
      <c r="C173" s="242" t="s">
        <v>252</v>
      </c>
      <c r="D173" s="301">
        <v>4</v>
      </c>
      <c r="E173" s="301">
        <v>2</v>
      </c>
      <c r="F173" s="301">
        <v>4</v>
      </c>
      <c r="G173" s="207" t="s">
        <v>244</v>
      </c>
    </row>
    <row r="174" hidden="1" ht="45" customHeight="1">
      <c r="A174" s="226"/>
      <c r="B174" s="238">
        <v>1616</v>
      </c>
      <c r="C174" s="242" t="s">
        <v>253</v>
      </c>
      <c r="D174" s="301">
        <v>5</v>
      </c>
      <c r="E174" s="301">
        <v>2</v>
      </c>
      <c r="F174" s="301">
        <v>4</v>
      </c>
      <c r="G174" s="207" t="s">
        <v>244</v>
      </c>
    </row>
    <row r="175" hidden="1" ht="45" customHeight="1">
      <c r="A175" s="226"/>
      <c r="B175" s="238">
        <v>1621</v>
      </c>
      <c r="C175" s="242" t="s">
        <v>254</v>
      </c>
      <c r="D175" s="301">
        <v>5</v>
      </c>
      <c r="E175" s="301">
        <v>2</v>
      </c>
      <c r="F175" s="301">
        <v>4</v>
      </c>
      <c r="G175" s="207" t="s">
        <v>244</v>
      </c>
    </row>
    <row r="176" hidden="1" ht="45" customHeight="1">
      <c r="A176" s="226"/>
      <c r="B176" s="238">
        <v>1622</v>
      </c>
      <c r="C176" s="242" t="s">
        <v>255</v>
      </c>
      <c r="D176" s="301">
        <v>5</v>
      </c>
      <c r="E176" s="301">
        <v>2</v>
      </c>
      <c r="F176" s="301">
        <v>4</v>
      </c>
      <c r="G176" s="207" t="s">
        <v>244</v>
      </c>
    </row>
    <row r="177" hidden="1" ht="45" customHeight="1">
      <c r="A177" s="226"/>
      <c r="B177" s="238">
        <v>1623</v>
      </c>
      <c r="C177" s="242" t="s">
        <v>256</v>
      </c>
      <c r="D177" s="301">
        <v>4</v>
      </c>
      <c r="E177" s="301">
        <v>2</v>
      </c>
      <c r="F177" s="301">
        <v>4</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3</v>
      </c>
      <c r="E181" s="301">
        <v>3</v>
      </c>
      <c r="F181" s="301">
        <v>3</v>
      </c>
      <c r="G181" s="207" t="s">
        <v>244</v>
      </c>
    </row>
    <row r="182" hidden="1" ht="45" customHeight="1">
      <c r="A182" s="226"/>
      <c r="B182" s="238">
        <v>1632</v>
      </c>
      <c r="C182" s="242" t="s">
        <v>261</v>
      </c>
      <c r="D182" s="301">
        <v>5</v>
      </c>
      <c r="E182" s="301">
        <v>5</v>
      </c>
      <c r="F182" s="301">
        <v>5</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4</v>
      </c>
      <c r="E185" s="301">
        <v>2</v>
      </c>
      <c r="F185" s="301">
        <v>4</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4</v>
      </c>
      <c r="E187" s="301">
        <v>2</v>
      </c>
      <c r="F187" s="301">
        <v>4</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6</v>
      </c>
      <c r="E189" s="301">
        <v>8</v>
      </c>
      <c r="F189" s="301">
        <v>8</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2</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286</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286</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286</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286</v>
      </c>
      <c r="AX478" s="0" t="s">
        <v>448</v>
      </c>
      <c r="AY478" s="0" t="s">
        <v>2012</v>
      </c>
      <c r="AZ478" s="0" t="s">
        <v>2013</v>
      </c>
      <c r="BA478" s="0" t="s">
        <v>515</v>
      </c>
      <c r="BB478" s="0" t="str">
        <f t="shared" si="7"/>
        <v>CCFNfcAbujaMunicipalAreaCouncil</v>
      </c>
    </row>
    <row r="479">
      <c r="AV479" s="0" t="s">
        <v>471</v>
      </c>
      <c r="AW479" s="0" t="s">
        <v>286</v>
      </c>
      <c r="AX479" s="0" t="s">
        <v>448</v>
      </c>
      <c r="AY479" s="0" t="s">
        <v>2014</v>
      </c>
      <c r="AZ479" s="0" t="s">
        <v>2015</v>
      </c>
      <c r="BA479" s="0" t="s">
        <v>515</v>
      </c>
      <c r="BB479" s="0" t="str">
        <f t="shared" si="7"/>
        <v>CCFNfcAbujaMunicipalAreaCouncil</v>
      </c>
    </row>
    <row r="480">
      <c r="AV480" s="0" t="s">
        <v>471</v>
      </c>
      <c r="AW480" s="0" t="s">
        <v>286</v>
      </c>
      <c r="AX480" s="0" t="s">
        <v>448</v>
      </c>
      <c r="AY480" s="0" t="s">
        <v>2016</v>
      </c>
      <c r="AZ480" s="0" t="s">
        <v>2017</v>
      </c>
      <c r="BA480" s="0" t="s">
        <v>515</v>
      </c>
      <c r="BB480" s="0" t="str">
        <f t="shared" si="7"/>
        <v>CCFNfcAbujaMunicipalAreaCouncil</v>
      </c>
    </row>
    <row r="481">
      <c r="AV481" s="0" t="s">
        <v>471</v>
      </c>
      <c r="AW481" s="0" t="s">
        <v>286</v>
      </c>
      <c r="AX481" s="0" t="s">
        <v>448</v>
      </c>
      <c r="AY481" s="0" t="s">
        <v>2018</v>
      </c>
      <c r="AZ481" s="0" t="s">
        <v>2019</v>
      </c>
      <c r="BA481" s="0" t="s">
        <v>515</v>
      </c>
      <c r="BB481" s="0" t="str">
        <f t="shared" si="7"/>
        <v>CCFNfcAbujaMunicipalAreaCouncil</v>
      </c>
    </row>
    <row r="482">
      <c r="AV482" s="0" t="s">
        <v>471</v>
      </c>
      <c r="AW482" s="0" t="s">
        <v>286</v>
      </c>
      <c r="AX482" s="0" t="s">
        <v>491</v>
      </c>
      <c r="AY482" s="0" t="s">
        <v>2020</v>
      </c>
      <c r="AZ482" s="0" t="s">
        <v>2021</v>
      </c>
      <c r="BA482" s="0" t="s">
        <v>515</v>
      </c>
      <c r="BB482" s="0" t="str">
        <f t="shared" si="7"/>
        <v>CCFNfcBwari</v>
      </c>
    </row>
    <row r="483">
      <c r="AV483" s="0" t="s">
        <v>471</v>
      </c>
      <c r="AW483" s="0" t="s">
        <v>286</v>
      </c>
      <c r="AX483" s="0" t="s">
        <v>491</v>
      </c>
      <c r="AY483" s="0" t="s">
        <v>2022</v>
      </c>
      <c r="AZ483" s="0" t="s">
        <v>2023</v>
      </c>
      <c r="BA483" s="0" t="s">
        <v>515</v>
      </c>
      <c r="BB483" s="0" t="str">
        <f t="shared" si="7"/>
        <v>CCFNfcBwari</v>
      </c>
    </row>
    <row r="484">
      <c r="AV484" s="0" t="s">
        <v>471</v>
      </c>
      <c r="AW484" s="0" t="s">
        <v>286</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286</v>
      </c>
      <c r="AX1132" s="0" t="s">
        <v>532</v>
      </c>
      <c r="AY1132" s="0" t="s">
        <v>3315</v>
      </c>
      <c r="AZ1132" s="0" t="s">
        <v>3316</v>
      </c>
      <c r="BA1132" s="0" t="s">
        <v>285</v>
      </c>
      <c r="BB1132" s="0" t="str">
        <f t="shared" si="17"/>
        <v>IHVNfcAbaji</v>
      </c>
    </row>
    <row r="1133">
      <c r="AV1133" s="0" t="s">
        <v>471</v>
      </c>
      <c r="AW1133" s="0" t="s">
        <v>286</v>
      </c>
      <c r="AX1133" s="0" t="s">
        <v>532</v>
      </c>
      <c r="AY1133" s="0" t="s">
        <v>3317</v>
      </c>
      <c r="AZ1133" s="0" t="s">
        <v>3318</v>
      </c>
      <c r="BA1133" s="0" t="s">
        <v>285</v>
      </c>
      <c r="BB1133" s="0" t="str">
        <f t="shared" si="17"/>
        <v>IHVNfcAbaji</v>
      </c>
    </row>
    <row r="1134">
      <c r="AV1134" s="0" t="s">
        <v>471</v>
      </c>
      <c r="AW1134" s="0" t="s">
        <v>286</v>
      </c>
      <c r="AX1134" s="0" t="s">
        <v>448</v>
      </c>
      <c r="AY1134" s="0" t="s">
        <v>3319</v>
      </c>
      <c r="AZ1134" s="0" t="s">
        <v>3320</v>
      </c>
      <c r="BA1134" s="0" t="s">
        <v>285</v>
      </c>
      <c r="BB1134" s="0" t="str">
        <f t="shared" si="17"/>
        <v>IHVNfcAbujaMunicipalAreaCouncil</v>
      </c>
    </row>
    <row r="1135">
      <c r="AV1135" s="0" t="s">
        <v>471</v>
      </c>
      <c r="AW1135" s="0" t="s">
        <v>286</v>
      </c>
      <c r="AX1135" s="0" t="s">
        <v>448</v>
      </c>
      <c r="AY1135" s="0" t="s">
        <v>3321</v>
      </c>
      <c r="AZ1135" s="0" t="s">
        <v>3322</v>
      </c>
      <c r="BA1135" s="0" t="s">
        <v>285</v>
      </c>
      <c r="BB1135" s="0" t="str">
        <f t="shared" si="17"/>
        <v>IHVNfcAbujaMunicipalAreaCouncil</v>
      </c>
    </row>
    <row r="1136">
      <c r="AV1136" s="0" t="s">
        <v>471</v>
      </c>
      <c r="AW1136" s="0" t="s">
        <v>286</v>
      </c>
      <c r="AX1136" s="0" t="s">
        <v>448</v>
      </c>
      <c r="AY1136" s="0" t="s">
        <v>3323</v>
      </c>
      <c r="AZ1136" s="0" t="s">
        <v>3324</v>
      </c>
      <c r="BA1136" s="0" t="s">
        <v>285</v>
      </c>
      <c r="BB1136" s="0" t="str">
        <f t="shared" si="17"/>
        <v>IHVNfcAbujaMunicipalAreaCouncil</v>
      </c>
    </row>
    <row r="1137">
      <c r="AV1137" s="0" t="s">
        <v>471</v>
      </c>
      <c r="AW1137" s="0" t="s">
        <v>286</v>
      </c>
      <c r="AX1137" s="0" t="s">
        <v>448</v>
      </c>
      <c r="AY1137" s="0" t="s">
        <v>3325</v>
      </c>
      <c r="AZ1137" s="0" t="s">
        <v>3326</v>
      </c>
      <c r="BA1137" s="0" t="s">
        <v>285</v>
      </c>
      <c r="BB1137" s="0" t="str">
        <f t="shared" si="17"/>
        <v>IHVNfcAbujaMunicipalAreaCouncil</v>
      </c>
    </row>
    <row r="1138">
      <c r="AV1138" s="0" t="s">
        <v>471</v>
      </c>
      <c r="AW1138" s="0" t="s">
        <v>286</v>
      </c>
      <c r="AX1138" s="0" t="s">
        <v>448</v>
      </c>
      <c r="AY1138" s="0" t="s">
        <v>3327</v>
      </c>
      <c r="AZ1138" s="0" t="s">
        <v>3328</v>
      </c>
      <c r="BA1138" s="0" t="s">
        <v>285</v>
      </c>
      <c r="BB1138" s="0" t="str">
        <f t="shared" si="17"/>
        <v>IHVNfcAbujaMunicipalAreaCouncil</v>
      </c>
    </row>
    <row r="1139">
      <c r="AV1139" s="0" t="s">
        <v>471</v>
      </c>
      <c r="AW1139" s="0" t="s">
        <v>286</v>
      </c>
      <c r="AX1139" s="0" t="s">
        <v>448</v>
      </c>
      <c r="AY1139" s="0" t="s">
        <v>3329</v>
      </c>
      <c r="AZ1139" s="0" t="s">
        <v>3330</v>
      </c>
      <c r="BA1139" s="0" t="s">
        <v>285</v>
      </c>
      <c r="BB1139" s="0" t="str">
        <f t="shared" si="17"/>
        <v>IHVNfcAbujaMunicipalAreaCouncil</v>
      </c>
    </row>
    <row r="1140">
      <c r="AV1140" s="0" t="s">
        <v>471</v>
      </c>
      <c r="AW1140" s="0" t="s">
        <v>286</v>
      </c>
      <c r="AX1140" s="0" t="s">
        <v>448</v>
      </c>
      <c r="AY1140" s="0" t="s">
        <v>3331</v>
      </c>
      <c r="AZ1140" s="0" t="s">
        <v>3332</v>
      </c>
      <c r="BA1140" s="0" t="s">
        <v>285</v>
      </c>
      <c r="BB1140" s="0" t="str">
        <f t="shared" si="17"/>
        <v>IHVNfcAbujaMunicipalAreaCouncil</v>
      </c>
    </row>
    <row r="1141">
      <c r="AV1141" s="0" t="s">
        <v>471</v>
      </c>
      <c r="AW1141" s="0" t="s">
        <v>286</v>
      </c>
      <c r="AX1141" s="0" t="s">
        <v>448</v>
      </c>
      <c r="AY1141" s="0" t="s">
        <v>3333</v>
      </c>
      <c r="AZ1141" s="0" t="s">
        <v>3334</v>
      </c>
      <c r="BA1141" s="0" t="s">
        <v>285</v>
      </c>
      <c r="BB1141" s="0" t="str">
        <f t="shared" si="17"/>
        <v>IHVNfcAbujaMunicipalAreaCouncil</v>
      </c>
    </row>
    <row r="1142">
      <c r="AV1142" s="0" t="s">
        <v>471</v>
      </c>
      <c r="AW1142" s="0" t="s">
        <v>286</v>
      </c>
      <c r="AX1142" s="0" t="s">
        <v>448</v>
      </c>
      <c r="AY1142" s="0" t="s">
        <v>3335</v>
      </c>
      <c r="AZ1142" s="0" t="s">
        <v>3336</v>
      </c>
      <c r="BA1142" s="0" t="s">
        <v>285</v>
      </c>
      <c r="BB1142" s="0" t="str">
        <f t="shared" si="17"/>
        <v>IHVNfcAbujaMunicipalAreaCouncil</v>
      </c>
    </row>
    <row r="1143">
      <c r="AV1143" s="0" t="s">
        <v>471</v>
      </c>
      <c r="AW1143" s="0" t="s">
        <v>286</v>
      </c>
      <c r="AX1143" s="0" t="s">
        <v>448</v>
      </c>
      <c r="AY1143" s="0" t="s">
        <v>3337</v>
      </c>
      <c r="AZ1143" s="0" t="s">
        <v>3338</v>
      </c>
      <c r="BA1143" s="0" t="s">
        <v>285</v>
      </c>
      <c r="BB1143" s="0" t="str">
        <f t="shared" si="17"/>
        <v>IHVNfcAbujaMunicipalAreaCouncil</v>
      </c>
    </row>
    <row r="1144">
      <c r="AV1144" s="0" t="s">
        <v>471</v>
      </c>
      <c r="AW1144" s="0" t="s">
        <v>286</v>
      </c>
      <c r="AX1144" s="0" t="s">
        <v>448</v>
      </c>
      <c r="AY1144" s="0" t="s">
        <v>3339</v>
      </c>
      <c r="AZ1144" s="0" t="s">
        <v>3340</v>
      </c>
      <c r="BA1144" s="0" t="s">
        <v>285</v>
      </c>
      <c r="BB1144" s="0" t="str">
        <f t="shared" si="17"/>
        <v>IHVNfcAbujaMunicipalAreaCouncil</v>
      </c>
    </row>
    <row r="1145">
      <c r="AV1145" s="0" t="s">
        <v>471</v>
      </c>
      <c r="AW1145" s="0" t="s">
        <v>286</v>
      </c>
      <c r="AX1145" s="0" t="s">
        <v>448</v>
      </c>
      <c r="AY1145" s="0" t="s">
        <v>3341</v>
      </c>
      <c r="AZ1145" s="0" t="s">
        <v>3342</v>
      </c>
      <c r="BA1145" s="0" t="s">
        <v>285</v>
      </c>
      <c r="BB1145" s="0" t="str">
        <f t="shared" si="17"/>
        <v>IHVNfcAbujaMunicipalAreaCouncil</v>
      </c>
    </row>
    <row r="1146">
      <c r="AV1146" s="0" t="s">
        <v>471</v>
      </c>
      <c r="AW1146" s="0" t="s">
        <v>286</v>
      </c>
      <c r="AX1146" s="0" t="s">
        <v>448</v>
      </c>
      <c r="AY1146" s="0" t="s">
        <v>3343</v>
      </c>
      <c r="AZ1146" s="0" t="s">
        <v>3344</v>
      </c>
      <c r="BA1146" s="0" t="s">
        <v>285</v>
      </c>
      <c r="BB1146" s="0" t="str">
        <f t="shared" si="17"/>
        <v>IHVNfcAbujaMunicipalAreaCouncil</v>
      </c>
    </row>
    <row r="1147">
      <c r="AV1147" s="0" t="s">
        <v>471</v>
      </c>
      <c r="AW1147" s="0" t="s">
        <v>286</v>
      </c>
      <c r="AX1147" s="0" t="s">
        <v>448</v>
      </c>
      <c r="AY1147" s="0" t="s">
        <v>3345</v>
      </c>
      <c r="AZ1147" s="0" t="s">
        <v>3346</v>
      </c>
      <c r="BA1147" s="0" t="s">
        <v>285</v>
      </c>
      <c r="BB1147" s="0" t="str">
        <f t="shared" si="17"/>
        <v>IHVNfcAbujaMunicipalAreaCouncil</v>
      </c>
    </row>
    <row r="1148">
      <c r="AV1148" s="0" t="s">
        <v>471</v>
      </c>
      <c r="AW1148" s="0" t="s">
        <v>286</v>
      </c>
      <c r="AX1148" s="0" t="s">
        <v>448</v>
      </c>
      <c r="AY1148" s="0" t="s">
        <v>3347</v>
      </c>
      <c r="AZ1148" s="0" t="s">
        <v>3348</v>
      </c>
      <c r="BA1148" s="0" t="s">
        <v>285</v>
      </c>
      <c r="BB1148" s="0" t="str">
        <f t="shared" si="17"/>
        <v>IHVNfcAbujaMunicipalAreaCouncil</v>
      </c>
    </row>
    <row r="1149">
      <c r="AV1149" s="0" t="s">
        <v>471</v>
      </c>
      <c r="AW1149" s="0" t="s">
        <v>286</v>
      </c>
      <c r="AX1149" s="0" t="s">
        <v>448</v>
      </c>
      <c r="AY1149" s="0" t="s">
        <v>3349</v>
      </c>
      <c r="AZ1149" s="0" t="s">
        <v>3350</v>
      </c>
      <c r="BA1149" s="0" t="s">
        <v>285</v>
      </c>
      <c r="BB1149" s="0" t="str">
        <f t="shared" si="17"/>
        <v>IHVNfcAbujaMunicipalAreaCouncil</v>
      </c>
    </row>
    <row r="1150">
      <c r="AV1150" s="0" t="s">
        <v>471</v>
      </c>
      <c r="AW1150" s="0" t="s">
        <v>286</v>
      </c>
      <c r="AX1150" s="0" t="s">
        <v>448</v>
      </c>
      <c r="AY1150" s="0" t="s">
        <v>3351</v>
      </c>
      <c r="AZ1150" s="0" t="s">
        <v>3352</v>
      </c>
      <c r="BA1150" s="0" t="s">
        <v>285</v>
      </c>
      <c r="BB1150" s="0" t="str">
        <f t="shared" si="17"/>
        <v>IHVNfcAbujaMunicipalAreaCouncil</v>
      </c>
    </row>
    <row r="1151">
      <c r="AV1151" s="0" t="s">
        <v>471</v>
      </c>
      <c r="AW1151" s="0" t="s">
        <v>286</v>
      </c>
      <c r="AX1151" s="0" t="s">
        <v>448</v>
      </c>
      <c r="AY1151" s="0" t="s">
        <v>3353</v>
      </c>
      <c r="AZ1151" s="0" t="s">
        <v>3354</v>
      </c>
      <c r="BA1151" s="0" t="s">
        <v>285</v>
      </c>
      <c r="BB1151" s="0" t="str">
        <f t="shared" si="17"/>
        <v>IHVNfcAbujaMunicipalAreaCouncil</v>
      </c>
    </row>
    <row r="1152">
      <c r="AV1152" s="0" t="s">
        <v>471</v>
      </c>
      <c r="AW1152" s="0" t="s">
        <v>286</v>
      </c>
      <c r="AX1152" s="0" t="s">
        <v>448</v>
      </c>
      <c r="AY1152" s="0" t="s">
        <v>3355</v>
      </c>
      <c r="AZ1152" s="0" t="s">
        <v>3356</v>
      </c>
      <c r="BA1152" s="0" t="s">
        <v>285</v>
      </c>
      <c r="BB1152" s="0" t="str">
        <f t="shared" si="17"/>
        <v>IHVNfcAbujaMunicipalAreaCouncil</v>
      </c>
    </row>
    <row r="1153">
      <c r="AV1153" s="0" t="s">
        <v>471</v>
      </c>
      <c r="AW1153" s="0" t="s">
        <v>286</v>
      </c>
      <c r="AX1153" s="0" t="s">
        <v>448</v>
      </c>
      <c r="AY1153" s="0" t="s">
        <v>3357</v>
      </c>
      <c r="AZ1153" s="0" t="s">
        <v>3358</v>
      </c>
      <c r="BA1153" s="0" t="s">
        <v>285</v>
      </c>
      <c r="BB1153" s="0" t="str">
        <f t="shared" si="17"/>
        <v>IHVNfcAbujaMunicipalAreaCouncil</v>
      </c>
    </row>
    <row r="1154">
      <c r="AV1154" s="0" t="s">
        <v>471</v>
      </c>
      <c r="AW1154" s="0" t="s">
        <v>286</v>
      </c>
      <c r="AX1154" s="0" t="s">
        <v>448</v>
      </c>
      <c r="AY1154" s="0" t="s">
        <v>3359</v>
      </c>
      <c r="AZ1154" s="0" t="s">
        <v>3360</v>
      </c>
      <c r="BA1154" s="0" t="s">
        <v>285</v>
      </c>
      <c r="BB1154" s="0" t="str">
        <f t="shared" si="17"/>
        <v>IHVNfcAbujaMunicipalAreaCouncil</v>
      </c>
    </row>
    <row r="1155">
      <c r="AV1155" s="0" t="s">
        <v>471</v>
      </c>
      <c r="AW1155" s="0" t="s">
        <v>286</v>
      </c>
      <c r="AX1155" s="0" t="s">
        <v>448</v>
      </c>
      <c r="AY1155" s="0" t="s">
        <v>3361</v>
      </c>
      <c r="AZ1155" s="0" t="s">
        <v>3362</v>
      </c>
      <c r="BA1155" s="0" t="s">
        <v>285</v>
      </c>
      <c r="BB1155" s="0" t="str">
        <f ref="BB1155:BB1218" t="shared" si="18">SUBSTITUTE(SUBSTITUTE(BA1155&amp;AX1155," ",""),"-","")</f>
        <v>IHVNfcAbujaMunicipalAreaCouncil</v>
      </c>
    </row>
    <row r="1156">
      <c r="AV1156" s="0" t="s">
        <v>471</v>
      </c>
      <c r="AW1156" s="0" t="s">
        <v>286</v>
      </c>
      <c r="AX1156" s="0" t="s">
        <v>448</v>
      </c>
      <c r="AY1156" s="0" t="s">
        <v>3363</v>
      </c>
      <c r="AZ1156" s="0" t="s">
        <v>3364</v>
      </c>
      <c r="BA1156" s="0" t="s">
        <v>285</v>
      </c>
      <c r="BB1156" s="0" t="str">
        <f t="shared" si="18"/>
        <v>IHVNfcAbujaMunicipalAreaCouncil</v>
      </c>
    </row>
    <row r="1157">
      <c r="AV1157" s="0" t="s">
        <v>471</v>
      </c>
      <c r="AW1157" s="0" t="s">
        <v>286</v>
      </c>
      <c r="AX1157" s="0" t="s">
        <v>448</v>
      </c>
      <c r="AY1157" s="0" t="s">
        <v>3365</v>
      </c>
      <c r="AZ1157" s="0" t="s">
        <v>3366</v>
      </c>
      <c r="BA1157" s="0" t="s">
        <v>285</v>
      </c>
      <c r="BB1157" s="0" t="str">
        <f t="shared" si="18"/>
        <v>IHVNfcAbujaMunicipalAreaCouncil</v>
      </c>
    </row>
    <row r="1158">
      <c r="AV1158" s="0" t="s">
        <v>471</v>
      </c>
      <c r="AW1158" s="0" t="s">
        <v>286</v>
      </c>
      <c r="AX1158" s="0" t="s">
        <v>448</v>
      </c>
      <c r="AY1158" s="0" t="s">
        <v>3367</v>
      </c>
      <c r="AZ1158" s="0" t="s">
        <v>3368</v>
      </c>
      <c r="BA1158" s="0" t="s">
        <v>285</v>
      </c>
      <c r="BB1158" s="0" t="str">
        <f t="shared" si="18"/>
        <v>IHVNfcAbujaMunicipalAreaCouncil</v>
      </c>
    </row>
    <row r="1159">
      <c r="AV1159" s="0" t="s">
        <v>471</v>
      </c>
      <c r="AW1159" s="0" t="s">
        <v>286</v>
      </c>
      <c r="AX1159" s="0" t="s">
        <v>448</v>
      </c>
      <c r="AY1159" s="0" t="s">
        <v>3369</v>
      </c>
      <c r="AZ1159" s="0" t="s">
        <v>3370</v>
      </c>
      <c r="BA1159" s="0" t="s">
        <v>285</v>
      </c>
      <c r="BB1159" s="0" t="str">
        <f t="shared" si="18"/>
        <v>IHVNfcAbujaMunicipalAreaCouncil</v>
      </c>
    </row>
    <row r="1160">
      <c r="AV1160" s="0" t="s">
        <v>471</v>
      </c>
      <c r="AW1160" s="0" t="s">
        <v>286</v>
      </c>
      <c r="AX1160" s="0" t="s">
        <v>448</v>
      </c>
      <c r="AY1160" s="0" t="s">
        <v>3371</v>
      </c>
      <c r="AZ1160" s="0" t="s">
        <v>3372</v>
      </c>
      <c r="BA1160" s="0" t="s">
        <v>285</v>
      </c>
      <c r="BB1160" s="0" t="str">
        <f t="shared" si="18"/>
        <v>IHVNfcAbujaMunicipalAreaCouncil</v>
      </c>
    </row>
    <row r="1161">
      <c r="AV1161" s="0" t="s">
        <v>471</v>
      </c>
      <c r="AW1161" s="0" t="s">
        <v>286</v>
      </c>
      <c r="AX1161" s="0" t="s">
        <v>448</v>
      </c>
      <c r="AY1161" s="0" t="s">
        <v>3373</v>
      </c>
      <c r="AZ1161" s="0" t="s">
        <v>3374</v>
      </c>
      <c r="BA1161" s="0" t="s">
        <v>285</v>
      </c>
      <c r="BB1161" s="0" t="str">
        <f t="shared" si="18"/>
        <v>IHVNfcAbujaMunicipalAreaCouncil</v>
      </c>
    </row>
    <row r="1162">
      <c r="AV1162" s="0" t="s">
        <v>471</v>
      </c>
      <c r="AW1162" s="0" t="s">
        <v>286</v>
      </c>
      <c r="AX1162" s="0" t="s">
        <v>448</v>
      </c>
      <c r="AY1162" s="0" t="s">
        <v>3375</v>
      </c>
      <c r="AZ1162" s="0" t="s">
        <v>3376</v>
      </c>
      <c r="BA1162" s="0" t="s">
        <v>285</v>
      </c>
      <c r="BB1162" s="0" t="str">
        <f t="shared" si="18"/>
        <v>IHVNfcAbujaMunicipalAreaCouncil</v>
      </c>
    </row>
    <row r="1163">
      <c r="AV1163" s="0" t="s">
        <v>471</v>
      </c>
      <c r="AW1163" s="0" t="s">
        <v>286</v>
      </c>
      <c r="AX1163" s="0" t="s">
        <v>448</v>
      </c>
      <c r="AY1163" s="0" t="s">
        <v>3377</v>
      </c>
      <c r="AZ1163" s="0" t="s">
        <v>3378</v>
      </c>
      <c r="BA1163" s="0" t="s">
        <v>285</v>
      </c>
      <c r="BB1163" s="0" t="str">
        <f t="shared" si="18"/>
        <v>IHVNfcAbujaMunicipalAreaCouncil</v>
      </c>
    </row>
    <row r="1164">
      <c r="AV1164" s="0" t="s">
        <v>471</v>
      </c>
      <c r="AW1164" s="0" t="s">
        <v>286</v>
      </c>
      <c r="AX1164" s="0" t="s">
        <v>448</v>
      </c>
      <c r="AY1164" s="0" t="s">
        <v>3379</v>
      </c>
      <c r="AZ1164" s="0" t="s">
        <v>3380</v>
      </c>
      <c r="BA1164" s="0" t="s">
        <v>285</v>
      </c>
      <c r="BB1164" s="0" t="str">
        <f t="shared" si="18"/>
        <v>IHVNfcAbujaMunicipalAreaCouncil</v>
      </c>
    </row>
    <row r="1165">
      <c r="AV1165" s="0" t="s">
        <v>471</v>
      </c>
      <c r="AW1165" s="0" t="s">
        <v>286</v>
      </c>
      <c r="AX1165" s="0" t="s">
        <v>448</v>
      </c>
      <c r="AY1165" s="0" t="s">
        <v>3381</v>
      </c>
      <c r="AZ1165" s="0" t="s">
        <v>3382</v>
      </c>
      <c r="BA1165" s="0" t="s">
        <v>285</v>
      </c>
      <c r="BB1165" s="0" t="str">
        <f t="shared" si="18"/>
        <v>IHVNfcAbujaMunicipalAreaCouncil</v>
      </c>
    </row>
    <row r="1166">
      <c r="AV1166" s="0" t="s">
        <v>471</v>
      </c>
      <c r="AW1166" s="0" t="s">
        <v>286</v>
      </c>
      <c r="AX1166" s="0" t="s">
        <v>448</v>
      </c>
      <c r="AY1166" s="0" t="s">
        <v>3383</v>
      </c>
      <c r="AZ1166" s="0" t="s">
        <v>3384</v>
      </c>
      <c r="BA1166" s="0" t="s">
        <v>285</v>
      </c>
      <c r="BB1166" s="0" t="str">
        <f t="shared" si="18"/>
        <v>IHVNfcAbujaMunicipalAreaCouncil</v>
      </c>
    </row>
    <row r="1167">
      <c r="AV1167" s="0" t="s">
        <v>471</v>
      </c>
      <c r="AW1167" s="0" t="s">
        <v>286</v>
      </c>
      <c r="AX1167" s="0" t="s">
        <v>448</v>
      </c>
      <c r="AY1167" s="0" t="s">
        <v>3385</v>
      </c>
      <c r="AZ1167" s="0" t="s">
        <v>3386</v>
      </c>
      <c r="BA1167" s="0" t="s">
        <v>285</v>
      </c>
      <c r="BB1167" s="0" t="str">
        <f t="shared" si="18"/>
        <v>IHVNfcAbujaMunicipalAreaCouncil</v>
      </c>
    </row>
    <row r="1168">
      <c r="AV1168" s="0" t="s">
        <v>471</v>
      </c>
      <c r="AW1168" s="0" t="s">
        <v>286</v>
      </c>
      <c r="AX1168" s="0" t="s">
        <v>448</v>
      </c>
      <c r="AY1168" s="0" t="s">
        <v>3387</v>
      </c>
      <c r="AZ1168" s="0" t="s">
        <v>3388</v>
      </c>
      <c r="BA1168" s="0" t="s">
        <v>285</v>
      </c>
      <c r="BB1168" s="0" t="str">
        <f t="shared" si="18"/>
        <v>IHVNfcAbujaMunicipalAreaCouncil</v>
      </c>
    </row>
    <row r="1169">
      <c r="AV1169" s="0" t="s">
        <v>471</v>
      </c>
      <c r="AW1169" s="0" t="s">
        <v>286</v>
      </c>
      <c r="AX1169" s="0" t="s">
        <v>448</v>
      </c>
      <c r="AY1169" s="0" t="s">
        <v>3389</v>
      </c>
      <c r="AZ1169" s="0" t="s">
        <v>3390</v>
      </c>
      <c r="BA1169" s="0" t="s">
        <v>285</v>
      </c>
      <c r="BB1169" s="0" t="str">
        <f t="shared" si="18"/>
        <v>IHVNfcAbujaMunicipalAreaCouncil</v>
      </c>
    </row>
    <row r="1170">
      <c r="AV1170" s="0" t="s">
        <v>471</v>
      </c>
      <c r="AW1170" s="0" t="s">
        <v>286</v>
      </c>
      <c r="AX1170" s="0" t="s">
        <v>448</v>
      </c>
      <c r="AY1170" s="0" t="s">
        <v>3391</v>
      </c>
      <c r="AZ1170" s="0" t="s">
        <v>3392</v>
      </c>
      <c r="BA1170" s="0" t="s">
        <v>285</v>
      </c>
      <c r="BB1170" s="0" t="str">
        <f t="shared" si="18"/>
        <v>IHVNfcAbujaMunicipalAreaCouncil</v>
      </c>
    </row>
    <row r="1171">
      <c r="AV1171" s="0" t="s">
        <v>471</v>
      </c>
      <c r="AW1171" s="0" t="s">
        <v>286</v>
      </c>
      <c r="AX1171" s="0" t="s">
        <v>448</v>
      </c>
      <c r="AY1171" s="0" t="s">
        <v>3393</v>
      </c>
      <c r="AZ1171" s="0" t="s">
        <v>3394</v>
      </c>
      <c r="BA1171" s="0" t="s">
        <v>285</v>
      </c>
      <c r="BB1171" s="0" t="str">
        <f t="shared" si="18"/>
        <v>IHVNfcAbujaMunicipalAreaCouncil</v>
      </c>
    </row>
    <row r="1172">
      <c r="AV1172" s="0" t="s">
        <v>471</v>
      </c>
      <c r="AW1172" s="0" t="s">
        <v>286</v>
      </c>
      <c r="AX1172" s="0" t="s">
        <v>448</v>
      </c>
      <c r="AY1172" s="0" t="s">
        <v>3395</v>
      </c>
      <c r="AZ1172" s="0" t="s">
        <v>3396</v>
      </c>
      <c r="BA1172" s="0" t="s">
        <v>285</v>
      </c>
      <c r="BB1172" s="0" t="str">
        <f t="shared" si="18"/>
        <v>IHVNfcAbujaMunicipalAreaCouncil</v>
      </c>
    </row>
    <row r="1173">
      <c r="AV1173" s="0" t="s">
        <v>471</v>
      </c>
      <c r="AW1173" s="0" t="s">
        <v>286</v>
      </c>
      <c r="AX1173" s="0" t="s">
        <v>448</v>
      </c>
      <c r="AY1173" s="0" t="s">
        <v>3397</v>
      </c>
      <c r="AZ1173" s="0" t="s">
        <v>3398</v>
      </c>
      <c r="BA1173" s="0" t="s">
        <v>285</v>
      </c>
      <c r="BB1173" s="0" t="str">
        <f t="shared" si="18"/>
        <v>IHVNfcAbujaMunicipalAreaCouncil</v>
      </c>
    </row>
    <row r="1174">
      <c r="AV1174" s="0" t="s">
        <v>471</v>
      </c>
      <c r="AW1174" s="0" t="s">
        <v>286</v>
      </c>
      <c r="AX1174" s="0" t="s">
        <v>448</v>
      </c>
      <c r="AY1174" s="0" t="s">
        <v>3399</v>
      </c>
      <c r="AZ1174" s="0" t="s">
        <v>3400</v>
      </c>
      <c r="BA1174" s="0" t="s">
        <v>285</v>
      </c>
      <c r="BB1174" s="0" t="str">
        <f t="shared" si="18"/>
        <v>IHVNfcAbujaMunicipalAreaCouncil</v>
      </c>
    </row>
    <row r="1175">
      <c r="AV1175" s="0" t="s">
        <v>471</v>
      </c>
      <c r="AW1175" s="0" t="s">
        <v>286</v>
      </c>
      <c r="AX1175" s="0" t="s">
        <v>448</v>
      </c>
      <c r="AY1175" s="0" t="s">
        <v>3401</v>
      </c>
      <c r="AZ1175" s="0" t="s">
        <v>3402</v>
      </c>
      <c r="BA1175" s="0" t="s">
        <v>285</v>
      </c>
      <c r="BB1175" s="0" t="str">
        <f t="shared" si="18"/>
        <v>IHVNfcAbujaMunicipalAreaCouncil</v>
      </c>
    </row>
    <row r="1176">
      <c r="AV1176" s="0" t="s">
        <v>471</v>
      </c>
      <c r="AW1176" s="0" t="s">
        <v>286</v>
      </c>
      <c r="AX1176" s="0" t="s">
        <v>448</v>
      </c>
      <c r="AY1176" s="0" t="s">
        <v>3403</v>
      </c>
      <c r="AZ1176" s="0" t="s">
        <v>3404</v>
      </c>
      <c r="BA1176" s="0" t="s">
        <v>285</v>
      </c>
      <c r="BB1176" s="0" t="str">
        <f t="shared" si="18"/>
        <v>IHVNfcAbujaMunicipalAreaCouncil</v>
      </c>
    </row>
    <row r="1177">
      <c r="AV1177" s="0" t="s">
        <v>471</v>
      </c>
      <c r="AW1177" s="0" t="s">
        <v>286</v>
      </c>
      <c r="AX1177" s="0" t="s">
        <v>448</v>
      </c>
      <c r="AY1177" s="0" t="s">
        <v>3405</v>
      </c>
      <c r="AZ1177" s="0" t="s">
        <v>3406</v>
      </c>
      <c r="BA1177" s="0" t="s">
        <v>285</v>
      </c>
      <c r="BB1177" s="0" t="str">
        <f t="shared" si="18"/>
        <v>IHVNfcAbujaMunicipalAreaCouncil</v>
      </c>
    </row>
    <row r="1178">
      <c r="AV1178" s="0" t="s">
        <v>471</v>
      </c>
      <c r="AW1178" s="0" t="s">
        <v>286</v>
      </c>
      <c r="AX1178" s="0" t="s">
        <v>448</v>
      </c>
      <c r="AY1178" s="0" t="s">
        <v>3407</v>
      </c>
      <c r="AZ1178" s="0" t="s">
        <v>3408</v>
      </c>
      <c r="BA1178" s="0" t="s">
        <v>285</v>
      </c>
      <c r="BB1178" s="0" t="str">
        <f t="shared" si="18"/>
        <v>IHVNfcAbujaMunicipalAreaCouncil</v>
      </c>
    </row>
    <row r="1179">
      <c r="AV1179" s="0" t="s">
        <v>471</v>
      </c>
      <c r="AW1179" s="0" t="s">
        <v>286</v>
      </c>
      <c r="AX1179" s="0" t="s">
        <v>448</v>
      </c>
      <c r="AY1179" s="0" t="s">
        <v>3409</v>
      </c>
      <c r="AZ1179" s="0" t="s">
        <v>3410</v>
      </c>
      <c r="BA1179" s="0" t="s">
        <v>285</v>
      </c>
      <c r="BB1179" s="0" t="str">
        <f t="shared" si="18"/>
        <v>IHVNfcAbujaMunicipalAreaCouncil</v>
      </c>
    </row>
    <row r="1180">
      <c r="AV1180" s="0" t="s">
        <v>471</v>
      </c>
      <c r="AW1180" s="0" t="s">
        <v>286</v>
      </c>
      <c r="AX1180" s="0" t="s">
        <v>448</v>
      </c>
      <c r="AY1180" s="0" t="s">
        <v>3411</v>
      </c>
      <c r="AZ1180" s="0" t="s">
        <v>3412</v>
      </c>
      <c r="BA1180" s="0" t="s">
        <v>285</v>
      </c>
      <c r="BB1180" s="0" t="str">
        <f t="shared" si="18"/>
        <v>IHVNfcAbujaMunicipalAreaCouncil</v>
      </c>
    </row>
    <row r="1181">
      <c r="AV1181" s="0" t="s">
        <v>471</v>
      </c>
      <c r="AW1181" s="0" t="s">
        <v>286</v>
      </c>
      <c r="AX1181" s="0" t="s">
        <v>448</v>
      </c>
      <c r="AY1181" s="0" t="s">
        <v>3413</v>
      </c>
      <c r="AZ1181" s="0" t="s">
        <v>3414</v>
      </c>
      <c r="BA1181" s="0" t="s">
        <v>285</v>
      </c>
      <c r="BB1181" s="0" t="str">
        <f t="shared" si="18"/>
        <v>IHVNfcAbujaMunicipalAreaCouncil</v>
      </c>
    </row>
    <row r="1182">
      <c r="AV1182" s="0" t="s">
        <v>471</v>
      </c>
      <c r="AW1182" s="0" t="s">
        <v>286</v>
      </c>
      <c r="AX1182" s="0" t="s">
        <v>448</v>
      </c>
      <c r="AY1182" s="0" t="s">
        <v>3415</v>
      </c>
      <c r="AZ1182" s="0" t="s">
        <v>3416</v>
      </c>
      <c r="BA1182" s="0" t="s">
        <v>285</v>
      </c>
      <c r="BB1182" s="0" t="str">
        <f t="shared" si="18"/>
        <v>IHVNfcAbujaMunicipalAreaCouncil</v>
      </c>
    </row>
    <row r="1183">
      <c r="AV1183" s="0" t="s">
        <v>471</v>
      </c>
      <c r="AW1183" s="0" t="s">
        <v>286</v>
      </c>
      <c r="AX1183" s="0" t="s">
        <v>448</v>
      </c>
      <c r="AY1183" s="0" t="s">
        <v>3417</v>
      </c>
      <c r="AZ1183" s="0" t="s">
        <v>3418</v>
      </c>
      <c r="BA1183" s="0" t="s">
        <v>285</v>
      </c>
      <c r="BB1183" s="0" t="str">
        <f t="shared" si="18"/>
        <v>IHVNfcAbujaMunicipalAreaCouncil</v>
      </c>
    </row>
    <row r="1184">
      <c r="AV1184" s="0" t="s">
        <v>471</v>
      </c>
      <c r="AW1184" s="0" t="s">
        <v>286</v>
      </c>
      <c r="AX1184" s="0" t="s">
        <v>448</v>
      </c>
      <c r="AY1184" s="0" t="s">
        <v>3419</v>
      </c>
      <c r="AZ1184" s="0" t="s">
        <v>3420</v>
      </c>
      <c r="BA1184" s="0" t="s">
        <v>285</v>
      </c>
      <c r="BB1184" s="0" t="str">
        <f t="shared" si="18"/>
        <v>IHVNfcAbujaMunicipalAreaCouncil</v>
      </c>
    </row>
    <row r="1185">
      <c r="AV1185" s="0" t="s">
        <v>471</v>
      </c>
      <c r="AW1185" s="0" t="s">
        <v>286</v>
      </c>
      <c r="AX1185" s="0" t="s">
        <v>448</v>
      </c>
      <c r="AY1185" s="0" t="s">
        <v>3421</v>
      </c>
      <c r="AZ1185" s="0" t="s">
        <v>3422</v>
      </c>
      <c r="BA1185" s="0" t="s">
        <v>285</v>
      </c>
      <c r="BB1185" s="0" t="str">
        <f t="shared" si="18"/>
        <v>IHVNfcAbujaMunicipalAreaCouncil</v>
      </c>
    </row>
    <row r="1186">
      <c r="AV1186" s="0" t="s">
        <v>471</v>
      </c>
      <c r="AW1186" s="0" t="s">
        <v>286</v>
      </c>
      <c r="AX1186" s="0" t="s">
        <v>448</v>
      </c>
      <c r="AY1186" s="0" t="s">
        <v>3423</v>
      </c>
      <c r="AZ1186" s="0" t="s">
        <v>3424</v>
      </c>
      <c r="BA1186" s="0" t="s">
        <v>285</v>
      </c>
      <c r="BB1186" s="0" t="str">
        <f t="shared" si="18"/>
        <v>IHVNfcAbujaMunicipalAreaCouncil</v>
      </c>
    </row>
    <row r="1187">
      <c r="AV1187" s="0" t="s">
        <v>471</v>
      </c>
      <c r="AW1187" s="0" t="s">
        <v>286</v>
      </c>
      <c r="AX1187" s="0" t="s">
        <v>448</v>
      </c>
      <c r="AY1187" s="0" t="s">
        <v>3425</v>
      </c>
      <c r="AZ1187" s="0" t="s">
        <v>3426</v>
      </c>
      <c r="BA1187" s="0" t="s">
        <v>285</v>
      </c>
      <c r="BB1187" s="0" t="str">
        <f t="shared" si="18"/>
        <v>IHVNfcAbujaMunicipalAreaCouncil</v>
      </c>
    </row>
    <row r="1188">
      <c r="AV1188" s="0" t="s">
        <v>471</v>
      </c>
      <c r="AW1188" s="0" t="s">
        <v>286</v>
      </c>
      <c r="AX1188" s="0" t="s">
        <v>448</v>
      </c>
      <c r="AY1188" s="0" t="s">
        <v>3427</v>
      </c>
      <c r="AZ1188" s="0" t="s">
        <v>3428</v>
      </c>
      <c r="BA1188" s="0" t="s">
        <v>285</v>
      </c>
      <c r="BB1188" s="0" t="str">
        <f t="shared" si="18"/>
        <v>IHVNfcAbujaMunicipalAreaCouncil</v>
      </c>
    </row>
    <row r="1189">
      <c r="AV1189" s="0" t="s">
        <v>471</v>
      </c>
      <c r="AW1189" s="0" t="s">
        <v>286</v>
      </c>
      <c r="AX1189" s="0" t="s">
        <v>448</v>
      </c>
      <c r="AY1189" s="0" t="s">
        <v>3429</v>
      </c>
      <c r="AZ1189" s="0" t="s">
        <v>3430</v>
      </c>
      <c r="BA1189" s="0" t="s">
        <v>285</v>
      </c>
      <c r="BB1189" s="0" t="str">
        <f t="shared" si="18"/>
        <v>IHVNfcAbujaMunicipalAreaCouncil</v>
      </c>
    </row>
    <row r="1190">
      <c r="AV1190" s="0" t="s">
        <v>471</v>
      </c>
      <c r="AW1190" s="0" t="s">
        <v>286</v>
      </c>
      <c r="AX1190" s="0" t="s">
        <v>448</v>
      </c>
      <c r="AY1190" s="0" t="s">
        <v>3431</v>
      </c>
      <c r="AZ1190" s="0" t="s">
        <v>3432</v>
      </c>
      <c r="BA1190" s="0" t="s">
        <v>285</v>
      </c>
      <c r="BB1190" s="0" t="str">
        <f t="shared" si="18"/>
        <v>IHVNfcAbujaMunicipalAreaCouncil</v>
      </c>
    </row>
    <row r="1191">
      <c r="AV1191" s="0" t="s">
        <v>471</v>
      </c>
      <c r="AW1191" s="0" t="s">
        <v>286</v>
      </c>
      <c r="AX1191" s="0" t="s">
        <v>448</v>
      </c>
      <c r="AY1191" s="0" t="s">
        <v>3433</v>
      </c>
      <c r="AZ1191" s="0" t="s">
        <v>3434</v>
      </c>
      <c r="BA1191" s="0" t="s">
        <v>285</v>
      </c>
      <c r="BB1191" s="0" t="str">
        <f t="shared" si="18"/>
        <v>IHVNfcAbujaMunicipalAreaCouncil</v>
      </c>
    </row>
    <row r="1192">
      <c r="AV1192" s="0" t="s">
        <v>471</v>
      </c>
      <c r="AW1192" s="0" t="s">
        <v>286</v>
      </c>
      <c r="AX1192" s="0" t="s">
        <v>448</v>
      </c>
      <c r="AY1192" s="0" t="s">
        <v>3435</v>
      </c>
      <c r="AZ1192" s="0" t="s">
        <v>3436</v>
      </c>
      <c r="BA1192" s="0" t="s">
        <v>285</v>
      </c>
      <c r="BB1192" s="0" t="str">
        <f t="shared" si="18"/>
        <v>IHVNfcAbujaMunicipalAreaCouncil</v>
      </c>
    </row>
    <row r="1193">
      <c r="AV1193" s="0" t="s">
        <v>471</v>
      </c>
      <c r="AW1193" s="0" t="s">
        <v>286</v>
      </c>
      <c r="AX1193" s="0" t="s">
        <v>448</v>
      </c>
      <c r="AY1193" s="0" t="s">
        <v>3437</v>
      </c>
      <c r="AZ1193" s="0" t="s">
        <v>3438</v>
      </c>
      <c r="BA1193" s="0" t="s">
        <v>285</v>
      </c>
      <c r="BB1193" s="0" t="str">
        <f t="shared" si="18"/>
        <v>IHVNfcAbujaMunicipalAreaCouncil</v>
      </c>
    </row>
    <row r="1194">
      <c r="AV1194" s="0" t="s">
        <v>471</v>
      </c>
      <c r="AW1194" s="0" t="s">
        <v>286</v>
      </c>
      <c r="AX1194" s="0" t="s">
        <v>448</v>
      </c>
      <c r="AY1194" s="0" t="s">
        <v>3439</v>
      </c>
      <c r="AZ1194" s="0" t="s">
        <v>3440</v>
      </c>
      <c r="BA1194" s="0" t="s">
        <v>285</v>
      </c>
      <c r="BB1194" s="0" t="str">
        <f t="shared" si="18"/>
        <v>IHVNfcAbujaMunicipalAreaCouncil</v>
      </c>
    </row>
    <row r="1195">
      <c r="AV1195" s="0" t="s">
        <v>471</v>
      </c>
      <c r="AW1195" s="0" t="s">
        <v>286</v>
      </c>
      <c r="AX1195" s="0" t="s">
        <v>448</v>
      </c>
      <c r="AY1195" s="0" t="s">
        <v>3441</v>
      </c>
      <c r="AZ1195" s="0" t="s">
        <v>3442</v>
      </c>
      <c r="BA1195" s="0" t="s">
        <v>285</v>
      </c>
      <c r="BB1195" s="0" t="str">
        <f t="shared" si="18"/>
        <v>IHVNfcAbujaMunicipalAreaCouncil</v>
      </c>
    </row>
    <row r="1196">
      <c r="AV1196" s="0" t="s">
        <v>471</v>
      </c>
      <c r="AW1196" s="0" t="s">
        <v>286</v>
      </c>
      <c r="AX1196" s="0" t="s">
        <v>448</v>
      </c>
      <c r="AY1196" s="0" t="s">
        <v>3443</v>
      </c>
      <c r="AZ1196" s="0" t="s">
        <v>3444</v>
      </c>
      <c r="BA1196" s="0" t="s">
        <v>285</v>
      </c>
      <c r="BB1196" s="0" t="str">
        <f t="shared" si="18"/>
        <v>IHVNfcAbujaMunicipalAreaCouncil</v>
      </c>
    </row>
    <row r="1197">
      <c r="AV1197" s="0" t="s">
        <v>471</v>
      </c>
      <c r="AW1197" s="0" t="s">
        <v>286</v>
      </c>
      <c r="AX1197" s="0" t="s">
        <v>448</v>
      </c>
      <c r="AY1197" s="0" t="s">
        <v>3445</v>
      </c>
      <c r="AZ1197" s="0" t="s">
        <v>3446</v>
      </c>
      <c r="BA1197" s="0" t="s">
        <v>285</v>
      </c>
      <c r="BB1197" s="0" t="str">
        <f t="shared" si="18"/>
        <v>IHVNfcAbujaMunicipalAreaCouncil</v>
      </c>
    </row>
    <row r="1198">
      <c r="AV1198" s="0" t="s">
        <v>471</v>
      </c>
      <c r="AW1198" s="0" t="s">
        <v>286</v>
      </c>
      <c r="AX1198" s="0" t="s">
        <v>448</v>
      </c>
      <c r="AY1198" s="0" t="s">
        <v>3447</v>
      </c>
      <c r="AZ1198" s="0" t="s">
        <v>3448</v>
      </c>
      <c r="BA1198" s="0" t="s">
        <v>285</v>
      </c>
      <c r="BB1198" s="0" t="str">
        <f t="shared" si="18"/>
        <v>IHVNfcAbujaMunicipalAreaCouncil</v>
      </c>
    </row>
    <row r="1199">
      <c r="AV1199" s="0" t="s">
        <v>471</v>
      </c>
      <c r="AW1199" s="0" t="s">
        <v>286</v>
      </c>
      <c r="AX1199" s="0" t="s">
        <v>448</v>
      </c>
      <c r="AY1199" s="0" t="s">
        <v>3449</v>
      </c>
      <c r="AZ1199" s="0" t="s">
        <v>3450</v>
      </c>
      <c r="BA1199" s="0" t="s">
        <v>285</v>
      </c>
      <c r="BB1199" s="0" t="str">
        <f t="shared" si="18"/>
        <v>IHVNfcAbujaMunicipalAreaCouncil</v>
      </c>
    </row>
    <row r="1200">
      <c r="AV1200" s="0" t="s">
        <v>471</v>
      </c>
      <c r="AW1200" s="0" t="s">
        <v>286</v>
      </c>
      <c r="AX1200" s="0" t="s">
        <v>448</v>
      </c>
      <c r="AY1200" s="0" t="s">
        <v>3451</v>
      </c>
      <c r="AZ1200" s="0" t="s">
        <v>3452</v>
      </c>
      <c r="BA1200" s="0" t="s">
        <v>285</v>
      </c>
      <c r="BB1200" s="0" t="str">
        <f t="shared" si="18"/>
        <v>IHVNfcAbujaMunicipalAreaCouncil</v>
      </c>
    </row>
    <row r="1201">
      <c r="AV1201" s="0" t="s">
        <v>471</v>
      </c>
      <c r="AW1201" s="0" t="s">
        <v>286</v>
      </c>
      <c r="AX1201" s="0" t="s">
        <v>448</v>
      </c>
      <c r="AY1201" s="0" t="s">
        <v>3453</v>
      </c>
      <c r="AZ1201" s="0" t="s">
        <v>3454</v>
      </c>
      <c r="BA1201" s="0" t="s">
        <v>285</v>
      </c>
      <c r="BB1201" s="0" t="str">
        <f t="shared" si="18"/>
        <v>IHVNfcAbujaMunicipalAreaCouncil</v>
      </c>
    </row>
    <row r="1202">
      <c r="AV1202" s="0" t="s">
        <v>471</v>
      </c>
      <c r="AW1202" s="0" t="s">
        <v>286</v>
      </c>
      <c r="AX1202" s="0" t="s">
        <v>448</v>
      </c>
      <c r="AY1202" s="0" t="s">
        <v>3455</v>
      </c>
      <c r="AZ1202" s="0" t="s">
        <v>3456</v>
      </c>
      <c r="BA1202" s="0" t="s">
        <v>285</v>
      </c>
      <c r="BB1202" s="0" t="str">
        <f t="shared" si="18"/>
        <v>IHVNfcAbujaMunicipalAreaCouncil</v>
      </c>
    </row>
    <row r="1203">
      <c r="AV1203" s="0" t="s">
        <v>471</v>
      </c>
      <c r="AW1203" s="0" t="s">
        <v>286</v>
      </c>
      <c r="AX1203" s="0" t="s">
        <v>448</v>
      </c>
      <c r="AY1203" s="0" t="s">
        <v>3457</v>
      </c>
      <c r="AZ1203" s="0" t="s">
        <v>3458</v>
      </c>
      <c r="BA1203" s="0" t="s">
        <v>285</v>
      </c>
      <c r="BB1203" s="0" t="str">
        <f t="shared" si="18"/>
        <v>IHVNfcAbujaMunicipalAreaCouncil</v>
      </c>
    </row>
    <row r="1204">
      <c r="AV1204" s="0" t="s">
        <v>471</v>
      </c>
      <c r="AW1204" s="0" t="s">
        <v>286</v>
      </c>
      <c r="AX1204" s="0" t="s">
        <v>448</v>
      </c>
      <c r="AY1204" s="0" t="s">
        <v>3459</v>
      </c>
      <c r="AZ1204" s="0" t="s">
        <v>3460</v>
      </c>
      <c r="BA1204" s="0" t="s">
        <v>285</v>
      </c>
      <c r="BB1204" s="0" t="str">
        <f t="shared" si="18"/>
        <v>IHVNfcAbujaMunicipalAreaCouncil</v>
      </c>
    </row>
    <row r="1205">
      <c r="AV1205" s="0" t="s">
        <v>471</v>
      </c>
      <c r="AW1205" s="0" t="s">
        <v>286</v>
      </c>
      <c r="AX1205" s="0" t="s">
        <v>448</v>
      </c>
      <c r="AY1205" s="0" t="s">
        <v>3461</v>
      </c>
      <c r="AZ1205" s="0" t="s">
        <v>3462</v>
      </c>
      <c r="BA1205" s="0" t="s">
        <v>285</v>
      </c>
      <c r="BB1205" s="0" t="str">
        <f t="shared" si="18"/>
        <v>IHVNfcAbujaMunicipalAreaCouncil</v>
      </c>
    </row>
    <row r="1206">
      <c r="AV1206" s="0" t="s">
        <v>471</v>
      </c>
      <c r="AW1206" s="0" t="s">
        <v>286</v>
      </c>
      <c r="AX1206" s="0" t="s">
        <v>448</v>
      </c>
      <c r="AY1206" s="0" t="s">
        <v>3463</v>
      </c>
      <c r="AZ1206" s="0" t="s">
        <v>3464</v>
      </c>
      <c r="BA1206" s="0" t="s">
        <v>285</v>
      </c>
      <c r="BB1206" s="0" t="str">
        <f t="shared" si="18"/>
        <v>IHVNfcAbujaMunicipalAreaCouncil</v>
      </c>
    </row>
    <row r="1207">
      <c r="AV1207" s="0" t="s">
        <v>471</v>
      </c>
      <c r="AW1207" s="0" t="s">
        <v>286</v>
      </c>
      <c r="AX1207" s="0" t="s">
        <v>448</v>
      </c>
      <c r="AY1207" s="0" t="s">
        <v>3465</v>
      </c>
      <c r="AZ1207" s="0" t="s">
        <v>3466</v>
      </c>
      <c r="BA1207" s="0" t="s">
        <v>285</v>
      </c>
      <c r="BB1207" s="0" t="str">
        <f t="shared" si="18"/>
        <v>IHVNfcAbujaMunicipalAreaCouncil</v>
      </c>
    </row>
    <row r="1208">
      <c r="AV1208" s="0" t="s">
        <v>471</v>
      </c>
      <c r="AW1208" s="0" t="s">
        <v>286</v>
      </c>
      <c r="AX1208" s="0" t="s">
        <v>448</v>
      </c>
      <c r="AY1208" s="0" t="s">
        <v>3467</v>
      </c>
      <c r="AZ1208" s="0" t="s">
        <v>3468</v>
      </c>
      <c r="BA1208" s="0" t="s">
        <v>285</v>
      </c>
      <c r="BB1208" s="0" t="str">
        <f t="shared" si="18"/>
        <v>IHVNfcAbujaMunicipalAreaCouncil</v>
      </c>
    </row>
    <row r="1209">
      <c r="AV1209" s="0" t="s">
        <v>471</v>
      </c>
      <c r="AW1209" s="0" t="s">
        <v>286</v>
      </c>
      <c r="AX1209" s="0" t="s">
        <v>448</v>
      </c>
      <c r="AY1209" s="0" t="s">
        <v>3469</v>
      </c>
      <c r="AZ1209" s="0" t="s">
        <v>3470</v>
      </c>
      <c r="BA1209" s="0" t="s">
        <v>285</v>
      </c>
      <c r="BB1209" s="0" t="str">
        <f t="shared" si="18"/>
        <v>IHVNfcAbujaMunicipalAreaCouncil</v>
      </c>
    </row>
    <row r="1210">
      <c r="AV1210" s="0" t="s">
        <v>471</v>
      </c>
      <c r="AW1210" s="0" t="s">
        <v>286</v>
      </c>
      <c r="AX1210" s="0" t="s">
        <v>448</v>
      </c>
      <c r="AY1210" s="0" t="s">
        <v>3471</v>
      </c>
      <c r="AZ1210" s="0" t="s">
        <v>3472</v>
      </c>
      <c r="BA1210" s="0" t="s">
        <v>285</v>
      </c>
      <c r="BB1210" s="0" t="str">
        <f t="shared" si="18"/>
        <v>IHVNfcAbujaMunicipalAreaCouncil</v>
      </c>
    </row>
    <row r="1211">
      <c r="AV1211" s="0" t="s">
        <v>471</v>
      </c>
      <c r="AW1211" s="0" t="s">
        <v>286</v>
      </c>
      <c r="AX1211" s="0" t="s">
        <v>448</v>
      </c>
      <c r="AY1211" s="0" t="s">
        <v>3473</v>
      </c>
      <c r="AZ1211" s="0" t="s">
        <v>3474</v>
      </c>
      <c r="BA1211" s="0" t="s">
        <v>285</v>
      </c>
      <c r="BB1211" s="0" t="str">
        <f t="shared" si="18"/>
        <v>IHVNfcAbujaMunicipalAreaCouncil</v>
      </c>
    </row>
    <row r="1212">
      <c r="AV1212" s="0" t="s">
        <v>471</v>
      </c>
      <c r="AW1212" s="0" t="s">
        <v>286</v>
      </c>
      <c r="AX1212" s="0" t="s">
        <v>448</v>
      </c>
      <c r="AY1212" s="0" t="s">
        <v>3475</v>
      </c>
      <c r="AZ1212" s="0" t="s">
        <v>3476</v>
      </c>
      <c r="BA1212" s="0" t="s">
        <v>285</v>
      </c>
      <c r="BB1212" s="0" t="str">
        <f t="shared" si="18"/>
        <v>IHVNfcAbujaMunicipalAreaCouncil</v>
      </c>
    </row>
    <row r="1213">
      <c r="AV1213" s="0" t="s">
        <v>471</v>
      </c>
      <c r="AW1213" s="0" t="s">
        <v>286</v>
      </c>
      <c r="AX1213" s="0" t="s">
        <v>448</v>
      </c>
      <c r="AY1213" s="0" t="s">
        <v>3477</v>
      </c>
      <c r="AZ1213" s="0" t="s">
        <v>3478</v>
      </c>
      <c r="BA1213" s="0" t="s">
        <v>285</v>
      </c>
      <c r="BB1213" s="0" t="str">
        <f t="shared" si="18"/>
        <v>IHVNfcAbujaMunicipalAreaCouncil</v>
      </c>
    </row>
    <row r="1214">
      <c r="AV1214" s="0" t="s">
        <v>471</v>
      </c>
      <c r="AW1214" s="0" t="s">
        <v>286</v>
      </c>
      <c r="AX1214" s="0" t="s">
        <v>448</v>
      </c>
      <c r="AY1214" s="0" t="s">
        <v>3479</v>
      </c>
      <c r="AZ1214" s="0" t="s">
        <v>3480</v>
      </c>
      <c r="BA1214" s="0" t="s">
        <v>285</v>
      </c>
      <c r="BB1214" s="0" t="str">
        <f t="shared" si="18"/>
        <v>IHVNfcAbujaMunicipalAreaCouncil</v>
      </c>
    </row>
    <row r="1215">
      <c r="AV1215" s="0" t="s">
        <v>471</v>
      </c>
      <c r="AW1215" s="0" t="s">
        <v>286</v>
      </c>
      <c r="AX1215" s="0" t="s">
        <v>448</v>
      </c>
      <c r="AY1215" s="0" t="s">
        <v>3481</v>
      </c>
      <c r="AZ1215" s="0" t="s">
        <v>3482</v>
      </c>
      <c r="BA1215" s="0" t="s">
        <v>285</v>
      </c>
      <c r="BB1215" s="0" t="str">
        <f t="shared" si="18"/>
        <v>IHVNfcAbujaMunicipalAreaCouncil</v>
      </c>
    </row>
    <row r="1216">
      <c r="AV1216" s="0" t="s">
        <v>471</v>
      </c>
      <c r="AW1216" s="0" t="s">
        <v>286</v>
      </c>
      <c r="AX1216" s="0" t="s">
        <v>448</v>
      </c>
      <c r="AY1216" s="0" t="s">
        <v>3483</v>
      </c>
      <c r="AZ1216" s="0" t="s">
        <v>3484</v>
      </c>
      <c r="BA1216" s="0" t="s">
        <v>285</v>
      </c>
      <c r="BB1216" s="0" t="str">
        <f t="shared" si="18"/>
        <v>IHVNfcAbujaMunicipalAreaCouncil</v>
      </c>
    </row>
    <row r="1217">
      <c r="AV1217" s="0" t="s">
        <v>471</v>
      </c>
      <c r="AW1217" s="0" t="s">
        <v>286</v>
      </c>
      <c r="AX1217" s="0" t="s">
        <v>448</v>
      </c>
      <c r="AY1217" s="0" t="s">
        <v>3485</v>
      </c>
      <c r="AZ1217" s="0" t="s">
        <v>3486</v>
      </c>
      <c r="BA1217" s="0" t="s">
        <v>285</v>
      </c>
      <c r="BB1217" s="0" t="str">
        <f t="shared" si="18"/>
        <v>IHVNfcAbujaMunicipalAreaCouncil</v>
      </c>
    </row>
    <row r="1218">
      <c r="AV1218" s="0" t="s">
        <v>471</v>
      </c>
      <c r="AW1218" s="0" t="s">
        <v>286</v>
      </c>
      <c r="AX1218" s="0" t="s">
        <v>448</v>
      </c>
      <c r="AY1218" s="0" t="s">
        <v>3487</v>
      </c>
      <c r="AZ1218" s="0" t="s">
        <v>3488</v>
      </c>
      <c r="BA1218" s="0" t="s">
        <v>285</v>
      </c>
      <c r="BB1218" s="0" t="str">
        <f t="shared" si="18"/>
        <v>IHVNfcAbujaMunicipalAreaCouncil</v>
      </c>
    </row>
    <row r="1219">
      <c r="AV1219" s="0" t="s">
        <v>471</v>
      </c>
      <c r="AW1219" s="0" t="s">
        <v>286</v>
      </c>
      <c r="AX1219" s="0" t="s">
        <v>448</v>
      </c>
      <c r="AY1219" s="0" t="s">
        <v>3489</v>
      </c>
      <c r="AZ1219" s="0" t="s">
        <v>3490</v>
      </c>
      <c r="BA1219" s="0" t="s">
        <v>285</v>
      </c>
      <c r="BB1219" s="0" t="str">
        <f ref="BB1219:BB1282" t="shared" si="19">SUBSTITUTE(SUBSTITUTE(BA1219&amp;AX1219," ",""),"-","")</f>
        <v>IHVNfcAbujaMunicipalAreaCouncil</v>
      </c>
    </row>
    <row r="1220">
      <c r="AV1220" s="0" t="s">
        <v>471</v>
      </c>
      <c r="AW1220" s="0" t="s">
        <v>286</v>
      </c>
      <c r="AX1220" s="0" t="s">
        <v>448</v>
      </c>
      <c r="AY1220" s="0" t="s">
        <v>3491</v>
      </c>
      <c r="AZ1220" s="0" t="s">
        <v>3492</v>
      </c>
      <c r="BA1220" s="0" t="s">
        <v>285</v>
      </c>
      <c r="BB1220" s="0" t="str">
        <f t="shared" si="19"/>
        <v>IHVNfcAbujaMunicipalAreaCouncil</v>
      </c>
    </row>
    <row r="1221">
      <c r="AV1221" s="0" t="s">
        <v>471</v>
      </c>
      <c r="AW1221" s="0" t="s">
        <v>286</v>
      </c>
      <c r="AX1221" s="0" t="s">
        <v>448</v>
      </c>
      <c r="AY1221" s="0" t="s">
        <v>3493</v>
      </c>
      <c r="AZ1221" s="0" t="s">
        <v>3494</v>
      </c>
      <c r="BA1221" s="0" t="s">
        <v>285</v>
      </c>
      <c r="BB1221" s="0" t="str">
        <f t="shared" si="19"/>
        <v>IHVNfcAbujaMunicipalAreaCouncil</v>
      </c>
    </row>
    <row r="1222">
      <c r="AV1222" s="0" t="s">
        <v>471</v>
      </c>
      <c r="AW1222" s="0" t="s">
        <v>286</v>
      </c>
      <c r="AX1222" s="0" t="s">
        <v>448</v>
      </c>
      <c r="AY1222" s="0" t="s">
        <v>3495</v>
      </c>
      <c r="AZ1222" s="0" t="s">
        <v>3496</v>
      </c>
      <c r="BA1222" s="0" t="s">
        <v>285</v>
      </c>
      <c r="BB1222" s="0" t="str">
        <f t="shared" si="19"/>
        <v>IHVNfcAbujaMunicipalAreaCouncil</v>
      </c>
    </row>
    <row r="1223">
      <c r="AV1223" s="0" t="s">
        <v>471</v>
      </c>
      <c r="AW1223" s="0" t="s">
        <v>286</v>
      </c>
      <c r="AX1223" s="0" t="s">
        <v>448</v>
      </c>
      <c r="AY1223" s="0" t="s">
        <v>3497</v>
      </c>
      <c r="AZ1223" s="0" t="s">
        <v>3498</v>
      </c>
      <c r="BA1223" s="0" t="s">
        <v>285</v>
      </c>
      <c r="BB1223" s="0" t="str">
        <f t="shared" si="19"/>
        <v>IHVNfcAbujaMunicipalAreaCouncil</v>
      </c>
    </row>
    <row r="1224">
      <c r="AV1224" s="0" t="s">
        <v>471</v>
      </c>
      <c r="AW1224" s="0" t="s">
        <v>286</v>
      </c>
      <c r="AX1224" s="0" t="s">
        <v>448</v>
      </c>
      <c r="AY1224" s="0" t="s">
        <v>3499</v>
      </c>
      <c r="AZ1224" s="0" t="s">
        <v>3500</v>
      </c>
      <c r="BA1224" s="0" t="s">
        <v>285</v>
      </c>
      <c r="BB1224" s="0" t="str">
        <f t="shared" si="19"/>
        <v>IHVNfcAbujaMunicipalAreaCouncil</v>
      </c>
    </row>
    <row r="1225">
      <c r="AV1225" s="0" t="s">
        <v>471</v>
      </c>
      <c r="AW1225" s="0" t="s">
        <v>286</v>
      </c>
      <c r="AX1225" s="0" t="s">
        <v>448</v>
      </c>
      <c r="AY1225" s="0" t="s">
        <v>3501</v>
      </c>
      <c r="AZ1225" s="0" t="s">
        <v>3502</v>
      </c>
      <c r="BA1225" s="0" t="s">
        <v>285</v>
      </c>
      <c r="BB1225" s="0" t="str">
        <f t="shared" si="19"/>
        <v>IHVNfcAbujaMunicipalAreaCouncil</v>
      </c>
    </row>
    <row r="1226">
      <c r="AV1226" s="0" t="s">
        <v>471</v>
      </c>
      <c r="AW1226" s="0" t="s">
        <v>286</v>
      </c>
      <c r="AX1226" s="0" t="s">
        <v>491</v>
      </c>
      <c r="AY1226" s="0" t="s">
        <v>3503</v>
      </c>
      <c r="AZ1226" s="0" t="s">
        <v>3504</v>
      </c>
      <c r="BA1226" s="0" t="s">
        <v>285</v>
      </c>
      <c r="BB1226" s="0" t="str">
        <f t="shared" si="19"/>
        <v>IHVNfcBwari</v>
      </c>
    </row>
    <row r="1227">
      <c r="AV1227" s="0" t="s">
        <v>471</v>
      </c>
      <c r="AW1227" s="0" t="s">
        <v>286</v>
      </c>
      <c r="AX1227" s="0" t="s">
        <v>491</v>
      </c>
      <c r="AY1227" s="0" t="s">
        <v>3505</v>
      </c>
      <c r="AZ1227" s="0" t="s">
        <v>3506</v>
      </c>
      <c r="BA1227" s="0" t="s">
        <v>285</v>
      </c>
      <c r="BB1227" s="0" t="str">
        <f t="shared" si="19"/>
        <v>IHVNfcBwari</v>
      </c>
    </row>
    <row r="1228">
      <c r="AV1228" s="0" t="s">
        <v>471</v>
      </c>
      <c r="AW1228" s="0" t="s">
        <v>286</v>
      </c>
      <c r="AX1228" s="0" t="s">
        <v>491</v>
      </c>
      <c r="AY1228" s="0" t="s">
        <v>3507</v>
      </c>
      <c r="AZ1228" s="0" t="s">
        <v>3508</v>
      </c>
      <c r="BA1228" s="0" t="s">
        <v>285</v>
      </c>
      <c r="BB1228" s="0" t="str">
        <f t="shared" si="19"/>
        <v>IHVNfcBwari</v>
      </c>
    </row>
    <row r="1229">
      <c r="AV1229" s="0" t="s">
        <v>471</v>
      </c>
      <c r="AW1229" s="0" t="s">
        <v>286</v>
      </c>
      <c r="AX1229" s="0" t="s">
        <v>491</v>
      </c>
      <c r="AY1229" s="0" t="s">
        <v>3509</v>
      </c>
      <c r="AZ1229" s="0" t="s">
        <v>3510</v>
      </c>
      <c r="BA1229" s="0" t="s">
        <v>285</v>
      </c>
      <c r="BB1229" s="0" t="str">
        <f t="shared" si="19"/>
        <v>IHVNfcBwari</v>
      </c>
    </row>
    <row r="1230">
      <c r="AV1230" s="0" t="s">
        <v>471</v>
      </c>
      <c r="AW1230" s="0" t="s">
        <v>286</v>
      </c>
      <c r="AX1230" s="0" t="s">
        <v>491</v>
      </c>
      <c r="AY1230" s="0" t="s">
        <v>3511</v>
      </c>
      <c r="AZ1230" s="0" t="s">
        <v>3512</v>
      </c>
      <c r="BA1230" s="0" t="s">
        <v>285</v>
      </c>
      <c r="BB1230" s="0" t="str">
        <f t="shared" si="19"/>
        <v>IHVNfcBwari</v>
      </c>
    </row>
    <row r="1231">
      <c r="AV1231" s="0" t="s">
        <v>471</v>
      </c>
      <c r="AW1231" s="0" t="s">
        <v>286</v>
      </c>
      <c r="AX1231" s="0" t="s">
        <v>491</v>
      </c>
      <c r="AY1231" s="0" t="s">
        <v>3513</v>
      </c>
      <c r="AZ1231" s="0" t="s">
        <v>3514</v>
      </c>
      <c r="BA1231" s="0" t="s">
        <v>285</v>
      </c>
      <c r="BB1231" s="0" t="str">
        <f t="shared" si="19"/>
        <v>IHVNfcBwari</v>
      </c>
    </row>
    <row r="1232">
      <c r="AV1232" s="0" t="s">
        <v>471</v>
      </c>
      <c r="AW1232" s="0" t="s">
        <v>286</v>
      </c>
      <c r="AX1232" s="0" t="s">
        <v>491</v>
      </c>
      <c r="AY1232" s="0" t="s">
        <v>3515</v>
      </c>
      <c r="AZ1232" s="0" t="s">
        <v>3516</v>
      </c>
      <c r="BA1232" s="0" t="s">
        <v>285</v>
      </c>
      <c r="BB1232" s="0" t="str">
        <f t="shared" si="19"/>
        <v>IHVNfcBwari</v>
      </c>
    </row>
    <row r="1233">
      <c r="AV1233" s="0" t="s">
        <v>471</v>
      </c>
      <c r="AW1233" s="0" t="s">
        <v>286</v>
      </c>
      <c r="AX1233" s="0" t="s">
        <v>491</v>
      </c>
      <c r="AY1233" s="0" t="s">
        <v>3517</v>
      </c>
      <c r="AZ1233" s="0" t="s">
        <v>3518</v>
      </c>
      <c r="BA1233" s="0" t="s">
        <v>285</v>
      </c>
      <c r="BB1233" s="0" t="str">
        <f t="shared" si="19"/>
        <v>IHVNfcBwari</v>
      </c>
    </row>
    <row r="1234">
      <c r="AV1234" s="0" t="s">
        <v>471</v>
      </c>
      <c r="AW1234" s="0" t="s">
        <v>286</v>
      </c>
      <c r="AX1234" s="0" t="s">
        <v>491</v>
      </c>
      <c r="AY1234" s="0" t="s">
        <v>3519</v>
      </c>
      <c r="AZ1234" s="0" t="s">
        <v>3520</v>
      </c>
      <c r="BA1234" s="0" t="s">
        <v>285</v>
      </c>
      <c r="BB1234" s="0" t="str">
        <f t="shared" si="19"/>
        <v>IHVNfcBwari</v>
      </c>
    </row>
    <row r="1235">
      <c r="AV1235" s="0" t="s">
        <v>471</v>
      </c>
      <c r="AW1235" s="0" t="s">
        <v>286</v>
      </c>
      <c r="AX1235" s="0" t="s">
        <v>491</v>
      </c>
      <c r="AY1235" s="0" t="s">
        <v>3521</v>
      </c>
      <c r="AZ1235" s="0" t="s">
        <v>3522</v>
      </c>
      <c r="BA1235" s="0" t="s">
        <v>285</v>
      </c>
      <c r="BB1235" s="0" t="str">
        <f t="shared" si="19"/>
        <v>IHVNfcBwari</v>
      </c>
    </row>
    <row r="1236">
      <c r="AV1236" s="0" t="s">
        <v>471</v>
      </c>
      <c r="AW1236" s="0" t="s">
        <v>286</v>
      </c>
      <c r="AX1236" s="0" t="s">
        <v>491</v>
      </c>
      <c r="AY1236" s="0" t="s">
        <v>3523</v>
      </c>
      <c r="AZ1236" s="0" t="s">
        <v>3524</v>
      </c>
      <c r="BA1236" s="0" t="s">
        <v>285</v>
      </c>
      <c r="BB1236" s="0" t="str">
        <f t="shared" si="19"/>
        <v>IHVNfcBwari</v>
      </c>
    </row>
    <row r="1237">
      <c r="AV1237" s="0" t="s">
        <v>471</v>
      </c>
      <c r="AW1237" s="0" t="s">
        <v>286</v>
      </c>
      <c r="AX1237" s="0" t="s">
        <v>491</v>
      </c>
      <c r="AY1237" s="0" t="s">
        <v>289</v>
      </c>
      <c r="AZ1237" s="0" t="s">
        <v>293</v>
      </c>
      <c r="BA1237" s="0" t="s">
        <v>285</v>
      </c>
      <c r="BB1237" s="0" t="str">
        <f t="shared" si="19"/>
        <v>IHVNfcBwari</v>
      </c>
    </row>
    <row r="1238">
      <c r="AV1238" s="0" t="s">
        <v>471</v>
      </c>
      <c r="AW1238" s="0" t="s">
        <v>286</v>
      </c>
      <c r="AX1238" s="0" t="s">
        <v>491</v>
      </c>
      <c r="AY1238" s="0" t="s">
        <v>3525</v>
      </c>
      <c r="AZ1238" s="0" t="s">
        <v>3526</v>
      </c>
      <c r="BA1238" s="0" t="s">
        <v>285</v>
      </c>
      <c r="BB1238" s="0" t="str">
        <f t="shared" si="19"/>
        <v>IHVNfcBwari</v>
      </c>
    </row>
    <row r="1239">
      <c r="AV1239" s="0" t="s">
        <v>471</v>
      </c>
      <c r="AW1239" s="0" t="s">
        <v>286</v>
      </c>
      <c r="AX1239" s="0" t="s">
        <v>491</v>
      </c>
      <c r="AY1239" s="0" t="s">
        <v>3527</v>
      </c>
      <c r="AZ1239" s="0" t="s">
        <v>3528</v>
      </c>
      <c r="BA1239" s="0" t="s">
        <v>285</v>
      </c>
      <c r="BB1239" s="0" t="str">
        <f t="shared" si="19"/>
        <v>IHVNfcBwari</v>
      </c>
    </row>
    <row r="1240">
      <c r="AV1240" s="0" t="s">
        <v>471</v>
      </c>
      <c r="AW1240" s="0" t="s">
        <v>286</v>
      </c>
      <c r="AX1240" s="0" t="s">
        <v>491</v>
      </c>
      <c r="AY1240" s="0" t="s">
        <v>3529</v>
      </c>
      <c r="AZ1240" s="0" t="s">
        <v>3530</v>
      </c>
      <c r="BA1240" s="0" t="s">
        <v>285</v>
      </c>
      <c r="BB1240" s="0" t="str">
        <f t="shared" si="19"/>
        <v>IHVNfcBwari</v>
      </c>
    </row>
    <row r="1241">
      <c r="AV1241" s="0" t="s">
        <v>471</v>
      </c>
      <c r="AW1241" s="0" t="s">
        <v>286</v>
      </c>
      <c r="AX1241" s="0" t="s">
        <v>491</v>
      </c>
      <c r="AY1241" s="0" t="s">
        <v>3531</v>
      </c>
      <c r="AZ1241" s="0" t="s">
        <v>3532</v>
      </c>
      <c r="BA1241" s="0" t="s">
        <v>285</v>
      </c>
      <c r="BB1241" s="0" t="str">
        <f t="shared" si="19"/>
        <v>IHVNfcBwari</v>
      </c>
    </row>
    <row r="1242">
      <c r="AV1242" s="0" t="s">
        <v>471</v>
      </c>
      <c r="AW1242" s="0" t="s">
        <v>286</v>
      </c>
      <c r="AX1242" s="0" t="s">
        <v>491</v>
      </c>
      <c r="AY1242" s="0" t="s">
        <v>3533</v>
      </c>
      <c r="AZ1242" s="0" t="s">
        <v>3534</v>
      </c>
      <c r="BA1242" s="0" t="s">
        <v>285</v>
      </c>
      <c r="BB1242" s="0" t="str">
        <f t="shared" si="19"/>
        <v>IHVNfcBwari</v>
      </c>
    </row>
    <row r="1243">
      <c r="AV1243" s="0" t="s">
        <v>471</v>
      </c>
      <c r="AW1243" s="0" t="s">
        <v>286</v>
      </c>
      <c r="AX1243" s="0" t="s">
        <v>491</v>
      </c>
      <c r="AY1243" s="0" t="s">
        <v>3535</v>
      </c>
      <c r="AZ1243" s="0" t="s">
        <v>3536</v>
      </c>
      <c r="BA1243" s="0" t="s">
        <v>285</v>
      </c>
      <c r="BB1243" s="0" t="str">
        <f t="shared" si="19"/>
        <v>IHVNfcBwari</v>
      </c>
    </row>
    <row r="1244">
      <c r="AV1244" s="0" t="s">
        <v>471</v>
      </c>
      <c r="AW1244" s="0" t="s">
        <v>286</v>
      </c>
      <c r="AX1244" s="0" t="s">
        <v>491</v>
      </c>
      <c r="AY1244" s="0" t="s">
        <v>3537</v>
      </c>
      <c r="AZ1244" s="0" t="s">
        <v>3538</v>
      </c>
      <c r="BA1244" s="0" t="s">
        <v>285</v>
      </c>
      <c r="BB1244" s="0" t="str">
        <f t="shared" si="19"/>
        <v>IHVNfcBwari</v>
      </c>
    </row>
    <row r="1245">
      <c r="AV1245" s="0" t="s">
        <v>471</v>
      </c>
      <c r="AW1245" s="0" t="s">
        <v>286</v>
      </c>
      <c r="AX1245" s="0" t="s">
        <v>491</v>
      </c>
      <c r="AY1245" s="0" t="s">
        <v>3539</v>
      </c>
      <c r="AZ1245" s="0" t="s">
        <v>3540</v>
      </c>
      <c r="BA1245" s="0" t="s">
        <v>285</v>
      </c>
      <c r="BB1245" s="0" t="str">
        <f t="shared" si="19"/>
        <v>IHVNfcBwari</v>
      </c>
    </row>
    <row r="1246">
      <c r="AV1246" s="0" t="s">
        <v>471</v>
      </c>
      <c r="AW1246" s="0" t="s">
        <v>286</v>
      </c>
      <c r="AX1246" s="0" t="s">
        <v>491</v>
      </c>
      <c r="AY1246" s="0" t="s">
        <v>3541</v>
      </c>
      <c r="AZ1246" s="0" t="s">
        <v>3542</v>
      </c>
      <c r="BA1246" s="0" t="s">
        <v>285</v>
      </c>
      <c r="BB1246" s="0" t="str">
        <f t="shared" si="19"/>
        <v>IHVNfcBwari</v>
      </c>
    </row>
    <row r="1247">
      <c r="AV1247" s="0" t="s">
        <v>471</v>
      </c>
      <c r="AW1247" s="0" t="s">
        <v>286</v>
      </c>
      <c r="AX1247" s="0" t="s">
        <v>491</v>
      </c>
      <c r="AY1247" s="0" t="s">
        <v>3543</v>
      </c>
      <c r="AZ1247" s="0" t="s">
        <v>3544</v>
      </c>
      <c r="BA1247" s="0" t="s">
        <v>285</v>
      </c>
      <c r="BB1247" s="0" t="str">
        <f t="shared" si="19"/>
        <v>IHVNfcBwari</v>
      </c>
    </row>
    <row r="1248">
      <c r="AV1248" s="0" t="s">
        <v>471</v>
      </c>
      <c r="AW1248" s="0" t="s">
        <v>286</v>
      </c>
      <c r="AX1248" s="0" t="s">
        <v>491</v>
      </c>
      <c r="AY1248" s="0" t="s">
        <v>3545</v>
      </c>
      <c r="AZ1248" s="0" t="s">
        <v>3546</v>
      </c>
      <c r="BA1248" s="0" t="s">
        <v>285</v>
      </c>
      <c r="BB1248" s="0" t="str">
        <f t="shared" si="19"/>
        <v>IHVNfcBwari</v>
      </c>
    </row>
    <row r="1249">
      <c r="AV1249" s="0" t="s">
        <v>471</v>
      </c>
      <c r="AW1249" s="0" t="s">
        <v>286</v>
      </c>
      <c r="AX1249" s="0" t="s">
        <v>491</v>
      </c>
      <c r="AY1249" s="0" t="s">
        <v>3547</v>
      </c>
      <c r="AZ1249" s="0" t="s">
        <v>3548</v>
      </c>
      <c r="BA1249" s="0" t="s">
        <v>285</v>
      </c>
      <c r="BB1249" s="0" t="str">
        <f t="shared" si="19"/>
        <v>IHVNfcBwari</v>
      </c>
    </row>
    <row r="1250">
      <c r="AV1250" s="0" t="s">
        <v>471</v>
      </c>
      <c r="AW1250" s="0" t="s">
        <v>286</v>
      </c>
      <c r="AX1250" s="0" t="s">
        <v>491</v>
      </c>
      <c r="AY1250" s="0" t="s">
        <v>3549</v>
      </c>
      <c r="AZ1250" s="0" t="s">
        <v>3550</v>
      </c>
      <c r="BA1250" s="0" t="s">
        <v>285</v>
      </c>
      <c r="BB1250" s="0" t="str">
        <f t="shared" si="19"/>
        <v>IHVNfcBwari</v>
      </c>
    </row>
    <row r="1251">
      <c r="AV1251" s="0" t="s">
        <v>471</v>
      </c>
      <c r="AW1251" s="0" t="s">
        <v>286</v>
      </c>
      <c r="AX1251" s="0" t="s">
        <v>491</v>
      </c>
      <c r="AY1251" s="0" t="s">
        <v>3551</v>
      </c>
      <c r="AZ1251" s="0" t="s">
        <v>3552</v>
      </c>
      <c r="BA1251" s="0" t="s">
        <v>285</v>
      </c>
      <c r="BB1251" s="0" t="str">
        <f t="shared" si="19"/>
        <v>IHVNfcBwari</v>
      </c>
    </row>
    <row r="1252">
      <c r="AV1252" s="0" t="s">
        <v>471</v>
      </c>
      <c r="AW1252" s="0" t="s">
        <v>286</v>
      </c>
      <c r="AX1252" s="0" t="s">
        <v>491</v>
      </c>
      <c r="AY1252" s="0" t="s">
        <v>3553</v>
      </c>
      <c r="AZ1252" s="0" t="s">
        <v>3554</v>
      </c>
      <c r="BA1252" s="0" t="s">
        <v>285</v>
      </c>
      <c r="BB1252" s="0" t="str">
        <f t="shared" si="19"/>
        <v>IHVNfcBwari</v>
      </c>
    </row>
    <row r="1253">
      <c r="AV1253" s="0" t="s">
        <v>471</v>
      </c>
      <c r="AW1253" s="0" t="s">
        <v>286</v>
      </c>
      <c r="AX1253" s="0" t="s">
        <v>491</v>
      </c>
      <c r="AY1253" s="0" t="s">
        <v>3555</v>
      </c>
      <c r="AZ1253" s="0" t="s">
        <v>3556</v>
      </c>
      <c r="BA1253" s="0" t="s">
        <v>285</v>
      </c>
      <c r="BB1253" s="0" t="str">
        <f t="shared" si="19"/>
        <v>IHVNfcBwari</v>
      </c>
    </row>
    <row r="1254">
      <c r="AV1254" s="0" t="s">
        <v>471</v>
      </c>
      <c r="AW1254" s="0" t="s">
        <v>286</v>
      </c>
      <c r="AX1254" s="0" t="s">
        <v>491</v>
      </c>
      <c r="AY1254" s="0" t="s">
        <v>3557</v>
      </c>
      <c r="AZ1254" s="0" t="s">
        <v>3558</v>
      </c>
      <c r="BA1254" s="0" t="s">
        <v>285</v>
      </c>
      <c r="BB1254" s="0" t="str">
        <f t="shared" si="19"/>
        <v>IHVNfcBwari</v>
      </c>
    </row>
    <row r="1255">
      <c r="AV1255" s="0" t="s">
        <v>471</v>
      </c>
      <c r="AW1255" s="0" t="s">
        <v>286</v>
      </c>
      <c r="AX1255" s="0" t="s">
        <v>491</v>
      </c>
      <c r="AY1255" s="0" t="s">
        <v>3559</v>
      </c>
      <c r="AZ1255" s="0" t="s">
        <v>3560</v>
      </c>
      <c r="BA1255" s="0" t="s">
        <v>285</v>
      </c>
      <c r="BB1255" s="0" t="str">
        <f t="shared" si="19"/>
        <v>IHVNfcBwari</v>
      </c>
    </row>
    <row r="1256">
      <c r="AV1256" s="0" t="s">
        <v>471</v>
      </c>
      <c r="AW1256" s="0" t="s">
        <v>286</v>
      </c>
      <c r="AX1256" s="0" t="s">
        <v>491</v>
      </c>
      <c r="AY1256" s="0" t="s">
        <v>3561</v>
      </c>
      <c r="AZ1256" s="0" t="s">
        <v>3562</v>
      </c>
      <c r="BA1256" s="0" t="s">
        <v>285</v>
      </c>
      <c r="BB1256" s="0" t="str">
        <f t="shared" si="19"/>
        <v>IHVNfcBwari</v>
      </c>
    </row>
    <row r="1257">
      <c r="AV1257" s="0" t="s">
        <v>471</v>
      </c>
      <c r="AW1257" s="0" t="s">
        <v>286</v>
      </c>
      <c r="AX1257" s="0" t="s">
        <v>491</v>
      </c>
      <c r="AY1257" s="0" t="s">
        <v>3563</v>
      </c>
      <c r="AZ1257" s="0" t="s">
        <v>3564</v>
      </c>
      <c r="BA1257" s="0" t="s">
        <v>285</v>
      </c>
      <c r="BB1257" s="0" t="str">
        <f t="shared" si="19"/>
        <v>IHVNfcBwari</v>
      </c>
    </row>
    <row r="1258">
      <c r="AV1258" s="0" t="s">
        <v>471</v>
      </c>
      <c r="AW1258" s="0" t="s">
        <v>286</v>
      </c>
      <c r="AX1258" s="0" t="s">
        <v>491</v>
      </c>
      <c r="AY1258" s="0" t="s">
        <v>3565</v>
      </c>
      <c r="AZ1258" s="0" t="s">
        <v>3566</v>
      </c>
      <c r="BA1258" s="0" t="s">
        <v>285</v>
      </c>
      <c r="BB1258" s="0" t="str">
        <f t="shared" si="19"/>
        <v>IHVNfcBwari</v>
      </c>
    </row>
    <row r="1259">
      <c r="AV1259" s="0" t="s">
        <v>471</v>
      </c>
      <c r="AW1259" s="0" t="s">
        <v>286</v>
      </c>
      <c r="AX1259" s="0" t="s">
        <v>491</v>
      </c>
      <c r="AY1259" s="0" t="s">
        <v>3567</v>
      </c>
      <c r="AZ1259" s="0" t="s">
        <v>3568</v>
      </c>
      <c r="BA1259" s="0" t="s">
        <v>285</v>
      </c>
      <c r="BB1259" s="0" t="str">
        <f t="shared" si="19"/>
        <v>IHVNfcBwari</v>
      </c>
    </row>
    <row r="1260">
      <c r="AV1260" s="0" t="s">
        <v>471</v>
      </c>
      <c r="AW1260" s="0" t="s">
        <v>286</v>
      </c>
      <c r="AX1260" s="0" t="s">
        <v>491</v>
      </c>
      <c r="AY1260" s="0" t="s">
        <v>3569</v>
      </c>
      <c r="AZ1260" s="0" t="s">
        <v>3570</v>
      </c>
      <c r="BA1260" s="0" t="s">
        <v>285</v>
      </c>
      <c r="BB1260" s="0" t="str">
        <f t="shared" si="19"/>
        <v>IHVNfcBwari</v>
      </c>
    </row>
    <row r="1261">
      <c r="AV1261" s="0" t="s">
        <v>471</v>
      </c>
      <c r="AW1261" s="0" t="s">
        <v>286</v>
      </c>
      <c r="AX1261" s="0" t="s">
        <v>491</v>
      </c>
      <c r="AY1261" s="0" t="s">
        <v>3571</v>
      </c>
      <c r="AZ1261" s="0" t="s">
        <v>3572</v>
      </c>
      <c r="BA1261" s="0" t="s">
        <v>285</v>
      </c>
      <c r="BB1261" s="0" t="str">
        <f t="shared" si="19"/>
        <v>IHVNfcBwari</v>
      </c>
    </row>
    <row r="1262">
      <c r="AV1262" s="0" t="s">
        <v>471</v>
      </c>
      <c r="AW1262" s="0" t="s">
        <v>286</v>
      </c>
      <c r="AX1262" s="0" t="s">
        <v>491</v>
      </c>
      <c r="AY1262" s="0" t="s">
        <v>3573</v>
      </c>
      <c r="AZ1262" s="0" t="s">
        <v>3574</v>
      </c>
      <c r="BA1262" s="0" t="s">
        <v>285</v>
      </c>
      <c r="BB1262" s="0" t="str">
        <f t="shared" si="19"/>
        <v>IHVNfcBwari</v>
      </c>
    </row>
    <row r="1263">
      <c r="AV1263" s="0" t="s">
        <v>471</v>
      </c>
      <c r="AW1263" s="0" t="s">
        <v>286</v>
      </c>
      <c r="AX1263" s="0" t="s">
        <v>491</v>
      </c>
      <c r="AY1263" s="0" t="s">
        <v>3575</v>
      </c>
      <c r="AZ1263" s="0" t="s">
        <v>3576</v>
      </c>
      <c r="BA1263" s="0" t="s">
        <v>285</v>
      </c>
      <c r="BB1263" s="0" t="str">
        <f t="shared" si="19"/>
        <v>IHVNfcBwari</v>
      </c>
    </row>
    <row r="1264">
      <c r="AV1264" s="0" t="s">
        <v>471</v>
      </c>
      <c r="AW1264" s="0" t="s">
        <v>286</v>
      </c>
      <c r="AX1264" s="0" t="s">
        <v>491</v>
      </c>
      <c r="AY1264" s="0" t="s">
        <v>3577</v>
      </c>
      <c r="AZ1264" s="0" t="s">
        <v>3578</v>
      </c>
      <c r="BA1264" s="0" t="s">
        <v>285</v>
      </c>
      <c r="BB1264" s="0" t="str">
        <f t="shared" si="19"/>
        <v>IHVNfcBwari</v>
      </c>
    </row>
    <row r="1265">
      <c r="AV1265" s="0" t="s">
        <v>471</v>
      </c>
      <c r="AW1265" s="0" t="s">
        <v>286</v>
      </c>
      <c r="AX1265" s="0" t="s">
        <v>491</v>
      </c>
      <c r="AY1265" s="0" t="s">
        <v>3579</v>
      </c>
      <c r="AZ1265" s="0" t="s">
        <v>3580</v>
      </c>
      <c r="BA1265" s="0" t="s">
        <v>285</v>
      </c>
      <c r="BB1265" s="0" t="str">
        <f t="shared" si="19"/>
        <v>IHVNfcBwari</v>
      </c>
    </row>
    <row r="1266">
      <c r="AV1266" s="0" t="s">
        <v>471</v>
      </c>
      <c r="AW1266" s="0" t="s">
        <v>286</v>
      </c>
      <c r="AX1266" s="0" t="s">
        <v>491</v>
      </c>
      <c r="AY1266" s="0" t="s">
        <v>3581</v>
      </c>
      <c r="AZ1266" s="0" t="s">
        <v>3582</v>
      </c>
      <c r="BA1266" s="0" t="s">
        <v>285</v>
      </c>
      <c r="BB1266" s="0" t="str">
        <f t="shared" si="19"/>
        <v>IHVNfcBwari</v>
      </c>
    </row>
    <row r="1267">
      <c r="AV1267" s="0" t="s">
        <v>471</v>
      </c>
      <c r="AW1267" s="0" t="s">
        <v>286</v>
      </c>
      <c r="AX1267" s="0" t="s">
        <v>491</v>
      </c>
      <c r="AY1267" s="0" t="s">
        <v>3583</v>
      </c>
      <c r="AZ1267" s="0" t="s">
        <v>3584</v>
      </c>
      <c r="BA1267" s="0" t="s">
        <v>285</v>
      </c>
      <c r="BB1267" s="0" t="str">
        <f t="shared" si="19"/>
        <v>IHVNfcBwari</v>
      </c>
    </row>
    <row r="1268">
      <c r="AV1268" s="0" t="s">
        <v>471</v>
      </c>
      <c r="AW1268" s="0" t="s">
        <v>286</v>
      </c>
      <c r="AX1268" s="0" t="s">
        <v>491</v>
      </c>
      <c r="AY1268" s="0" t="s">
        <v>3585</v>
      </c>
      <c r="AZ1268" s="0" t="s">
        <v>3586</v>
      </c>
      <c r="BA1268" s="0" t="s">
        <v>285</v>
      </c>
      <c r="BB1268" s="0" t="str">
        <f t="shared" si="19"/>
        <v>IHVNfcBwari</v>
      </c>
    </row>
    <row r="1269">
      <c r="AV1269" s="0" t="s">
        <v>471</v>
      </c>
      <c r="AW1269" s="0" t="s">
        <v>286</v>
      </c>
      <c r="AX1269" s="0" t="s">
        <v>491</v>
      </c>
      <c r="AY1269" s="0" t="s">
        <v>3587</v>
      </c>
      <c r="AZ1269" s="0" t="s">
        <v>3588</v>
      </c>
      <c r="BA1269" s="0" t="s">
        <v>285</v>
      </c>
      <c r="BB1269" s="0" t="str">
        <f t="shared" si="19"/>
        <v>IHVNfcBwari</v>
      </c>
    </row>
    <row r="1270">
      <c r="AV1270" s="0" t="s">
        <v>471</v>
      </c>
      <c r="AW1270" s="0" t="s">
        <v>286</v>
      </c>
      <c r="AX1270" s="0" t="s">
        <v>491</v>
      </c>
      <c r="AY1270" s="0" t="s">
        <v>3589</v>
      </c>
      <c r="AZ1270" s="0" t="s">
        <v>3590</v>
      </c>
      <c r="BA1270" s="0" t="s">
        <v>285</v>
      </c>
      <c r="BB1270" s="0" t="str">
        <f t="shared" si="19"/>
        <v>IHVNfcBwari</v>
      </c>
    </row>
    <row r="1271">
      <c r="AV1271" s="0" t="s">
        <v>471</v>
      </c>
      <c r="AW1271" s="0" t="s">
        <v>286</v>
      </c>
      <c r="AX1271" s="0" t="s">
        <v>491</v>
      </c>
      <c r="AY1271" s="0" t="s">
        <v>3591</v>
      </c>
      <c r="AZ1271" s="0" t="s">
        <v>3592</v>
      </c>
      <c r="BA1271" s="0" t="s">
        <v>285</v>
      </c>
      <c r="BB1271" s="0" t="str">
        <f t="shared" si="19"/>
        <v>IHVNfcBwari</v>
      </c>
    </row>
    <row r="1272">
      <c r="AV1272" s="0" t="s">
        <v>471</v>
      </c>
      <c r="AW1272" s="0" t="s">
        <v>286</v>
      </c>
      <c r="AX1272" s="0" t="s">
        <v>573</v>
      </c>
      <c r="AY1272" s="0" t="s">
        <v>3593</v>
      </c>
      <c r="AZ1272" s="0" t="s">
        <v>3594</v>
      </c>
      <c r="BA1272" s="0" t="s">
        <v>285</v>
      </c>
      <c r="BB1272" s="0" t="str">
        <f t="shared" si="19"/>
        <v>IHVNfcGwagwalada</v>
      </c>
    </row>
    <row r="1273">
      <c r="AV1273" s="0" t="s">
        <v>471</v>
      </c>
      <c r="AW1273" s="0" t="s">
        <v>286</v>
      </c>
      <c r="AX1273" s="0" t="s">
        <v>573</v>
      </c>
      <c r="AY1273" s="0" t="s">
        <v>3595</v>
      </c>
      <c r="AZ1273" s="0" t="s">
        <v>3596</v>
      </c>
      <c r="BA1273" s="0" t="s">
        <v>285</v>
      </c>
      <c r="BB1273" s="0" t="str">
        <f t="shared" si="19"/>
        <v>IHVNfcGwagwalada</v>
      </c>
    </row>
    <row r="1274">
      <c r="AV1274" s="0" t="s">
        <v>471</v>
      </c>
      <c r="AW1274" s="0" t="s">
        <v>286</v>
      </c>
      <c r="AX1274" s="0" t="s">
        <v>573</v>
      </c>
      <c r="AY1274" s="0" t="s">
        <v>3597</v>
      </c>
      <c r="AZ1274" s="0" t="s">
        <v>3598</v>
      </c>
      <c r="BA1274" s="0" t="s">
        <v>285</v>
      </c>
      <c r="BB1274" s="0" t="str">
        <f t="shared" si="19"/>
        <v>IHVNfcGwagwalada</v>
      </c>
    </row>
    <row r="1275">
      <c r="AV1275" s="0" t="s">
        <v>471</v>
      </c>
      <c r="AW1275" s="0" t="s">
        <v>286</v>
      </c>
      <c r="AX1275" s="0" t="s">
        <v>573</v>
      </c>
      <c r="AY1275" s="0" t="s">
        <v>3599</v>
      </c>
      <c r="AZ1275" s="0" t="s">
        <v>3600</v>
      </c>
      <c r="BA1275" s="0" t="s">
        <v>285</v>
      </c>
      <c r="BB1275" s="0" t="str">
        <f t="shared" si="19"/>
        <v>IHVNfcGwagwalada</v>
      </c>
    </row>
    <row r="1276">
      <c r="AV1276" s="0" t="s">
        <v>471</v>
      </c>
      <c r="AW1276" s="0" t="s">
        <v>286</v>
      </c>
      <c r="AX1276" s="0" t="s">
        <v>573</v>
      </c>
      <c r="AY1276" s="0" t="s">
        <v>3601</v>
      </c>
      <c r="AZ1276" s="0" t="s">
        <v>3602</v>
      </c>
      <c r="BA1276" s="0" t="s">
        <v>285</v>
      </c>
      <c r="BB1276" s="0" t="str">
        <f t="shared" si="19"/>
        <v>IHVNfcGwagwalada</v>
      </c>
    </row>
    <row r="1277">
      <c r="AV1277" s="0" t="s">
        <v>471</v>
      </c>
      <c r="AW1277" s="0" t="s">
        <v>286</v>
      </c>
      <c r="AX1277" s="0" t="s">
        <v>573</v>
      </c>
      <c r="AY1277" s="0" t="s">
        <v>3603</v>
      </c>
      <c r="AZ1277" s="0" t="s">
        <v>3604</v>
      </c>
      <c r="BA1277" s="0" t="s">
        <v>285</v>
      </c>
      <c r="BB1277" s="0" t="str">
        <f t="shared" si="19"/>
        <v>IHVNfcGwagwalada</v>
      </c>
    </row>
    <row r="1278">
      <c r="AV1278" s="0" t="s">
        <v>471</v>
      </c>
      <c r="AW1278" s="0" t="s">
        <v>286</v>
      </c>
      <c r="AX1278" s="0" t="s">
        <v>611</v>
      </c>
      <c r="AY1278" s="0" t="s">
        <v>3605</v>
      </c>
      <c r="AZ1278" s="0" t="s">
        <v>3606</v>
      </c>
      <c r="BA1278" s="0" t="s">
        <v>285</v>
      </c>
      <c r="BB1278" s="0" t="str">
        <f t="shared" si="19"/>
        <v>IHVNfcKuje</v>
      </c>
    </row>
    <row r="1279">
      <c r="AV1279" s="0" t="s">
        <v>471</v>
      </c>
      <c r="AW1279" s="0" t="s">
        <v>286</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3411</v>
      </c>
      <c r="AZ1333" s="0" t="s">
        <v>3715</v>
      </c>
      <c r="BA1333" s="0" t="s">
        <v>285</v>
      </c>
      <c r="BB1333" s="0" t="str">
        <f t="shared" si="20"/>
        <v>IHVNnaKaru</v>
      </c>
    </row>
    <row r="1334">
      <c r="AV1334" s="0" t="s">
        <v>471</v>
      </c>
      <c r="AW1334" s="0" t="s">
        <v>412</v>
      </c>
      <c r="AX1334" s="0" t="s">
        <v>659</v>
      </c>
      <c r="AY1334" s="0" t="s">
        <v>3413</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3174</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286</v>
      </c>
      <c r="AX1473" s="0" t="s">
        <v>650</v>
      </c>
      <c r="AY1473" s="0" t="s">
        <v>3992</v>
      </c>
      <c r="AZ1473" s="0" t="s">
        <v>3993</v>
      </c>
      <c r="BA1473" s="0" t="s">
        <v>742</v>
      </c>
      <c r="BB1473" s="0" t="str">
        <f t="shared" si="22"/>
        <v>PHIfcKwali</v>
      </c>
    </row>
    <row r="1474">
      <c r="AV1474" s="0" t="s">
        <v>471</v>
      </c>
      <c r="AW1474" s="0" t="s">
        <v>286</v>
      </c>
      <c r="AX1474" s="0" t="s">
        <v>650</v>
      </c>
      <c r="AY1474" s="0" t="s">
        <v>3994</v>
      </c>
      <c r="AZ1474" s="0" t="s">
        <v>3995</v>
      </c>
      <c r="BA1474" s="0" t="s">
        <v>742</v>
      </c>
      <c r="BB1474" s="0" t="str">
        <f t="shared" si="22"/>
        <v>PHIfcKwali</v>
      </c>
    </row>
    <row r="1475">
      <c r="AV1475" s="0" t="s">
        <v>471</v>
      </c>
      <c r="AW1475" s="0" t="s">
        <v>286</v>
      </c>
      <c r="AX1475" s="0" t="s">
        <v>650</v>
      </c>
      <c r="AY1475" s="0" t="s">
        <v>3996</v>
      </c>
      <c r="AZ1475" s="0" t="s">
        <v>3997</v>
      </c>
      <c r="BA1475" s="0" t="s">
        <v>742</v>
      </c>
      <c r="BB1475" s="0" t="str">
        <f ref="BB1475:BB1504" t="shared" si="23">SUBSTITUTE(SUBSTITUTE(BA1475&amp;AX1475," ",""),"-","")</f>
        <v>PHIfcKwali</v>
      </c>
    </row>
    <row r="1476">
      <c r="AV1476" s="0" t="s">
        <v>471</v>
      </c>
      <c r="AW1476" s="0" t="s">
        <v>286</v>
      </c>
      <c r="AX1476" s="0" t="s">
        <v>650</v>
      </c>
      <c r="AY1476" s="0" t="s">
        <v>3998</v>
      </c>
      <c r="AZ1476" s="0" t="s">
        <v>3999</v>
      </c>
      <c r="BA1476" s="0" t="s">
        <v>742</v>
      </c>
      <c r="BB1476" s="0" t="str">
        <f t="shared" si="23"/>
        <v>PHIfcKwali</v>
      </c>
    </row>
    <row r="1477">
      <c r="AV1477" s="0" t="s">
        <v>471</v>
      </c>
      <c r="AW1477" s="0" t="s">
        <v>286</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