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<sst xmlns="http://schemas.openxmlformats.org/spreadsheetml/2006/main" count="4056" uniqueCount="4056">
  <si>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</si>
  <si>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</si>
  <si>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</si>
  <si>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</si>
  <si>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</si>
  <si>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</si>
  <si>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</si>
  <si>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</si>
  <si>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</si>
  <si>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</si>
  <si>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</si>
  <si>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</si>
  <si>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</si>
  <si>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</si>
  <si>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</si>
  <si>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</si>
  <si>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</si>
  <si>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</si>
  <si>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</si>
  <si>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</si>
  <si>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</si>
  <si>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</si>
  <si>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</si>
  <si>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</si>
  <si>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</si>
  <si>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</si>
  <si>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</si>
  <si>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</si>
  <si>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</si>
  <si>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</si>
  <si>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</si>
  <si>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</si>
  <si>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</si>
  <si>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</si>
  <si>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</si>
  <si>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</si>
  <si>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</si>
  <si>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</si>
  <si>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</si>
  <si>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</si>
  <si>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</si>
  <si>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</si>
  <si>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</si>
  <si>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</si>
  <si>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</si>
  <si>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</si>
  <si>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</si>
  <si>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</si>
  <si>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</si>
  <si>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</si>
  <si>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</si>
  <si>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</si>
  <si>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</si>
  <si>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</si>
  <si>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</si>
  <si>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</si>
  <si>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</si>
  <si>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</si>
  <si>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</si>
  <si>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</si>
  <si>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</si>
  <si>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</si>
  <si>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</si>
  <si>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</si>
  <si>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</si>
  <si>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</si>
  <si>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</si>
  <si>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</si>
  <si>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</si>
  <si>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</si>
  <si>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</si>
  <si>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</si>
  <si>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</si>
  <si>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</si>
  <si>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</si>
  <si>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</si>
  <si>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</si>
  <si>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</si>
  <si>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</si>
  <si>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</si>
  <si>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</si>
  <si>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</si>
  <si>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</si>
  <si>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</si>
  <si>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</si>
  <si>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</si>
  <si>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</si>
  <si>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</si>
  <si>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</si>
  <si>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</si>
  <si>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</si>
  <si>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</si>
  <si>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</si>
  <si>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</si>
  <si>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</si>
  <si>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</si>
  <si>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</si>
  <si>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</si>
  <si>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</si>
  <si>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</si>
  <si>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</si>
  <si>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</si>
  <si>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</si>
  <si>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</si>
  <si>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</si>
  <si>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</si>
  <si>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</si>
  <si>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</si>
  <si>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</si>
  <si>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</si>
  <si>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</si>
  <si>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</si>
  <si>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</si>
  <si>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</si>
  <si>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</si>
  <si>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</si>
  <si>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</si>
  <si>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</si>
  <si>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</si>
  <si>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</si>
  <si>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</si>
  <si>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</si>
  <si>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</si>
  <si>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</si>
  <si>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</si>
  <si>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</si>
  <si>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</si>
  <si>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</si>
  <si>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</si>
  <si>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</si>
  <si>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</si>
  <si>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</si>
  <si>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</si>
  <si>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</si>
  <si>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</si>
  <si>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</si>
  <si>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</si>
  <si>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</si>
  <si>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</si>
  <si>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</si>
  <si>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</si>
  <si>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</si>
  <si>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</si>
  <si>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</si>
  <si>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</si>
  <si>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</si>
  <si>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</si>
  <si>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</si>
  <si>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</si>
  <si>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</si>
  <si>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</si>
  <si>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</si>
  <si>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</si>
  <si>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</si>
  <si>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</si>
  <si>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</si>
  <si>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</si>
  <si>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</si>
  <si>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</si>
  <si>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</si>
  <si>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</si>
  <si>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</si>
  <si>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</si>
  <si>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</si>
  <si>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</si>
  <si>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</si>
  <si>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</si>
  <si>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</si>
  <si>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</si>
  <si>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</si>
  <si>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</si>
  <si>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</si>
  <si>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</si>
  <si>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</si>
  <si>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</si>
  <si>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</si>
  <si>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</si>
  <si>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</si>
  <si>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</si>
  <si>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</si>
  <si>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</si>
  <si>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</si>
  <si>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</si>
  <si>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</si>
  <si>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</si>
  <si>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</si>
  <si>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</si>
  <si>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</si>
  <si>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</si>
  <si>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</si>
  <si>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</si>
  <si>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</si>
  <si>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</si>
  <si>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</si>
  <si>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</si>
  <si>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</si>
  <si>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</si>
  <si>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</si>
  <si>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</si>
  <si>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</si>
  <si>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</si>
  <si>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</si>
  <si>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</si>
  <si>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</si>
  <si>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</si>
  <si>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</si>
  <si>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</si>
  <si>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</si>
  <si>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</si>
  <si>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</si>
  <si>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</si>
  <si>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</si>
  <si>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</si>
  <si>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</si>
  <si>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</si>
  <si>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</si>
  <si>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</si>
  <si>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</si>
  <si>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</si>
  <si>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</si>
  <si>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</si>
  <si>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</si>
  <si>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</si>
  <si>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</si>
  <si>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</si>
  <si>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</si>
  <si>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</si>
  <si>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</si>
  <si>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</si>
  <si>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</si>
  <si>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</si>
  <si>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</si>
  <si>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</si>
  <si>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</si>
  <si>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</si>
  <si>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</si>
  <si>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</si>
  <si>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</si>
  <si>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</si>
  <si>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</si>
  <si>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</si>
  <si>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</si>
  <si>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</si>
  <si>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</si>
  <si>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</si>
  <si>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</si>
  <si>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</si>
  <si>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</si>
  <si>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</si>
  <si>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</si>
  <si>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</si>
  <si>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</si>
  <si>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</si>
  <si>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</si>
  <si>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</si>
  <si>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</si>
  <si>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</si>
  <si>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</si>
  <si>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</si>
  <si>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</si>
  <si>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</si>
  <si>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</si>
  <si>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</si>
  <si>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</si>
  <si>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</si>
  <si>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</si>
  <si>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</si>
  <si>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</si>
  <si>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</si>
  <si>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</si>
  <si>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</si>
  <si>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</si>
  <si>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</si>
  <si>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</si>
  <si>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</si>
  <si>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</si>
  <si>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</si>
  <si>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</si>
  <si>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</si>
  <si>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</si>
  <si>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</si>
  <si>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</si>
  <si>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</si>
  <si>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</si>
  <si>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</si>
  <si>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</si>
  <si>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</si>
  <si>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</si>
  <si>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</si>
  <si>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Wannune General Hospital</t>
  </si>
  <si>
    <t>Reporting Period:</t>
  </si>
  <si>
    <t>Q1(Oct - Dec)</t>
  </si>
  <si>
    <t>Facility Code:</t>
  </si>
  <si>
    <t>tCLZNcfcMy3</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</si>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</sst>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58</v>
      </c>
      <c r="G8" s="155">
        <f>ROUND(SUM('All Questions'!D31:D35)/5+G12,0)</f>
        <v>71</v>
      </c>
      <c r="H8" s="156">
        <f>ROUND(SUM('All Questions'!D37,'All Questions'!D40)/2+'All Questions'!D26+H12,0)</f>
        <v>127</v>
      </c>
      <c r="I8" s="157">
        <f>ROUND((SUM('All Questions'!E11:E14)/4)+I12,0)</f>
        <v>0</v>
      </c>
      <c r="J8" s="155">
        <f>ROUND(SUM('All Questions'!E15:E21)/7+J12,0)</f>
        <v>0</v>
      </c>
      <c r="K8" s="155">
        <f>ROUND(SUM('All Questions'!E23:E30)/4+K12,0)</f>
        <v>64</v>
      </c>
      <c r="L8" s="155">
        <f>ROUND(SUM('All Questions'!E31:E35)/5+L12,0)</f>
        <v>79</v>
      </c>
      <c r="M8" s="156">
        <f>ROUND(('All Questions'!E37+'All Questions'!E40)/2+'All Questions'!E26+M12,0)</f>
        <v>115</v>
      </c>
      <c r="N8" s="157">
        <f>ROUND((SUM('All Questions'!F11:F14)/4)+N12,0)</f>
        <v>0</v>
      </c>
      <c r="O8" s="155">
        <f>ROUND(SUM('All Questions'!F15:F21)/7+O12,0)</f>
        <v>0</v>
      </c>
      <c r="P8" s="155">
        <f>ROUND(SUM('All Questions'!F23:F30)/4+P12,0)</f>
        <v>52</v>
      </c>
      <c r="Q8" s="155">
        <f>ROUND(SUM('All Questions'!F31:F35)/5+Q12,0)</f>
        <v>67</v>
      </c>
      <c r="R8" s="156">
        <f>ROUND(('All Questions'!F37+'All Questions'!F40)/2+'All Questions'!F26+R12,0)</f>
        <v>94</v>
      </c>
      <c r="S8" s="141">
        <f>'All Questions'!F2</f>
        <v>0</v>
      </c>
      <c r="T8" s="142" t="e">
        <f>(AVERAGE(F8:H8)+AVERAGE(K8:M8)+AVERAGE(P8:R8))/S8</f>
        <v>#DIV/0!</v>
      </c>
      <c r="V8" s="309">
        <f>AVERAGE(F8:H8)+AVERAGE(K8:M8)+AVERAGE(P8:R8)</f>
        <v>242.33333333333331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22</v>
      </c>
      <c r="G9" s="158"/>
      <c r="H9" s="160"/>
      <c r="I9" s="161"/>
      <c r="J9" s="158"/>
      <c r="K9" s="159">
        <f>ROUND('All Questions'!E29+K13,0)</f>
        <v>14</v>
      </c>
      <c r="L9" s="158"/>
      <c r="M9" s="160"/>
      <c r="N9" s="161"/>
      <c r="O9" s="158"/>
      <c r="P9" s="159">
        <f>ROUND('All Questions'!F29+P13,0)</f>
        <v>17</v>
      </c>
      <c r="Q9" s="158"/>
      <c r="R9" s="160"/>
      <c r="S9" s="141">
        <f>'All Questions'!F3</f>
        <v>0</v>
      </c>
      <c r="T9" s="143" t="e">
        <f>SUM(F9,K9,P9)/S9</f>
        <v>#DIV/0!</v>
      </c>
      <c r="V9" s="309">
        <f>SUM(F9+K9+P9)</f>
        <v>53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52</v>
      </c>
      <c r="G10" s="159">
        <f>ROUND(SUM('All Questions'!D31:D35)/5,0)</f>
        <v>64</v>
      </c>
      <c r="H10" s="162">
        <f>ROUND(('All Questions'!D37+'All Questions'!D40)/2+'All Questions'!D26,0)</f>
        <v>124</v>
      </c>
      <c r="I10" s="163">
        <f>ROUND((SUM('All Questions'!E11:E14)/4),0)</f>
        <v>0</v>
      </c>
      <c r="J10" s="164">
        <f>ROUND(SUM('All Questions'!E15:E21)/7,0)</f>
        <v>0</v>
      </c>
      <c r="K10" s="164">
        <f>ROUND(SUM('All Questions'!E23:E30)/4,0)</f>
        <v>56</v>
      </c>
      <c r="L10" s="164">
        <f>ROUND(SUM('All Questions'!E31:E35)/5,0)</f>
        <v>67</v>
      </c>
      <c r="M10" s="165">
        <f>ROUND(('All Questions'!E37+'All Questions'!E40)/2+'All Questions'!E26,0)</f>
        <v>111</v>
      </c>
      <c r="N10" s="166">
        <f>ROUND((SUM('All Questions'!F11:F14)/4),0)</f>
        <v>0</v>
      </c>
      <c r="O10" s="164">
        <f>ROUND(SUM('All Questions'!F15:F21)/7,0)</f>
        <v>0</v>
      </c>
      <c r="P10" s="164">
        <f>ROUND(SUM('All Questions'!F23:F30)/4,0)</f>
        <v>44</v>
      </c>
      <c r="Q10" s="164">
        <f>ROUND(SUM('All Questions'!F31:F35)/5,0)</f>
        <v>55</v>
      </c>
      <c r="R10" s="165">
        <f>ROUND(('All Questions'!F37+'All Questions'!F40)/2+'All Questions'!F26,0)</f>
        <v>88</v>
      </c>
      <c r="S10" s="141">
        <f>'All Questions'!F4</f>
        <v>0</v>
      </c>
      <c r="T10" s="143" t="e">
        <f>(AVERAGE(F10:H10)+AVERAGE(K10:M10)+AVERAGE(P10:R10))/S10</f>
        <v>#DIV/0!</v>
      </c>
      <c r="V10" s="309">
        <f>AVERAGE(F10:H10)+AVERAGE(K10:M10)+AVERAGE(P10:R10)</f>
        <v>220.33333333333334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22</v>
      </c>
      <c r="G11" s="167"/>
      <c r="H11" s="169"/>
      <c r="I11" s="170"/>
      <c r="J11" s="167"/>
      <c r="K11" s="171">
        <f>ROUND('All Questions'!E29,0)</f>
        <v>14</v>
      </c>
      <c r="L11" s="167"/>
      <c r="M11" s="169"/>
      <c r="N11" s="170"/>
      <c r="O11" s="167"/>
      <c r="P11" s="171">
        <f>ROUND('All Questions'!F29,0)</f>
        <v>17</v>
      </c>
      <c r="Q11" s="167"/>
      <c r="R11" s="169"/>
      <c r="S11" s="141">
        <f>'All Questions'!F5</f>
        <v>0</v>
      </c>
      <c r="T11" s="144" t="e">
        <f>SUM(F11,K11,P11)/S11</f>
        <v>#DIV/0!</v>
      </c>
      <c r="V11" s="309">
        <f>SUM(F11+K11+P11)</f>
        <v>53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v>
      </c>
      <c r="G12" s="173">
        <f>ROUND(SUM('All Questions'!D73:D80)/4,0)</f>
        <v>7</v>
      </c>
      <c r="H12" s="174">
        <f>ROUND(SUM('All Questions'!D82:D83)/2,0)</f>
        <v>3</v>
      </c>
      <c r="I12" s="175">
        <f>ROUND(SUM('All Questions'!E54:E58)+'All Questions'!E71/4,0)</f>
        <v>0</v>
      </c>
      <c r="J12" s="176">
        <f>ROUND(SUM('All Questions'!E60:E63)/4,0)</f>
        <v>0</v>
      </c>
      <c r="K12" s="176">
        <f>ROUND(SUM('All Questions'!E67:E72)/3,0)</f>
        <v>8</v>
      </c>
      <c r="L12" s="176">
        <f>ROUND(SUM('All Questions'!E73:E80)/4,0)</f>
        <v>12</v>
      </c>
      <c r="M12" s="177">
        <f>ROUND(SUM('All Questions'!E82:E83)/2,0)</f>
        <v>4</v>
      </c>
      <c r="N12" s="178">
        <f>ROUND(SUM('All Questions'!F54:F58)+'All Questions'!F71/4,0)</f>
        <v>0</v>
      </c>
      <c r="O12" s="176">
        <f>ROUND(SUM('All Questions'!F60:F63)/4,0)</f>
        <v>0</v>
      </c>
      <c r="P12" s="176">
        <f>ROUND(SUM('All Questions'!F67:F72)/3,0)</f>
        <v>8</v>
      </c>
      <c r="Q12" s="176">
        <f>ROUND(SUM('All Questions'!F73:F80)/4,0)</f>
        <v>12</v>
      </c>
      <c r="R12" s="177">
        <f>ROUND(SUM('All Questions'!F82:F83)/2,0)</f>
        <v>6</v>
      </c>
      <c r="S12" s="145">
        <f>'All Questions'!F46</f>
        <v>0</v>
      </c>
      <c r="T12" s="146" t="e">
        <f ref="T12:T15" t="shared" si="1">(AVERAGE(F12:H12)+AVERAGE(K12:M12)+AVERAGE(P12:R12))/S12</f>
        <v>#DIV/0!</v>
      </c>
      <c r="V12" s="309">
        <f>AVERAGE(F12:H12)+AVERAGE(K12:M12)+AVERAGE(P12:R12)</f>
        <v>21.666666666666664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8</v>
      </c>
      <c r="G14" s="179">
        <f>ROUND(SUM('All Questions'!D74,'All Questions'!D76,'All Questions'!D78,'All Questions'!D80)/4,0)</f>
        <v>4</v>
      </c>
      <c r="H14" s="180">
        <f>ROUND(SUM('All Questions'!D88:D89)/2,0)</f>
        <v>8</v>
      </c>
      <c r="I14" s="187">
        <f>ROUND('All Questions'!E57,0)</f>
        <v>0</v>
      </c>
      <c r="J14" s="183">
        <f>ROUND('All Questions'!E64,0)</f>
        <v>0</v>
      </c>
      <c r="K14" s="183">
        <f>ROUND(SUM('All Questions'!E69:E70),0)</f>
        <v>16</v>
      </c>
      <c r="L14" s="183">
        <f>ROUND(SUM('All Questions'!E74,'All Questions'!E76,'All Questions'!E78,'All Questions'!E80)/4,0)</f>
        <v>8</v>
      </c>
      <c r="M14" s="184">
        <f>ROUND(SUM('All Questions'!E88:E89)/2,0)</f>
        <v>16</v>
      </c>
      <c r="N14" s="188">
        <f>ROUND('All Questions'!F57,0)</f>
        <v>0</v>
      </c>
      <c r="O14" s="183">
        <f>ROUND('All Questions'!F64,0)</f>
        <v>0</v>
      </c>
      <c r="P14" s="183">
        <f>ROUND(SUM('All Questions'!F69:F70),0)</f>
        <v>13</v>
      </c>
      <c r="Q14" s="183">
        <f>ROUND(SUM('All Questions'!F74,'All Questions'!F76,'All Questions'!F78,'All Questions'!F80)/4,0)</f>
        <v>6</v>
      </c>
      <c r="R14" s="184">
        <f>ROUND(SUM('All Questions'!F88:F89)/2,0)</f>
        <v>13</v>
      </c>
      <c r="S14" s="145">
        <f>'All Questions'!F48</f>
        <v>0</v>
      </c>
      <c r="T14" s="147" t="e">
        <f>(AVERAGE(F14:H14)+AVERAGE(K14:M14)+AVERAGE(P14:R14))/S14</f>
        <v>#DIV/0!</v>
      </c>
      <c r="V14" s="309">
        <f>AVERAGE(F14:H14)+AVERAGE(K14:M14)+AVERAGE(P14:R14)</f>
        <v>30.666666666666664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15</v>
      </c>
      <c r="G15" s="159">
        <f>ROUND(SUM('All Questions'!D131:D133)/3,0)</f>
        <v>18</v>
      </c>
      <c r="H15" s="162">
        <f>ROUND(SUM('All Questions'!D135,'All Questions'!D138),0)</f>
        <v>15</v>
      </c>
      <c r="I15" s="166">
        <f>ROUND(SUM('All Questions'!E119:E120)/2,0)</f>
        <v>0</v>
      </c>
      <c r="J15" s="164">
        <f>ROUND(SUM('All Questions'!E121,'All Questions'!E124)/2,0)</f>
        <v>0</v>
      </c>
      <c r="K15" s="164">
        <f>ROUND(SUM('All Questions'!E126:E129)/2,0)</f>
        <v>46</v>
      </c>
      <c r="L15" s="164">
        <f>ROUND(SUM('All Questions'!E131:E133)/3,0)</f>
        <v>31</v>
      </c>
      <c r="M15" s="165">
        <f>ROUND(SUM('All Questions'!E135,'All Questions'!E138),0)</f>
        <v>46</v>
      </c>
      <c r="N15" s="189">
        <f>ROUND(SUM('All Questions'!F119:F120)/2,0)</f>
        <v>0</v>
      </c>
      <c r="O15" s="164">
        <f>ROUND(SUM('All Questions'!F121,'All Questions'!F124)/2,0)</f>
        <v>0</v>
      </c>
      <c r="P15" s="164">
        <f>ROUND(SUM('All Questions'!F126:F129)/2,0)</f>
        <v>0</v>
      </c>
      <c r="Q15" s="164">
        <f>ROUND(SUM('All Questions'!F131:F133)/3,0)</f>
        <v>6</v>
      </c>
      <c r="R15" s="165">
        <f>ROUND(SUM('All Questions'!F135,'All Questions'!F138),0)</f>
        <v>0</v>
      </c>
      <c r="S15" s="148">
        <f>'All Questions'!F117</f>
        <v>0</v>
      </c>
      <c r="T15" s="147" t="e">
        <f t="shared" si="1"/>
        <v>#DIV/0!</v>
      </c>
      <c r="V15" s="309">
        <f ref="V15:V17" t="shared" si="2">AVERAGE(F15:H15)+AVERAGE(K15:M15)+AVERAGE(P15:R15)</f>
        <v>59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4</v>
      </c>
      <c r="G16" s="191">
        <f>ROUND(SUM('All Questions'!D106:D109)/4,0)</f>
        <v>2</v>
      </c>
      <c r="H16" s="192">
        <f>ROUND(SUM('All Questions'!D111,'All Questions'!D112,'All Questions'!D114,'All Questions'!D115)/4,0)</f>
        <v>0</v>
      </c>
      <c r="I16" s="193">
        <f>ROUND(SUM('All Questions'!E93:E94)/2,0)</f>
        <v>0</v>
      </c>
      <c r="J16" s="194">
        <f>ROUND(SUM('All Questions'!E97:E100)/4,0)</f>
        <v>0</v>
      </c>
      <c r="K16" s="194">
        <f>ROUND(SUM('All Questions'!E101:E105)/2,0)</f>
        <v>8</v>
      </c>
      <c r="L16" s="194">
        <f>ROUND(SUM('All Questions'!E106:E109)/4,0)</f>
        <v>4</v>
      </c>
      <c r="M16" s="195">
        <f>ROUND(SUM('All Questions'!E111,'All Questions'!E112,'All Questions'!E114,'All Questions'!E115)/4,0)</f>
        <v>0</v>
      </c>
      <c r="N16" s="196">
        <f>ROUND(SUM('All Questions'!F93:F94)/2,0)</f>
        <v>0</v>
      </c>
      <c r="O16" s="194">
        <f>ROUND(SUM('All Questions'!F97:F100)/4,0)</f>
        <v>0</v>
      </c>
      <c r="P16" s="194">
        <f>ROUND(SUM('All Questions'!F101:F105)/2,0)</f>
        <v>6</v>
      </c>
      <c r="Q16" s="194">
        <f>ROUND(SUM('All Questions'!F106:F109)/4,0)</f>
        <v>3</v>
      </c>
      <c r="R16" s="195">
        <f>ROUND(SUM('All Questions'!F111,'All Questions'!F112,'All Questions'!F114,'All Questions'!F115)/4,0)</f>
        <v>0</v>
      </c>
      <c r="S16" s="149">
        <f>'All Questions'!F91</f>
        <v>0</v>
      </c>
      <c r="T16" s="150" t="e">
        <f>(AVERAGE(F16:H16)+AVERAGE(K16:M16)+AVERAGE(P16:R16))/S16</f>
        <v>#DIV/0!</v>
      </c>
      <c r="V16" s="309">
        <f t="shared" si="2"/>
        <v>9</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32</v>
      </c>
      <c r="G17" s="155">
        <f>ROUND(SUM('All Questions'!D155:D158)/4,0)</f>
        <v>29</v>
      </c>
      <c r="H17" s="197">
        <f>ROUND(SUM('All Questions'!D160,'All Questions'!D163)/2,0)</f>
        <v>32</v>
      </c>
      <c r="I17" s="198">
        <f>ROUND(SUM('All Questions'!E145:E146)/2,0)</f>
        <v>0</v>
      </c>
      <c r="J17" s="199">
        <f>ROUND(SUM('All Questions'!E147:E150)/4,0)</f>
        <v>0</v>
      </c>
      <c r="K17" s="199">
        <f>ROUND(SUM('All Questions'!E151:E154)/2,0)</f>
        <v>36</v>
      </c>
      <c r="L17" s="199">
        <f>ROUND(SUM('All Questions'!E155:E158)/4,0)</f>
        <v>32</v>
      </c>
      <c r="M17" s="197">
        <f>ROUND(SUM('All Questions'!E160,'All Questions'!E163)/2,0)</f>
        <v>36</v>
      </c>
      <c r="N17" s="200">
        <f>ROUND(SUM('All Questions'!F145:F146)/2,0)</f>
        <v>0</v>
      </c>
      <c r="O17" s="199">
        <f>ROUND(SUM('All Questions'!F147:F150)/4,0)</f>
        <v>0</v>
      </c>
      <c r="P17" s="199">
        <f>ROUND(SUM('All Questions'!F151:F154)/2,0)</f>
        <v>25</v>
      </c>
      <c r="Q17" s="199">
        <f>ROUND(SUM('All Questions'!F155:F158)/4,0)</f>
        <v>25</v>
      </c>
      <c r="R17" s="199">
        <f>ROUND(SUM('All Questions'!F160,'All Questions'!F163)/2,0)</f>
        <v>25</v>
      </c>
      <c r="S17" s="151">
        <f>'All Questions'!F141</f>
        <v>0</v>
      </c>
      <c r="T17" s="142" t="e">
        <f>(AVERAGE(F17:H17)+AVERAGE(K17:M17)+AVERAGE(P17:R17))/S17</f>
        <v>#DIV/0!</v>
      </c>
      <c r="V17" s="309">
        <f t="shared" si="2"/>
        <v>90.666666666666657</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2372</v>
      </c>
      <c r="Q18" s="204">
        <f>ROUND(SUM('All Questions'!F186:F189)/4,0)</f>
        <v>1277</v>
      </c>
      <c r="R18" s="303">
        <f>ROUND(('All Questions'!F191-('All Questions'!F194+'All Questions'!F197+'All Questions'!F200)),0)</f>
        <v>3009</v>
      </c>
      <c r="S18" s="152">
        <f>'All Questions'!F166</f>
        <v>0</v>
      </c>
      <c r="T18" s="144" t="e">
        <f>AVERAGE(P18:R18)/S18</f>
        <v>#DIV/0!</v>
      </c>
      <c r="V18" s="309">
        <f>AVERAGE(P18:R18)</f>
        <v>2219.3333333333335</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476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26</v>
      </c>
      <c r="E10" s="301">
        <v>29</v>
      </c>
      <c r="F10" s="301">
        <v>33</v>
      </c>
      <c r="G10" s="207" t="s">
        <v>67</v>
      </c>
    </row>
    <row r="11" hidden="1" ht="45" customHeight="1">
      <c r="A11" s="226"/>
      <c r="B11" s="238">
        <v>1114</v>
      </c>
      <c r="C11" s="243" t="s">
        <v>84</v>
      </c>
      <c r="D11" s="301">
        <v>26</v>
      </c>
      <c r="E11" s="301">
        <v>29</v>
      </c>
      <c r="F11" s="301">
        <v>33</v>
      </c>
      <c r="G11" s="207" t="s">
        <v>67</v>
      </c>
    </row>
    <row r="12" hidden="1" ht="45" customHeight="1">
      <c r="A12" s="226"/>
      <c r="B12" s="238">
        <v>1115</v>
      </c>
      <c r="C12" s="242" t="s">
        <v>85</v>
      </c>
      <c r="D12" s="301">
        <v>22</v>
      </c>
      <c r="E12" s="301">
        <v>25</v>
      </c>
      <c r="F12" s="301">
        <v>30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100</v>
      </c>
      <c r="E25" s="301">
        <v>100</v>
      </c>
      <c r="F25" s="301">
        <v>68</v>
      </c>
      <c r="G25" s="207" t="s">
        <v>67</v>
      </c>
    </row>
    <row r="26" hidden="1" ht="45" customHeight="1">
      <c r="A26" s="226"/>
      <c r="B26" s="238">
        <v>1134</v>
      </c>
      <c r="C26" s="242" t="s">
        <v>99</v>
      </c>
      <c r="D26" s="301">
        <v>24</v>
      </c>
      <c r="E26" s="301">
        <v>11</v>
      </c>
      <c r="F26" s="301">
        <v>20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22</v>
      </c>
      <c r="E29" s="301">
        <v>14</v>
      </c>
      <c r="F29" s="301">
        <v>17</v>
      </c>
      <c r="G29" s="207" t="s">
        <v>67</v>
      </c>
    </row>
    <row r="30" hidden="1" ht="45" customHeight="1">
      <c r="A30" s="226"/>
      <c r="B30" s="238">
        <v>1138</v>
      </c>
      <c r="C30" s="242" t="s">
        <v>103</v>
      </c>
      <c r="D30" s="301">
        <v>64</v>
      </c>
      <c r="E30" s="301">
        <v>98</v>
      </c>
      <c r="F30" s="301">
        <v>72</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124</v>
      </c>
      <c r="E33" s="301">
        <v>111</v>
      </c>
      <c r="F33" s="301">
        <v>88</v>
      </c>
      <c r="G33" s="207" t="s">
        <v>67</v>
      </c>
    </row>
    <row r="34" hidden="1" ht="45" customHeight="1">
      <c r="A34" s="226"/>
      <c r="B34" s="238">
        <v>1144</v>
      </c>
      <c r="C34" s="242" t="s">
        <v>107</v>
      </c>
      <c r="D34" s="301">
        <v>86</v>
      </c>
      <c r="E34" s="301">
        <v>112</v>
      </c>
      <c r="F34" s="301">
        <v>89</v>
      </c>
      <c r="G34" s="207" t="s">
        <v>67</v>
      </c>
    </row>
    <row r="35" hidden="1" ht="45" customHeight="1">
      <c r="A35" s="226"/>
      <c r="B35" s="238">
        <v>1145</v>
      </c>
      <c r="C35" s="242" t="s">
        <v>108</v>
      </c>
      <c r="D35" s="301">
        <v>112</v>
      </c>
      <c r="E35" s="301">
        <v>111</v>
      </c>
      <c r="F35" s="301">
        <v>99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100</v>
      </c>
      <c r="E37" s="301">
        <v>100</v>
      </c>
      <c r="F37" s="301">
        <v>68</v>
      </c>
      <c r="G37" s="207" t="s">
        <v>67</v>
      </c>
    </row>
    <row r="38" hidden="1" ht="45" customHeight="1">
      <c r="A38" s="226"/>
      <c r="B38" s="238">
        <v>1153</v>
      </c>
      <c r="C38" s="242" t="s">
        <v>111</v>
      </c>
      <c r="D38" s="301">
        <v>98</v>
      </c>
      <c r="E38" s="301">
        <v>59</v>
      </c>
      <c r="F38" s="301">
        <v>90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100</v>
      </c>
      <c r="E40" s="301">
        <v>100</v>
      </c>
      <c r="F40" s="301">
        <v>68</v>
      </c>
      <c r="G40" s="207" t="s">
        <v>67</v>
      </c>
    </row>
    <row r="41" hidden="1" ht="45" customHeight="1">
      <c r="A41" s="226"/>
      <c r="B41" s="238">
        <v>1156</v>
      </c>
      <c r="C41" s="242" t="s">
        <v>113</v>
      </c>
      <c r="D41" s="301">
        <v>98</v>
      </c>
      <c r="E41" s="301">
        <v>59</v>
      </c>
      <c r="F41" s="301">
        <v>90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16</v>
      </c>
      <c r="E43" s="301">
        <v>27</v>
      </c>
      <c r="F43" s="301">
        <v>18</v>
      </c>
      <c r="G43" s="207" t="s">
        <v>67</v>
      </c>
    </row>
    <row r="44" hidden="1" ht="45" customHeight="1" s="250" customFormat="1">
      <c r="A44" s="226"/>
      <c r="B44" s="238">
        <v>1159</v>
      </c>
      <c r="C44" s="242" t="s">
        <v>116</v>
      </c>
      <c r="D44" s="301">
        <v>27</v>
      </c>
      <c r="E44" s="301">
        <v>24</v>
      </c>
      <c r="F44" s="301">
        <v>29</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11</v>
      </c>
      <c r="E53" s="301">
        <v>14</v>
      </c>
      <c r="F53" s="301">
        <v>18</v>
      </c>
      <c r="G53" s="207" t="s">
        <v>117</v>
      </c>
    </row>
    <row r="54" hidden="1" ht="45" customHeight="1">
      <c r="A54" s="226"/>
      <c r="B54" s="238">
        <v>1214</v>
      </c>
      <c r="C54" s="264" t="s">
        <v>132</v>
      </c>
      <c r="D54" s="301">
        <v>11</v>
      </c>
      <c r="E54" s="301">
        <v>14</v>
      </c>
      <c r="F54" s="301">
        <v>18</v>
      </c>
      <c r="G54" s="207" t="s">
        <v>117</v>
      </c>
    </row>
    <row r="55" hidden="1" ht="45" customHeight="1">
      <c r="A55" s="226"/>
      <c r="B55" s="238">
        <v>1215</v>
      </c>
      <c r="C55" s="242" t="s">
        <v>133</v>
      </c>
      <c r="D55" s="301">
        <v>11</v>
      </c>
      <c r="E55" s="301">
        <v>14</v>
      </c>
      <c r="F55" s="301">
        <v>18</v>
      </c>
      <c r="G55" s="207" t="s">
        <v>117</v>
      </c>
    </row>
    <row r="56" hidden="1" ht="45" customHeight="1">
      <c r="A56" s="226"/>
      <c r="B56" s="238">
        <v>1216</v>
      </c>
      <c r="C56" s="243" t="s">
        <v>134</v>
      </c>
      <c r="D56" s="301">
        <v>11</v>
      </c>
      <c r="E56" s="301">
        <v>14</v>
      </c>
      <c r="F56" s="301">
        <v>18</v>
      </c>
      <c r="G56" s="207" t="s">
        <v>117</v>
      </c>
    </row>
    <row r="57" hidden="1" ht="45" customHeight="1">
      <c r="A57" s="226"/>
      <c r="B57" s="238">
        <v>1217</v>
      </c>
      <c r="C57" s="243" t="s">
        <v>135</v>
      </c>
      <c r="D57" s="301">
        <v>8</v>
      </c>
      <c r="E57" s="301">
        <v>16</v>
      </c>
      <c r="F57" s="301">
        <v>13</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11</v>
      </c>
      <c r="E59" s="301">
        <v>14</v>
      </c>
      <c r="F59" s="301">
        <v>18</v>
      </c>
      <c r="G59" s="207" t="s">
        <v>117</v>
      </c>
    </row>
    <row r="60" hidden="1" ht="45" customHeight="1">
      <c r="A60" s="226"/>
      <c r="B60" s="238">
        <v>1222</v>
      </c>
      <c r="C60" s="264" t="s">
        <v>138</v>
      </c>
      <c r="D60" s="301">
        <v>11</v>
      </c>
      <c r="E60" s="301">
        <v>14</v>
      </c>
      <c r="F60" s="301">
        <v>18</v>
      </c>
      <c r="G60" s="207" t="s">
        <v>117</v>
      </c>
    </row>
    <row r="61" hidden="1" ht="45" customHeight="1">
      <c r="A61" s="226"/>
      <c r="B61" s="238">
        <v>1223</v>
      </c>
      <c r="C61" s="264" t="s">
        <v>139</v>
      </c>
      <c r="D61" s="301">
        <v>3</v>
      </c>
      <c r="E61" s="301">
        <v>4</v>
      </c>
      <c r="F61" s="301">
        <v>6</v>
      </c>
      <c r="G61" s="207" t="s">
        <v>117</v>
      </c>
    </row>
    <row r="62" hidden="1" ht="54.65" customHeight="1">
      <c r="A62" s="226"/>
      <c r="B62" s="238">
        <v>1224</v>
      </c>
      <c r="C62" s="264" t="s">
        <v>140</v>
      </c>
      <c r="D62" s="301">
        <v>3</v>
      </c>
      <c r="E62" s="301">
        <v>4</v>
      </c>
      <c r="F62" s="301">
        <v>6</v>
      </c>
      <c r="G62" s="207" t="s">
        <v>117</v>
      </c>
    </row>
    <row r="63" hidden="1" ht="66.65" customHeight="1">
      <c r="A63" s="226"/>
      <c r="B63" s="238">
        <v>1225</v>
      </c>
      <c r="C63" s="264" t="s">
        <v>141</v>
      </c>
      <c r="D63" s="301">
        <v>3</v>
      </c>
      <c r="E63" s="301">
        <v>4</v>
      </c>
      <c r="F63" s="301">
        <v>6</v>
      </c>
      <c r="G63" s="207" t="s">
        <v>117</v>
      </c>
    </row>
    <row r="64" hidden="1" ht="45" customHeight="1">
      <c r="A64" s="226"/>
      <c r="B64" s="238">
        <v>1226</v>
      </c>
      <c r="C64" s="264" t="s">
        <v>142</v>
      </c>
      <c r="D64" s="301">
        <v>8</v>
      </c>
      <c r="E64" s="301">
        <v>16</v>
      </c>
      <c r="F64" s="301">
        <v>13</v>
      </c>
      <c r="G64" s="207" t="s">
        <v>117</v>
      </c>
    </row>
    <row r="65" hidden="1" ht="45" customHeight="1">
      <c r="A65" s="226"/>
      <c r="B65" s="238">
        <v>1227</v>
      </c>
      <c r="C65" s="264" t="s">
        <v>143</v>
      </c>
      <c r="D65" s="301">
        <v>8</v>
      </c>
      <c r="E65" s="301">
        <v>16</v>
      </c>
      <c r="F65" s="301">
        <v>13</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3</v>
      </c>
      <c r="E67" s="301">
        <v>4</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8</v>
      </c>
      <c r="E69" s="301">
        <v>16</v>
      </c>
      <c r="F69" s="301">
        <v>13</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v>
      </c>
      <c r="E71" s="301">
        <v>4</v>
      </c>
      <c r="F71" s="301">
        <v>6</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v>
      </c>
      <c r="E73" s="301">
        <v>4</v>
      </c>
      <c r="F73" s="301">
        <v>6</v>
      </c>
      <c r="G73" s="207" t="s">
        <v>117</v>
      </c>
    </row>
    <row r="74" hidden="1" ht="45" customHeight="1">
      <c r="A74" s="226"/>
      <c r="B74" s="238">
        <v>1242</v>
      </c>
      <c r="C74" s="242" t="s">
        <v>152</v>
      </c>
      <c r="D74" s="301">
        <v>8</v>
      </c>
      <c r="E74" s="301">
        <v>16</v>
      </c>
      <c r="F74" s="301">
        <v>13</v>
      </c>
      <c r="G74" s="207" t="s">
        <v>117</v>
      </c>
    </row>
    <row r="75" hidden="1" ht="45" customHeight="1">
      <c r="A75" s="226"/>
      <c r="B75" s="238">
        <v>1243</v>
      </c>
      <c r="C75" s="243" t="s">
        <v>153</v>
      </c>
      <c r="D75" s="301">
        <v>3</v>
      </c>
      <c r="E75" s="301">
        <v>4</v>
      </c>
      <c r="F75" s="301">
        <v>6</v>
      </c>
      <c r="G75" s="207" t="s">
        <v>117</v>
      </c>
    </row>
    <row r="76" hidden="1" ht="45" customHeight="1">
      <c r="A76" s="226"/>
      <c r="B76" s="238">
        <v>1244</v>
      </c>
      <c r="C76" s="243" t="s">
        <v>154</v>
      </c>
      <c r="D76" s="301">
        <v>8</v>
      </c>
      <c r="E76" s="301">
        <v>16</v>
      </c>
      <c r="F76" s="301">
        <v>13</v>
      </c>
      <c r="G76" s="207" t="s">
        <v>117</v>
      </c>
    </row>
    <row r="77" hidden="1" ht="45" customHeight="1">
      <c r="A77" s="226"/>
      <c r="B77" s="238">
        <v>1245</v>
      </c>
      <c r="C77" s="243" t="s">
        <v>155</v>
      </c>
      <c r="D77" s="301">
        <v>3</v>
      </c>
      <c r="E77" s="301">
        <v>4</v>
      </c>
      <c r="F77" s="301">
        <v>6</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v>
      </c>
      <c r="E79" s="301">
        <v>4</v>
      </c>
      <c r="F79" s="301">
        <v>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v>
      </c>
      <c r="E82" s="301">
        <v>4</v>
      </c>
      <c r="F82" s="301">
        <v>6</v>
      </c>
      <c r="G82" s="207" t="s">
        <v>117</v>
      </c>
    </row>
    <row r="83" hidden="1" ht="45" customHeight="1">
      <c r="A83" s="226"/>
      <c r="B83" s="238">
        <v>1253</v>
      </c>
      <c r="C83" s="242" t="s">
        <v>161</v>
      </c>
      <c r="D83" s="301">
        <v>3</v>
      </c>
      <c r="E83" s="301">
        <v>4</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8</v>
      </c>
      <c r="E88" s="301">
        <v>16</v>
      </c>
      <c r="F88" s="301">
        <v>13</v>
      </c>
      <c r="G88" s="207" t="s">
        <v>117</v>
      </c>
    </row>
    <row r="89" hidden="1" ht="45" customHeight="1">
      <c r="A89" s="226"/>
      <c r="B89" s="238">
        <v>1259</v>
      </c>
      <c r="C89" s="242" t="s">
        <v>167</v>
      </c>
      <c r="D89" s="301">
        <v>8</v>
      </c>
      <c r="E89" s="301">
        <v>15</v>
      </c>
      <c r="F89" s="301">
        <v>13</v>
      </c>
      <c r="G89" s="207" t="s">
        <v>117</v>
      </c>
    </row>
    <row r="90" hidden="1" ht="45" customHeight="1">
      <c r="A90" s="226"/>
      <c r="C90" s="252"/>
      <c r="D90" s="253"/>
      <c r="E90" s="254"/>
      <c r="F90" s="254"/>
      <c r="G90" s="266"/>
    </row>
    <row r="91" ht="45" customHeight="1">
      <c r="A91" s="226"/>
      <c r="B91" s="220" t="s">
        <v>168</v>
      </c>
      <c r="C91" s="260" t="s">
        <v>169</v>
      </c>
      <c r="D91" s="228"/>
      <c r="E91" s="231"/>
      <c r="F91" s="300">
        <v>37</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8</v>
      </c>
      <c r="E93" s="301">
        <v>16</v>
      </c>
      <c r="F93" s="301">
        <v>13</v>
      </c>
      <c r="G93" s="266" t="s">
        <v>168</v>
      </c>
    </row>
    <row r="94" ht="45" customHeight="1">
      <c r="A94" s="226"/>
      <c r="B94" s="238">
        <v>1314</v>
      </c>
      <c r="C94" s="269" t="s">
        <v>173</v>
      </c>
      <c r="D94" s="301">
        <v>8</v>
      </c>
      <c r="E94" s="301">
        <v>16</v>
      </c>
      <c r="F94" s="301">
        <v>13</v>
      </c>
      <c r="G94" s="266" t="s">
        <v>168</v>
      </c>
    </row>
    <row r="95" ht="45" customHeight="1">
      <c r="A95" s="226"/>
      <c r="B95" s="238">
        <v>1315</v>
      </c>
      <c r="C95" s="243" t="s">
        <v>174</v>
      </c>
      <c r="D95" s="301">
        <v>8</v>
      </c>
      <c r="E95" s="301">
        <v>16</v>
      </c>
      <c r="F95" s="301">
        <v>13</v>
      </c>
      <c r="G95" s="266" t="s">
        <v>168</v>
      </c>
    </row>
    <row r="96" ht="45" customHeight="1" s="270" customFormat="1">
      <c r="A96" s="226"/>
      <c r="B96" s="238">
        <v>1316</v>
      </c>
      <c r="C96" s="243" t="s">
        <v>175</v>
      </c>
      <c r="D96" s="301">
        <v>8</v>
      </c>
      <c r="E96" s="301">
        <v>16</v>
      </c>
      <c r="F96" s="301">
        <v>13</v>
      </c>
      <c r="G96" s="266" t="s">
        <v>168</v>
      </c>
    </row>
    <row r="97" ht="45" customHeight="1" s="270" customFormat="1">
      <c r="A97" s="226"/>
      <c r="B97" s="238">
        <v>1321</v>
      </c>
      <c r="C97" s="242" t="s">
        <v>176</v>
      </c>
      <c r="D97" s="301">
        <v>8</v>
      </c>
      <c r="E97" s="301">
        <v>16</v>
      </c>
      <c r="F97" s="301">
        <v>13</v>
      </c>
      <c r="G97" s="266" t="s">
        <v>168</v>
      </c>
    </row>
    <row r="98" ht="45" customHeight="1" s="270" customFormat="1">
      <c r="A98" s="226"/>
      <c r="B98" s="238">
        <v>1322</v>
      </c>
      <c r="C98" s="242" t="s">
        <v>177</v>
      </c>
      <c r="D98" s="301">
        <v>8</v>
      </c>
      <c r="E98" s="301">
        <v>16</v>
      </c>
      <c r="F98" s="301">
        <v>13</v>
      </c>
      <c r="G98" s="266" t="s">
        <v>168</v>
      </c>
    </row>
    <row r="99" ht="45" customHeight="1" s="270" customFormat="1">
      <c r="A99" s="226"/>
      <c r="B99" s="238">
        <v>1323</v>
      </c>
      <c r="C99" s="242" t="s">
        <v>178</v>
      </c>
      <c r="D99" s="301">
        <v>8</v>
      </c>
      <c r="E99" s="301">
        <v>16</v>
      </c>
      <c r="F99" s="301">
        <v>13</v>
      </c>
      <c r="G99" s="266" t="s">
        <v>168</v>
      </c>
    </row>
    <row r="100" ht="45" customHeight="1" s="270" customFormat="1">
      <c r="A100" s="226"/>
      <c r="B100" s="238">
        <v>1324</v>
      </c>
      <c r="C100" s="242" t="s">
        <v>179</v>
      </c>
      <c r="D100" s="301">
        <v>8</v>
      </c>
      <c r="E100" s="301">
        <v>16</v>
      </c>
      <c r="F100" s="301">
        <v>13</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8</v>
      </c>
      <c r="E102" s="301">
        <v>16</v>
      </c>
      <c r="F102" s="301">
        <v>13</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8</v>
      </c>
      <c r="E107" s="271">
        <f>E94</f>
        <v>16</v>
      </c>
      <c r="F107" s="271">
        <f>F94</f>
        <v>13</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47</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9</v>
      </c>
      <c r="E119" s="301">
        <v>21</v>
      </c>
      <c r="F119" s="301">
        <v>17</v>
      </c>
      <c r="G119" s="207" t="s">
        <v>194</v>
      </c>
    </row>
    <row r="120" hidden="1" ht="45" customHeight="1" s="270" customFormat="1">
      <c r="A120" s="226"/>
      <c r="B120" s="238">
        <v>1414</v>
      </c>
      <c r="C120" s="243" t="s">
        <v>198</v>
      </c>
      <c r="D120" s="301">
        <v>20</v>
      </c>
      <c r="E120" s="301">
        <v>21</v>
      </c>
      <c r="F120" s="301">
        <v>18</v>
      </c>
      <c r="G120" s="207" t="s">
        <v>194</v>
      </c>
    </row>
    <row r="121" hidden="1" ht="45" customHeight="1" s="270" customFormat="1">
      <c r="A121" s="226"/>
      <c r="B121" s="238">
        <v>1422</v>
      </c>
      <c r="C121" s="242" t="s">
        <v>199</v>
      </c>
      <c r="D121" s="301">
        <v>20</v>
      </c>
      <c r="E121" s="301">
        <v>21</v>
      </c>
      <c r="F121" s="301">
        <v>18</v>
      </c>
      <c r="G121" s="207" t="s">
        <v>194</v>
      </c>
    </row>
    <row r="122" hidden="1" ht="45" customHeight="1" s="270" customFormat="1">
      <c r="A122" s="226"/>
      <c r="B122" s="238">
        <v>1423</v>
      </c>
      <c r="C122" s="242" t="s">
        <v>200</v>
      </c>
      <c r="D122" s="301">
        <v>19</v>
      </c>
      <c r="E122" s="301">
        <v>21</v>
      </c>
      <c r="F122" s="301">
        <v>18</v>
      </c>
      <c r="G122" s="207" t="s">
        <v>194</v>
      </c>
    </row>
    <row r="123" hidden="1" ht="45" customHeight="1" s="270" customFormat="1">
      <c r="A123" s="226"/>
      <c r="B123" s="238">
        <v>1424</v>
      </c>
      <c r="C123" s="242" t="s">
        <v>201</v>
      </c>
      <c r="D123" s="301">
        <v>10</v>
      </c>
      <c r="E123" s="301">
        <v>21</v>
      </c>
      <c r="F123" s="301">
        <v>18</v>
      </c>
      <c r="G123" s="207" t="s">
        <v>194</v>
      </c>
    </row>
    <row r="124" hidden="1" ht="45" customHeight="1" s="270" customFormat="1">
      <c r="A124" s="226"/>
      <c r="B124" s="238">
        <v>1425</v>
      </c>
      <c r="C124" s="242" t="s">
        <v>202</v>
      </c>
      <c r="D124" s="301">
        <v>10</v>
      </c>
      <c r="E124" s="301">
        <v>21</v>
      </c>
      <c r="F124" s="301">
        <v>18</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0</v>
      </c>
      <c r="F126" s="301">
        <v>0</v>
      </c>
      <c r="G126" s="207" t="s">
        <v>194</v>
      </c>
    </row>
    <row r="127" hidden="1" ht="45" customHeight="1" s="270" customFormat="1">
      <c r="A127" s="226"/>
      <c r="B127" s="238">
        <v>1432</v>
      </c>
      <c r="C127" s="242" t="s">
        <v>206</v>
      </c>
      <c r="D127" s="301">
        <v>14</v>
      </c>
      <c r="E127" s="301">
        <v>46</v>
      </c>
      <c r="F127" s="301">
        <v>0</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14</v>
      </c>
      <c r="E129" s="301">
        <v>46</v>
      </c>
      <c r="F129" s="301">
        <v>0</v>
      </c>
      <c r="G129" s="207" t="s">
        <v>194</v>
      </c>
    </row>
    <row r="130" hidden="1" ht="45" customHeight="1" s="270" customFormat="1">
      <c r="A130" s="226"/>
      <c r="B130" s="238">
        <v>1435</v>
      </c>
      <c r="C130" s="242" t="s">
        <v>209</v>
      </c>
      <c r="D130" s="301">
        <v>4</v>
      </c>
      <c r="E130" s="301">
        <v>1</v>
      </c>
      <c r="F130" s="301">
        <v>2</v>
      </c>
      <c r="G130" s="207" t="s">
        <v>194</v>
      </c>
    </row>
    <row r="131" hidden="1" ht="45" customHeight="1" s="270" customFormat="1">
      <c r="A131" s="226"/>
      <c r="B131" s="238">
        <v>1441</v>
      </c>
      <c r="C131" s="242" t="s">
        <v>210</v>
      </c>
      <c r="D131" s="301">
        <v>14</v>
      </c>
      <c r="E131" s="301">
        <v>46</v>
      </c>
      <c r="F131" s="301">
        <v>0</v>
      </c>
      <c r="G131" s="207" t="s">
        <v>194</v>
      </c>
    </row>
    <row r="132" hidden="1" ht="45" customHeight="1" s="270" customFormat="1">
      <c r="A132" s="226"/>
      <c r="B132" s="238">
        <v>1442</v>
      </c>
      <c r="C132" s="242" t="s">
        <v>211</v>
      </c>
      <c r="D132" s="271">
        <f>D120</f>
        <v>20</v>
      </c>
      <c r="E132" s="271">
        <f>E120</f>
        <v>21</v>
      </c>
      <c r="F132" s="271">
        <f>F120</f>
        <v>18</v>
      </c>
      <c r="G132" s="207"/>
    </row>
    <row r="133" hidden="1" ht="45" customHeight="1" s="270" customFormat="1">
      <c r="A133" s="226"/>
      <c r="B133" s="238">
        <v>1443</v>
      </c>
      <c r="C133" s="242" t="s">
        <v>212</v>
      </c>
      <c r="D133" s="301">
        <v>21</v>
      </c>
      <c r="E133" s="301">
        <v>26</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0</v>
      </c>
      <c r="F135" s="301">
        <v>0</v>
      </c>
      <c r="G135" s="207" t="s">
        <v>194</v>
      </c>
    </row>
    <row r="136" hidden="1" ht="45" customHeight="1" s="270" customFormat="1">
      <c r="A136" s="226"/>
      <c r="B136" s="238">
        <v>1453</v>
      </c>
      <c r="C136" s="242" t="s">
        <v>215</v>
      </c>
      <c r="D136" s="301">
        <v>6</v>
      </c>
      <c r="E136" s="301">
        <v>8</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14</v>
      </c>
      <c r="E138" s="301">
        <v>46</v>
      </c>
      <c r="F138" s="301">
        <v>0</v>
      </c>
      <c r="G138" s="207" t="s">
        <v>194</v>
      </c>
    </row>
    <row r="139" hidden="1" ht="45" customHeight="1">
      <c r="A139" s="226"/>
      <c r="B139" s="238">
        <v>1456</v>
      </c>
      <c r="C139" s="242" t="s">
        <v>218</v>
      </c>
      <c r="D139" s="301">
        <v>21</v>
      </c>
      <c r="E139" s="301">
        <v>26</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102</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30</v>
      </c>
      <c r="E144" s="301">
        <v>33</v>
      </c>
      <c r="F144" s="301">
        <v>23</v>
      </c>
      <c r="G144" s="207" t="s">
        <v>219</v>
      </c>
    </row>
    <row r="145" hidden="1" ht="45" customHeight="1">
      <c r="A145" s="226"/>
      <c r="B145" s="238">
        <v>1514</v>
      </c>
      <c r="C145" s="264" t="s">
        <v>225</v>
      </c>
      <c r="D145" s="301">
        <v>17</v>
      </c>
      <c r="E145" s="301">
        <v>19</v>
      </c>
      <c r="F145" s="301">
        <v>21</v>
      </c>
      <c r="G145" s="207" t="s">
        <v>219</v>
      </c>
    </row>
    <row r="146" hidden="1" ht="45" customHeight="1">
      <c r="A146" s="226">
        <v>1541</v>
      </c>
      <c r="B146" s="238">
        <v>1515</v>
      </c>
      <c r="C146" s="264" t="s">
        <v>226</v>
      </c>
      <c r="D146" s="301">
        <v>17</v>
      </c>
      <c r="E146" s="301">
        <v>19</v>
      </c>
      <c r="F146" s="301">
        <v>21</v>
      </c>
      <c r="G146" s="207" t="s">
        <v>219</v>
      </c>
    </row>
    <row r="147" hidden="1" ht="45" customHeight="1">
      <c r="A147" s="226"/>
      <c r="B147" s="238">
        <v>1521</v>
      </c>
      <c r="C147" s="264" t="s">
        <v>227</v>
      </c>
      <c r="D147" s="301">
        <v>17</v>
      </c>
      <c r="E147" s="301">
        <v>19</v>
      </c>
      <c r="F147" s="301">
        <v>21</v>
      </c>
      <c r="G147" s="207" t="s">
        <v>219</v>
      </c>
    </row>
    <row r="148" hidden="1" ht="45" customHeight="1">
      <c r="A148" s="226"/>
      <c r="B148" s="238">
        <v>1522</v>
      </c>
      <c r="C148" s="264" t="s">
        <v>228</v>
      </c>
      <c r="D148" s="301">
        <v>17</v>
      </c>
      <c r="E148" s="301">
        <v>19</v>
      </c>
      <c r="F148" s="301">
        <v>21</v>
      </c>
      <c r="G148" s="207" t="s">
        <v>219</v>
      </c>
    </row>
    <row r="149" hidden="1" ht="45" customHeight="1">
      <c r="A149" s="226"/>
      <c r="B149" s="238">
        <v>1523</v>
      </c>
      <c r="C149" s="264" t="s">
        <v>229</v>
      </c>
      <c r="D149" s="301">
        <v>24</v>
      </c>
      <c r="E149" s="301">
        <v>24</v>
      </c>
      <c r="F149" s="301">
        <v>20</v>
      </c>
      <c r="G149" s="207" t="s">
        <v>219</v>
      </c>
    </row>
    <row r="150" hidden="1" ht="45" customHeight="1">
      <c r="A150" s="226"/>
      <c r="B150" s="238">
        <v>1524</v>
      </c>
      <c r="C150" s="264" t="s">
        <v>230</v>
      </c>
      <c r="D150" s="301">
        <v>35</v>
      </c>
      <c r="E150" s="301">
        <v>39</v>
      </c>
      <c r="F150" s="301">
        <v>27</v>
      </c>
      <c r="G150" s="207" t="s">
        <v>219</v>
      </c>
    </row>
    <row r="151" hidden="1" ht="45" customHeight="1">
      <c r="A151" s="226"/>
      <c r="B151" s="238">
        <v>1531</v>
      </c>
      <c r="C151" s="242" t="s">
        <v>231</v>
      </c>
      <c r="D151" s="301">
        <v>12</v>
      </c>
      <c r="E151" s="301">
        <v>8</v>
      </c>
      <c r="F151" s="301">
        <v>7</v>
      </c>
      <c r="G151" s="207" t="s">
        <v>219</v>
      </c>
    </row>
    <row r="152" hidden="1" ht="45" customHeight="1">
      <c r="A152" s="226"/>
      <c r="B152" s="238">
        <v>1532</v>
      </c>
      <c r="C152" s="242" t="s">
        <v>232</v>
      </c>
      <c r="D152" s="301">
        <v>18</v>
      </c>
      <c r="E152" s="301">
        <v>25</v>
      </c>
      <c r="F152" s="301">
        <v>16</v>
      </c>
      <c r="G152" s="207" t="s">
        <v>219</v>
      </c>
    </row>
    <row r="153" hidden="1" ht="45" customHeight="1">
      <c r="A153" s="226"/>
      <c r="B153" s="238">
        <v>1533</v>
      </c>
      <c r="C153" s="242" t="s">
        <v>233</v>
      </c>
      <c r="D153" s="301">
        <v>29</v>
      </c>
      <c r="E153" s="301">
        <v>34</v>
      </c>
      <c r="F153" s="301">
        <v>24</v>
      </c>
      <c r="G153" s="207" t="s">
        <v>219</v>
      </c>
    </row>
    <row r="154" hidden="1" ht="45" customHeight="1">
      <c r="A154" s="226"/>
      <c r="B154" s="238">
        <v>1534</v>
      </c>
      <c r="C154" s="242" t="s">
        <v>234</v>
      </c>
      <c r="D154" s="301">
        <v>6</v>
      </c>
      <c r="E154" s="301">
        <v>5</v>
      </c>
      <c r="F154" s="301">
        <v>3</v>
      </c>
      <c r="G154" s="207" t="s">
        <v>219</v>
      </c>
    </row>
    <row r="155" hidden="1" ht="45" customHeight="1">
      <c r="A155" s="226"/>
      <c r="B155" s="238">
        <v>1541</v>
      </c>
      <c r="C155" s="242" t="s">
        <v>235</v>
      </c>
      <c r="D155" s="301">
        <v>17</v>
      </c>
      <c r="E155" s="301">
        <v>19</v>
      </c>
      <c r="F155" s="301">
        <v>21</v>
      </c>
      <c r="G155" s="207" t="s">
        <v>219</v>
      </c>
    </row>
    <row r="156" hidden="1" ht="45" customHeight="1">
      <c r="A156" s="226"/>
      <c r="B156" s="238">
        <v>1542</v>
      </c>
      <c r="C156" s="264" t="s">
        <v>236</v>
      </c>
      <c r="D156" s="301">
        <v>30</v>
      </c>
      <c r="E156" s="301">
        <v>33</v>
      </c>
      <c r="F156" s="301">
        <v>23</v>
      </c>
      <c r="G156" s="207" t="s">
        <v>219</v>
      </c>
    </row>
    <row r="157" hidden="1" ht="45" customHeight="1">
      <c r="A157" s="226"/>
      <c r="B157" s="238">
        <v>1543</v>
      </c>
      <c r="C157" s="264" t="s">
        <v>237</v>
      </c>
      <c r="D157" s="301">
        <v>35</v>
      </c>
      <c r="E157" s="301">
        <v>39</v>
      </c>
      <c r="F157" s="301">
        <v>27</v>
      </c>
      <c r="G157" s="207" t="s">
        <v>219</v>
      </c>
    </row>
    <row r="158" hidden="1" ht="45" customHeight="1">
      <c r="A158" s="226"/>
      <c r="B158" s="238">
        <v>1544</v>
      </c>
      <c r="C158" s="242" t="s">
        <v>238</v>
      </c>
      <c r="D158" s="301">
        <v>34</v>
      </c>
      <c r="E158" s="301">
        <v>37</v>
      </c>
      <c r="F158" s="301">
        <v>30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35</v>
      </c>
      <c r="E160" s="301">
        <v>39</v>
      </c>
      <c r="F160" s="301">
        <v>27</v>
      </c>
      <c r="G160" s="207" t="s">
        <v>219</v>
      </c>
    </row>
    <row r="161" hidden="1" ht="45" customHeight="1">
      <c r="A161" s="226"/>
      <c r="B161" s="238">
        <v>1553</v>
      </c>
      <c r="C161" s="242" t="s">
        <v>241</v>
      </c>
      <c r="D161" s="301">
        <v>34</v>
      </c>
      <c r="E161" s="301">
        <v>37</v>
      </c>
      <c r="F161" s="301">
        <v>30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30</v>
      </c>
      <c r="E163" s="301">
        <v>33</v>
      </c>
      <c r="F163" s="301">
        <v>23</v>
      </c>
      <c r="G163" s="207" t="s">
        <v>219</v>
      </c>
    </row>
    <row r="164" hidden="1" ht="45" customHeight="1">
      <c r="A164" s="226"/>
      <c r="B164" s="238">
        <v>1556</v>
      </c>
      <c r="C164" s="242" t="s">
        <v>241</v>
      </c>
      <c r="D164" s="301">
        <v>34</v>
      </c>
      <c r="E164" s="301">
        <v>37</v>
      </c>
      <c r="F164" s="301">
        <v>30</v>
      </c>
      <c r="G164" s="207" t="s">
        <v>219</v>
      </c>
    </row>
    <row r="165" hidden="1" ht="45" customHeight="1">
      <c r="A165" s="226"/>
      <c r="C165" s="278"/>
      <c r="D165" s="279"/>
      <c r="G165" s="207"/>
    </row>
    <row r="166" hidden="1" ht="45" customHeight="1">
      <c r="A166" s="226"/>
      <c r="B166" s="281" t="s">
        <v>244</v>
      </c>
      <c r="C166" s="260" t="s">
        <v>245</v>
      </c>
      <c r="D166" s="228"/>
      <c r="E166" s="231"/>
      <c r="F166" s="300">
        <v>3148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30</v>
      </c>
      <c r="E171" s="301">
        <v>35</v>
      </c>
      <c r="F171" s="301">
        <v>40</v>
      </c>
      <c r="G171" s="207" t="s">
        <v>244</v>
      </c>
    </row>
    <row r="172" hidden="1" ht="45" customHeight="1">
      <c r="A172" s="226"/>
      <c r="B172" s="238">
        <v>1614</v>
      </c>
      <c r="C172" s="283" t="s">
        <v>251</v>
      </c>
      <c r="D172" s="301">
        <v>30</v>
      </c>
      <c r="E172" s="301">
        <v>35</v>
      </c>
      <c r="F172" s="301">
        <v>40</v>
      </c>
      <c r="G172" s="207" t="s">
        <v>244</v>
      </c>
    </row>
    <row r="173" hidden="1" ht="45" customHeight="1">
      <c r="A173" s="226"/>
      <c r="B173" s="238">
        <v>1615</v>
      </c>
      <c r="C173" s="242" t="s">
        <v>252</v>
      </c>
      <c r="D173" s="301">
        <v>30</v>
      </c>
      <c r="E173" s="301">
        <v>30</v>
      </c>
      <c r="F173" s="301">
        <v>30</v>
      </c>
      <c r="G173" s="207" t="s">
        <v>244</v>
      </c>
    </row>
    <row r="174" hidden="1" ht="45" customHeight="1">
      <c r="A174" s="226"/>
      <c r="B174" s="238">
        <v>1616</v>
      </c>
      <c r="C174" s="242" t="s">
        <v>253</v>
      </c>
      <c r="D174" s="301">
        <v>30</v>
      </c>
      <c r="E174" s="301">
        <v>35</v>
      </c>
      <c r="F174" s="301">
        <v>40</v>
      </c>
      <c r="G174" s="207" t="s">
        <v>244</v>
      </c>
    </row>
    <row r="175" hidden="1" ht="45" customHeight="1">
      <c r="A175" s="226"/>
      <c r="B175" s="238">
        <v>1621</v>
      </c>
      <c r="C175" s="242" t="s">
        <v>254</v>
      </c>
      <c r="D175" s="301">
        <v>30</v>
      </c>
      <c r="E175" s="301">
        <v>35</v>
      </c>
      <c r="F175" s="301">
        <v>40</v>
      </c>
      <c r="G175" s="207" t="s">
        <v>244</v>
      </c>
    </row>
    <row r="176" hidden="1" ht="45" customHeight="1">
      <c r="A176" s="226"/>
      <c r="B176" s="238">
        <v>1622</v>
      </c>
      <c r="C176" s="242" t="s">
        <v>255</v>
      </c>
      <c r="D176" s="301">
        <v>30</v>
      </c>
      <c r="E176" s="301">
        <v>35</v>
      </c>
      <c r="F176" s="301">
        <v>40</v>
      </c>
      <c r="G176" s="207" t="s">
        <v>244</v>
      </c>
    </row>
    <row r="177" hidden="1" ht="45" customHeight="1">
      <c r="A177" s="226"/>
      <c r="B177" s="238">
        <v>1623</v>
      </c>
      <c r="C177" s="242" t="s">
        <v>256</v>
      </c>
      <c r="D177" s="301">
        <v>30</v>
      </c>
      <c r="E177" s="301">
        <v>35</v>
      </c>
      <c r="F177" s="301">
        <v>40</v>
      </c>
      <c r="G177" s="207" t="s">
        <v>244</v>
      </c>
    </row>
    <row r="178" hidden="1" ht="45" customHeight="1">
      <c r="A178" s="226"/>
      <c r="B178" s="238">
        <v>1624</v>
      </c>
      <c r="C178" s="242" t="s">
        <v>257</v>
      </c>
      <c r="D178" s="301">
        <v>30</v>
      </c>
      <c r="E178" s="301">
        <v>35</v>
      </c>
      <c r="F178" s="301">
        <v>40</v>
      </c>
      <c r="G178" s="207" t="s">
        <v>244</v>
      </c>
    </row>
    <row r="179" hidden="1" ht="45" customHeight="1">
      <c r="A179" s="226"/>
      <c r="B179" s="238">
        <v>1625</v>
      </c>
      <c r="C179" s="242" t="s">
        <v>258</v>
      </c>
      <c r="D179" s="301">
        <v>30</v>
      </c>
      <c r="E179" s="301">
        <v>35</v>
      </c>
      <c r="F179" s="301">
        <v>40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648</v>
      </c>
      <c r="E181" s="301">
        <v>723</v>
      </c>
      <c r="F181" s="301">
        <v>676</v>
      </c>
      <c r="G181" s="207" t="s">
        <v>244</v>
      </c>
    </row>
    <row r="182" hidden="1" ht="45" customHeight="1">
      <c r="A182" s="226"/>
      <c r="B182" s="238">
        <v>1632</v>
      </c>
      <c r="C182" s="242" t="s">
        <v>261</v>
      </c>
      <c r="D182" s="301">
        <v>2283</v>
      </c>
      <c r="E182" s="301">
        <v>2303</v>
      </c>
      <c r="F182" s="301">
        <v>2339</v>
      </c>
      <c r="G182" s="207" t="s">
        <v>244</v>
      </c>
    </row>
    <row r="183" hidden="1" ht="45" customHeight="1">
      <c r="A183" s="226"/>
      <c r="B183" s="238">
        <v>1633</v>
      </c>
      <c r="C183" s="242" t="s">
        <v>262</v>
      </c>
      <c r="D183" s="301">
        <v>2796</v>
      </c>
      <c r="E183" s="301">
        <v>2826</v>
      </c>
      <c r="F183" s="301">
        <v>2846</v>
      </c>
      <c r="G183" s="207" t="s">
        <v>244</v>
      </c>
    </row>
    <row r="184" hidden="1" ht="45" customHeight="1">
      <c r="A184" s="226"/>
      <c r="B184" s="238">
        <v>1634</v>
      </c>
      <c r="C184" s="242" t="s">
        <v>263</v>
      </c>
      <c r="D184" s="301">
        <v>242</v>
      </c>
      <c r="E184" s="301">
        <v>245</v>
      </c>
      <c r="F184" s="301">
        <v>248</v>
      </c>
      <c r="G184" s="207" t="s">
        <v>244</v>
      </c>
    </row>
    <row r="185" hidden="1" ht="45" customHeight="1">
      <c r="A185" s="226"/>
      <c r="B185" s="238">
        <v>1635</v>
      </c>
      <c r="C185" s="242" t="s">
        <v>264</v>
      </c>
      <c r="D185" s="301">
        <v>1024</v>
      </c>
      <c r="E185" s="301">
        <v>1027</v>
      </c>
      <c r="F185" s="301">
        <v>1007</v>
      </c>
      <c r="G185" s="207" t="s">
        <v>244</v>
      </c>
    </row>
    <row r="186" hidden="1" ht="45" customHeight="1">
      <c r="A186" s="226"/>
      <c r="B186" s="238">
        <v>1641</v>
      </c>
      <c r="C186" s="242" t="s">
        <v>265</v>
      </c>
      <c r="D186" s="301">
        <v>1024</v>
      </c>
      <c r="E186" s="301">
        <v>1027</v>
      </c>
      <c r="F186" s="301">
        <v>1007</v>
      </c>
      <c r="G186" s="207" t="s">
        <v>244</v>
      </c>
    </row>
    <row r="187" hidden="1" ht="45" customHeight="1">
      <c r="A187" s="226"/>
      <c r="B187" s="238">
        <v>1642</v>
      </c>
      <c r="C187" s="242" t="s">
        <v>264</v>
      </c>
      <c r="D187" s="301">
        <v>1024</v>
      </c>
      <c r="E187" s="301">
        <v>1027</v>
      </c>
      <c r="F187" s="301">
        <v>1007</v>
      </c>
      <c r="G187" s="207" t="s">
        <v>244</v>
      </c>
    </row>
    <row r="188" hidden="1" ht="45" customHeight="1">
      <c r="A188" s="226"/>
      <c r="B188" s="238">
        <v>1643</v>
      </c>
      <c r="C188" s="242" t="s">
        <v>266</v>
      </c>
      <c r="D188" s="301">
        <v>3038</v>
      </c>
      <c r="E188" s="301">
        <v>3071</v>
      </c>
      <c r="F188" s="301">
        <v>3094</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2931</v>
      </c>
      <c r="E191" s="301">
        <v>3026</v>
      </c>
      <c r="F191" s="301">
        <v>3015</v>
      </c>
      <c r="G191" s="207" t="s">
        <v>244</v>
      </c>
    </row>
    <row r="192" hidden="1" ht="45" customHeight="1">
      <c r="A192" s="226"/>
      <c r="B192" s="238">
        <v>1653</v>
      </c>
      <c r="C192" s="242" t="s">
        <v>270</v>
      </c>
      <c r="D192" s="301">
        <v>3038</v>
      </c>
      <c r="E192" s="301">
        <v>3071</v>
      </c>
      <c r="F192" s="301">
        <v>3094</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1</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2</v>
      </c>
      <c r="E200" s="301">
        <v>0</v>
      </c>
      <c r="F200" s="301">
        <v>6</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2287</v>
      </c>
      <c r="AZ616" s="0" t="s">
        <v>2288</v>
      </c>
      <c r="BA616" s="0" t="s">
        <v>285</v>
      </c>
      <c r="BB616" s="0" t="str">
        <f t="shared" si="9"/>
        <v>CIHPbeGwerWest</v>
      </c>
    </row>
    <row r="617">
      <c r="AV617" s="0" t="s">
        <v>471</v>
      </c>
      <c r="AW617" s="0" t="s">
        <v>286</v>
      </c>
      <c r="AX617" s="0" t="s">
        <v>641</v>
      </c>
      <c r="AY617" s="0" t="s">
        <v>2289</v>
      </c>
      <c r="AZ617" s="0" t="s">
        <v>2290</v>
      </c>
      <c r="BA617" s="0" t="s">
        <v>285</v>
      </c>
      <c r="BB617" s="0" t="str">
        <f t="shared" si="9"/>
        <v>CIHPbeGwerWest</v>
      </c>
    </row>
    <row r="618">
      <c r="AV618" s="0" t="s">
        <v>471</v>
      </c>
      <c r="AW618" s="0" t="s">
        <v>286</v>
      </c>
      <c r="AX618" s="0" t="s">
        <v>641</v>
      </c>
      <c r="AY618" s="0" t="s">
        <v>2291</v>
      </c>
      <c r="AZ618" s="0" t="s">
        <v>2292</v>
      </c>
      <c r="BA618" s="0" t="s">
        <v>285</v>
      </c>
      <c r="BB618" s="0" t="str">
        <f t="shared" si="9"/>
        <v>CIHPbeGwerWest</v>
      </c>
    </row>
    <row r="619">
      <c r="AV619" s="0" t="s">
        <v>471</v>
      </c>
      <c r="AW619" s="0" t="s">
        <v>286</v>
      </c>
      <c r="AX619" s="0" t="s">
        <v>641</v>
      </c>
      <c r="AY619" s="0" t="s">
        <v>2293</v>
      </c>
      <c r="AZ619" s="0" t="s">
        <v>2294</v>
      </c>
      <c r="BA619" s="0" t="s">
        <v>285</v>
      </c>
      <c r="BB619" s="0" t="str">
        <f t="shared" si="9"/>
        <v>CIHPbeGwerWest</v>
      </c>
    </row>
    <row r="620">
      <c r="AV620" s="0" t="s">
        <v>471</v>
      </c>
      <c r="AW620" s="0" t="s">
        <v>286</v>
      </c>
      <c r="AX620" s="0" t="s">
        <v>641</v>
      </c>
      <c r="AY620" s="0" t="s">
        <v>2295</v>
      </c>
      <c r="AZ620" s="0" t="s">
        <v>2296</v>
      </c>
      <c r="BA620" s="0" t="s">
        <v>285</v>
      </c>
      <c r="BB620" s="0" t="str">
        <f t="shared" si="9"/>
        <v>CIHPbeGwerWest</v>
      </c>
    </row>
    <row r="621">
      <c r="AV621" s="0" t="s">
        <v>471</v>
      </c>
      <c r="AW621" s="0" t="s">
        <v>286</v>
      </c>
      <c r="AX621" s="0" t="s">
        <v>641</v>
      </c>
      <c r="AY621" s="0" t="s">
        <v>2297</v>
      </c>
      <c r="AZ621" s="0" t="s">
        <v>2298</v>
      </c>
      <c r="BA621" s="0" t="s">
        <v>285</v>
      </c>
      <c r="BB621" s="0" t="str">
        <f t="shared" si="9"/>
        <v>CIHPbeGwerWest</v>
      </c>
    </row>
    <row r="622">
      <c r="AV622" s="0" t="s">
        <v>471</v>
      </c>
      <c r="AW622" s="0" t="s">
        <v>286</v>
      </c>
      <c r="AX622" s="0" t="s">
        <v>641</v>
      </c>
      <c r="AY622" s="0" t="s">
        <v>2299</v>
      </c>
      <c r="AZ622" s="0" t="s">
        <v>2300</v>
      </c>
      <c r="BA622" s="0" t="s">
        <v>285</v>
      </c>
      <c r="BB622" s="0" t="str">
        <f t="shared" si="9"/>
        <v>CIHPbeGwerWest</v>
      </c>
    </row>
    <row r="623">
      <c r="AV623" s="0" t="s">
        <v>471</v>
      </c>
      <c r="AW623" s="0" t="s">
        <v>286</v>
      </c>
      <c r="AX623" s="0" t="s">
        <v>641</v>
      </c>
      <c r="AY623" s="0" t="s">
        <v>2301</v>
      </c>
      <c r="AZ623" s="0" t="s">
        <v>2302</v>
      </c>
      <c r="BA623" s="0" t="s">
        <v>285</v>
      </c>
      <c r="BB623" s="0" t="str">
        <f t="shared" si="9"/>
        <v>CIHPbeGwerWest</v>
      </c>
    </row>
    <row r="624">
      <c r="AV624" s="0" t="s">
        <v>471</v>
      </c>
      <c r="AW624" s="0" t="s">
        <v>286</v>
      </c>
      <c r="AX624" s="0" t="s">
        <v>641</v>
      </c>
      <c r="AY624" s="0" t="s">
        <v>2303</v>
      </c>
      <c r="AZ624" s="0" t="s">
        <v>2304</v>
      </c>
      <c r="BA624" s="0" t="s">
        <v>285</v>
      </c>
      <c r="BB624" s="0" t="str">
        <f t="shared" si="9"/>
        <v>CIHPbeGwerWest</v>
      </c>
    </row>
    <row r="625">
      <c r="AV625" s="0" t="s">
        <v>471</v>
      </c>
      <c r="AW625" s="0" t="s">
        <v>286</v>
      </c>
      <c r="AX625" s="0" t="s">
        <v>641</v>
      </c>
      <c r="AY625" s="0" t="s">
        <v>2305</v>
      </c>
      <c r="AZ625" s="0" t="s">
        <v>2306</v>
      </c>
      <c r="BA625" s="0" t="s">
        <v>285</v>
      </c>
      <c r="BB625" s="0" t="str">
        <f t="shared" si="9"/>
        <v>CIHPbeGwerWest</v>
      </c>
    </row>
    <row r="626">
      <c r="AV626" s="0" t="s">
        <v>471</v>
      </c>
      <c r="AW626" s="0" t="s">
        <v>286</v>
      </c>
      <c r="AX626" s="0" t="s">
        <v>641</v>
      </c>
      <c r="AY626" s="0" t="s">
        <v>2307</v>
      </c>
      <c r="AZ626" s="0" t="s">
        <v>2308</v>
      </c>
      <c r="BA626" s="0" t="s">
        <v>285</v>
      </c>
      <c r="BB626" s="0" t="str">
        <f t="shared" si="9"/>
        <v>CIHPbeGwerWest</v>
      </c>
    </row>
    <row r="627">
      <c r="AV627" s="0" t="s">
        <v>471</v>
      </c>
      <c r="AW627" s="0" t="s">
        <v>286</v>
      </c>
      <c r="AX627" s="0" t="s">
        <v>641</v>
      </c>
      <c r="AY627" s="0" t="s">
        <v>2309</v>
      </c>
      <c r="AZ627" s="0" t="s">
        <v>2310</v>
      </c>
      <c r="BA627" s="0" t="s">
        <v>285</v>
      </c>
      <c r="BB627" s="0" t="str">
        <f t="shared" si="9"/>
        <v>CIHPbeGwerWest</v>
      </c>
    </row>
    <row r="628">
      <c r="AV628" s="0" t="s">
        <v>471</v>
      </c>
      <c r="AW628" s="0" t="s">
        <v>286</v>
      </c>
      <c r="AX628" s="0" t="s">
        <v>641</v>
      </c>
      <c r="AY628" s="0" t="s">
        <v>2311</v>
      </c>
      <c r="AZ628" s="0" t="s">
        <v>2312</v>
      </c>
      <c r="BA628" s="0" t="s">
        <v>285</v>
      </c>
      <c r="BB628" s="0" t="str">
        <f t="shared" si="9"/>
        <v>CIHPbeGwerWest</v>
      </c>
    </row>
    <row r="629">
      <c r="AV629" s="0" t="s">
        <v>471</v>
      </c>
      <c r="AW629" s="0" t="s">
        <v>286</v>
      </c>
      <c r="AX629" s="0" t="s">
        <v>641</v>
      </c>
      <c r="AY629" s="0" t="s">
        <v>2313</v>
      </c>
      <c r="AZ629" s="0" t="s">
        <v>2314</v>
      </c>
      <c r="BA629" s="0" t="s">
        <v>285</v>
      </c>
      <c r="BB629" s="0" t="str">
        <f t="shared" si="9"/>
        <v>CIHPbeGwerWest</v>
      </c>
    </row>
    <row r="630">
      <c r="AV630" s="0" t="s">
        <v>471</v>
      </c>
      <c r="AW630" s="0" t="s">
        <v>286</v>
      </c>
      <c r="AX630" s="0" t="s">
        <v>641</v>
      </c>
      <c r="AY630" s="0" t="s">
        <v>2315</v>
      </c>
      <c r="AZ630" s="0" t="s">
        <v>2316</v>
      </c>
      <c r="BA630" s="0" t="s">
        <v>285</v>
      </c>
      <c r="BB630" s="0" t="str">
        <f t="shared" si="9"/>
        <v>CIHPbeGwerWest</v>
      </c>
    </row>
    <row r="631">
      <c r="AV631" s="0" t="s">
        <v>471</v>
      </c>
      <c r="AW631" s="0" t="s">
        <v>286</v>
      </c>
      <c r="AX631" s="0" t="s">
        <v>748</v>
      </c>
      <c r="AY631" s="0" t="s">
        <v>2317</v>
      </c>
      <c r="AZ631" s="0" t="s">
        <v>2318</v>
      </c>
      <c r="BA631" s="0" t="s">
        <v>285</v>
      </c>
      <c r="BB631" s="0" t="str">
        <f t="shared" si="9"/>
        <v>CIHPbeKwande</v>
      </c>
    </row>
    <row r="632">
      <c r="AV632" s="0" t="s">
        <v>471</v>
      </c>
      <c r="AW632" s="0" t="s">
        <v>286</v>
      </c>
      <c r="AX632" s="0" t="s">
        <v>748</v>
      </c>
      <c r="AY632" s="0" t="s">
        <v>2319</v>
      </c>
      <c r="AZ632" s="0" t="s">
        <v>2320</v>
      </c>
      <c r="BA632" s="0" t="s">
        <v>285</v>
      </c>
      <c r="BB632" s="0" t="str">
        <f t="shared" si="9"/>
        <v>CIHPbeKwande</v>
      </c>
    </row>
    <row r="633">
      <c r="AV633" s="0" t="s">
        <v>471</v>
      </c>
      <c r="AW633" s="0" t="s">
        <v>286</v>
      </c>
      <c r="AX633" s="0" t="s">
        <v>748</v>
      </c>
      <c r="AY633" s="0" t="s">
        <v>2321</v>
      </c>
      <c r="AZ633" s="0" t="s">
        <v>2322</v>
      </c>
      <c r="BA633" s="0" t="s">
        <v>285</v>
      </c>
      <c r="BB633" s="0" t="str">
        <f t="shared" si="9"/>
        <v>CIHPbeKwande</v>
      </c>
    </row>
    <row r="634">
      <c r="AV634" s="0" t="s">
        <v>471</v>
      </c>
      <c r="AW634" s="0" t="s">
        <v>286</v>
      </c>
      <c r="AX634" s="0" t="s">
        <v>748</v>
      </c>
      <c r="AY634" s="0" t="s">
        <v>2323</v>
      </c>
      <c r="AZ634" s="0" t="s">
        <v>2324</v>
      </c>
      <c r="BA634" s="0" t="s">
        <v>285</v>
      </c>
      <c r="BB634" s="0" t="str">
        <f t="shared" si="9"/>
        <v>CIHPbeKwande</v>
      </c>
    </row>
    <row r="635">
      <c r="AV635" s="0" t="s">
        <v>471</v>
      </c>
      <c r="AW635" s="0" t="s">
        <v>286</v>
      </c>
      <c r="AX635" s="0" t="s">
        <v>748</v>
      </c>
      <c r="AY635" s="0" t="s">
        <v>2325</v>
      </c>
      <c r="AZ635" s="0" t="s">
        <v>2326</v>
      </c>
      <c r="BA635" s="0" t="s">
        <v>285</v>
      </c>
      <c r="BB635" s="0" t="str">
        <f t="shared" si="9"/>
        <v>CIHPbeKwande</v>
      </c>
    </row>
    <row r="636">
      <c r="AV636" s="0" t="s">
        <v>471</v>
      </c>
      <c r="AW636" s="0" t="s">
        <v>286</v>
      </c>
      <c r="AX636" s="0" t="s">
        <v>748</v>
      </c>
      <c r="AY636" s="0" t="s">
        <v>2327</v>
      </c>
      <c r="AZ636" s="0" t="s">
        <v>2328</v>
      </c>
      <c r="BA636" s="0" t="s">
        <v>285</v>
      </c>
      <c r="BB636" s="0" t="str">
        <f t="shared" si="9"/>
        <v>CIHPbeKwande</v>
      </c>
    </row>
    <row r="637">
      <c r="AV637" s="0" t="s">
        <v>471</v>
      </c>
      <c r="AW637" s="0" t="s">
        <v>286</v>
      </c>
      <c r="AX637" s="0" t="s">
        <v>748</v>
      </c>
      <c r="AY637" s="0" t="s">
        <v>2329</v>
      </c>
      <c r="AZ637" s="0" t="s">
        <v>2330</v>
      </c>
      <c r="BA637" s="0" t="s">
        <v>285</v>
      </c>
      <c r="BB637" s="0" t="str">
        <f t="shared" si="9"/>
        <v>CIHPbeKwande</v>
      </c>
    </row>
    <row r="638">
      <c r="AV638" s="0" t="s">
        <v>471</v>
      </c>
      <c r="AW638" s="0" t="s">
        <v>286</v>
      </c>
      <c r="AX638" s="0" t="s">
        <v>748</v>
      </c>
      <c r="AY638" s="0" t="s">
        <v>2331</v>
      </c>
      <c r="AZ638" s="0" t="s">
        <v>2332</v>
      </c>
      <c r="BA638" s="0" t="s">
        <v>285</v>
      </c>
      <c r="BB638" s="0" t="str">
        <f t="shared" si="9"/>
        <v>CIHPbeKwande</v>
      </c>
    </row>
    <row r="639">
      <c r="AV639" s="0" t="s">
        <v>471</v>
      </c>
      <c r="AW639" s="0" t="s">
        <v>286</v>
      </c>
      <c r="AX639" s="0" t="s">
        <v>748</v>
      </c>
      <c r="AY639" s="0" t="s">
        <v>2333</v>
      </c>
      <c r="AZ639" s="0" t="s">
        <v>2334</v>
      </c>
      <c r="BA639" s="0" t="s">
        <v>285</v>
      </c>
      <c r="BB639" s="0" t="str">
        <f t="shared" si="9"/>
        <v>CIHPbeKwande</v>
      </c>
    </row>
    <row r="640">
      <c r="AV640" s="0" t="s">
        <v>471</v>
      </c>
      <c r="AW640" s="0" t="s">
        <v>286</v>
      </c>
      <c r="AX640" s="0" t="s">
        <v>748</v>
      </c>
      <c r="AY640" s="0" t="s">
        <v>2335</v>
      </c>
      <c r="AZ640" s="0" t="s">
        <v>2336</v>
      </c>
      <c r="BA640" s="0" t="s">
        <v>285</v>
      </c>
      <c r="BB640" s="0" t="str">
        <f t="shared" si="9"/>
        <v>CIHPbeKwande</v>
      </c>
    </row>
    <row r="641">
      <c r="AV641" s="0" t="s">
        <v>471</v>
      </c>
      <c r="AW641" s="0" t="s">
        <v>286</v>
      </c>
      <c r="AX641" s="0" t="s">
        <v>748</v>
      </c>
      <c r="AY641" s="0" t="s">
        <v>2337</v>
      </c>
      <c r="AZ641" s="0" t="s">
        <v>2338</v>
      </c>
      <c r="BA641" s="0" t="s">
        <v>285</v>
      </c>
      <c r="BB641" s="0" t="str">
        <f t="shared" si="9"/>
        <v>CIHPbeKwande</v>
      </c>
    </row>
    <row r="642">
      <c r="AV642" s="0" t="s">
        <v>471</v>
      </c>
      <c r="AW642" s="0" t="s">
        <v>286</v>
      </c>
      <c r="AX642" s="0" t="s">
        <v>748</v>
      </c>
      <c r="AY642" s="0" t="s">
        <v>2339</v>
      </c>
      <c r="AZ642" s="0" t="s">
        <v>2340</v>
      </c>
      <c r="BA642" s="0" t="s">
        <v>285</v>
      </c>
      <c r="BB642" s="0" t="str">
        <f t="shared" si="9"/>
        <v>CIHPbeKwande</v>
      </c>
    </row>
    <row r="643">
      <c r="AV643" s="0" t="s">
        <v>471</v>
      </c>
      <c r="AW643" s="0" t="s">
        <v>286</v>
      </c>
      <c r="AX643" s="0" t="s">
        <v>780</v>
      </c>
      <c r="AY643" s="0" t="s">
        <v>2341</v>
      </c>
      <c r="AZ643" s="0" t="s">
        <v>2342</v>
      </c>
      <c r="BA643" s="0" t="s">
        <v>285</v>
      </c>
      <c r="BB643" s="0" t="str">
        <f ref="BB643:BB706" t="shared" si="10">SUBSTITUTE(SUBSTITUTE(BA643&amp;AX643," ",""),"-","")</f>
        <v>CIHPbeLogo</v>
      </c>
    </row>
    <row r="644">
      <c r="AV644" s="0" t="s">
        <v>471</v>
      </c>
      <c r="AW644" s="0" t="s">
        <v>286</v>
      </c>
      <c r="AX644" s="0" t="s">
        <v>780</v>
      </c>
      <c r="AY644" s="0" t="s">
        <v>2343</v>
      </c>
      <c r="AZ644" s="0" t="s">
        <v>2344</v>
      </c>
      <c r="BA644" s="0" t="s">
        <v>285</v>
      </c>
      <c r="BB644" s="0" t="str">
        <f t="shared" si="10"/>
        <v>CIHPbeLogo</v>
      </c>
    </row>
    <row r="645">
      <c r="AV645" s="0" t="s">
        <v>471</v>
      </c>
      <c r="AW645" s="0" t="s">
        <v>286</v>
      </c>
      <c r="AX645" s="0" t="s">
        <v>780</v>
      </c>
      <c r="AY645" s="0" t="s">
        <v>2345</v>
      </c>
      <c r="AZ645" s="0" t="s">
        <v>2346</v>
      </c>
      <c r="BA645" s="0" t="s">
        <v>285</v>
      </c>
      <c r="BB645" s="0" t="str">
        <f t="shared" si="10"/>
        <v>CIHPbeLogo</v>
      </c>
    </row>
    <row r="646">
      <c r="AV646" s="0" t="s">
        <v>471</v>
      </c>
      <c r="AW646" s="0" t="s">
        <v>286</v>
      </c>
      <c r="AX646" s="0" t="s">
        <v>780</v>
      </c>
      <c r="AY646" s="0" t="s">
        <v>2347</v>
      </c>
      <c r="AZ646" s="0" t="s">
        <v>2348</v>
      </c>
      <c r="BA646" s="0" t="s">
        <v>285</v>
      </c>
      <c r="BB646" s="0" t="str">
        <f t="shared" si="10"/>
        <v>CIHPbeLogo</v>
      </c>
    </row>
    <row r="647">
      <c r="AV647" s="0" t="s">
        <v>471</v>
      </c>
      <c r="AW647" s="0" t="s">
        <v>286</v>
      </c>
      <c r="AX647" s="0" t="s">
        <v>780</v>
      </c>
      <c r="AY647" s="0" t="s">
        <v>2349</v>
      </c>
      <c r="AZ647" s="0" t="s">
        <v>2350</v>
      </c>
      <c r="BA647" s="0" t="s">
        <v>285</v>
      </c>
      <c r="BB647" s="0" t="str">
        <f t="shared" si="10"/>
        <v>CIHPbeLogo</v>
      </c>
    </row>
    <row r="648">
      <c r="AV648" s="0" t="s">
        <v>471</v>
      </c>
      <c r="AW648" s="0" t="s">
        <v>286</v>
      </c>
      <c r="AX648" s="0" t="s">
        <v>780</v>
      </c>
      <c r="AY648" s="0" t="s">
        <v>2351</v>
      </c>
      <c r="AZ648" s="0" t="s">
        <v>2352</v>
      </c>
      <c r="BA648" s="0" t="s">
        <v>285</v>
      </c>
      <c r="BB648" s="0" t="str">
        <f t="shared" si="10"/>
        <v>CIHPbeLogo</v>
      </c>
    </row>
    <row r="649">
      <c r="AV649" s="0" t="s">
        <v>471</v>
      </c>
      <c r="AW649" s="0" t="s">
        <v>286</v>
      </c>
      <c r="AX649" s="0" t="s">
        <v>780</v>
      </c>
      <c r="AY649" s="0" t="s">
        <v>2353</v>
      </c>
      <c r="AZ649" s="0" t="s">
        <v>2354</v>
      </c>
      <c r="BA649" s="0" t="s">
        <v>285</v>
      </c>
      <c r="BB649" s="0" t="str">
        <f t="shared" si="10"/>
        <v>CIHPbeLogo</v>
      </c>
    </row>
    <row r="650">
      <c r="AV650" s="0" t="s">
        <v>471</v>
      </c>
      <c r="AW650" s="0" t="s">
        <v>286</v>
      </c>
      <c r="AX650" s="0" t="s">
        <v>780</v>
      </c>
      <c r="AY650" s="0" t="s">
        <v>2355</v>
      </c>
      <c r="AZ650" s="0" t="s">
        <v>2356</v>
      </c>
      <c r="BA650" s="0" t="s">
        <v>285</v>
      </c>
      <c r="BB650" s="0" t="str">
        <f t="shared" si="10"/>
        <v>CIHPbeLogo</v>
      </c>
    </row>
    <row r="651">
      <c r="AV651" s="0" t="s">
        <v>471</v>
      </c>
      <c r="AW651" s="0" t="s">
        <v>286</v>
      </c>
      <c r="AX651" s="0" t="s">
        <v>780</v>
      </c>
      <c r="AY651" s="0" t="s">
        <v>2357</v>
      </c>
      <c r="AZ651" s="0" t="s">
        <v>2358</v>
      </c>
      <c r="BA651" s="0" t="s">
        <v>285</v>
      </c>
      <c r="BB651" s="0" t="str">
        <f t="shared" si="10"/>
        <v>CIHPbeLogo</v>
      </c>
    </row>
    <row r="652">
      <c r="AV652" s="0" t="s">
        <v>471</v>
      </c>
      <c r="AW652" s="0" t="s">
        <v>286</v>
      </c>
      <c r="AX652" s="0" t="s">
        <v>780</v>
      </c>
      <c r="AY652" s="0" t="s">
        <v>2359</v>
      </c>
      <c r="AZ652" s="0" t="s">
        <v>2360</v>
      </c>
      <c r="BA652" s="0" t="s">
        <v>285</v>
      </c>
      <c r="BB652" s="0" t="str">
        <f t="shared" si="10"/>
        <v>CIHPbeLogo</v>
      </c>
    </row>
    <row r="653">
      <c r="AV653" s="0" t="s">
        <v>471</v>
      </c>
      <c r="AW653" s="0" t="s">
        <v>286</v>
      </c>
      <c r="AX653" s="0" t="s">
        <v>780</v>
      </c>
      <c r="AY653" s="0" t="s">
        <v>2361</v>
      </c>
      <c r="AZ653" s="0" t="s">
        <v>2362</v>
      </c>
      <c r="BA653" s="0" t="s">
        <v>285</v>
      </c>
      <c r="BB653" s="0" t="str">
        <f t="shared" si="10"/>
        <v>CIHPbeLogo</v>
      </c>
    </row>
    <row r="654">
      <c r="AV654" s="0" t="s">
        <v>471</v>
      </c>
      <c r="AW654" s="0" t="s">
        <v>286</v>
      </c>
      <c r="AX654" s="0" t="s">
        <v>780</v>
      </c>
      <c r="AY654" s="0" t="s">
        <v>2363</v>
      </c>
      <c r="AZ654" s="0" t="s">
        <v>2364</v>
      </c>
      <c r="BA654" s="0" t="s">
        <v>285</v>
      </c>
      <c r="BB654" s="0" t="str">
        <f t="shared" si="10"/>
        <v>CIHPbeLogo</v>
      </c>
    </row>
    <row r="655">
      <c r="AV655" s="0" t="s">
        <v>471</v>
      </c>
      <c r="AW655" s="0" t="s">
        <v>286</v>
      </c>
      <c r="AX655" s="0" t="s">
        <v>780</v>
      </c>
      <c r="AY655" s="0" t="s">
        <v>2365</v>
      </c>
      <c r="AZ655" s="0" t="s">
        <v>2366</v>
      </c>
      <c r="BA655" s="0" t="s">
        <v>285</v>
      </c>
      <c r="BB655" s="0" t="str">
        <f t="shared" si="10"/>
        <v>CIHPbeLogo</v>
      </c>
    </row>
    <row r="656">
      <c r="AV656" s="0" t="s">
        <v>471</v>
      </c>
      <c r="AW656" s="0" t="s">
        <v>286</v>
      </c>
      <c r="AX656" s="0" t="s">
        <v>780</v>
      </c>
      <c r="AY656" s="0" t="s">
        <v>2367</v>
      </c>
      <c r="AZ656" s="0" t="s">
        <v>2368</v>
      </c>
      <c r="BA656" s="0" t="s">
        <v>285</v>
      </c>
      <c r="BB656" s="0" t="str">
        <f t="shared" si="10"/>
        <v>CIHPbeLogo</v>
      </c>
    </row>
    <row r="657">
      <c r="AV657" s="0" t="s">
        <v>471</v>
      </c>
      <c r="AW657" s="0" t="s">
        <v>286</v>
      </c>
      <c r="AX657" s="0" t="s">
        <v>780</v>
      </c>
      <c r="AY657" s="0" t="s">
        <v>2369</v>
      </c>
      <c r="AZ657" s="0" t="s">
        <v>2370</v>
      </c>
      <c r="BA657" s="0" t="s">
        <v>285</v>
      </c>
      <c r="BB657" s="0" t="str">
        <f t="shared" si="10"/>
        <v>CIHPbeLogo</v>
      </c>
    </row>
    <row r="658">
      <c r="AV658" s="0" t="s">
        <v>471</v>
      </c>
      <c r="AW658" s="0" t="s">
        <v>286</v>
      </c>
      <c r="AX658" s="0" t="s">
        <v>780</v>
      </c>
      <c r="AY658" s="0" t="s">
        <v>2371</v>
      </c>
      <c r="AZ658" s="0" t="s">
        <v>2372</v>
      </c>
      <c r="BA658" s="0" t="s">
        <v>285</v>
      </c>
      <c r="BB658" s="0" t="str">
        <f t="shared" si="10"/>
        <v>CIHPbeLogo</v>
      </c>
    </row>
    <row r="659">
      <c r="AV659" s="0" t="s">
        <v>471</v>
      </c>
      <c r="AW659" s="0" t="s">
        <v>286</v>
      </c>
      <c r="AX659" s="0" t="s">
        <v>780</v>
      </c>
      <c r="AY659" s="0" t="s">
        <v>2373</v>
      </c>
      <c r="AZ659" s="0" t="s">
        <v>2374</v>
      </c>
      <c r="BA659" s="0" t="s">
        <v>285</v>
      </c>
      <c r="BB659" s="0" t="str">
        <f t="shared" si="10"/>
        <v>CIHPbeLogo</v>
      </c>
    </row>
    <row r="660">
      <c r="AV660" s="0" t="s">
        <v>471</v>
      </c>
      <c r="AW660" s="0" t="s">
        <v>286</v>
      </c>
      <c r="AX660" s="0" t="s">
        <v>780</v>
      </c>
      <c r="AY660" s="0" t="s">
        <v>2375</v>
      </c>
      <c r="AZ660" s="0" t="s">
        <v>2376</v>
      </c>
      <c r="BA660" s="0" t="s">
        <v>285</v>
      </c>
      <c r="BB660" s="0" t="str">
        <f t="shared" si="10"/>
        <v>CIHPbeLogo</v>
      </c>
    </row>
    <row r="661">
      <c r="AV661" s="0" t="s">
        <v>471</v>
      </c>
      <c r="AW661" s="0" t="s">
        <v>286</v>
      </c>
      <c r="AX661" s="0" t="s">
        <v>780</v>
      </c>
      <c r="AY661" s="0" t="s">
        <v>2377</v>
      </c>
      <c r="AZ661" s="0" t="s">
        <v>2378</v>
      </c>
      <c r="BA661" s="0" t="s">
        <v>285</v>
      </c>
      <c r="BB661" s="0" t="str">
        <f t="shared" si="10"/>
        <v>CIHPbeLogo</v>
      </c>
    </row>
    <row r="662">
      <c r="AV662" s="0" t="s">
        <v>471</v>
      </c>
      <c r="AW662" s="0" t="s">
        <v>286</v>
      </c>
      <c r="AX662" s="0" t="s">
        <v>780</v>
      </c>
      <c r="AY662" s="0" t="s">
        <v>2379</v>
      </c>
      <c r="AZ662" s="0" t="s">
        <v>2380</v>
      </c>
      <c r="BA662" s="0" t="s">
        <v>285</v>
      </c>
      <c r="BB662" s="0" t="str">
        <f t="shared" si="10"/>
        <v>CIHPbeLogo</v>
      </c>
    </row>
    <row r="663">
      <c r="AV663" s="0" t="s">
        <v>471</v>
      </c>
      <c r="AW663" s="0" t="s">
        <v>286</v>
      </c>
      <c r="AX663" s="0" t="s">
        <v>780</v>
      </c>
      <c r="AY663" s="0" t="s">
        <v>2381</v>
      </c>
      <c r="AZ663" s="0" t="s">
        <v>2382</v>
      </c>
      <c r="BA663" s="0" t="s">
        <v>285</v>
      </c>
      <c r="BB663" s="0" t="str">
        <f t="shared" si="10"/>
        <v>CIHPbeLogo</v>
      </c>
    </row>
    <row r="664">
      <c r="AV664" s="0" t="s">
        <v>471</v>
      </c>
      <c r="AW664" s="0" t="s">
        <v>286</v>
      </c>
      <c r="AX664" s="0" t="s">
        <v>780</v>
      </c>
      <c r="AY664" s="0" t="s">
        <v>2383</v>
      </c>
      <c r="AZ664" s="0" t="s">
        <v>2384</v>
      </c>
      <c r="BA664" s="0" t="s">
        <v>285</v>
      </c>
      <c r="BB664" s="0" t="str">
        <f t="shared" si="10"/>
        <v>CIHPbeLogo</v>
      </c>
    </row>
    <row r="665">
      <c r="AV665" s="0" t="s">
        <v>471</v>
      </c>
      <c r="AW665" s="0" t="s">
        <v>286</v>
      </c>
      <c r="AX665" s="0" t="s">
        <v>780</v>
      </c>
      <c r="AY665" s="0" t="s">
        <v>2385</v>
      </c>
      <c r="AZ665" s="0" t="s">
        <v>2386</v>
      </c>
      <c r="BA665" s="0" t="s">
        <v>285</v>
      </c>
      <c r="BB665" s="0" t="str">
        <f t="shared" si="10"/>
        <v>CIHPbeLogo</v>
      </c>
    </row>
    <row r="666">
      <c r="AV666" s="0" t="s">
        <v>471</v>
      </c>
      <c r="AW666" s="0" t="s">
        <v>286</v>
      </c>
      <c r="AX666" s="0" t="s">
        <v>780</v>
      </c>
      <c r="AY666" s="0" t="s">
        <v>2387</v>
      </c>
      <c r="AZ666" s="0" t="s">
        <v>2388</v>
      </c>
      <c r="BA666" s="0" t="s">
        <v>285</v>
      </c>
      <c r="BB666" s="0" t="str">
        <f t="shared" si="10"/>
        <v>CIHPbeLogo</v>
      </c>
    </row>
    <row r="667">
      <c r="AV667" s="0" t="s">
        <v>471</v>
      </c>
      <c r="AW667" s="0" t="s">
        <v>286</v>
      </c>
      <c r="AX667" s="0" t="s">
        <v>780</v>
      </c>
      <c r="AY667" s="0" t="s">
        <v>2389</v>
      </c>
      <c r="AZ667" s="0" t="s">
        <v>2390</v>
      </c>
      <c r="BA667" s="0" t="s">
        <v>285</v>
      </c>
      <c r="BB667" s="0" t="str">
        <f t="shared" si="10"/>
        <v>CIHPbeLogo</v>
      </c>
    </row>
    <row r="668">
      <c r="AV668" s="0" t="s">
        <v>471</v>
      </c>
      <c r="AW668" s="0" t="s">
        <v>286</v>
      </c>
      <c r="AX668" s="0" t="s">
        <v>780</v>
      </c>
      <c r="AY668" s="0" t="s">
        <v>2391</v>
      </c>
      <c r="AZ668" s="0" t="s">
        <v>2392</v>
      </c>
      <c r="BA668" s="0" t="s">
        <v>285</v>
      </c>
      <c r="BB668" s="0" t="str">
        <f t="shared" si="10"/>
        <v>CIHPbeLogo</v>
      </c>
    </row>
    <row r="669">
      <c r="AV669" s="0" t="s">
        <v>471</v>
      </c>
      <c r="AW669" s="0" t="s">
        <v>286</v>
      </c>
      <c r="AX669" s="0" t="s">
        <v>780</v>
      </c>
      <c r="AY669" s="0" t="s">
        <v>2393</v>
      </c>
      <c r="AZ669" s="0" t="s">
        <v>2394</v>
      </c>
      <c r="BA669" s="0" t="s">
        <v>285</v>
      </c>
      <c r="BB669" s="0" t="str">
        <f t="shared" si="10"/>
        <v>CIHPbeLogo</v>
      </c>
    </row>
    <row r="670">
      <c r="AV670" s="0" t="s">
        <v>471</v>
      </c>
      <c r="AW670" s="0" t="s">
        <v>286</v>
      </c>
      <c r="AX670" s="0" t="s">
        <v>780</v>
      </c>
      <c r="AY670" s="0" t="s">
        <v>2395</v>
      </c>
      <c r="AZ670" s="0" t="s">
        <v>2396</v>
      </c>
      <c r="BA670" s="0" t="s">
        <v>285</v>
      </c>
      <c r="BB670" s="0" t="str">
        <f t="shared" si="10"/>
        <v>CIHPbeLogo</v>
      </c>
    </row>
    <row r="671">
      <c r="AV671" s="0" t="s">
        <v>471</v>
      </c>
      <c r="AW671" s="0" t="s">
        <v>286</v>
      </c>
      <c r="AX671" s="0" t="s">
        <v>780</v>
      </c>
      <c r="AY671" s="0" t="s">
        <v>2397</v>
      </c>
      <c r="AZ671" s="0" t="s">
        <v>2398</v>
      </c>
      <c r="BA671" s="0" t="s">
        <v>285</v>
      </c>
      <c r="BB671" s="0" t="str">
        <f t="shared" si="10"/>
        <v>CIHPbeLogo</v>
      </c>
    </row>
    <row r="672">
      <c r="AV672" s="0" t="s">
        <v>471</v>
      </c>
      <c r="AW672" s="0" t="s">
        <v>286</v>
      </c>
      <c r="AX672" s="0" t="s">
        <v>780</v>
      </c>
      <c r="AY672" s="0" t="s">
        <v>2399</v>
      </c>
      <c r="AZ672" s="0" t="s">
        <v>2400</v>
      </c>
      <c r="BA672" s="0" t="s">
        <v>285</v>
      </c>
      <c r="BB672" s="0" t="str">
        <f t="shared" si="10"/>
        <v>CIHPbeLogo</v>
      </c>
    </row>
    <row r="673">
      <c r="AV673" s="0" t="s">
        <v>471</v>
      </c>
      <c r="AW673" s="0" t="s">
        <v>286</v>
      </c>
      <c r="AX673" s="0" t="s">
        <v>780</v>
      </c>
      <c r="AY673" s="0" t="s">
        <v>2401</v>
      </c>
      <c r="AZ673" s="0" t="s">
        <v>2402</v>
      </c>
      <c r="BA673" s="0" t="s">
        <v>285</v>
      </c>
      <c r="BB673" s="0" t="str">
        <f t="shared" si="10"/>
        <v>CIHPbeLogo</v>
      </c>
    </row>
    <row r="674">
      <c r="AV674" s="0" t="s">
        <v>471</v>
      </c>
      <c r="AW674" s="0" t="s">
        <v>286</v>
      </c>
      <c r="AX674" s="0" t="s">
        <v>780</v>
      </c>
      <c r="AY674" s="0" t="s">
        <v>2403</v>
      </c>
      <c r="AZ674" s="0" t="s">
        <v>2404</v>
      </c>
      <c r="BA674" s="0" t="s">
        <v>285</v>
      </c>
      <c r="BB674" s="0" t="str">
        <f t="shared" si="10"/>
        <v>CIHPbeLogo</v>
      </c>
    </row>
    <row r="675">
      <c r="AV675" s="0" t="s">
        <v>471</v>
      </c>
      <c r="AW675" s="0" t="s">
        <v>286</v>
      </c>
      <c r="AX675" s="0" t="s">
        <v>780</v>
      </c>
      <c r="AY675" s="0" t="s">
        <v>2405</v>
      </c>
      <c r="AZ675" s="0" t="s">
        <v>2406</v>
      </c>
      <c r="BA675" s="0" t="s">
        <v>285</v>
      </c>
      <c r="BB675" s="0" t="str">
        <f t="shared" si="10"/>
        <v>CIHPbeLogo</v>
      </c>
    </row>
    <row r="676">
      <c r="AV676" s="0" t="s">
        <v>471</v>
      </c>
      <c r="AW676" s="0" t="s">
        <v>286</v>
      </c>
      <c r="AX676" s="0" t="s">
        <v>810</v>
      </c>
      <c r="AY676" s="0" t="s">
        <v>2407</v>
      </c>
      <c r="AZ676" s="0" t="s">
        <v>2408</v>
      </c>
      <c r="BA676" s="0" t="s">
        <v>285</v>
      </c>
      <c r="BB676" s="0" t="str">
        <f t="shared" si="10"/>
        <v>CIHPbeMakurdi</v>
      </c>
    </row>
    <row r="677">
      <c r="AV677" s="0" t="s">
        <v>471</v>
      </c>
      <c r="AW677" s="0" t="s">
        <v>286</v>
      </c>
      <c r="AX677" s="0" t="s">
        <v>810</v>
      </c>
      <c r="AY677" s="0" t="s">
        <v>2409</v>
      </c>
      <c r="AZ677" s="0" t="s">
        <v>2410</v>
      </c>
      <c r="BA677" s="0" t="s">
        <v>285</v>
      </c>
      <c r="BB677" s="0" t="str">
        <f t="shared" si="10"/>
        <v>CIHPbeMakurdi</v>
      </c>
    </row>
    <row r="678">
      <c r="AV678" s="0" t="s">
        <v>471</v>
      </c>
      <c r="AW678" s="0" t="s">
        <v>286</v>
      </c>
      <c r="AX678" s="0" t="s">
        <v>810</v>
      </c>
      <c r="AY678" s="0" t="s">
        <v>2411</v>
      </c>
      <c r="AZ678" s="0" t="s">
        <v>2412</v>
      </c>
      <c r="BA678" s="0" t="s">
        <v>285</v>
      </c>
      <c r="BB678" s="0" t="str">
        <f t="shared" si="10"/>
        <v>CIHPbeMakurdi</v>
      </c>
    </row>
    <row r="679">
      <c r="AV679" s="0" t="s">
        <v>471</v>
      </c>
      <c r="AW679" s="0" t="s">
        <v>286</v>
      </c>
      <c r="AX679" s="0" t="s">
        <v>810</v>
      </c>
      <c r="AY679" s="0" t="s">
        <v>2413</v>
      </c>
      <c r="AZ679" s="0" t="s">
        <v>2414</v>
      </c>
      <c r="BA679" s="0" t="s">
        <v>285</v>
      </c>
      <c r="BB679" s="0" t="str">
        <f t="shared" si="10"/>
        <v>CIHPbeMakurdi</v>
      </c>
    </row>
    <row r="680">
      <c r="AV680" s="0" t="s">
        <v>471</v>
      </c>
      <c r="AW680" s="0" t="s">
        <v>286</v>
      </c>
      <c r="AX680" s="0" t="s">
        <v>810</v>
      </c>
      <c r="AY680" s="0" t="s">
        <v>2415</v>
      </c>
      <c r="AZ680" s="0" t="s">
        <v>2416</v>
      </c>
      <c r="BA680" s="0" t="s">
        <v>285</v>
      </c>
      <c r="BB680" s="0" t="str">
        <f t="shared" si="10"/>
        <v>CIHPbeMakurdi</v>
      </c>
    </row>
    <row r="681">
      <c r="AV681" s="0" t="s">
        <v>471</v>
      </c>
      <c r="AW681" s="0" t="s">
        <v>286</v>
      </c>
      <c r="AX681" s="0" t="s">
        <v>810</v>
      </c>
      <c r="AY681" s="0" t="s">
        <v>2417</v>
      </c>
      <c r="AZ681" s="0" t="s">
        <v>2418</v>
      </c>
      <c r="BA681" s="0" t="s">
        <v>285</v>
      </c>
      <c r="BB681" s="0" t="str">
        <f t="shared" si="10"/>
        <v>CIHPbeMakurdi</v>
      </c>
    </row>
    <row r="682">
      <c r="AV682" s="0" t="s">
        <v>471</v>
      </c>
      <c r="AW682" s="0" t="s">
        <v>286</v>
      </c>
      <c r="AX682" s="0" t="s">
        <v>1019</v>
      </c>
      <c r="AY682" s="0" t="s">
        <v>2419</v>
      </c>
      <c r="AZ682" s="0" t="s">
        <v>2420</v>
      </c>
      <c r="BA682" s="0" t="s">
        <v>285</v>
      </c>
      <c r="BB682" s="0" t="str">
        <f t="shared" si="10"/>
        <v>CIHPbeObi</v>
      </c>
    </row>
    <row r="683">
      <c r="AV683" s="0" t="s">
        <v>471</v>
      </c>
      <c r="AW683" s="0" t="s">
        <v>286</v>
      </c>
      <c r="AX683" s="0" t="s">
        <v>1019</v>
      </c>
      <c r="AY683" s="0" t="s">
        <v>2421</v>
      </c>
      <c r="AZ683" s="0" t="s">
        <v>2422</v>
      </c>
      <c r="BA683" s="0" t="s">
        <v>285</v>
      </c>
      <c r="BB683" s="0" t="str">
        <f t="shared" si="10"/>
        <v>CIHPbeObi</v>
      </c>
    </row>
    <row r="684">
      <c r="AV684" s="0" t="s">
        <v>471</v>
      </c>
      <c r="AW684" s="0" t="s">
        <v>286</v>
      </c>
      <c r="AX684" s="0" t="s">
        <v>1019</v>
      </c>
      <c r="AY684" s="0" t="s">
        <v>2423</v>
      </c>
      <c r="AZ684" s="0" t="s">
        <v>2424</v>
      </c>
      <c r="BA684" s="0" t="s">
        <v>285</v>
      </c>
      <c r="BB684" s="0" t="str">
        <f t="shared" si="10"/>
        <v>CIHPbeObi</v>
      </c>
    </row>
    <row r="685">
      <c r="AV685" s="0" t="s">
        <v>471</v>
      </c>
      <c r="AW685" s="0" t="s">
        <v>286</v>
      </c>
      <c r="AX685" s="0" t="s">
        <v>1019</v>
      </c>
      <c r="AY685" s="0" t="s">
        <v>2425</v>
      </c>
      <c r="AZ685" s="0" t="s">
        <v>2426</v>
      </c>
      <c r="BA685" s="0" t="s">
        <v>285</v>
      </c>
      <c r="BB685" s="0" t="str">
        <f t="shared" si="10"/>
        <v>CIHPbeObi</v>
      </c>
    </row>
    <row r="686">
      <c r="AV686" s="0" t="s">
        <v>471</v>
      </c>
      <c r="AW686" s="0" t="s">
        <v>286</v>
      </c>
      <c r="AX686" s="0" t="s">
        <v>1019</v>
      </c>
      <c r="AY686" s="0" t="s">
        <v>2427</v>
      </c>
      <c r="AZ686" s="0" t="s">
        <v>2428</v>
      </c>
      <c r="BA686" s="0" t="s">
        <v>285</v>
      </c>
      <c r="BB686" s="0" t="str">
        <f t="shared" si="10"/>
        <v>CIHPbeObi</v>
      </c>
    </row>
    <row r="687">
      <c r="AV687" s="0" t="s">
        <v>471</v>
      </c>
      <c r="AW687" s="0" t="s">
        <v>286</v>
      </c>
      <c r="AX687" s="0" t="s">
        <v>1034</v>
      </c>
      <c r="AY687" s="0" t="s">
        <v>2429</v>
      </c>
      <c r="AZ687" s="0" t="s">
        <v>2430</v>
      </c>
      <c r="BA687" s="0" t="s">
        <v>285</v>
      </c>
      <c r="BB687" s="0" t="str">
        <f t="shared" si="10"/>
        <v>CIHPbeOgbadibo</v>
      </c>
    </row>
    <row r="688">
      <c r="AV688" s="0" t="s">
        <v>471</v>
      </c>
      <c r="AW688" s="0" t="s">
        <v>286</v>
      </c>
      <c r="AX688" s="0" t="s">
        <v>1047</v>
      </c>
      <c r="AY688" s="0" t="s">
        <v>2431</v>
      </c>
      <c r="AZ688" s="0" t="s">
        <v>2432</v>
      </c>
      <c r="BA688" s="0" t="s">
        <v>285</v>
      </c>
      <c r="BB688" s="0" t="str">
        <f t="shared" si="10"/>
        <v>CIHPbeOhimini</v>
      </c>
    </row>
    <row r="689">
      <c r="AV689" s="0" t="s">
        <v>471</v>
      </c>
      <c r="AW689" s="0" t="s">
        <v>286</v>
      </c>
      <c r="AX689" s="0" t="s">
        <v>1047</v>
      </c>
      <c r="AY689" s="0" t="s">
        <v>2433</v>
      </c>
      <c r="AZ689" s="0" t="s">
        <v>2434</v>
      </c>
      <c r="BA689" s="0" t="s">
        <v>285</v>
      </c>
      <c r="BB689" s="0" t="str">
        <f t="shared" si="10"/>
        <v>CIHPbeOhimini</v>
      </c>
    </row>
    <row r="690">
      <c r="AV690" s="0" t="s">
        <v>471</v>
      </c>
      <c r="AW690" s="0" t="s">
        <v>286</v>
      </c>
      <c r="AX690" s="0" t="s">
        <v>839</v>
      </c>
      <c r="AY690" s="0" t="s">
        <v>2435</v>
      </c>
      <c r="AZ690" s="0" t="s">
        <v>2436</v>
      </c>
      <c r="BA690" s="0" t="s">
        <v>285</v>
      </c>
      <c r="BB690" s="0" t="str">
        <f t="shared" si="10"/>
        <v>CIHPbeOkpokwu</v>
      </c>
    </row>
    <row r="691">
      <c r="AV691" s="0" t="s">
        <v>471</v>
      </c>
      <c r="AW691" s="0" t="s">
        <v>286</v>
      </c>
      <c r="AX691" s="0" t="s">
        <v>839</v>
      </c>
      <c r="AY691" s="0" t="s">
        <v>2437</v>
      </c>
      <c r="AZ691" s="0" t="s">
        <v>2438</v>
      </c>
      <c r="BA691" s="0" t="s">
        <v>285</v>
      </c>
      <c r="BB691" s="0" t="str">
        <f t="shared" si="10"/>
        <v>CIHPbeOkpokwu</v>
      </c>
    </row>
    <row r="692">
      <c r="AV692" s="0" t="s">
        <v>471</v>
      </c>
      <c r="AW692" s="0" t="s">
        <v>286</v>
      </c>
      <c r="AX692" s="0" t="s">
        <v>867</v>
      </c>
      <c r="AY692" s="0" t="s">
        <v>2439</v>
      </c>
      <c r="AZ692" s="0" t="s">
        <v>2440</v>
      </c>
      <c r="BA692" s="0" t="s">
        <v>285</v>
      </c>
      <c r="BB692" s="0" t="str">
        <f t="shared" si="10"/>
        <v>CIHPbeOtukpo</v>
      </c>
    </row>
    <row r="693">
      <c r="AV693" s="0" t="s">
        <v>471</v>
      </c>
      <c r="AW693" s="0" t="s">
        <v>286</v>
      </c>
      <c r="AX693" s="0" t="s">
        <v>867</v>
      </c>
      <c r="AY693" s="0" t="s">
        <v>2441</v>
      </c>
      <c r="AZ693" s="0" t="s">
        <v>2442</v>
      </c>
      <c r="BA693" s="0" t="s">
        <v>285</v>
      </c>
      <c r="BB693" s="0" t="str">
        <f t="shared" si="10"/>
        <v>CIHPbeOtukpo</v>
      </c>
    </row>
    <row r="694">
      <c r="AV694" s="0" t="s">
        <v>471</v>
      </c>
      <c r="AW694" s="0" t="s">
        <v>286</v>
      </c>
      <c r="AX694" s="0" t="s">
        <v>867</v>
      </c>
      <c r="AY694" s="0" t="s">
        <v>2443</v>
      </c>
      <c r="AZ694" s="0" t="s">
        <v>2444</v>
      </c>
      <c r="BA694" s="0" t="s">
        <v>285</v>
      </c>
      <c r="BB694" s="0" t="str">
        <f t="shared" si="10"/>
        <v>CIHPbeOtukpo</v>
      </c>
    </row>
    <row r="695">
      <c r="AV695" s="0" t="s">
        <v>471</v>
      </c>
      <c r="AW695" s="0" t="s">
        <v>286</v>
      </c>
      <c r="AX695" s="0" t="s">
        <v>867</v>
      </c>
      <c r="AY695" s="0" t="s">
        <v>2445</v>
      </c>
      <c r="AZ695" s="0" t="s">
        <v>2446</v>
      </c>
      <c r="BA695" s="0" t="s">
        <v>285</v>
      </c>
      <c r="BB695" s="0" t="str">
        <f t="shared" si="10"/>
        <v>CIHPbeOtukpo</v>
      </c>
    </row>
    <row r="696">
      <c r="AV696" s="0" t="s">
        <v>471</v>
      </c>
      <c r="AW696" s="0" t="s">
        <v>286</v>
      </c>
      <c r="AX696" s="0" t="s">
        <v>867</v>
      </c>
      <c r="AY696" s="0" t="s">
        <v>2447</v>
      </c>
      <c r="AZ696" s="0" t="s">
        <v>2448</v>
      </c>
      <c r="BA696" s="0" t="s">
        <v>285</v>
      </c>
      <c r="BB696" s="0" t="str">
        <f t="shared" si="10"/>
        <v>CIHPbeOtukpo</v>
      </c>
    </row>
    <row r="697">
      <c r="AV697" s="0" t="s">
        <v>471</v>
      </c>
      <c r="AW697" s="0" t="s">
        <v>286</v>
      </c>
      <c r="AX697" s="0" t="s">
        <v>867</v>
      </c>
      <c r="AY697" s="0" t="s">
        <v>2449</v>
      </c>
      <c r="AZ697" s="0" t="s">
        <v>2450</v>
      </c>
      <c r="BA697" s="0" t="s">
        <v>285</v>
      </c>
      <c r="BB697" s="0" t="str">
        <f t="shared" si="10"/>
        <v>CIHPbeOtukpo</v>
      </c>
    </row>
    <row r="698">
      <c r="AV698" s="0" t="s">
        <v>471</v>
      </c>
      <c r="AW698" s="0" t="s">
        <v>286</v>
      </c>
      <c r="AX698" s="0" t="s">
        <v>867</v>
      </c>
      <c r="AY698" s="0" t="s">
        <v>2451</v>
      </c>
      <c r="AZ698" s="0" t="s">
        <v>2452</v>
      </c>
      <c r="BA698" s="0" t="s">
        <v>285</v>
      </c>
      <c r="BB698" s="0" t="str">
        <f t="shared" si="10"/>
        <v>CIHPbeOtukpo</v>
      </c>
    </row>
    <row r="699">
      <c r="AV699" s="0" t="s">
        <v>471</v>
      </c>
      <c r="AW699" s="0" t="s">
        <v>286</v>
      </c>
      <c r="AX699" s="0" t="s">
        <v>867</v>
      </c>
      <c r="AY699" s="0" t="s">
        <v>2453</v>
      </c>
      <c r="AZ699" s="0" t="s">
        <v>2454</v>
      </c>
      <c r="BA699" s="0" t="s">
        <v>285</v>
      </c>
      <c r="BB699" s="0" t="str">
        <f t="shared" si="10"/>
        <v>CIHPbeOtukpo</v>
      </c>
    </row>
    <row r="700">
      <c r="AV700" s="0" t="s">
        <v>471</v>
      </c>
      <c r="AW700" s="0" t="s">
        <v>286</v>
      </c>
      <c r="AX700" s="0" t="s">
        <v>893</v>
      </c>
      <c r="AY700" s="0" t="s">
        <v>2455</v>
      </c>
      <c r="AZ700" s="0" t="s">
        <v>2456</v>
      </c>
      <c r="BA700" s="0" t="s">
        <v>285</v>
      </c>
      <c r="BB700" s="0" t="str">
        <f t="shared" si="10"/>
        <v>CIHPbeTarka</v>
      </c>
    </row>
    <row r="701">
      <c r="AV701" s="0" t="s">
        <v>471</v>
      </c>
      <c r="AW701" s="0" t="s">
        <v>286</v>
      </c>
      <c r="AX701" s="0" t="s">
        <v>893</v>
      </c>
      <c r="AY701" s="0" t="s">
        <v>2457</v>
      </c>
      <c r="AZ701" s="0" t="s">
        <v>2458</v>
      </c>
      <c r="BA701" s="0" t="s">
        <v>285</v>
      </c>
      <c r="BB701" s="0" t="str">
        <f t="shared" si="10"/>
        <v>CIHPbeTarka</v>
      </c>
    </row>
    <row r="702">
      <c r="AV702" s="0" t="s">
        <v>471</v>
      </c>
      <c r="AW702" s="0" t="s">
        <v>286</v>
      </c>
      <c r="AX702" s="0" t="s">
        <v>893</v>
      </c>
      <c r="AY702" s="0" t="s">
        <v>2459</v>
      </c>
      <c r="AZ702" s="0" t="s">
        <v>2460</v>
      </c>
      <c r="BA702" s="0" t="s">
        <v>285</v>
      </c>
      <c r="BB702" s="0" t="str">
        <f t="shared" si="10"/>
        <v>CIHPbeTarka</v>
      </c>
    </row>
    <row r="703">
      <c r="AV703" s="0" t="s">
        <v>471</v>
      </c>
      <c r="AW703" s="0" t="s">
        <v>286</v>
      </c>
      <c r="AX703" s="0" t="s">
        <v>893</v>
      </c>
      <c r="AY703" s="0" t="s">
        <v>2461</v>
      </c>
      <c r="AZ703" s="0" t="s">
        <v>2462</v>
      </c>
      <c r="BA703" s="0" t="s">
        <v>285</v>
      </c>
      <c r="BB703" s="0" t="str">
        <f t="shared" si="10"/>
        <v>CIHPbeTarka</v>
      </c>
    </row>
    <row r="704">
      <c r="AV704" s="0" t="s">
        <v>471</v>
      </c>
      <c r="AW704" s="0" t="s">
        <v>286</v>
      </c>
      <c r="AX704" s="0" t="s">
        <v>893</v>
      </c>
      <c r="AY704" s="0" t="s">
        <v>2463</v>
      </c>
      <c r="AZ704" s="0" t="s">
        <v>2464</v>
      </c>
      <c r="BA704" s="0" t="s">
        <v>285</v>
      </c>
      <c r="BB704" s="0" t="str">
        <f t="shared" si="10"/>
        <v>CIHPbeTarka</v>
      </c>
    </row>
    <row r="705">
      <c r="AV705" s="0" t="s">
        <v>471</v>
      </c>
      <c r="AW705" s="0" t="s">
        <v>286</v>
      </c>
      <c r="AX705" s="0" t="s">
        <v>893</v>
      </c>
      <c r="AY705" s="0" t="s">
        <v>2465</v>
      </c>
      <c r="AZ705" s="0" t="s">
        <v>2466</v>
      </c>
      <c r="BA705" s="0" t="s">
        <v>285</v>
      </c>
      <c r="BB705" s="0" t="str">
        <f t="shared" si="10"/>
        <v>CIHPbeTarka</v>
      </c>
    </row>
    <row r="706">
      <c r="AV706" s="0" t="s">
        <v>471</v>
      </c>
      <c r="AW706" s="0" t="s">
        <v>286</v>
      </c>
      <c r="AX706" s="0" t="s">
        <v>893</v>
      </c>
      <c r="AY706" s="0" t="s">
        <v>2467</v>
      </c>
      <c r="AZ706" s="0" t="s">
        <v>2468</v>
      </c>
      <c r="BA706" s="0" t="s">
        <v>285</v>
      </c>
      <c r="BB706" s="0" t="str">
        <f t="shared" si="10"/>
        <v>CIHPbeTarka</v>
      </c>
    </row>
    <row r="707">
      <c r="AV707" s="0" t="s">
        <v>471</v>
      </c>
      <c r="AW707" s="0" t="s">
        <v>286</v>
      </c>
      <c r="AX707" s="0" t="s">
        <v>893</v>
      </c>
      <c r="AY707" s="0" t="s">
        <v>2469</v>
      </c>
      <c r="AZ707" s="0" t="s">
        <v>2470</v>
      </c>
      <c r="BA707" s="0" t="s">
        <v>285</v>
      </c>
      <c r="BB707" s="0" t="str">
        <f ref="BB707:BB770" t="shared" si="11">SUBSTITUTE(SUBSTITUTE(BA707&amp;AX707," ",""),"-","")</f>
        <v>CIHPbeTarka</v>
      </c>
    </row>
    <row r="708">
      <c r="AV708" s="0" t="s">
        <v>471</v>
      </c>
      <c r="AW708" s="0" t="s">
        <v>286</v>
      </c>
      <c r="AX708" s="0" t="s">
        <v>893</v>
      </c>
      <c r="AY708" s="0" t="s">
        <v>2471</v>
      </c>
      <c r="AZ708" s="0" t="s">
        <v>2472</v>
      </c>
      <c r="BA708" s="0" t="s">
        <v>285</v>
      </c>
      <c r="BB708" s="0" t="str">
        <f t="shared" si="11"/>
        <v>CIHPbeTarka</v>
      </c>
    </row>
    <row r="709">
      <c r="AV709" s="0" t="s">
        <v>471</v>
      </c>
      <c r="AW709" s="0" t="s">
        <v>286</v>
      </c>
      <c r="AX709" s="0" t="s">
        <v>893</v>
      </c>
      <c r="AY709" s="0" t="s">
        <v>2473</v>
      </c>
      <c r="AZ709" s="0" t="s">
        <v>2474</v>
      </c>
      <c r="BA709" s="0" t="s">
        <v>285</v>
      </c>
      <c r="BB709" s="0" t="str">
        <f t="shared" si="11"/>
        <v>CIHPbeTarka</v>
      </c>
    </row>
    <row r="710">
      <c r="AV710" s="0" t="s">
        <v>471</v>
      </c>
      <c r="AW710" s="0" t="s">
        <v>286</v>
      </c>
      <c r="AX710" s="0" t="s">
        <v>893</v>
      </c>
      <c r="AY710" s="0" t="s">
        <v>2475</v>
      </c>
      <c r="AZ710" s="0" t="s">
        <v>2476</v>
      </c>
      <c r="BA710" s="0" t="s">
        <v>285</v>
      </c>
      <c r="BB710" s="0" t="str">
        <f t="shared" si="11"/>
        <v>CIHPbeTarka</v>
      </c>
    </row>
    <row r="711">
      <c r="AV711" s="0" t="s">
        <v>471</v>
      </c>
      <c r="AW711" s="0" t="s">
        <v>286</v>
      </c>
      <c r="AX711" s="0" t="s">
        <v>893</v>
      </c>
      <c r="AY711" s="0" t="s">
        <v>2477</v>
      </c>
      <c r="AZ711" s="0" t="s">
        <v>2478</v>
      </c>
      <c r="BA711" s="0" t="s">
        <v>285</v>
      </c>
      <c r="BB711" s="0" t="str">
        <f t="shared" si="11"/>
        <v>CIHPbeTarka</v>
      </c>
    </row>
    <row r="712">
      <c r="AV712" s="0" t="s">
        <v>471</v>
      </c>
      <c r="AW712" s="0" t="s">
        <v>286</v>
      </c>
      <c r="AX712" s="0" t="s">
        <v>893</v>
      </c>
      <c r="AY712" s="0" t="s">
        <v>2479</v>
      </c>
      <c r="AZ712" s="0" t="s">
        <v>2480</v>
      </c>
      <c r="BA712" s="0" t="s">
        <v>285</v>
      </c>
      <c r="BB712" s="0" t="str">
        <f t="shared" si="11"/>
        <v>CIHPbeTarka</v>
      </c>
    </row>
    <row r="713">
      <c r="AV713" s="0" t="s">
        <v>471</v>
      </c>
      <c r="AW713" s="0" t="s">
        <v>286</v>
      </c>
      <c r="AX713" s="0" t="s">
        <v>893</v>
      </c>
      <c r="AY713" s="0" t="s">
        <v>2481</v>
      </c>
      <c r="AZ713" s="0" t="s">
        <v>2482</v>
      </c>
      <c r="BA713" s="0" t="s">
        <v>285</v>
      </c>
      <c r="BB713" s="0" t="str">
        <f t="shared" si="11"/>
        <v>CIHPbeTarka</v>
      </c>
    </row>
    <row r="714">
      <c r="AV714" s="0" t="s">
        <v>471</v>
      </c>
      <c r="AW714" s="0" t="s">
        <v>286</v>
      </c>
      <c r="AX714" s="0" t="s">
        <v>893</v>
      </c>
      <c r="AY714" s="0" t="s">
        <v>2483</v>
      </c>
      <c r="AZ714" s="0" t="s">
        <v>2484</v>
      </c>
      <c r="BA714" s="0" t="s">
        <v>285</v>
      </c>
      <c r="BB714" s="0" t="str">
        <f t="shared" si="11"/>
        <v>CIHPbeTarka</v>
      </c>
    </row>
    <row r="715">
      <c r="AV715" s="0" t="s">
        <v>471</v>
      </c>
      <c r="AW715" s="0" t="s">
        <v>286</v>
      </c>
      <c r="AX715" s="0" t="s">
        <v>893</v>
      </c>
      <c r="AY715" s="0" t="s">
        <v>2485</v>
      </c>
      <c r="AZ715" s="0" t="s">
        <v>2486</v>
      </c>
      <c r="BA715" s="0" t="s">
        <v>285</v>
      </c>
      <c r="BB715" s="0" t="str">
        <f t="shared" si="11"/>
        <v>CIHPbeTarka</v>
      </c>
    </row>
    <row r="716">
      <c r="AV716" s="0" t="s">
        <v>471</v>
      </c>
      <c r="AW716" s="0" t="s">
        <v>286</v>
      </c>
      <c r="AX716" s="0" t="s">
        <v>893</v>
      </c>
      <c r="AY716" s="0" t="s">
        <v>2487</v>
      </c>
      <c r="AZ716" s="0" t="s">
        <v>2488</v>
      </c>
      <c r="BA716" s="0" t="s">
        <v>285</v>
      </c>
      <c r="BB716" s="0" t="str">
        <f t="shared" si="11"/>
        <v>CIHPbeTarka</v>
      </c>
    </row>
    <row r="717">
      <c r="AV717" s="0" t="s">
        <v>471</v>
      </c>
      <c r="AW717" s="0" t="s">
        <v>286</v>
      </c>
      <c r="AX717" s="0" t="s">
        <v>893</v>
      </c>
      <c r="AY717" s="0" t="s">
        <v>2489</v>
      </c>
      <c r="AZ717" s="0" t="s">
        <v>2490</v>
      </c>
      <c r="BA717" s="0" t="s">
        <v>285</v>
      </c>
      <c r="BB717" s="0" t="str">
        <f t="shared" si="11"/>
        <v>CIHPbeTarka</v>
      </c>
    </row>
    <row r="718">
      <c r="AV718" s="0" t="s">
        <v>471</v>
      </c>
      <c r="AW718" s="0" t="s">
        <v>286</v>
      </c>
      <c r="AX718" s="0" t="s">
        <v>893</v>
      </c>
      <c r="AY718" s="0" t="s">
        <v>289</v>
      </c>
      <c r="AZ718" s="0" t="s">
        <v>293</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