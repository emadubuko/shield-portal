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<sst xmlns="http://schemas.openxmlformats.org/spreadsheetml/2006/main" count="4056" uniqueCount="4056">
  <si>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</si>
  <si>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</si>
  <si>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</si>
  <si>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</si>
  <si>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</si>
  <si>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</si>
  <si>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</si>
  <si>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</si>
  <si>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</si>
  <si>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</si>
  <si>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</si>
  <si>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</si>
  <si>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</si>
  <si>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</si>
  <si>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</si>
  <si>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</si>
  <si>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</si>
  <si>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</si>
  <si>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</si>
  <si>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</si>
  <si>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</si>
  <si>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</si>
  <si>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</si>
  <si>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</si>
  <si>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</si>
  <si>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</si>
  <si>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</si>
  <si>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</si>
  <si>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</si>
  <si>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</si>
  <si>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</si>
  <si>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</si>
  <si>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</si>
  <si>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</si>
  <si>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</si>
  <si>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</si>
  <si>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</si>
  <si>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</si>
  <si>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</si>
  <si>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</si>
  <si>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</si>
  <si>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</si>
  <si>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</si>
  <si>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</si>
  <si>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</si>
  <si>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</si>
  <si>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</si>
  <si>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</si>
  <si>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</si>
  <si>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</si>
  <si>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</si>
  <si>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</si>
  <si>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</si>
  <si>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</si>
  <si>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</si>
  <si>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</si>
  <si>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</si>
  <si>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</si>
  <si>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</si>
  <si>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</si>
  <si>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</si>
  <si>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</si>
  <si>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</si>
  <si>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</si>
  <si>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</si>
  <si>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</si>
  <si>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</si>
  <si>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</si>
  <si>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</si>
  <si>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</si>
  <si>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</si>
  <si>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</si>
  <si>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</si>
  <si>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</si>
  <si>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</si>
  <si>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</si>
  <si>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</si>
  <si>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</si>
  <si>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</si>
  <si>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</si>
  <si>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</si>
  <si>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</si>
  <si>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</si>
  <si>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</si>
  <si>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</si>
  <si>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</si>
  <si>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</si>
  <si>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</si>
  <si>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</si>
  <si>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</si>
  <si>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</si>
  <si>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</si>
  <si>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</si>
  <si>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</si>
  <si>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</si>
  <si>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</si>
  <si>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</si>
  <si>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</si>
  <si>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</si>
  <si>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</si>
  <si>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</si>
  <si>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</si>
  <si>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</si>
  <si>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</si>
  <si>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</si>
  <si>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</si>
  <si>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</si>
  <si>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</si>
  <si>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</si>
  <si>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</si>
  <si>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</si>
  <si>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</si>
  <si>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</si>
  <si>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</si>
  <si>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</si>
  <si>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</si>
  <si>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</si>
  <si>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</si>
  <si>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</si>
  <si>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</si>
  <si>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</si>
  <si>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</si>
  <si>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</si>
  <si>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</si>
  <si>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</si>
  <si>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</si>
  <si>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</si>
  <si>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</si>
  <si>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</si>
  <si>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</si>
  <si>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</si>
  <si>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</si>
  <si>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</si>
  <si>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</si>
  <si>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</si>
  <si>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</si>
  <si>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</si>
  <si>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</si>
  <si>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</si>
  <si>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</si>
  <si>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</si>
  <si>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</si>
  <si>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</si>
  <si>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</si>
  <si>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</si>
  <si>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</si>
  <si>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</si>
  <si>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</si>
  <si>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</si>
  <si>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</si>
  <si>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</si>
  <si>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</si>
  <si>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</si>
  <si>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</si>
  <si>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</si>
  <si>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</si>
  <si>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</si>
  <si>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</si>
  <si>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</si>
  <si>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</si>
  <si>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</si>
  <si>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</si>
  <si>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</si>
  <si>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</si>
  <si>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</si>
  <si>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</si>
  <si>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</si>
  <si>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</si>
  <si>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</si>
  <si>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</si>
  <si>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</si>
  <si>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</si>
  <si>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</si>
  <si>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</si>
  <si>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</si>
  <si>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</si>
  <si>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</si>
  <si>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</si>
  <si>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</si>
  <si>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</si>
  <si>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</si>
  <si>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</si>
  <si>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</si>
  <si>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</si>
  <si>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</si>
  <si>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</si>
  <si>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</si>
  <si>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</si>
  <si>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</si>
  <si>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</si>
  <si>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</si>
  <si>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</si>
  <si>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</si>
  <si>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</si>
  <si>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</si>
  <si>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</si>
  <si>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</si>
  <si>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</si>
  <si>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</si>
  <si>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</si>
  <si>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</si>
  <si>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</si>
  <si>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</si>
  <si>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</si>
  <si>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</si>
  <si>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</si>
  <si>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</si>
  <si>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</si>
  <si>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</si>
  <si>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</si>
  <si>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</si>
  <si>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</si>
  <si>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</si>
  <si>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</si>
  <si>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</si>
  <si>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</si>
  <si>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</si>
  <si>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</si>
  <si>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</si>
  <si>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</si>
  <si>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</si>
  <si>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</si>
  <si>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</si>
  <si>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</si>
  <si>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</si>
  <si>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</si>
  <si>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</si>
  <si>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</si>
  <si>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</si>
  <si>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</si>
  <si>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</si>
  <si>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</si>
  <si>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</si>
  <si>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</si>
  <si>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</si>
  <si>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</si>
  <si>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</si>
  <si>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</si>
  <si>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</si>
  <si>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</si>
  <si>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</si>
  <si>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</si>
  <si>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</si>
  <si>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</si>
  <si>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</si>
  <si>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</si>
  <si>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</si>
  <si>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</si>
  <si>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</si>
  <si>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</si>
  <si>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</si>
  <si>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</si>
  <si>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</si>
  <si>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</si>
  <si>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</si>
  <si>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</si>
  <si>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</si>
  <si>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</si>
  <si>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</si>
  <si>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</si>
  <si>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</si>
  <si>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</si>
  <si>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</si>
  <si>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</si>
  <si>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</si>
  <si>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</si>
  <si>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</si>
  <si>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</si>
  <si>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</si>
  <si>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</si>
  <si>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</si>
  <si>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</si>
  <si>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</si>
  <si>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</si>
  <si>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</si>
  <si>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</si>
  <si>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</si>
  <si>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</si>
  <si>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</si>
  <si>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</si>
  <si>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</si>
  <si>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</si>
  <si>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</si>
  <si>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</si>
  <si>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</si>
  <si>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</si>
  <si>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</si>
  <si>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</si>
  <si>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</si>
  <si>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Korinjo</t>
  </si>
  <si>
    <t>Reporting Period:</t>
  </si>
  <si>
    <t>Q1(Oct - Dec)</t>
  </si>
  <si>
    <t>Facility Code:</t>
  </si>
  <si>
    <t>CiJA7pwWM1M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</si>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</sst>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58</v>
      </c>
      <c r="G8" s="155">
        <f>ROUND(SUM('All Questions'!D31:D35)/5+G12,0)</f>
        <v>35</v>
      </c>
      <c r="H8" s="156">
        <f>ROUND(SUM('All Questions'!D37,'All Questions'!D40)/2+'All Questions'!D26+H12,0)</f>
        <v>86</v>
      </c>
      <c r="I8" s="157">
        <f>ROUND((SUM('All Questions'!E11:E14)/4)+I12,0)</f>
        <v>0</v>
      </c>
      <c r="J8" s="155">
        <f>ROUND(SUM('All Questions'!E15:E21)/7+J12,0)</f>
        <v>0</v>
      </c>
      <c r="K8" s="155">
        <f>ROUND(SUM('All Questions'!E23:E30)/4+K12,0)</f>
        <v>53</v>
      </c>
      <c r="L8" s="155">
        <f>ROUND(SUM('All Questions'!E31:E35)/5+L12,0)</f>
        <v>35</v>
      </c>
      <c r="M8" s="156">
        <f>ROUND(('All Questions'!E37+'All Questions'!E40)/2+'All Questions'!E26+M12,0)</f>
        <v>83</v>
      </c>
      <c r="N8" s="157">
        <f>ROUND((SUM('All Questions'!F11:F14)/4)+N12,0)</f>
        <v>0</v>
      </c>
      <c r="O8" s="155">
        <f>ROUND(SUM('All Questions'!F15:F21)/7+O12,0)</f>
        <v>0</v>
      </c>
      <c r="P8" s="155">
        <f>ROUND(SUM('All Questions'!F23:F30)/4+P12,0)</f>
        <v>27</v>
      </c>
      <c r="Q8" s="155">
        <f>ROUND(SUM('All Questions'!F31:F35)/5+Q12,0)</f>
        <v>19</v>
      </c>
      <c r="R8" s="156">
        <f>ROUND(('All Questions'!F37+'All Questions'!F40)/2+'All Questions'!F26+R12,0)</f>
        <v>50</v>
      </c>
      <c r="S8" s="141">
        <f>'All Questions'!F2</f>
        <v>0</v>
      </c>
      <c r="T8" s="142" t="e">
        <f>(AVERAGE(F8:H8)+AVERAGE(K8:M8)+AVERAGE(P8:R8))/S8</f>
        <v>#DIV/0!</v>
      </c>
      <c r="V8" s="309">
        <f>AVERAGE(F8:H8)+AVERAGE(K8:M8)+AVERAGE(P8:R8)</f>
        <v>148.66666666666666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6</v>
      </c>
      <c r="L9" s="158"/>
      <c r="M9" s="160"/>
      <c r="N9" s="161"/>
      <c r="O9" s="158"/>
      <c r="P9" s="159">
        <f>ROUND('All Questions'!F29+P13,0)</f>
        <v>3</v>
      </c>
      <c r="Q9" s="158"/>
      <c r="R9" s="160"/>
      <c r="S9" s="141">
        <f>'All Questions'!F3</f>
        <v>0</v>
      </c>
      <c r="T9" s="143" t="e">
        <f>SUM(F9,K9,P9)/S9</f>
        <v>#DIV/0!</v>
      </c>
      <c r="V9" s="309">
        <f>SUM(F9+K9+P9)</f>
        <v>17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56</v>
      </c>
      <c r="G10" s="159">
        <f>ROUND(SUM('All Questions'!D31:D35)/5,0)</f>
        <v>31</v>
      </c>
      <c r="H10" s="162">
        <f>ROUND(('All Questions'!D37+'All Questions'!D40)/2+'All Questions'!D26,0)</f>
        <v>78</v>
      </c>
      <c r="I10" s="163">
        <f>ROUND((SUM('All Questions'!E11:E14)/4),0)</f>
        <v>0</v>
      </c>
      <c r="J10" s="164">
        <f>ROUND(SUM('All Questions'!E15:E21)/7,0)</f>
        <v>0</v>
      </c>
      <c r="K10" s="164">
        <f>ROUND(SUM('All Questions'!E23:E30)/4,0)</f>
        <v>50</v>
      </c>
      <c r="L10" s="164">
        <f>ROUND(SUM('All Questions'!E31:E35)/5,0)</f>
        <v>27</v>
      </c>
      <c r="M10" s="165">
        <f>ROUND(('All Questions'!E37+'All Questions'!E40)/2+'All Questions'!E26,0)</f>
        <v>67</v>
      </c>
      <c r="N10" s="166">
        <f>ROUND((SUM('All Questions'!F11:F14)/4),0)</f>
        <v>0</v>
      </c>
      <c r="O10" s="164">
        <f>ROUND(SUM('All Questions'!F15:F21)/7,0)</f>
        <v>0</v>
      </c>
      <c r="P10" s="164">
        <f>ROUND(SUM('All Questions'!F23:F30)/4,0)</f>
        <v>26</v>
      </c>
      <c r="Q10" s="164">
        <f>ROUND(SUM('All Questions'!F31:F35)/5,0)</f>
        <v>17</v>
      </c>
      <c r="R10" s="165">
        <f>ROUND(('All Questions'!F37+'All Questions'!F40)/2+'All Questions'!F26,0)</f>
        <v>43</v>
      </c>
      <c r="S10" s="141">
        <f>'All Questions'!F4</f>
        <v>0</v>
      </c>
      <c r="T10" s="143" t="e">
        <f>(AVERAGE(F10:H10)+AVERAGE(K10:M10)+AVERAGE(P10:R10))/S10</f>
        <v>#DIV/0!</v>
      </c>
      <c r="V10" s="309">
        <f>AVERAGE(F10:H10)+AVERAGE(K10:M10)+AVERAGE(P10:R10)</f>
        <v>131.66666666666666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6</v>
      </c>
      <c r="L11" s="167"/>
      <c r="M11" s="169"/>
      <c r="N11" s="170"/>
      <c r="O11" s="167"/>
      <c r="P11" s="171">
        <f>ROUND('All Questions'!F29,0)</f>
        <v>3</v>
      </c>
      <c r="Q11" s="167"/>
      <c r="R11" s="169"/>
      <c r="S11" s="141">
        <f>'All Questions'!F5</f>
        <v>0</v>
      </c>
      <c r="T11" s="144" t="e">
        <f>SUM(F11,K11,P11)/S11</f>
        <v>#DIV/0!</v>
      </c>
      <c r="V11" s="309">
        <f>SUM(F11+K11+P11)</f>
        <v>17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4</v>
      </c>
      <c r="H12" s="174">
        <f>ROUND(SUM('All Questions'!D82:D83)/2,0)</f>
        <v>8</v>
      </c>
      <c r="I12" s="175">
        <f>ROUND(SUM('All Questions'!E54:E58)+'All Questions'!E71/4,0)</f>
        <v>0</v>
      </c>
      <c r="J12" s="176">
        <f>ROUND(SUM('All Questions'!E60:E63)/4,0)</f>
        <v>0</v>
      </c>
      <c r="K12" s="176">
        <f>ROUND(SUM('All Questions'!E67:E72)/3,0)</f>
        <v>3</v>
      </c>
      <c r="L12" s="176">
        <f>ROUND(SUM('All Questions'!E73:E80)/4,0)</f>
        <v>8</v>
      </c>
      <c r="M12" s="177">
        <f>ROUND(SUM('All Questions'!E82:E83)/2,0)</f>
        <v>16</v>
      </c>
      <c r="N12" s="178">
        <f>ROUND(SUM('All Questions'!F54:F58)+'All Questions'!F71/4,0)</f>
        <v>0</v>
      </c>
      <c r="O12" s="176">
        <f>ROUND(SUM('All Questions'!F60:F63)/4,0)</f>
        <v>0</v>
      </c>
      <c r="P12" s="176">
        <f>ROUND(SUM('All Questions'!F67:F72)/3,0)</f>
        <v>1</v>
      </c>
      <c r="Q12" s="176">
        <f>ROUND(SUM('All Questions'!F73:F80)/4,0)</f>
        <v>2</v>
      </c>
      <c r="R12" s="177">
        <f>ROUND(SUM('All Questions'!F82:F83)/2,0)</f>
        <v>7</v>
      </c>
      <c r="S12" s="145">
        <f>'All Questions'!F46</f>
        <v>0</v>
      </c>
      <c r="T12" s="146" t="e">
        <f ref="T12:T15" t="shared" si="1">(AVERAGE(F12:H12)+AVERAGE(K12:M12)+AVERAGE(P12:R12))/S12</f>
        <v>#DIV/0!</v>
      </c>
      <c r="V12" s="309">
        <f>AVERAGE(F12:H12)+AVERAGE(K12:M12)+AVERAGE(P12:R12)</f>
        <v>16.666666666666664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4</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3</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316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78</v>
      </c>
      <c r="E10" s="301">
        <v>67</v>
      </c>
      <c r="F10" s="301">
        <v>43</v>
      </c>
      <c r="G10" s="207" t="s">
        <v>67</v>
      </c>
    </row>
    <row r="11" hidden="1" ht="45" customHeight="1">
      <c r="A11" s="226"/>
      <c r="B11" s="238">
        <v>1114</v>
      </c>
      <c r="C11" s="243" t="s">
        <v>84</v>
      </c>
      <c r="D11" s="301">
        <v>78</v>
      </c>
      <c r="E11" s="301">
        <v>67</v>
      </c>
      <c r="F11" s="301">
        <v>43</v>
      </c>
      <c r="G11" s="207" t="s">
        <v>67</v>
      </c>
    </row>
    <row r="12" hidden="1" ht="45" customHeight="1">
      <c r="A12" s="226"/>
      <c r="B12" s="238">
        <v>1115</v>
      </c>
      <c r="C12" s="242" t="s">
        <v>85</v>
      </c>
      <c r="D12" s="301">
        <v>78</v>
      </c>
      <c r="E12" s="301">
        <v>67</v>
      </c>
      <c r="F12" s="301">
        <v>43</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70</v>
      </c>
      <c r="E25" s="301">
        <v>53</v>
      </c>
      <c r="F25" s="301">
        <v>37</v>
      </c>
      <c r="G25" s="207" t="s">
        <v>67</v>
      </c>
    </row>
    <row r="26" hidden="1" ht="45" customHeight="1">
      <c r="A26" s="226"/>
      <c r="B26" s="238">
        <v>1134</v>
      </c>
      <c r="C26" s="242" t="s">
        <v>99</v>
      </c>
      <c r="D26" s="301">
        <v>8</v>
      </c>
      <c r="E26" s="301">
        <v>14</v>
      </c>
      <c r="F26" s="301">
        <v>6</v>
      </c>
      <c r="G26" s="207" t="s">
        <v>67</v>
      </c>
    </row>
    <row r="27" hidden="1" ht="45" customHeight="1">
      <c r="A27" s="226"/>
      <c r="B27" s="238">
        <v>1135</v>
      </c>
      <c r="C27" s="242" t="s">
        <v>100</v>
      </c>
      <c r="D27" s="301">
        <v>70</v>
      </c>
      <c r="E27" s="301">
        <v>67</v>
      </c>
      <c r="F27" s="301">
        <v>29</v>
      </c>
      <c r="G27" s="207" t="s">
        <v>67</v>
      </c>
    </row>
    <row r="28" hidden="1" ht="45" customHeight="1">
      <c r="A28" s="226"/>
      <c r="B28" s="238">
        <v>1136</v>
      </c>
      <c r="C28" s="242" t="s">
        <v>101</v>
      </c>
      <c r="D28" s="301">
        <v>0</v>
      </c>
      <c r="E28" s="301">
        <v>0</v>
      </c>
      <c r="F28" s="301">
        <v>1</v>
      </c>
      <c r="G28" s="207" t="s">
        <v>67</v>
      </c>
    </row>
    <row r="29" hidden="1" ht="45" customHeight="1">
      <c r="A29" s="226"/>
      <c r="B29" s="238">
        <v>1137</v>
      </c>
      <c r="C29" s="242" t="s">
        <v>102</v>
      </c>
      <c r="D29" s="301">
        <v>8</v>
      </c>
      <c r="E29" s="301">
        <v>6</v>
      </c>
      <c r="F29" s="301">
        <v>3</v>
      </c>
      <c r="G29" s="207" t="s">
        <v>67</v>
      </c>
    </row>
    <row r="30" hidden="1" ht="45" customHeight="1">
      <c r="A30" s="226"/>
      <c r="B30" s="238">
        <v>1138</v>
      </c>
      <c r="C30" s="242" t="s">
        <v>103</v>
      </c>
      <c r="D30" s="301">
        <v>70</v>
      </c>
      <c r="E30" s="301">
        <v>61</v>
      </c>
      <c r="F30" s="301">
        <v>27</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78</v>
      </c>
      <c r="E33" s="301">
        <v>67</v>
      </c>
      <c r="F33" s="301">
        <v>43</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78</v>
      </c>
      <c r="E35" s="301">
        <v>67</v>
      </c>
      <c r="F35" s="301">
        <v>43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70</v>
      </c>
      <c r="E37" s="301">
        <v>53</v>
      </c>
      <c r="F37" s="301">
        <v>37</v>
      </c>
      <c r="G37" s="207" t="s">
        <v>67</v>
      </c>
    </row>
    <row r="38" hidden="1" ht="45" customHeight="1">
      <c r="A38" s="226"/>
      <c r="B38" s="238">
        <v>1153</v>
      </c>
      <c r="C38" s="242" t="s">
        <v>111</v>
      </c>
      <c r="D38" s="301">
        <v>69</v>
      </c>
      <c r="E38" s="301">
        <v>52</v>
      </c>
      <c r="F38" s="301">
        <v>40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70</v>
      </c>
      <c r="E40" s="301">
        <v>53</v>
      </c>
      <c r="F40" s="301">
        <v>37</v>
      </c>
      <c r="G40" s="207" t="s">
        <v>67</v>
      </c>
    </row>
    <row r="41" hidden="1" ht="45" customHeight="1">
      <c r="A41" s="226"/>
      <c r="B41" s="238">
        <v>1156</v>
      </c>
      <c r="C41" s="242" t="s">
        <v>113</v>
      </c>
      <c r="D41" s="301">
        <v>69</v>
      </c>
      <c r="E41" s="301">
        <v>52</v>
      </c>
      <c r="F41" s="301">
        <v>37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7</v>
      </c>
      <c r="E43" s="301">
        <v>5</v>
      </c>
      <c r="F43" s="301">
        <v>3</v>
      </c>
      <c r="G43" s="207" t="s">
        <v>67</v>
      </c>
    </row>
    <row r="44" hidden="1" ht="45" customHeight="1" s="250" customFormat="1">
      <c r="A44" s="226"/>
      <c r="B44" s="238">
        <v>1159</v>
      </c>
      <c r="C44" s="242" t="s">
        <v>116</v>
      </c>
      <c r="D44" s="301">
        <v>7</v>
      </c>
      <c r="E44" s="301">
        <v>5</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4</v>
      </c>
      <c r="E53" s="301">
        <v>10</v>
      </c>
      <c r="F53" s="301">
        <v>2</v>
      </c>
      <c r="G53" s="207" t="s">
        <v>117</v>
      </c>
    </row>
    <row r="54" hidden="1" ht="45" customHeight="1">
      <c r="A54" s="226"/>
      <c r="B54" s="238">
        <v>1214</v>
      </c>
      <c r="C54" s="264" t="s">
        <v>132</v>
      </c>
      <c r="D54" s="301">
        <v>4</v>
      </c>
      <c r="E54" s="301">
        <v>10</v>
      </c>
      <c r="F54" s="301">
        <v>2</v>
      </c>
      <c r="G54" s="207" t="s">
        <v>117</v>
      </c>
    </row>
    <row r="55" hidden="1" ht="45" customHeight="1">
      <c r="A55" s="226"/>
      <c r="B55" s="238">
        <v>1215</v>
      </c>
      <c r="C55" s="242" t="s">
        <v>133</v>
      </c>
      <c r="D55" s="301">
        <v>11</v>
      </c>
      <c r="E55" s="301">
        <v>20</v>
      </c>
      <c r="F55" s="301">
        <v>12</v>
      </c>
      <c r="G55" s="207" t="s">
        <v>117</v>
      </c>
    </row>
    <row r="56" hidden="1" ht="45" customHeight="1">
      <c r="A56" s="226"/>
      <c r="B56" s="238">
        <v>1216</v>
      </c>
      <c r="C56" s="243" t="s">
        <v>134</v>
      </c>
      <c r="D56" s="301">
        <v>2</v>
      </c>
      <c r="E56" s="301">
        <v>9</v>
      </c>
      <c r="F56" s="301">
        <v>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1</v>
      </c>
      <c r="F58" s="301">
        <v>0</v>
      </c>
      <c r="G58" s="207" t="s">
        <v>117</v>
      </c>
    </row>
    <row r="59" hidden="1" ht="45" customHeight="1">
      <c r="A59" s="226"/>
      <c r="B59" s="238">
        <v>1221</v>
      </c>
      <c r="C59" s="264" t="s">
        <v>137</v>
      </c>
      <c r="D59" s="301">
        <v>2</v>
      </c>
      <c r="E59" s="301">
        <v>9</v>
      </c>
      <c r="F59" s="301">
        <v>2</v>
      </c>
      <c r="G59" s="207" t="s">
        <v>117</v>
      </c>
    </row>
    <row r="60" hidden="1" ht="45" customHeight="1">
      <c r="A60" s="226"/>
      <c r="B60" s="238">
        <v>1222</v>
      </c>
      <c r="C60" s="264" t="s">
        <v>138</v>
      </c>
      <c r="D60" s="301">
        <v>2</v>
      </c>
      <c r="E60" s="301">
        <v>9</v>
      </c>
      <c r="F60" s="301">
        <v>2</v>
      </c>
      <c r="G60" s="207" t="s">
        <v>117</v>
      </c>
    </row>
    <row r="61" hidden="1" ht="45" customHeight="1">
      <c r="A61" s="226"/>
      <c r="B61" s="238">
        <v>1223</v>
      </c>
      <c r="C61" s="264" t="s">
        <v>139</v>
      </c>
      <c r="D61" s="301">
        <v>2</v>
      </c>
      <c r="E61" s="301">
        <v>9</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v>
      </c>
      <c r="E67" s="301">
        <v>9</v>
      </c>
      <c r="F67" s="301">
        <v>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10</v>
      </c>
      <c r="F73" s="301">
        <v>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v>
      </c>
      <c r="E75" s="301">
        <v>9</v>
      </c>
      <c r="F75" s="301">
        <v>2</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v>
      </c>
      <c r="E79" s="301">
        <v>11</v>
      </c>
      <c r="F79" s="301">
        <v>2</v>
      </c>
      <c r="G79" s="207" t="s">
        <v>117</v>
      </c>
    </row>
    <row r="80" hidden="1" ht="45" customHeight="1">
      <c r="A80" s="226"/>
      <c r="B80" s="238">
        <v>1248</v>
      </c>
      <c r="C80" s="242" t="s">
        <v>158</v>
      </c>
      <c r="D80" s="301">
        <v>3</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v>
      </c>
      <c r="E82" s="301">
        <v>20</v>
      </c>
      <c r="F82" s="301">
        <v>12</v>
      </c>
      <c r="G82" s="207" t="s">
        <v>117</v>
      </c>
    </row>
    <row r="83" hidden="1" ht="45" customHeight="1">
      <c r="A83" s="226"/>
      <c r="B83" s="238">
        <v>1253</v>
      </c>
      <c r="C83" s="242" t="s">
        <v>161</v>
      </c>
      <c r="D83" s="301">
        <v>5</v>
      </c>
      <c r="E83" s="301">
        <v>11</v>
      </c>
      <c r="F83" s="301">
        <v>2</v>
      </c>
      <c r="G83" s="207" t="s">
        <v>117</v>
      </c>
    </row>
    <row r="84" hidden="1" ht="45" customHeight="1">
      <c r="A84" s="219"/>
      <c r="B84" s="238">
        <v>1254</v>
      </c>
      <c r="C84" s="221" t="s">
        <v>162</v>
      </c>
      <c r="D84" s="265"/>
      <c r="E84" s="265"/>
      <c r="F84" s="265"/>
      <c r="G84" s="207"/>
    </row>
    <row r="85" hidden="1" ht="45" customHeight="1">
      <c r="A85" s="226"/>
      <c r="B85" s="238">
        <v>1255</v>
      </c>
      <c r="C85" s="242" t="s">
        <v>163</v>
      </c>
      <c r="D85" s="301">
        <v>4</v>
      </c>
      <c r="E85" s="301">
        <v>1</v>
      </c>
      <c r="F85" s="301">
        <v>0</v>
      </c>
      <c r="G85" s="207" t="s">
        <v>117</v>
      </c>
    </row>
    <row r="86" hidden="1" ht="45" customHeight="1">
      <c r="A86" s="226"/>
      <c r="B86" s="238">
        <v>1256</v>
      </c>
      <c r="C86" s="242" t="s">
        <v>164</v>
      </c>
      <c r="D86" s="301">
        <v>3</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3</v>
      </c>
      <c r="G88" s="207" t="s">
        <v>117</v>
      </c>
    </row>
    <row r="89" hidden="1" ht="45" customHeight="1">
      <c r="A89" s="226"/>
      <c r="B89" s="238">
        <v>1259</v>
      </c>
      <c r="C89" s="242" t="s">
        <v>167</v>
      </c>
      <c r="D89" s="301">
        <v>3</v>
      </c>
      <c r="E89" s="301">
        <v>0</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4</v>
      </c>
      <c r="E93" s="301">
        <v>2</v>
      </c>
      <c r="F93" s="301">
        <v>3</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4</v>
      </c>
      <c r="E97" s="301">
        <v>2</v>
      </c>
      <c r="F97" s="301">
        <v>3</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3</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1968</v>
      </c>
      <c r="AZ456" s="0" t="s">
        <v>1969</v>
      </c>
      <c r="BA456" s="0" t="s">
        <v>285</v>
      </c>
      <c r="BB456" s="0" t="str">
        <f t="shared" si="7"/>
        <v>CCFNbeTarka</v>
      </c>
    </row>
    <row r="457">
      <c r="AV457" s="0" t="s">
        <v>471</v>
      </c>
      <c r="AW457" s="0" t="s">
        <v>286</v>
      </c>
      <c r="AX457" s="0" t="s">
        <v>918</v>
      </c>
      <c r="AY457" s="0" t="s">
        <v>1970</v>
      </c>
      <c r="AZ457" s="0" t="s">
        <v>1971</v>
      </c>
      <c r="BA457" s="0" t="s">
        <v>285</v>
      </c>
      <c r="BB457" s="0" t="str">
        <f t="shared" si="7"/>
        <v>CCFNbeUkum</v>
      </c>
    </row>
    <row r="458">
      <c r="AV458" s="0" t="s">
        <v>471</v>
      </c>
      <c r="AW458" s="0" t="s">
        <v>286</v>
      </c>
      <c r="AX458" s="0" t="s">
        <v>918</v>
      </c>
      <c r="AY458" s="0" t="s">
        <v>1972</v>
      </c>
      <c r="AZ458" s="0" t="s">
        <v>1973</v>
      </c>
      <c r="BA458" s="0" t="s">
        <v>285</v>
      </c>
      <c r="BB458" s="0" t="str">
        <f t="shared" si="7"/>
        <v>CCFNbeUkum</v>
      </c>
    </row>
    <row r="459">
      <c r="AV459" s="0" t="s">
        <v>471</v>
      </c>
      <c r="AW459" s="0" t="s">
        <v>286</v>
      </c>
      <c r="AX459" s="0" t="s">
        <v>918</v>
      </c>
      <c r="AY459" s="0" t="s">
        <v>1974</v>
      </c>
      <c r="AZ459" s="0" t="s">
        <v>1975</v>
      </c>
      <c r="BA459" s="0" t="s">
        <v>285</v>
      </c>
      <c r="BB459" s="0" t="str">
        <f t="shared" si="7"/>
        <v>CCFNbeUkum</v>
      </c>
    </row>
    <row r="460">
      <c r="AV460" s="0" t="s">
        <v>471</v>
      </c>
      <c r="AW460" s="0" t="s">
        <v>286</v>
      </c>
      <c r="AX460" s="0" t="s">
        <v>942</v>
      </c>
      <c r="AY460" s="0" t="s">
        <v>1976</v>
      </c>
      <c r="AZ460" s="0" t="s">
        <v>1977</v>
      </c>
      <c r="BA460" s="0" t="s">
        <v>285</v>
      </c>
      <c r="BB460" s="0" t="str">
        <f t="shared" si="7"/>
        <v>CCFNbeUshongo</v>
      </c>
    </row>
    <row r="461">
      <c r="AV461" s="0" t="s">
        <v>471</v>
      </c>
      <c r="AW461" s="0" t="s">
        <v>286</v>
      </c>
      <c r="AX461" s="0" t="s">
        <v>942</v>
      </c>
      <c r="AY461" s="0" t="s">
        <v>1978</v>
      </c>
      <c r="AZ461" s="0" t="s">
        <v>1979</v>
      </c>
      <c r="BA461" s="0" t="s">
        <v>285</v>
      </c>
      <c r="BB461" s="0" t="str">
        <f t="shared" si="7"/>
        <v>CCFNbeUshongo</v>
      </c>
    </row>
    <row r="462">
      <c r="AV462" s="0" t="s">
        <v>471</v>
      </c>
      <c r="AW462" s="0" t="s">
        <v>286</v>
      </c>
      <c r="AX462" s="0" t="s">
        <v>942</v>
      </c>
      <c r="AY462" s="0" t="s">
        <v>1980</v>
      </c>
      <c r="AZ462" s="0" t="s">
        <v>1981</v>
      </c>
      <c r="BA462" s="0" t="s">
        <v>285</v>
      </c>
      <c r="BB462" s="0" t="str">
        <f t="shared" si="7"/>
        <v>CCFNbeUshongo</v>
      </c>
    </row>
    <row r="463">
      <c r="AV463" s="0" t="s">
        <v>471</v>
      </c>
      <c r="AW463" s="0" t="s">
        <v>286</v>
      </c>
      <c r="AX463" s="0" t="s">
        <v>942</v>
      </c>
      <c r="AY463" s="0" t="s">
        <v>289</v>
      </c>
      <c r="AZ463" s="0" t="s">
        <v>293</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