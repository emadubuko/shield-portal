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<sst xmlns="http://schemas.openxmlformats.org/spreadsheetml/2006/main" count="4056" uniqueCount="4056">
  <si>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</si>
  <si>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</si>
  <si>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</si>
  <si>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</si>
  <si>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</si>
  <si>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</si>
  <si>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</si>
  <si>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</si>
  <si>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</si>
  <si>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</si>
  <si>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</si>
  <si>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</si>
  <si>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</si>
  <si>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</si>
  <si>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</si>
  <si>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</si>
  <si>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</si>
  <si>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</si>
  <si>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</si>
  <si>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</si>
  <si>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</si>
  <si>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</si>
  <si>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</si>
  <si>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</si>
  <si>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</si>
  <si>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</si>
  <si>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</si>
  <si>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</si>
  <si>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</si>
  <si>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</si>
  <si>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</si>
  <si>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</si>
  <si>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</si>
  <si>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</si>
  <si>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</si>
  <si>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</si>
  <si>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</si>
  <si>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</si>
  <si>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</si>
  <si>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</si>
  <si>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</si>
  <si>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</si>
  <si>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</si>
  <si>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</si>
  <si>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</si>
  <si>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</si>
  <si>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</si>
  <si>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</si>
  <si>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</si>
  <si>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</si>
  <si>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</si>
  <si>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</si>
  <si>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</si>
  <si>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</si>
  <si>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</si>
  <si>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</si>
  <si>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</si>
  <si>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</si>
  <si>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</si>
  <si>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</si>
  <si>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</si>
  <si>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</si>
  <si>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</si>
  <si>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</si>
  <si>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</si>
  <si>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</si>
  <si>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</si>
  <si>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</si>
  <si>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</si>
  <si>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</si>
  <si>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</si>
  <si>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</si>
  <si>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</si>
  <si>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</si>
  <si>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</si>
  <si>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</si>
  <si>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</si>
  <si>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</si>
  <si>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</si>
  <si>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</si>
  <si>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</si>
  <si>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</si>
  <si>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</si>
  <si>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</si>
  <si>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</si>
  <si>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</si>
  <si>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</si>
  <si>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</si>
  <si>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</si>
  <si>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</si>
  <si>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</si>
  <si>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</si>
  <si>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</si>
  <si>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</si>
  <si>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</si>
  <si>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</si>
  <si>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</si>
  <si>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</si>
  <si>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</si>
  <si>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</si>
  <si>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</si>
  <si>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</si>
  <si>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</si>
  <si>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</si>
  <si>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</si>
  <si>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</si>
  <si>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</si>
  <si>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</si>
  <si>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</si>
  <si>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</si>
  <si>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</si>
  <si>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</si>
  <si>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</si>
  <si>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</si>
  <si>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</si>
  <si>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</si>
  <si>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</si>
  <si>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</si>
  <si>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</si>
  <si>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</si>
  <si>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</si>
  <si>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</si>
  <si>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</si>
  <si>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</si>
  <si>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</si>
  <si>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</si>
  <si>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</si>
  <si>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</si>
  <si>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</si>
  <si>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</si>
  <si>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</si>
  <si>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</si>
  <si>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</si>
  <si>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</si>
  <si>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</si>
  <si>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</si>
  <si>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</si>
  <si>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</si>
  <si>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</si>
  <si>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</si>
  <si>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</si>
  <si>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</si>
  <si>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</si>
  <si>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</si>
  <si>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</si>
  <si>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</si>
  <si>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</si>
  <si>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</si>
  <si>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</si>
  <si>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</si>
  <si>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</si>
  <si>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</si>
  <si>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</si>
  <si>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</si>
  <si>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</si>
  <si>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</si>
  <si>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</si>
  <si>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</si>
  <si>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</si>
  <si>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</si>
  <si>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</si>
  <si>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</si>
  <si>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</si>
  <si>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</si>
  <si>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</si>
  <si>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</si>
  <si>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</si>
  <si>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</si>
  <si>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</si>
  <si>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</si>
  <si>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</si>
  <si>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</si>
  <si>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</si>
  <si>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</si>
  <si>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</si>
  <si>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</si>
  <si>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</si>
  <si>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</si>
  <si>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</si>
  <si>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</si>
  <si>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</si>
  <si>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</si>
  <si>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</si>
  <si>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</si>
  <si>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</si>
  <si>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</si>
  <si>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</si>
  <si>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</si>
  <si>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</si>
  <si>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</si>
  <si>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</si>
  <si>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</si>
  <si>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</si>
  <si>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</si>
  <si>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</si>
  <si>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</si>
  <si>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</si>
  <si>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</si>
  <si>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</si>
  <si>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</si>
  <si>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</si>
  <si>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</si>
  <si>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</si>
  <si>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</si>
  <si>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</si>
  <si>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</si>
  <si>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</si>
  <si>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</si>
  <si>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</si>
  <si>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</si>
  <si>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</si>
  <si>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</si>
  <si>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</si>
  <si>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</si>
  <si>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</si>
  <si>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</si>
  <si>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</si>
  <si>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</si>
  <si>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</si>
  <si>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</si>
  <si>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</si>
  <si>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</si>
  <si>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</si>
  <si>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</si>
  <si>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</si>
  <si>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</si>
  <si>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</si>
  <si>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</si>
  <si>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</si>
  <si>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</si>
  <si>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</si>
  <si>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</si>
  <si>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</si>
  <si>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</si>
  <si>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</si>
  <si>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</si>
  <si>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</si>
  <si>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</si>
  <si>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</si>
  <si>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</si>
  <si>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</si>
  <si>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</si>
  <si>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</si>
  <si>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</si>
  <si>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</si>
  <si>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</si>
  <si>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</si>
  <si>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</si>
  <si>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</si>
  <si>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</si>
  <si>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</si>
  <si>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</si>
  <si>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</si>
  <si>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</si>
  <si>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</si>
  <si>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</si>
  <si>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</si>
  <si>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</si>
  <si>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</si>
  <si>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</si>
  <si>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</si>
  <si>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</si>
  <si>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</si>
  <si>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</si>
  <si>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</si>
  <si>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</si>
  <si>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</si>
  <si>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</si>
  <si>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</si>
  <si>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</si>
  <si>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</si>
  <si>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</si>
  <si>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</si>
  <si>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</si>
  <si>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</si>
  <si>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</si>
  <si>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</si>
  <si>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</si>
  <si>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</si>
  <si>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</si>
  <si>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</si>
  <si>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</si>
  <si>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</si>
  <si>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</si>
  <si>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</si>
  <si>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</si>
  <si>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</si>
  <si>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Nkanu West</t>
  </si>
  <si>
    <t>Facility Name:</t>
  </si>
  <si>
    <t>University Of Nigeria Teaching Hospital (UNTH)</t>
  </si>
  <si>
    <t>Reporting Period:</t>
  </si>
  <si>
    <t>Q1(Oct - Dec)</t>
  </si>
  <si>
    <t>Facility Code:</t>
  </si>
  <si>
    <t>sOlMR20VFFC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</si>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</sst>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175</v>
      </c>
      <c r="G8" s="155">
        <f>ROUND(SUM('All Questions'!D31:D35)/5+G12,0)</f>
        <v>118</v>
      </c>
      <c r="H8" s="156">
        <f>ROUND(SUM('All Questions'!D37,'All Questions'!D40)/2+'All Questions'!D26+H12,0)</f>
        <v>232</v>
      </c>
      <c r="I8" s="157">
        <f>ROUND((SUM('All Questions'!E11:E14)/4)+I12,0)</f>
        <v>0</v>
      </c>
      <c r="J8" s="155">
        <f>ROUND(SUM('All Questions'!E15:E21)/7+J12,0)</f>
        <v>0</v>
      </c>
      <c r="K8" s="155">
        <f>ROUND(SUM('All Questions'!E23:E30)/4+K12,0)</f>
        <v>194</v>
      </c>
      <c r="L8" s="155">
        <f>ROUND(SUM('All Questions'!E31:E35)/5+L12,0)</f>
        <v>125</v>
      </c>
      <c r="M8" s="156">
        <f>ROUND(('All Questions'!E37+'All Questions'!E40)/2+'All Questions'!E26+M12,0)</f>
        <v>266</v>
      </c>
      <c r="N8" s="157">
        <f>ROUND((SUM('All Questions'!F11:F14)/4)+N12,0)</f>
        <v>0</v>
      </c>
      <c r="O8" s="155">
        <f>ROUND(SUM('All Questions'!F15:F21)/7+O12,0)</f>
        <v>0</v>
      </c>
      <c r="P8" s="155">
        <f>ROUND(SUM('All Questions'!F23:F30)/4+P12,0)</f>
        <v>147</v>
      </c>
      <c r="Q8" s="155">
        <f>ROUND(SUM('All Questions'!F31:F35)/5+Q12,0)</f>
        <v>96</v>
      </c>
      <c r="R8" s="156">
        <f>ROUND(('All Questions'!F37+'All Questions'!F40)/2+'All Questions'!F26+R12,0)</f>
        <v>190</v>
      </c>
      <c r="S8" s="141">
        <f>'All Questions'!F2</f>
        <v>0</v>
      </c>
      <c r="T8" s="142" t="e">
        <f>(AVERAGE(F8:H8)+AVERAGE(K8:M8)+AVERAGE(P8:R8))/S8</f>
        <v>#DIV/0!</v>
      </c>
      <c r="V8" s="309">
        <f>AVERAGE(F8:H8)+AVERAGE(K8:M8)+AVERAGE(P8:R8)</f>
        <v>514.33333333333337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55</v>
      </c>
      <c r="G9" s="158"/>
      <c r="H9" s="160"/>
      <c r="I9" s="161"/>
      <c r="J9" s="158"/>
      <c r="K9" s="159">
        <f>ROUND('All Questions'!E29+K13,0)</f>
        <v>60</v>
      </c>
      <c r="L9" s="158"/>
      <c r="M9" s="160"/>
      <c r="N9" s="161"/>
      <c r="O9" s="158"/>
      <c r="P9" s="159">
        <f>ROUND('All Questions'!F29+P13,0)</f>
        <v>51</v>
      </c>
      <c r="Q9" s="158"/>
      <c r="R9" s="160"/>
      <c r="S9" s="141">
        <f>'All Questions'!F3</f>
        <v>0</v>
      </c>
      <c r="T9" s="143" t="e">
        <f>SUM(F9,K9,P9)/S9</f>
        <v>#DIV/0!</v>
      </c>
      <c r="V9" s="309">
        <f>SUM(F9+K9+P9)</f>
        <v>166</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136</v>
      </c>
      <c r="G10" s="159">
        <f>ROUND(SUM('All Questions'!D31:D35)/5,0)</f>
        <v>87</v>
      </c>
      <c r="H10" s="162">
        <f>ROUND(('All Questions'!D37+'All Questions'!D40)/2+'All Questions'!D26,0)</f>
        <v>174</v>
      </c>
      <c r="I10" s="163">
        <f>ROUND((SUM('All Questions'!E11:E14)/4),0)</f>
        <v>0</v>
      </c>
      <c r="J10" s="164">
        <f>ROUND(SUM('All Questions'!E15:E21)/7,0)</f>
        <v>0</v>
      </c>
      <c r="K10" s="164">
        <f>ROUND(SUM('All Questions'!E23:E30)/4,0)</f>
        <v>164</v>
      </c>
      <c r="L10" s="164">
        <f>ROUND(SUM('All Questions'!E31:E35)/5,0)</f>
        <v>99</v>
      </c>
      <c r="M10" s="165">
        <f>ROUND(('All Questions'!E37+'All Questions'!E40)/2+'All Questions'!E26,0)</f>
        <v>222</v>
      </c>
      <c r="N10" s="166">
        <f>ROUND((SUM('All Questions'!F11:F14)/4),0)</f>
        <v>0</v>
      </c>
      <c r="O10" s="164">
        <f>ROUND(SUM('All Questions'!F15:F21)/7,0)</f>
        <v>0</v>
      </c>
      <c r="P10" s="164">
        <f>ROUND(SUM('All Questions'!F23:F30)/4,0)</f>
        <v>123</v>
      </c>
      <c r="Q10" s="164">
        <f>ROUND(SUM('All Questions'!F31:F35)/5,0)</f>
        <v>76</v>
      </c>
      <c r="R10" s="165">
        <f>ROUND(('All Questions'!F37+'All Questions'!F40)/2+'All Questions'!F26,0)</f>
        <v>154</v>
      </c>
      <c r="S10" s="141">
        <f>'All Questions'!F4</f>
        <v>0</v>
      </c>
      <c r="T10" s="143" t="e">
        <f>(AVERAGE(F10:H10)+AVERAGE(K10:M10)+AVERAGE(P10:R10))/S10</f>
        <v>#DIV/0!</v>
      </c>
      <c r="V10" s="309">
        <f>AVERAGE(F10:H10)+AVERAGE(K10:M10)+AVERAGE(P10:R10)</f>
        <v>411.66666666666669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55</v>
      </c>
      <c r="G11" s="167"/>
      <c r="H11" s="169"/>
      <c r="I11" s="170"/>
      <c r="J11" s="167"/>
      <c r="K11" s="171">
        <f>ROUND('All Questions'!E29,0)</f>
        <v>60</v>
      </c>
      <c r="L11" s="167"/>
      <c r="M11" s="169"/>
      <c r="N11" s="170"/>
      <c r="O11" s="167"/>
      <c r="P11" s="171">
        <f>ROUND('All Questions'!F29,0)</f>
        <v>51</v>
      </c>
      <c r="Q11" s="167"/>
      <c r="R11" s="169"/>
      <c r="S11" s="141">
        <f>'All Questions'!F5</f>
        <v>0</v>
      </c>
      <c r="T11" s="144" t="e">
        <f>SUM(F11,K11,P11)/S11</f>
        <v>#DIV/0!</v>
      </c>
      <c r="V11" s="309">
        <f>SUM(F11+K11+P11)</f>
        <v>166</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39</v>
      </c>
      <c r="G12" s="173">
        <f>ROUND(SUM('All Questions'!D73:D80)/4,0)</f>
        <v>31</v>
      </c>
      <c r="H12" s="174">
        <f>ROUND(SUM('All Questions'!D82:D83)/2,0)</f>
        <v>58</v>
      </c>
      <c r="I12" s="175">
        <f>ROUND(SUM('All Questions'!E54:E58)+'All Questions'!E71/4,0)</f>
        <v>0</v>
      </c>
      <c r="J12" s="176">
        <f>ROUND(SUM('All Questions'!E60:E63)/4,0)</f>
        <v>0</v>
      </c>
      <c r="K12" s="176">
        <f>ROUND(SUM('All Questions'!E67:E72)/3,0)</f>
        <v>30</v>
      </c>
      <c r="L12" s="176">
        <f>ROUND(SUM('All Questions'!E73:E80)/4,0)</f>
        <v>26</v>
      </c>
      <c r="M12" s="177">
        <f>ROUND(SUM('All Questions'!E82:E83)/2,0)</f>
        <v>44</v>
      </c>
      <c r="N12" s="178">
        <f>ROUND(SUM('All Questions'!F54:F58)+'All Questions'!F71/4,0)</f>
        <v>0</v>
      </c>
      <c r="O12" s="176">
        <f>ROUND(SUM('All Questions'!F60:F63)/4,0)</f>
        <v>0</v>
      </c>
      <c r="P12" s="176">
        <f>ROUND(SUM('All Questions'!F67:F72)/3,0)</f>
        <v>24</v>
      </c>
      <c r="Q12" s="176">
        <f>ROUND(SUM('All Questions'!F73:F80)/4,0)</f>
        <v>20</v>
      </c>
      <c r="R12" s="177">
        <f>ROUND(SUM('All Questions'!F82:F83)/2,0)</f>
        <v>36</v>
      </c>
      <c r="S12" s="145">
        <f>'All Questions'!F46</f>
        <v>0</v>
      </c>
      <c r="T12" s="146" t="e">
        <f ref="T12:T15" t="shared" si="1">(AVERAGE(F12:H12)+AVERAGE(K12:M12)+AVERAGE(P12:R12))/S12</f>
        <v>#DIV/0!</v>
      </c>
      <c r="V12" s="309">
        <f>AVERAGE(F12:H12)+AVERAGE(K12:M12)+AVERAGE(P12:R12)</f>
        <v>102.66666666666667</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2</v>
      </c>
      <c r="H14" s="180">
        <f>ROUND(SUM('All Questions'!D88:D89)/2,0)</f>
        <v>4</v>
      </c>
      <c r="I14" s="187">
        <f>ROUND('All Questions'!E57,0)</f>
        <v>0</v>
      </c>
      <c r="J14" s="183">
        <f>ROUND('All Questions'!E64,0)</f>
        <v>0</v>
      </c>
      <c r="K14" s="183">
        <f>ROUND(SUM('All Questions'!E69:E70),0)</f>
        <v>1</v>
      </c>
      <c r="L14" s="183">
        <f>ROUND(SUM('All Questions'!E74,'All Questions'!E76,'All Questions'!E78,'All Questions'!E80)/4,0)</f>
        <v>4</v>
      </c>
      <c r="M14" s="184">
        <f>ROUND(SUM('All Questions'!E88:E89)/2,0)</f>
        <v>7</v>
      </c>
      <c r="N14" s="188">
        <f>ROUND('All Questions'!F57,0)</f>
        <v>0</v>
      </c>
      <c r="O14" s="183">
        <f>ROUND('All Questions'!F64,0)</f>
        <v>0</v>
      </c>
      <c r="P14" s="183">
        <f>ROUND(SUM('All Questions'!F69:F70),0)</f>
        <v>0</v>
      </c>
      <c r="Q14" s="183">
        <f>ROUND(SUM('All Questions'!F74,'All Questions'!F76,'All Questions'!F78,'All Questions'!F80)/4,0)</f>
        <v>2</v>
      </c>
      <c r="R14" s="184">
        <f>ROUND(SUM('All Questions'!F88:F89)/2,0)</f>
        <v>4</v>
      </c>
      <c r="S14" s="145">
        <f>'All Questions'!F48</f>
        <v>0</v>
      </c>
      <c r="T14" s="147" t="e">
        <f>(AVERAGE(F14:H14)+AVERAGE(K14:M14)+AVERAGE(P14:R14))/S14</f>
        <v>#DIV/0!</v>
      </c>
      <c r="V14" s="309">
        <f>AVERAGE(F14:H14)+AVERAGE(K14:M14)+AVERAGE(P14:R14)</f>
        <v>8</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15</v>
      </c>
      <c r="G15" s="159">
        <f>ROUND(SUM('All Questions'!D131:D133)/3,0)</f>
        <v>12</v>
      </c>
      <c r="H15" s="162">
        <f>ROUND(SUM('All Questions'!D135,'All Questions'!D138),0)</f>
        <v>15</v>
      </c>
      <c r="I15" s="166">
        <f>ROUND(SUM('All Questions'!E119:E120)/2,0)</f>
        <v>0</v>
      </c>
      <c r="J15" s="164">
        <f>ROUND(SUM('All Questions'!E121,'All Questions'!E124)/2,0)</f>
        <v>0</v>
      </c>
      <c r="K15" s="164">
        <f>ROUND(SUM('All Questions'!E126:E129)/2,0)</f>
        <v>10</v>
      </c>
      <c r="L15" s="164">
        <f>ROUND(SUM('All Questions'!E131:E133)/3,0)</f>
        <v>11</v>
      </c>
      <c r="M15" s="165">
        <f>ROUND(SUM('All Questions'!E135,'All Questions'!E138),0)</f>
        <v>10</v>
      </c>
      <c r="N15" s="189">
        <f>ROUND(SUM('All Questions'!F119:F120)/2,0)</f>
        <v>0</v>
      </c>
      <c r="O15" s="164">
        <f>ROUND(SUM('All Questions'!F121,'All Questions'!F124)/2,0)</f>
        <v>0</v>
      </c>
      <c r="P15" s="164">
        <f>ROUND(SUM('All Questions'!F126:F129)/2,0)</f>
        <v>1</v>
      </c>
      <c r="Q15" s="164">
        <f>ROUND(SUM('All Questions'!F131:F133)/3,0)</f>
        <v>8</v>
      </c>
      <c r="R15" s="165">
        <f>ROUND(SUM('All Questions'!F135,'All Questions'!F138),0)</f>
        <v>1</v>
      </c>
      <c r="S15" s="148">
        <f>'All Questions'!F117</f>
        <v>0</v>
      </c>
      <c r="T15" s="147" t="e">
        <f t="shared" si="1"/>
        <v>#DIV/0!</v>
      </c>
      <c r="V15" s="309">
        <f ref="V15:V17" t="shared" si="2">AVERAGE(F15:H15)+AVERAGE(K15:M15)+AVERAGE(P15:R15)</f>
        <v>27.666666666666668</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8</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15</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8</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11</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14</v>
      </c>
      <c r="G17" s="155">
        <f>ROUND(SUM('All Questions'!D155:D158)/4,0)</f>
        <v>14</v>
      </c>
      <c r="H17" s="197">
        <f>ROUND(SUM('All Questions'!D160,'All Questions'!D163)/2,0)</f>
        <v>14</v>
      </c>
      <c r="I17" s="198">
        <f>ROUND(SUM('All Questions'!E145:E146)/2,0)</f>
        <v>0</v>
      </c>
      <c r="J17" s="199">
        <f>ROUND(SUM('All Questions'!E147:E150)/4,0)</f>
        <v>0</v>
      </c>
      <c r="K17" s="199">
        <f>ROUND(SUM('All Questions'!E151:E154)/2,0)</f>
        <v>16</v>
      </c>
      <c r="L17" s="199">
        <f>ROUND(SUM('All Questions'!E155:E158)/4,0)</f>
        <v>20</v>
      </c>
      <c r="M17" s="197">
        <f>ROUND(SUM('All Questions'!E160,'All Questions'!E163)/2,0)</f>
        <v>21</v>
      </c>
      <c r="N17" s="200">
        <f>ROUND(SUM('All Questions'!F145:F146)/2,0)</f>
        <v>0</v>
      </c>
      <c r="O17" s="199">
        <f>ROUND(SUM('All Questions'!F147:F150)/4,0)</f>
        <v>0</v>
      </c>
      <c r="P17" s="199">
        <f>ROUND(SUM('All Questions'!F151:F154)/2,0)</f>
        <v>17</v>
      </c>
      <c r="Q17" s="199">
        <f>ROUND(SUM('All Questions'!F155:F158)/4,0)</f>
        <v>17</v>
      </c>
      <c r="R17" s="199">
        <f>ROUND(SUM('All Questions'!F160,'All Questions'!F163)/2,0)</f>
        <v>17</v>
      </c>
      <c r="S17" s="151">
        <f>'All Questions'!F141</f>
        <v>0</v>
      </c>
      <c r="T17" s="142" t="e">
        <f>(AVERAGE(F17:H17)+AVERAGE(K17:M17)+AVERAGE(P17:R17))/S17</f>
        <v>#DIV/0!</v>
      </c>
      <c r="V17" s="309">
        <f t="shared" si="2"/>
        <v>50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2853</v>
      </c>
      <c r="Q18" s="204">
        <f>ROUND(SUM('All Questions'!F186:F189)/4,0)</f>
        <v>1085</v>
      </c>
      <c r="R18" s="303">
        <f>ROUND(('All Questions'!F191-('All Questions'!F194+'All Questions'!F197+'All Questions'!F200)),0)</f>
        <v>0</v>
      </c>
      <c r="S18" s="152">
        <f>'All Questions'!F166</f>
        <v>0</v>
      </c>
      <c r="T18" s="144" t="e">
        <f>AVERAGE(P18:R18)/S18</f>
        <v>#DIV/0!</v>
      </c>
      <c r="V18" s="309">
        <f>AVERAGE(P18:R18)</f>
        <v>1312.6666666666667</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745</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35</v>
      </c>
      <c r="E8" s="301">
        <v>35</v>
      </c>
      <c r="F8" s="301">
        <v>35</v>
      </c>
      <c r="G8" s="207" t="s">
        <v>67</v>
      </c>
    </row>
    <row r="9" hidden="1" ht="45" customHeight="1">
      <c r="A9" s="226"/>
      <c r="B9" s="238">
        <v>1112</v>
      </c>
      <c r="C9" s="242" t="s">
        <v>82</v>
      </c>
      <c r="D9" s="301">
        <v>35</v>
      </c>
      <c r="E9" s="301">
        <v>35</v>
      </c>
      <c r="F9" s="301">
        <v>35</v>
      </c>
      <c r="G9" s="207" t="s">
        <v>67</v>
      </c>
    </row>
    <row r="10" hidden="1" ht="45" customHeight="1">
      <c r="A10" s="226"/>
      <c r="B10" s="238">
        <v>1113</v>
      </c>
      <c r="C10" s="242" t="s">
        <v>83</v>
      </c>
      <c r="D10" s="301">
        <v>35</v>
      </c>
      <c r="E10" s="301">
        <v>35</v>
      </c>
      <c r="F10" s="301">
        <v>35</v>
      </c>
      <c r="G10" s="207" t="s">
        <v>67</v>
      </c>
    </row>
    <row r="11" hidden="1" ht="45" customHeight="1">
      <c r="A11" s="226"/>
      <c r="B11" s="238">
        <v>1114</v>
      </c>
      <c r="C11" s="243" t="s">
        <v>84</v>
      </c>
      <c r="D11" s="301">
        <v>35</v>
      </c>
      <c r="E11" s="301">
        <v>35</v>
      </c>
      <c r="F11" s="301">
        <v>35</v>
      </c>
      <c r="G11" s="207" t="s">
        <v>67</v>
      </c>
    </row>
    <row r="12" hidden="1" ht="45" customHeight="1">
      <c r="A12" s="226"/>
      <c r="B12" s="238">
        <v>1115</v>
      </c>
      <c r="C12" s="242" t="s">
        <v>85</v>
      </c>
      <c r="D12" s="301">
        <v>35</v>
      </c>
      <c r="E12" s="301">
        <v>35</v>
      </c>
      <c r="F12" s="301">
        <v>35</v>
      </c>
      <c r="G12" s="207" t="s">
        <v>67</v>
      </c>
    </row>
    <row r="13" hidden="1" ht="45" customHeight="1">
      <c r="A13" s="226" t="s">
        <v>86</v>
      </c>
      <c r="B13" s="238">
        <v>1116</v>
      </c>
      <c r="C13" s="242" t="s">
        <v>87</v>
      </c>
      <c r="D13" s="301">
        <v>35</v>
      </c>
      <c r="E13" s="301">
        <v>35</v>
      </c>
      <c r="F13" s="301">
        <v>35</v>
      </c>
      <c r="G13" s="207" t="s">
        <v>67</v>
      </c>
    </row>
    <row r="14" hidden="1" ht="45" customHeight="1">
      <c r="A14" s="226"/>
      <c r="B14" s="238">
        <v>1117</v>
      </c>
      <c r="C14" s="242" t="s">
        <v>88</v>
      </c>
      <c r="D14" s="301">
        <v>35</v>
      </c>
      <c r="E14" s="301">
        <v>35</v>
      </c>
      <c r="F14" s="301">
        <v>35</v>
      </c>
      <c r="G14" s="207" t="s">
        <v>67</v>
      </c>
    </row>
    <row r="15" hidden="1" ht="45" customHeight="1">
      <c r="A15" s="226">
        <v>1116</v>
      </c>
      <c r="B15" s="238">
        <v>1121</v>
      </c>
      <c r="C15" s="243" t="str">
        <f>C13</f>
        <v>How many HTC clients have a completed Client intake form </v>
      </c>
      <c r="D15" s="302">
        <v>35</v>
      </c>
      <c r="E15" s="302">
        <v>35</v>
      </c>
      <c r="F15" s="302">
        <v>35</v>
      </c>
      <c r="G15" s="207"/>
    </row>
    <row r="16" hidden="1" ht="45" customHeight="1">
      <c r="A16" s="226"/>
      <c r="B16" s="238">
        <v>1122</v>
      </c>
      <c r="C16" s="243" t="s">
        <v>89</v>
      </c>
      <c r="D16" s="301">
        <v>35</v>
      </c>
      <c r="E16" s="301">
        <v>35</v>
      </c>
      <c r="F16" s="301">
        <v>35</v>
      </c>
      <c r="G16" s="207" t="s">
        <v>67</v>
      </c>
    </row>
    <row r="17" hidden="1" ht="45" customHeight="1">
      <c r="A17" s="226"/>
      <c r="B17" s="238">
        <v>1123</v>
      </c>
      <c r="C17" s="242" t="s">
        <v>90</v>
      </c>
      <c r="D17" s="301">
        <v>35</v>
      </c>
      <c r="E17" s="301">
        <v>35</v>
      </c>
      <c r="F17" s="301">
        <v>35</v>
      </c>
      <c r="G17" s="207" t="s">
        <v>67</v>
      </c>
    </row>
    <row r="18" hidden="1" ht="45" customHeight="1">
      <c r="A18" s="226"/>
      <c r="B18" s="238">
        <v>1124</v>
      </c>
      <c r="C18" s="242" t="s">
        <v>91</v>
      </c>
      <c r="D18" s="301">
        <v>35</v>
      </c>
      <c r="E18" s="301">
        <v>35</v>
      </c>
      <c r="F18" s="301">
        <v>35</v>
      </c>
      <c r="G18" s="207" t="s">
        <v>67</v>
      </c>
    </row>
    <row r="19" hidden="1" ht="45" customHeight="1">
      <c r="A19" s="226"/>
      <c r="B19" s="238">
        <v>1125</v>
      </c>
      <c r="C19" s="242" t="s">
        <v>92</v>
      </c>
      <c r="D19" s="301">
        <v>35</v>
      </c>
      <c r="E19" s="301">
        <v>35</v>
      </c>
      <c r="F19" s="301">
        <v>35</v>
      </c>
      <c r="G19" s="207" t="s">
        <v>67</v>
      </c>
    </row>
    <row r="20" hidden="1" ht="45" customHeight="1">
      <c r="A20" s="226"/>
      <c r="B20" s="238">
        <v>1126</v>
      </c>
      <c r="C20" s="242" t="s">
        <v>93</v>
      </c>
      <c r="D20" s="301">
        <v>35</v>
      </c>
      <c r="E20" s="301">
        <v>35</v>
      </c>
      <c r="F20" s="301">
        <v>35</v>
      </c>
      <c r="G20" s="207" t="s">
        <v>67</v>
      </c>
    </row>
    <row r="21" hidden="1" ht="45" customHeight="1">
      <c r="A21" s="226"/>
      <c r="B21" s="238">
        <v>1127</v>
      </c>
      <c r="C21" s="242" t="s">
        <v>94</v>
      </c>
      <c r="D21" s="301">
        <v>35</v>
      </c>
      <c r="E21" s="301">
        <v>35</v>
      </c>
      <c r="F21" s="301">
        <v>35</v>
      </c>
      <c r="G21" s="207" t="s">
        <v>67</v>
      </c>
    </row>
    <row r="22" hidden="1" ht="45" customHeight="1">
      <c r="A22" s="226"/>
      <c r="B22" s="238"/>
      <c r="C22" s="245" t="s">
        <v>95</v>
      </c>
      <c r="D22" s="246"/>
      <c r="E22" s="246"/>
      <c r="F22" s="247"/>
      <c r="G22" s="207" t="s">
        <v>67</v>
      </c>
    </row>
    <row r="23" hidden="1" ht="45" customHeight="1">
      <c r="A23" s="226"/>
      <c r="B23" s="238">
        <v>1131</v>
      </c>
      <c r="C23" s="242" t="s">
        <v>96</v>
      </c>
      <c r="D23" s="301">
        <v>94</v>
      </c>
      <c r="E23" s="301">
        <v>116</v>
      </c>
      <c r="F23" s="301">
        <v>64</v>
      </c>
      <c r="G23" s="207" t="s">
        <v>67</v>
      </c>
    </row>
    <row r="24" hidden="1" ht="45" customHeight="1">
      <c r="A24" s="226"/>
      <c r="B24" s="238">
        <v>1132</v>
      </c>
      <c r="C24" s="242" t="s">
        <v>97</v>
      </c>
      <c r="D24" s="301">
        <v>80</v>
      </c>
      <c r="E24" s="301">
        <v>106</v>
      </c>
      <c r="F24" s="301">
        <v>90</v>
      </c>
      <c r="G24" s="207" t="s">
        <v>67</v>
      </c>
    </row>
    <row r="25" hidden="1" ht="45" customHeight="1">
      <c r="A25" s="226"/>
      <c r="B25" s="238">
        <v>1133</v>
      </c>
      <c r="C25" s="242" t="s">
        <v>98</v>
      </c>
      <c r="D25" s="301">
        <v>143</v>
      </c>
      <c r="E25" s="301">
        <v>186</v>
      </c>
      <c r="F25" s="301">
        <v>128</v>
      </c>
      <c r="G25" s="207" t="s">
        <v>67</v>
      </c>
    </row>
    <row r="26" hidden="1" ht="45" customHeight="1">
      <c r="A26" s="226"/>
      <c r="B26" s="238">
        <v>1134</v>
      </c>
      <c r="C26" s="242" t="s">
        <v>99</v>
      </c>
      <c r="D26" s="301">
        <v>31</v>
      </c>
      <c r="E26" s="301">
        <v>36</v>
      </c>
      <c r="F26" s="301">
        <v>26</v>
      </c>
      <c r="G26" s="207" t="s">
        <v>67</v>
      </c>
    </row>
    <row r="27" hidden="1" ht="45" customHeight="1">
      <c r="A27" s="226"/>
      <c r="B27" s="238">
        <v>1135</v>
      </c>
      <c r="C27" s="242" t="s">
        <v>100</v>
      </c>
      <c r="D27" s="301">
        <v>7</v>
      </c>
      <c r="E27" s="301">
        <v>5</v>
      </c>
      <c r="F27" s="301">
        <v>30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55</v>
      </c>
      <c r="E29" s="301">
        <v>60</v>
      </c>
      <c r="F29" s="301">
        <v>51</v>
      </c>
      <c r="G29" s="207" t="s">
        <v>67</v>
      </c>
    </row>
    <row r="30" hidden="1" ht="45" customHeight="1">
      <c r="A30" s="226"/>
      <c r="B30" s="238">
        <v>1138</v>
      </c>
      <c r="C30" s="242" t="s">
        <v>103</v>
      </c>
      <c r="D30" s="301">
        <v>134</v>
      </c>
      <c r="E30" s="301">
        <v>145</v>
      </c>
      <c r="F30" s="301">
        <v>103</v>
      </c>
      <c r="G30" s="207" t="s">
        <v>67</v>
      </c>
    </row>
    <row r="31" hidden="1" ht="45" customHeight="1">
      <c r="A31" s="226">
        <v>1116</v>
      </c>
      <c r="B31" s="238">
        <v>1141</v>
      </c>
      <c r="C31" s="242" t="s">
        <v>104</v>
      </c>
      <c r="D31" s="302">
        <v>35</v>
      </c>
      <c r="E31" s="302">
        <v>35</v>
      </c>
      <c r="F31" s="302">
        <v>35</v>
      </c>
      <c r="G31" s="207"/>
    </row>
    <row r="32" hidden="1" ht="45" customHeight="1">
      <c r="A32" s="226"/>
      <c r="B32" s="238">
        <v>1142</v>
      </c>
      <c r="C32" s="243" t="s">
        <v>105</v>
      </c>
      <c r="D32" s="302">
        <v>35</v>
      </c>
      <c r="E32" s="302">
        <v>35</v>
      </c>
      <c r="F32" s="302">
        <v>35</v>
      </c>
      <c r="G32" s="207"/>
    </row>
    <row r="33" hidden="1" ht="45" customHeight="1">
      <c r="A33" s="226"/>
      <c r="B33" s="238">
        <v>1143</v>
      </c>
      <c r="C33" s="242" t="s">
        <v>106</v>
      </c>
      <c r="D33" s="301">
        <v>174</v>
      </c>
      <c r="E33" s="301">
        <v>222</v>
      </c>
      <c r="F33" s="301">
        <v>154</v>
      </c>
      <c r="G33" s="207" t="s">
        <v>67</v>
      </c>
    </row>
    <row r="34" hidden="1" ht="45" customHeight="1">
      <c r="A34" s="226"/>
      <c r="B34" s="238">
        <v>1144</v>
      </c>
      <c r="C34" s="242" t="s">
        <v>107</v>
      </c>
      <c r="D34" s="301">
        <v>189</v>
      </c>
      <c r="E34" s="301">
        <v>205</v>
      </c>
      <c r="F34" s="301">
        <v>154</v>
      </c>
      <c r="G34" s="207" t="s">
        <v>67</v>
      </c>
    </row>
    <row r="35" hidden="1" ht="45" customHeight="1">
      <c r="A35" s="226"/>
      <c r="B35" s="238">
        <v>1145</v>
      </c>
      <c r="C35" s="242" t="s">
        <v>108</v>
      </c>
      <c r="D35" s="301">
        <v>0</v>
      </c>
      <c r="E35" s="301">
        <v>0</v>
      </c>
      <c r="F35" s="301">
        <v>0</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143</v>
      </c>
      <c r="E37" s="301">
        <v>186</v>
      </c>
      <c r="F37" s="301">
        <v>128</v>
      </c>
      <c r="G37" s="207" t="s">
        <v>67</v>
      </c>
    </row>
    <row r="38" hidden="1" ht="45" customHeight="1">
      <c r="A38" s="226"/>
      <c r="B38" s="238">
        <v>1153</v>
      </c>
      <c r="C38" s="242" t="s">
        <v>111</v>
      </c>
      <c r="D38" s="301">
        <v>0</v>
      </c>
      <c r="E38" s="301">
        <v>0</v>
      </c>
      <c r="F38" s="301">
        <v>0</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143</v>
      </c>
      <c r="E40" s="301">
        <v>186</v>
      </c>
      <c r="F40" s="301">
        <v>128</v>
      </c>
      <c r="G40" s="207" t="s">
        <v>67</v>
      </c>
    </row>
    <row r="41" hidden="1" ht="45" customHeight="1">
      <c r="A41" s="226"/>
      <c r="B41" s="238">
        <v>1156</v>
      </c>
      <c r="C41" s="242" t="s">
        <v>113</v>
      </c>
      <c r="D41" s="301">
        <v>0</v>
      </c>
      <c r="E41" s="301">
        <v>0</v>
      </c>
      <c r="F41" s="301">
        <v>0</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49</v>
      </c>
      <c r="E43" s="301">
        <v>68</v>
      </c>
      <c r="F43" s="301">
        <v>54</v>
      </c>
      <c r="G43" s="207" t="s">
        <v>67</v>
      </c>
    </row>
    <row r="44" hidden="1" ht="45" customHeight="1" s="250" customFormat="1">
      <c r="A44" s="226"/>
      <c r="B44" s="238">
        <v>1159</v>
      </c>
      <c r="C44" s="242" t="s">
        <v>116</v>
      </c>
      <c r="D44" s="301">
        <v>49</v>
      </c>
      <c r="E44" s="301">
        <v>68</v>
      </c>
      <c r="F44" s="301">
        <v>54</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335</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0</v>
      </c>
      <c r="E51" s="301">
        <v>0</v>
      </c>
      <c r="F51" s="301">
        <v>0</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0</v>
      </c>
      <c r="E53" s="301">
        <v>0</v>
      </c>
      <c r="F53" s="301">
        <v>0</v>
      </c>
      <c r="G53" s="207" t="s">
        <v>117</v>
      </c>
    </row>
    <row r="54" hidden="1" ht="45" customHeight="1">
      <c r="A54" s="226"/>
      <c r="B54" s="238">
        <v>1214</v>
      </c>
      <c r="C54" s="264" t="s">
        <v>132</v>
      </c>
      <c r="D54" s="301">
        <v>0</v>
      </c>
      <c r="E54" s="301">
        <v>0</v>
      </c>
      <c r="F54" s="301">
        <v>0</v>
      </c>
      <c r="G54" s="207" t="s">
        <v>117</v>
      </c>
    </row>
    <row r="55" hidden="1" ht="45" customHeight="1">
      <c r="A55" s="226"/>
      <c r="B55" s="238">
        <v>1215</v>
      </c>
      <c r="C55" s="242" t="s">
        <v>133</v>
      </c>
      <c r="D55" s="301">
        <v>118</v>
      </c>
      <c r="E55" s="301">
        <v>88</v>
      </c>
      <c r="F55" s="301">
        <v>72</v>
      </c>
      <c r="G55" s="207" t="s">
        <v>117</v>
      </c>
    </row>
    <row r="56" hidden="1" ht="45" customHeight="1">
      <c r="A56" s="226"/>
      <c r="B56" s="238">
        <v>1216</v>
      </c>
      <c r="C56" s="243" t="s">
        <v>134</v>
      </c>
      <c r="D56" s="301">
        <v>0</v>
      </c>
      <c r="E56" s="301">
        <v>0</v>
      </c>
      <c r="F56" s="301">
        <v>0</v>
      </c>
      <c r="G56" s="207" t="s">
        <v>117</v>
      </c>
    </row>
    <row r="57" hidden="1" ht="45" customHeight="1">
      <c r="A57" s="226"/>
      <c r="B57" s="238">
        <v>1217</v>
      </c>
      <c r="C57" s="243" t="s">
        <v>135</v>
      </c>
      <c r="D57" s="301">
        <v>0</v>
      </c>
      <c r="E57" s="301">
        <v>1</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0</v>
      </c>
      <c r="E59" s="301">
        <v>0</v>
      </c>
      <c r="F59" s="301">
        <v>0</v>
      </c>
      <c r="G59" s="207" t="s">
        <v>117</v>
      </c>
    </row>
    <row r="60" hidden="1" ht="45" customHeight="1">
      <c r="A60" s="226"/>
      <c r="B60" s="238">
        <v>1222</v>
      </c>
      <c r="C60" s="264" t="s">
        <v>138</v>
      </c>
      <c r="D60" s="301">
        <v>0</v>
      </c>
      <c r="E60" s="301">
        <v>0</v>
      </c>
      <c r="F60" s="301">
        <v>0</v>
      </c>
      <c r="G60" s="207" t="s">
        <v>117</v>
      </c>
    </row>
    <row r="61" hidden="1" ht="45" customHeight="1">
      <c r="A61" s="226"/>
      <c r="B61" s="238">
        <v>1223</v>
      </c>
      <c r="C61" s="264" t="s">
        <v>139</v>
      </c>
      <c r="D61" s="301">
        <v>0</v>
      </c>
      <c r="E61" s="301">
        <v>1</v>
      </c>
      <c r="F61" s="301">
        <v>0</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116</v>
      </c>
      <c r="E67" s="301">
        <v>88</v>
      </c>
      <c r="F67" s="301">
        <v>72</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1</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0</v>
      </c>
      <c r="E73" s="301">
        <v>0</v>
      </c>
      <c r="F73" s="301">
        <v>0</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116</v>
      </c>
      <c r="E75" s="301">
        <v>88</v>
      </c>
      <c r="F75" s="301">
        <v>72</v>
      </c>
      <c r="G75" s="207" t="s">
        <v>117</v>
      </c>
    </row>
    <row r="76" hidden="1" ht="45" customHeight="1">
      <c r="A76" s="226"/>
      <c r="B76" s="238">
        <v>1244</v>
      </c>
      <c r="C76" s="243" t="s">
        <v>154</v>
      </c>
      <c r="D76" s="301">
        <v>7</v>
      </c>
      <c r="E76" s="301">
        <v>14</v>
      </c>
      <c r="F76" s="301">
        <v>7</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0</v>
      </c>
      <c r="E79" s="301">
        <v>0</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116</v>
      </c>
      <c r="E82" s="301">
        <v>88</v>
      </c>
      <c r="F82" s="301">
        <v>72</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2</v>
      </c>
      <c r="F85" s="301">
        <v>1</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7</v>
      </c>
      <c r="E88" s="301">
        <v>14</v>
      </c>
      <c r="F88" s="301">
        <v>7</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31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8</v>
      </c>
      <c r="E93" s="301">
        <v>16</v>
      </c>
      <c r="F93" s="301">
        <v>8</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8</v>
      </c>
      <c r="E97" s="301">
        <v>16</v>
      </c>
      <c r="F97" s="301">
        <v>8</v>
      </c>
      <c r="G97" s="266" t="s">
        <v>168</v>
      </c>
    </row>
    <row r="98" ht="45" customHeight="1" s="270" customFormat="1">
      <c r="A98" s="226"/>
      <c r="B98" s="238">
        <v>1322</v>
      </c>
      <c r="C98" s="242" t="s">
        <v>177</v>
      </c>
      <c r="D98" s="301">
        <v>8</v>
      </c>
      <c r="E98" s="301">
        <v>16</v>
      </c>
      <c r="F98" s="301">
        <v>8</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1</v>
      </c>
      <c r="E101" s="301">
        <v>2</v>
      </c>
      <c r="F101" s="301">
        <v>1</v>
      </c>
      <c r="G101" s="266" t="s">
        <v>168</v>
      </c>
    </row>
    <row r="102" ht="45" customHeight="1" s="270" customFormat="1">
      <c r="A102" s="226"/>
      <c r="B102" s="238">
        <v>1332</v>
      </c>
      <c r="C102" s="242" t="s">
        <v>181</v>
      </c>
      <c r="D102" s="301">
        <v>7</v>
      </c>
      <c r="E102" s="301">
        <v>14</v>
      </c>
      <c r="F102" s="301">
        <v>7</v>
      </c>
      <c r="G102" s="266" t="s">
        <v>168</v>
      </c>
    </row>
    <row r="103" ht="45" customHeight="1" s="270" customFormat="1">
      <c r="A103" s="226"/>
      <c r="B103" s="238">
        <v>1333</v>
      </c>
      <c r="C103" s="242" t="s">
        <v>182</v>
      </c>
      <c r="D103" s="301">
        <v>7</v>
      </c>
      <c r="E103" s="301">
        <v>14</v>
      </c>
      <c r="F103" s="301">
        <v>7</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2</v>
      </c>
      <c r="F106" s="301">
        <v>1</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1</v>
      </c>
      <c r="E108" s="301">
        <v>2</v>
      </c>
      <c r="F108" s="301">
        <v>1</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1</v>
      </c>
      <c r="E112" s="301">
        <v>2</v>
      </c>
      <c r="F112" s="301">
        <v>1</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1</v>
      </c>
      <c r="E115" s="301">
        <v>2</v>
      </c>
      <c r="F115" s="301">
        <v>1</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28</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16</v>
      </c>
      <c r="E119" s="301">
        <v>10</v>
      </c>
      <c r="F119" s="301">
        <v>9</v>
      </c>
      <c r="G119" s="207" t="s">
        <v>194</v>
      </c>
    </row>
    <row r="120" hidden="1" ht="45" customHeight="1" s="270" customFormat="1">
      <c r="A120" s="226"/>
      <c r="B120" s="238">
        <v>1414</v>
      </c>
      <c r="C120" s="243" t="s">
        <v>198</v>
      </c>
      <c r="D120" s="301">
        <v>16</v>
      </c>
      <c r="E120" s="301">
        <v>10</v>
      </c>
      <c r="F120" s="301">
        <v>9</v>
      </c>
      <c r="G120" s="207" t="s">
        <v>194</v>
      </c>
    </row>
    <row r="121" hidden="1" ht="45" customHeight="1" s="270" customFormat="1">
      <c r="A121" s="226"/>
      <c r="B121" s="238">
        <v>1422</v>
      </c>
      <c r="C121" s="242" t="s">
        <v>199</v>
      </c>
      <c r="D121" s="301">
        <v>15</v>
      </c>
      <c r="E121" s="301">
        <v>10</v>
      </c>
      <c r="F121" s="301">
        <v>1</v>
      </c>
      <c r="G121" s="207" t="s">
        <v>194</v>
      </c>
    </row>
    <row r="122" hidden="1" ht="45" customHeight="1" s="270" customFormat="1">
      <c r="A122" s="226"/>
      <c r="B122" s="238">
        <v>1423</v>
      </c>
      <c r="C122" s="242" t="s">
        <v>200</v>
      </c>
      <c r="D122" s="301">
        <v>15</v>
      </c>
      <c r="E122" s="301">
        <v>10</v>
      </c>
      <c r="F122" s="301">
        <v>1</v>
      </c>
      <c r="G122" s="207" t="s">
        <v>194</v>
      </c>
    </row>
    <row r="123" hidden="1" ht="45" customHeight="1" s="270" customFormat="1">
      <c r="A123" s="226"/>
      <c r="B123" s="238">
        <v>1424</v>
      </c>
      <c r="C123" s="242" t="s">
        <v>201</v>
      </c>
      <c r="D123" s="301">
        <v>15</v>
      </c>
      <c r="E123" s="301">
        <v>10</v>
      </c>
      <c r="F123" s="301">
        <v>9</v>
      </c>
      <c r="G123" s="207" t="s">
        <v>194</v>
      </c>
    </row>
    <row r="124" hidden="1" ht="45" customHeight="1" s="270" customFormat="1">
      <c r="A124" s="226"/>
      <c r="B124" s="238">
        <v>1425</v>
      </c>
      <c r="C124" s="242" t="s">
        <v>202</v>
      </c>
      <c r="D124" s="301">
        <v>15</v>
      </c>
      <c r="E124" s="301">
        <v>10</v>
      </c>
      <c r="F124" s="301">
        <v>1</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15</v>
      </c>
      <c r="E126" s="301">
        <v>10</v>
      </c>
      <c r="F126" s="301">
        <v>1</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1</v>
      </c>
      <c r="E128" s="301">
        <v>0</v>
      </c>
      <c r="F128" s="301">
        <v>0</v>
      </c>
      <c r="G128" s="207" t="s">
        <v>194</v>
      </c>
    </row>
    <row r="129" hidden="1" ht="45" customHeight="1" s="270" customFormat="1">
      <c r="A129" s="226"/>
      <c r="B129" s="238">
        <v>1434</v>
      </c>
      <c r="C129" s="242" t="s">
        <v>208</v>
      </c>
      <c r="D129" s="301">
        <v>14</v>
      </c>
      <c r="E129" s="301">
        <v>10</v>
      </c>
      <c r="F129" s="301">
        <v>1</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15</v>
      </c>
      <c r="E131" s="301">
        <v>10</v>
      </c>
      <c r="F131" s="301">
        <v>1</v>
      </c>
      <c r="G131" s="207" t="s">
        <v>194</v>
      </c>
    </row>
    <row r="132" hidden="1" ht="45" customHeight="1" s="270" customFormat="1">
      <c r="A132" s="226"/>
      <c r="B132" s="238">
        <v>1442</v>
      </c>
      <c r="C132" s="242" t="s">
        <v>211</v>
      </c>
      <c r="D132" s="271">
        <f>D120</f>
        <v>16</v>
      </c>
      <c r="E132" s="271">
        <f>E120</f>
        <v>10</v>
      </c>
      <c r="F132" s="271">
        <f>F120</f>
        <v>9</v>
      </c>
      <c r="G132" s="207"/>
    </row>
    <row r="133" hidden="1" ht="45" customHeight="1" s="270" customFormat="1">
      <c r="A133" s="226"/>
      <c r="B133" s="238">
        <v>1443</v>
      </c>
      <c r="C133" s="242" t="s">
        <v>212</v>
      </c>
      <c r="D133" s="301">
        <v>4</v>
      </c>
      <c r="E133" s="301">
        <v>12</v>
      </c>
      <c r="F133" s="301">
        <v>15</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15</v>
      </c>
      <c r="E135" s="301">
        <v>10</v>
      </c>
      <c r="F135" s="301">
        <v>1</v>
      </c>
      <c r="G135" s="207" t="s">
        <v>194</v>
      </c>
    </row>
    <row r="136" hidden="1" ht="45" customHeight="1" s="270" customFormat="1">
      <c r="A136" s="226"/>
      <c r="B136" s="238">
        <v>1453</v>
      </c>
      <c r="C136" s="242" t="s">
        <v>215</v>
      </c>
      <c r="D136" s="301">
        <v>4</v>
      </c>
      <c r="E136" s="301">
        <v>12</v>
      </c>
      <c r="F136" s="301">
        <v>15</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106</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19</v>
      </c>
      <c r="E145" s="301">
        <v>19</v>
      </c>
      <c r="F145" s="301">
        <v>19</v>
      </c>
      <c r="G145" s="207" t="s">
        <v>219</v>
      </c>
    </row>
    <row r="146" hidden="1" ht="45" customHeight="1">
      <c r="A146" s="226">
        <v>1541</v>
      </c>
      <c r="B146" s="238">
        <v>1515</v>
      </c>
      <c r="C146" s="264" t="s">
        <v>226</v>
      </c>
      <c r="D146" s="301">
        <v>19</v>
      </c>
      <c r="E146" s="301">
        <v>19</v>
      </c>
      <c r="F146" s="301">
        <v>19</v>
      </c>
      <c r="G146" s="207" t="s">
        <v>219</v>
      </c>
    </row>
    <row r="147" hidden="1" ht="45" customHeight="1">
      <c r="A147" s="226"/>
      <c r="B147" s="238">
        <v>1521</v>
      </c>
      <c r="C147" s="264" t="s">
        <v>227</v>
      </c>
      <c r="D147" s="301">
        <v>19</v>
      </c>
      <c r="E147" s="301">
        <v>19</v>
      </c>
      <c r="F147" s="301">
        <v>19</v>
      </c>
      <c r="G147" s="207" t="s">
        <v>219</v>
      </c>
    </row>
    <row r="148" hidden="1" ht="45" customHeight="1">
      <c r="A148" s="226"/>
      <c r="B148" s="238">
        <v>1522</v>
      </c>
      <c r="C148" s="264" t="s">
        <v>228</v>
      </c>
      <c r="D148" s="301">
        <v>19</v>
      </c>
      <c r="E148" s="301">
        <v>19</v>
      </c>
      <c r="F148" s="301">
        <v>19</v>
      </c>
      <c r="G148" s="207" t="s">
        <v>219</v>
      </c>
    </row>
    <row r="149" hidden="1" ht="45" customHeight="1">
      <c r="A149" s="226"/>
      <c r="B149" s="238">
        <v>1523</v>
      </c>
      <c r="C149" s="264" t="s">
        <v>229</v>
      </c>
      <c r="D149" s="301">
        <v>19</v>
      </c>
      <c r="E149" s="301">
        <v>19</v>
      </c>
      <c r="F149" s="301">
        <v>19</v>
      </c>
      <c r="G149" s="207" t="s">
        <v>219</v>
      </c>
    </row>
    <row r="150" hidden="1" ht="45" customHeight="1">
      <c r="A150" s="226"/>
      <c r="B150" s="238">
        <v>1524</v>
      </c>
      <c r="C150" s="264" t="s">
        <v>230</v>
      </c>
      <c r="D150" s="301">
        <v>28</v>
      </c>
      <c r="E150" s="301">
        <v>42</v>
      </c>
      <c r="F150" s="301">
        <v>34</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27</v>
      </c>
      <c r="E153" s="301">
        <v>29</v>
      </c>
      <c r="F153" s="301">
        <v>33</v>
      </c>
      <c r="G153" s="207" t="s">
        <v>219</v>
      </c>
    </row>
    <row r="154" hidden="1" ht="45" customHeight="1">
      <c r="A154" s="226"/>
      <c r="B154" s="238">
        <v>1534</v>
      </c>
      <c r="C154" s="242" t="s">
        <v>234</v>
      </c>
      <c r="D154" s="301">
        <v>1</v>
      </c>
      <c r="E154" s="301">
        <v>3</v>
      </c>
      <c r="F154" s="301">
        <v>1</v>
      </c>
      <c r="G154" s="207" t="s">
        <v>219</v>
      </c>
    </row>
    <row r="155" hidden="1" ht="45" customHeight="1">
      <c r="A155" s="226"/>
      <c r="B155" s="238">
        <v>1541</v>
      </c>
      <c r="C155" s="242" t="s">
        <v>235</v>
      </c>
      <c r="D155" s="301">
        <v>28</v>
      </c>
      <c r="E155" s="301">
        <v>39</v>
      </c>
      <c r="F155" s="301">
        <v>34</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28</v>
      </c>
      <c r="E157" s="301">
        <v>42</v>
      </c>
      <c r="F157" s="301">
        <v>34</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28</v>
      </c>
      <c r="E160" s="301">
        <v>42</v>
      </c>
      <c r="F160" s="301">
        <v>34</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4411</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35</v>
      </c>
      <c r="E169" s="301">
        <v>35</v>
      </c>
      <c r="F169" s="301">
        <v>35</v>
      </c>
      <c r="G169" s="207" t="s">
        <v>244</v>
      </c>
    </row>
    <row r="170" hidden="1" ht="45" customHeight="1">
      <c r="A170" s="226"/>
      <c r="B170" s="238">
        <v>1612</v>
      </c>
      <c r="C170" s="242" t="s">
        <v>250</v>
      </c>
      <c r="D170" s="301">
        <v>35</v>
      </c>
      <c r="E170" s="301">
        <v>35</v>
      </c>
      <c r="F170" s="301">
        <v>35</v>
      </c>
      <c r="G170" s="207" t="s">
        <v>244</v>
      </c>
    </row>
    <row r="171" hidden="1" ht="45" customHeight="1">
      <c r="A171" s="226"/>
      <c r="B171" s="238">
        <v>1613</v>
      </c>
      <c r="C171" s="242" t="s">
        <v>224</v>
      </c>
      <c r="D171" s="301">
        <v>35</v>
      </c>
      <c r="E171" s="301">
        <v>35</v>
      </c>
      <c r="F171" s="301">
        <v>35</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35</v>
      </c>
      <c r="E179" s="301">
        <v>35</v>
      </c>
      <c r="F179" s="301">
        <v>35</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1313</v>
      </c>
      <c r="E181" s="301">
        <v>1332</v>
      </c>
      <c r="F181" s="301">
        <v>2874</v>
      </c>
      <c r="G181" s="207" t="s">
        <v>244</v>
      </c>
    </row>
    <row r="182" hidden="1" ht="45" customHeight="1">
      <c r="A182" s="226"/>
      <c r="B182" s="238">
        <v>1632</v>
      </c>
      <c r="C182" s="242" t="s">
        <v>261</v>
      </c>
      <c r="D182" s="301">
        <v>2833</v>
      </c>
      <c r="E182" s="301">
        <v>2854</v>
      </c>
      <c r="F182" s="301">
        <v>1346</v>
      </c>
      <c r="G182" s="207" t="s">
        <v>244</v>
      </c>
    </row>
    <row r="183" hidden="1" ht="45" customHeight="1">
      <c r="A183" s="226"/>
      <c r="B183" s="238">
        <v>1633</v>
      </c>
      <c r="C183" s="242" t="s">
        <v>262</v>
      </c>
      <c r="D183" s="301">
        <v>4001</v>
      </c>
      <c r="E183" s="301">
        <v>4040</v>
      </c>
      <c r="F183" s="301">
        <v>4073</v>
      </c>
      <c r="G183" s="207" t="s">
        <v>244</v>
      </c>
    </row>
    <row r="184" hidden="1" ht="45" customHeight="1">
      <c r="A184" s="226"/>
      <c r="B184" s="238">
        <v>1634</v>
      </c>
      <c r="C184" s="242" t="s">
        <v>263</v>
      </c>
      <c r="D184" s="301">
        <v>145</v>
      </c>
      <c r="E184" s="301">
        <v>146</v>
      </c>
      <c r="F184" s="301">
        <v>147</v>
      </c>
      <c r="G184" s="207" t="s">
        <v>244</v>
      </c>
    </row>
    <row r="185" hidden="1" ht="45" customHeight="1">
      <c r="A185" s="226"/>
      <c r="B185" s="238">
        <v>1635</v>
      </c>
      <c r="C185" s="242" t="s">
        <v>264</v>
      </c>
      <c r="D185" s="301">
        <v>1505</v>
      </c>
      <c r="E185" s="301">
        <v>347</v>
      </c>
      <c r="F185" s="301">
        <v>119</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1505</v>
      </c>
      <c r="E187" s="301">
        <v>347</v>
      </c>
      <c r="F187" s="301">
        <v>119</v>
      </c>
      <c r="G187" s="207" t="s">
        <v>244</v>
      </c>
    </row>
    <row r="188" hidden="1" ht="45" customHeight="1">
      <c r="A188" s="226"/>
      <c r="B188" s="238">
        <v>1643</v>
      </c>
      <c r="C188" s="242" t="s">
        <v>266</v>
      </c>
      <c r="D188" s="301">
        <v>4146</v>
      </c>
      <c r="E188" s="301">
        <v>4186</v>
      </c>
      <c r="F188" s="301">
        <v>4220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9070</v>
      </c>
      <c r="E192" s="301">
        <v>9112</v>
      </c>
      <c r="F192" s="301">
        <v>9146</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289</v>
      </c>
      <c r="AZ327" s="0" t="s">
        <v>293</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