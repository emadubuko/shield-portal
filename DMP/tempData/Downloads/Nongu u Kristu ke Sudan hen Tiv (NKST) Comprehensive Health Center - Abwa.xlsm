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<sst xmlns="http://schemas.openxmlformats.org/spreadsheetml/2006/main" count="4056" uniqueCount="4056">
  <si>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</si>
  <si>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</si>
  <si>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</si>
  <si>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</si>
  <si>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</si>
  <si>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</si>
  <si>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</si>
  <si>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</si>
  <si>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</si>
  <si>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</si>
  <si>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</si>
  <si>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</si>
  <si>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</si>
  <si>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</si>
  <si>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</si>
  <si>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</si>
  <si>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</si>
  <si>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</si>
  <si>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</si>
  <si>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</si>
  <si>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</si>
  <si>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</si>
  <si>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</si>
  <si>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</si>
  <si>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</si>
  <si>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</si>
  <si>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</si>
  <si>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</si>
  <si>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</si>
  <si>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</si>
  <si>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</si>
  <si>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</si>
  <si>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</si>
  <si>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</si>
  <si>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</si>
  <si>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</si>
  <si>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</si>
  <si>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</si>
  <si>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</si>
  <si>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</si>
  <si>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</si>
  <si>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</si>
  <si>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</si>
  <si>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</si>
  <si>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</si>
  <si>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</si>
  <si>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</si>
  <si>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</si>
  <si>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</si>
  <si>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</si>
  <si>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</si>
  <si>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</si>
  <si>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</si>
  <si>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</si>
  <si>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</si>
  <si>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</si>
  <si>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</si>
  <si>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</si>
  <si>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</si>
  <si>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</si>
  <si>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</si>
  <si>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</si>
  <si>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</si>
  <si>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</si>
  <si>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</si>
  <si>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</si>
  <si>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</si>
  <si>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</si>
  <si>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</si>
  <si>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</si>
  <si>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</si>
  <si>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</si>
  <si>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</si>
  <si>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</si>
  <si>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</si>
  <si>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</si>
  <si>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</si>
  <si>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</si>
  <si>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</si>
  <si>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</si>
  <si>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</si>
  <si>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</si>
  <si>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</si>
  <si>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</si>
  <si>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</si>
  <si>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</si>
  <si>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</si>
  <si>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</si>
  <si>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</si>
  <si>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</si>
  <si>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</si>
  <si>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</si>
  <si>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</si>
  <si>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</si>
  <si>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</si>
  <si>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</si>
  <si>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</si>
  <si>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</si>
  <si>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</si>
  <si>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</si>
  <si>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</si>
  <si>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</si>
  <si>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</si>
  <si>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</si>
  <si>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</si>
  <si>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</si>
  <si>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</si>
  <si>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</si>
  <si>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</si>
  <si>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</si>
  <si>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</si>
  <si>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</si>
  <si>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</si>
  <si>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</si>
  <si>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</si>
  <si>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</si>
  <si>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</si>
  <si>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</si>
  <si>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</si>
  <si>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</si>
  <si>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</si>
  <si>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</si>
  <si>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</si>
  <si>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</si>
  <si>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</si>
  <si>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</si>
  <si>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</si>
  <si>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</si>
  <si>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</si>
  <si>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</si>
  <si>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</si>
  <si>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</si>
  <si>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</si>
  <si>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</si>
  <si>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</si>
  <si>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</si>
  <si>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</si>
  <si>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</si>
  <si>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</si>
  <si>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</si>
  <si>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</si>
  <si>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</si>
  <si>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</si>
  <si>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</si>
  <si>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</si>
  <si>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</si>
  <si>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</si>
  <si>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</si>
  <si>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</si>
  <si>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</si>
  <si>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</si>
  <si>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</si>
  <si>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</si>
  <si>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</si>
  <si>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</si>
  <si>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</si>
  <si>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</si>
  <si>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</si>
  <si>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</si>
  <si>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</si>
  <si>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</si>
  <si>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</si>
  <si>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</si>
  <si>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</si>
  <si>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</si>
  <si>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</si>
  <si>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</si>
  <si>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</si>
  <si>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</si>
  <si>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</si>
  <si>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</si>
  <si>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</si>
  <si>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</si>
  <si>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</si>
  <si>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</si>
  <si>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</si>
  <si>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</si>
  <si>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</si>
  <si>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</si>
  <si>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</si>
  <si>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</si>
  <si>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</si>
  <si>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</si>
  <si>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</si>
  <si>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</si>
  <si>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</si>
  <si>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</si>
  <si>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</si>
  <si>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</si>
  <si>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</si>
  <si>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</si>
  <si>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</si>
  <si>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</si>
  <si>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</si>
  <si>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</si>
  <si>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</si>
  <si>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</si>
  <si>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</si>
  <si>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</si>
  <si>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</si>
  <si>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</si>
  <si>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</si>
  <si>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</si>
  <si>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</si>
  <si>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</si>
  <si>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</si>
  <si>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</si>
  <si>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</si>
  <si>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</si>
  <si>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</si>
  <si>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</si>
  <si>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</si>
  <si>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</si>
  <si>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</si>
  <si>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</si>
  <si>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</si>
  <si>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</si>
  <si>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</si>
  <si>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</si>
  <si>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</si>
  <si>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</si>
  <si>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</si>
  <si>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</si>
  <si>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</si>
  <si>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</si>
  <si>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</si>
  <si>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</si>
  <si>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</si>
  <si>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</si>
  <si>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</si>
  <si>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</si>
  <si>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</si>
  <si>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</si>
  <si>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</si>
  <si>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</si>
  <si>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</si>
  <si>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</si>
  <si>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</si>
  <si>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</si>
  <si>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</si>
  <si>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</si>
  <si>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</si>
  <si>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</si>
  <si>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</si>
  <si>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</si>
  <si>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</si>
  <si>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</si>
  <si>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</si>
  <si>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</si>
  <si>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</si>
  <si>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</si>
  <si>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</si>
  <si>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</si>
  <si>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</si>
  <si>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</si>
  <si>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</si>
  <si>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</si>
  <si>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</si>
  <si>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</si>
  <si>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</si>
  <si>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</si>
  <si>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</si>
  <si>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</si>
  <si>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</si>
  <si>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</si>
  <si>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</si>
  <si>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</si>
  <si>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</si>
  <si>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</si>
  <si>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</si>
  <si>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</si>
  <si>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</si>
  <si>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</si>
  <si>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</si>
  <si>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</si>
  <si>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</si>
  <si>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</si>
  <si>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</si>
  <si>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</si>
  <si>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</si>
  <si>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</si>
  <si>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</si>
  <si>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</si>
  <si>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</si>
  <si>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</si>
  <si>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</si>
  <si>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</si>
  <si>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Vandeikya</t>
  </si>
  <si>
    <t>Facility Name:</t>
  </si>
  <si>
    <t>Nongu u Kristu ke Sudan hen Tiv (NKST) Comprehensive Health Center - Abwa</t>
  </si>
  <si>
    <t>Reporting Period:</t>
  </si>
  <si>
    <t>Q1(Oct - Dec)</t>
  </si>
  <si>
    <t>Facility Code:</t>
  </si>
  <si>
    <t>gbdLx16PC7F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</si>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</sst>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80</v>
      </c>
      <c r="G8" s="155">
        <f>ROUND(SUM('All Questions'!D31:D35)/5+G12,0)</f>
        <v>76</v>
      </c>
      <c r="H8" s="156">
        <f>ROUND(SUM('All Questions'!D37,'All Questions'!D40)/2+'All Questions'!D26+H12,0)</f>
        <v>170</v>
      </c>
      <c r="I8" s="157">
        <f>ROUND((SUM('All Questions'!E11:E14)/4)+I12,0)</f>
        <v>0</v>
      </c>
      <c r="J8" s="155">
        <f>ROUND(SUM('All Questions'!E15:E21)/7+J12,0)</f>
        <v>0</v>
      </c>
      <c r="K8" s="155">
        <f>ROUND(SUM('All Questions'!E23:E30)/4+K12,0)</f>
        <v>82</v>
      </c>
      <c r="L8" s="155">
        <f>ROUND(SUM('All Questions'!E31:E35)/5+L12,0)</f>
        <v>77</v>
      </c>
      <c r="M8" s="156">
        <f>ROUND(('All Questions'!E37+'All Questions'!E40)/2+'All Questions'!E26+M12,0)</f>
        <v>171</v>
      </c>
      <c r="N8" s="157">
        <f>ROUND((SUM('All Questions'!F11:F14)/4)+N12,0)</f>
        <v>0</v>
      </c>
      <c r="O8" s="155">
        <f>ROUND(SUM('All Questions'!F15:F21)/7+O12,0)</f>
        <v>0</v>
      </c>
      <c r="P8" s="155">
        <f>ROUND(SUM('All Questions'!F23:F30)/4+P12,0)</f>
        <v>104</v>
      </c>
      <c r="Q8" s="155">
        <f>ROUND(SUM('All Questions'!F31:F35)/5+Q12,0)</f>
        <v>100</v>
      </c>
      <c r="R8" s="156">
        <f>ROUND(('All Questions'!F37+'All Questions'!F40)/2+'All Questions'!F26+R12,0)</f>
        <v>219</v>
      </c>
      <c r="S8" s="141">
        <f>'All Questions'!F2</f>
        <v>0</v>
      </c>
      <c r="T8" s="142" t="e">
        <f>(AVERAGE(F8:H8)+AVERAGE(K8:M8)+AVERAGE(P8:R8))/S8</f>
        <v>#DIV/0!</v>
      </c>
      <c r="V8" s="309">
        <f>AVERAGE(F8:H8)+AVERAGE(K8:M8)+AVERAGE(P8:R8)</f>
        <v>359.66666666666669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72</v>
      </c>
      <c r="G10" s="159">
        <f>ROUND(SUM('All Questions'!D31:D35)/5,0)</f>
        <v>57</v>
      </c>
      <c r="H10" s="162">
        <f>ROUND(('All Questions'!D37+'All Questions'!D40)/2+'All Questions'!D26,0)</f>
        <v>143</v>
      </c>
      <c r="I10" s="163">
        <f>ROUND((SUM('All Questions'!E11:E14)/4),0)</f>
        <v>0</v>
      </c>
      <c r="J10" s="164">
        <f>ROUND(SUM('All Questions'!E15:E21)/7,0)</f>
        <v>0</v>
      </c>
      <c r="K10" s="164">
        <f>ROUND(SUM('All Questions'!E23:E30)/4,0)</f>
        <v>72</v>
      </c>
      <c r="L10" s="164">
        <f>ROUND(SUM('All Questions'!E31:E35)/5,0)</f>
        <v>58</v>
      </c>
      <c r="M10" s="165">
        <f>ROUND(('All Questions'!E37+'All Questions'!E40)/2+'All Questions'!E26,0)</f>
        <v>145</v>
      </c>
      <c r="N10" s="166">
        <f>ROUND((SUM('All Questions'!F11:F14)/4),0)</f>
        <v>0</v>
      </c>
      <c r="O10" s="164">
        <f>ROUND(SUM('All Questions'!F15:F21)/7,0)</f>
        <v>0</v>
      </c>
      <c r="P10" s="164">
        <f>ROUND(SUM('All Questions'!F23:F30)/4,0)</f>
        <v>92</v>
      </c>
      <c r="Q10" s="164">
        <f>ROUND(SUM('All Questions'!F31:F35)/5,0)</f>
        <v>74</v>
      </c>
      <c r="R10" s="165">
        <f>ROUND(('All Questions'!F37+'All Questions'!F40)/2+'All Questions'!F26,0)</f>
        <v>185</v>
      </c>
      <c r="S10" s="141">
        <f>'All Questions'!F4</f>
        <v>0</v>
      </c>
      <c r="T10" s="143" t="e">
        <f>(AVERAGE(F10:H10)+AVERAGE(K10:M10)+AVERAGE(P10:R10))/S10</f>
        <v>#DIV/0!</v>
      </c>
      <c r="V10" s="309">
        <f>AVERAGE(F10:H10)+AVERAGE(K10:M10)+AVERAGE(P10:R10)</f>
        <v>299.33333333333337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8</v>
      </c>
      <c r="G12" s="173">
        <f>ROUND(SUM('All Questions'!D73:D80)/4,0)</f>
        <v>19</v>
      </c>
      <c r="H12" s="174">
        <f>ROUND(SUM('All Questions'!D82:D83)/2,0)</f>
        <v>27</v>
      </c>
      <c r="I12" s="175">
        <f>ROUND(SUM('All Questions'!E54:E58)+'All Questions'!E71/4,0)</f>
        <v>0</v>
      </c>
      <c r="J12" s="176">
        <f>ROUND(SUM('All Questions'!E60:E63)/4,0)</f>
        <v>0</v>
      </c>
      <c r="K12" s="176">
        <f>ROUND(SUM('All Questions'!E67:E72)/3,0)</f>
        <v>9</v>
      </c>
      <c r="L12" s="176">
        <f>ROUND(SUM('All Questions'!E73:E80)/4,0)</f>
        <v>19</v>
      </c>
      <c r="M12" s="177">
        <f>ROUND(SUM('All Questions'!E82:E83)/2,0)</f>
        <v>26</v>
      </c>
      <c r="N12" s="178">
        <f>ROUND(SUM('All Questions'!F54:F58)+'All Questions'!F71/4,0)</f>
        <v>0</v>
      </c>
      <c r="O12" s="176">
        <f>ROUND(SUM('All Questions'!F60:F63)/4,0)</f>
        <v>0</v>
      </c>
      <c r="P12" s="176">
        <f>ROUND(SUM('All Questions'!F67:F72)/3,0)</f>
        <v>12</v>
      </c>
      <c r="Q12" s="176">
        <f>ROUND(SUM('All Questions'!F73:F80)/4,0)</f>
        <v>26</v>
      </c>
      <c r="R12" s="177">
        <f>ROUND(SUM('All Questions'!F82:F83)/2,0)</f>
        <v>34</v>
      </c>
      <c r="S12" s="145">
        <f>'All Questions'!F46</f>
        <v>0</v>
      </c>
      <c r="T12" s="146" t="e">
        <f ref="T12:T15" t="shared" si="1">(AVERAGE(F12:H12)+AVERAGE(K12:M12)+AVERAGE(P12:R12))/S12</f>
        <v>#DIV/0!</v>
      </c>
      <c r="V12" s="309">
        <f>AVERAGE(F12:H12)+AVERAGE(K12:M12)+AVERAGE(P12:R12)</f>
        <v>60</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2</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2</v>
      </c>
      <c r="Q14" s="183">
        <f>ROUND(SUM('All Questions'!F74,'All Questions'!F76,'All Questions'!F78,'All Questions'!F80)/4,0)</f>
        <v>1</v>
      </c>
      <c r="R14" s="184">
        <f>ROUND(SUM('All Questions'!F88:F89)/2,0)</f>
        <v>2</v>
      </c>
      <c r="S14" s="145">
        <f>'All Questions'!F48</f>
        <v>0</v>
      </c>
      <c r="T14" s="147" t="e">
        <f>(AVERAGE(F14:H14)+AVERAGE(K14:M14)+AVERAGE(P14:R14))/S14</f>
        <v>#DIV/0!</v>
      </c>
      <c r="V14" s="309">
        <f>AVERAGE(F14:H14)+AVERAGE(K14:M14)+AVERAGE(P14:R14)</f>
        <v>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2</v>
      </c>
      <c r="H15" s="162">
        <f>ROUND(SUM('All Questions'!D135,'All Questions'!D138),0)</f>
        <v>2</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2</v>
      </c>
      <c r="S15" s="148">
        <f>'All Questions'!F117</f>
        <v>0</v>
      </c>
      <c r="T15" s="147" t="e">
        <f t="shared" si="1"/>
        <v>#DIV/0!</v>
      </c>
      <c r="V15" s="309">
        <f ref="V15:V17" t="shared" si="2">AVERAGE(F15:H15)+AVERAGE(K15:M15)+AVERAGE(P15:R15)</f>
        <v>2</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2</v>
      </c>
      <c r="H16" s="192">
        <f>ROUND(SUM('All Questions'!D111,'All Questions'!D112,'All Questions'!D114,'All Questions'!D115)/4,0)</f>
        <v>2</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593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31</v>
      </c>
      <c r="E10" s="301">
        <v>31</v>
      </c>
      <c r="F10" s="301">
        <v>31</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108</v>
      </c>
      <c r="E25" s="301">
        <v>106</v>
      </c>
      <c r="F25" s="301">
        <v>145</v>
      </c>
      <c r="G25" s="207" t="s">
        <v>67</v>
      </c>
    </row>
    <row r="26" hidden="1" ht="45" customHeight="1">
      <c r="A26" s="226"/>
      <c r="B26" s="238">
        <v>1134</v>
      </c>
      <c r="C26" s="242" t="s">
        <v>99</v>
      </c>
      <c r="D26" s="301">
        <v>35</v>
      </c>
      <c r="E26" s="301">
        <v>39</v>
      </c>
      <c r="F26" s="301">
        <v>40</v>
      </c>
      <c r="G26" s="207" t="s">
        <v>67</v>
      </c>
    </row>
    <row r="27" hidden="1" ht="45" customHeight="1">
      <c r="A27" s="226"/>
      <c r="B27" s="238">
        <v>1135</v>
      </c>
      <c r="C27" s="242" t="s">
        <v>100</v>
      </c>
      <c r="D27" s="301">
        <v>143</v>
      </c>
      <c r="E27" s="301">
        <v>145</v>
      </c>
      <c r="F27" s="301">
        <v>185</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143</v>
      </c>
      <c r="E33" s="301">
        <v>145</v>
      </c>
      <c r="F33" s="301">
        <v>185</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143</v>
      </c>
      <c r="E35" s="301">
        <v>145</v>
      </c>
      <c r="F35" s="301">
        <v>185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108</v>
      </c>
      <c r="E37" s="301">
        <v>106</v>
      </c>
      <c r="F37" s="301">
        <v>145</v>
      </c>
      <c r="G37" s="207" t="s">
        <v>67</v>
      </c>
    </row>
    <row r="38" hidden="1" ht="45" customHeight="1">
      <c r="A38" s="226"/>
      <c r="B38" s="238">
        <v>1153</v>
      </c>
      <c r="C38" s="242" t="s">
        <v>111</v>
      </c>
      <c r="D38" s="301">
        <v>108</v>
      </c>
      <c r="E38" s="301">
        <v>106</v>
      </c>
      <c r="F38" s="301">
        <v>145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108</v>
      </c>
      <c r="E40" s="301">
        <v>106</v>
      </c>
      <c r="F40" s="301">
        <v>145</v>
      </c>
      <c r="G40" s="207" t="s">
        <v>67</v>
      </c>
    </row>
    <row r="41" hidden="1" ht="45" customHeight="1">
      <c r="A41" s="226"/>
      <c r="B41" s="238">
        <v>1156</v>
      </c>
      <c r="C41" s="242" t="s">
        <v>113</v>
      </c>
      <c r="D41" s="301">
        <v>108</v>
      </c>
      <c r="E41" s="301">
        <v>106</v>
      </c>
      <c r="F41" s="301">
        <v>145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3</v>
      </c>
      <c r="F43" s="301">
        <v>2</v>
      </c>
      <c r="G43" s="207" t="s">
        <v>67</v>
      </c>
    </row>
    <row r="44" hidden="1" ht="45" customHeight="1" s="250" customFormat="1">
      <c r="A44" s="226"/>
      <c r="B44" s="238">
        <v>1159</v>
      </c>
      <c r="C44" s="242" t="s">
        <v>116</v>
      </c>
      <c r="D44" s="301">
        <v>6</v>
      </c>
      <c r="E44" s="301">
        <v>3</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90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19</v>
      </c>
      <c r="G53" s="207" t="s">
        <v>117</v>
      </c>
    </row>
    <row r="54" hidden="1" ht="45" customHeight="1">
      <c r="A54" s="226"/>
      <c r="B54" s="238">
        <v>1214</v>
      </c>
      <c r="C54" s="264" t="s">
        <v>132</v>
      </c>
      <c r="D54" s="301">
        <v>15</v>
      </c>
      <c r="E54" s="301">
        <v>15</v>
      </c>
      <c r="F54" s="301">
        <v>19</v>
      </c>
      <c r="G54" s="207" t="s">
        <v>117</v>
      </c>
    </row>
    <row r="55" hidden="1" ht="45" customHeight="1">
      <c r="A55" s="226"/>
      <c r="B55" s="238">
        <v>1215</v>
      </c>
      <c r="C55" s="242" t="s">
        <v>133</v>
      </c>
      <c r="D55" s="301">
        <v>13</v>
      </c>
      <c r="E55" s="301">
        <v>15</v>
      </c>
      <c r="F55" s="301">
        <v>19</v>
      </c>
      <c r="G55" s="207" t="s">
        <v>117</v>
      </c>
    </row>
    <row r="56" hidden="1" ht="45" customHeight="1">
      <c r="A56" s="226"/>
      <c r="B56" s="238">
        <v>1216</v>
      </c>
      <c r="C56" s="243" t="s">
        <v>134</v>
      </c>
      <c r="D56" s="301">
        <v>15</v>
      </c>
      <c r="E56" s="301">
        <v>15</v>
      </c>
      <c r="F56" s="301">
        <v>19</v>
      </c>
      <c r="G56" s="207" t="s">
        <v>117</v>
      </c>
    </row>
    <row r="57" hidden="1" ht="45" customHeight="1">
      <c r="A57" s="226"/>
      <c r="B57" s="238">
        <v>1217</v>
      </c>
      <c r="C57" s="243" t="s">
        <v>135</v>
      </c>
      <c r="D57" s="301">
        <v>0</v>
      </c>
      <c r="E57" s="301">
        <v>0</v>
      </c>
      <c r="F57" s="301">
        <v>2</v>
      </c>
      <c r="G57" s="207" t="s">
        <v>117</v>
      </c>
    </row>
    <row r="58" hidden="1" ht="45" customHeight="1">
      <c r="A58" s="226"/>
      <c r="B58" s="238">
        <v>1218</v>
      </c>
      <c r="C58" s="243" t="s">
        <v>136</v>
      </c>
      <c r="D58" s="301">
        <v>2</v>
      </c>
      <c r="E58" s="301">
        <v>0</v>
      </c>
      <c r="F58" s="301">
        <v>0</v>
      </c>
      <c r="G58" s="207" t="s">
        <v>117</v>
      </c>
    </row>
    <row r="59" hidden="1" ht="45" customHeight="1">
      <c r="A59" s="226"/>
      <c r="B59" s="238">
        <v>1221</v>
      </c>
      <c r="C59" s="264" t="s">
        <v>137</v>
      </c>
      <c r="D59" s="301">
        <v>15</v>
      </c>
      <c r="E59" s="301">
        <v>15</v>
      </c>
      <c r="F59" s="301">
        <v>19</v>
      </c>
      <c r="G59" s="207" t="s">
        <v>117</v>
      </c>
    </row>
    <row r="60" hidden="1" ht="45" customHeight="1">
      <c r="A60" s="226"/>
      <c r="B60" s="238">
        <v>1222</v>
      </c>
      <c r="C60" s="264" t="s">
        <v>138</v>
      </c>
      <c r="D60" s="301">
        <v>15</v>
      </c>
      <c r="E60" s="301">
        <v>15</v>
      </c>
      <c r="F60" s="301">
        <v>18</v>
      </c>
      <c r="G60" s="207" t="s">
        <v>117</v>
      </c>
    </row>
    <row r="61" hidden="1" ht="45" customHeight="1">
      <c r="A61" s="226"/>
      <c r="B61" s="238">
        <v>1223</v>
      </c>
      <c r="C61" s="264" t="s">
        <v>139</v>
      </c>
      <c r="D61" s="301">
        <v>15</v>
      </c>
      <c r="E61" s="301">
        <v>15</v>
      </c>
      <c r="F61" s="301">
        <v>18</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2</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25</v>
      </c>
      <c r="E67" s="301">
        <v>28</v>
      </c>
      <c r="F67" s="301">
        <v>34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2</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20</v>
      </c>
      <c r="E73" s="301">
        <v>22</v>
      </c>
      <c r="F73" s="301">
        <v>33</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25</v>
      </c>
      <c r="E75" s="301">
        <v>28</v>
      </c>
      <c r="F75" s="301">
        <v>33</v>
      </c>
      <c r="G75" s="207" t="s">
        <v>117</v>
      </c>
    </row>
    <row r="76" hidden="1" ht="45" customHeight="1">
      <c r="A76" s="226"/>
      <c r="B76" s="238">
        <v>1244</v>
      </c>
      <c r="C76" s="243" t="s">
        <v>154</v>
      </c>
      <c r="D76" s="301">
        <v>0</v>
      </c>
      <c r="E76" s="301">
        <v>0</v>
      </c>
      <c r="F76" s="301">
        <v>2</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29</v>
      </c>
      <c r="E79" s="301">
        <v>25</v>
      </c>
      <c r="F79" s="301">
        <v>36</v>
      </c>
      <c r="G79" s="207" t="s">
        <v>117</v>
      </c>
    </row>
    <row r="80" hidden="1" ht="45" customHeight="1">
      <c r="A80" s="226"/>
      <c r="B80" s="238">
        <v>1248</v>
      </c>
      <c r="C80" s="242" t="s">
        <v>158</v>
      </c>
      <c r="D80" s="301">
        <v>2</v>
      </c>
      <c r="E80" s="301">
        <v>0</v>
      </c>
      <c r="F80" s="301">
        <v>2</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25</v>
      </c>
      <c r="E82" s="301">
        <v>28</v>
      </c>
      <c r="F82" s="301">
        <v>33</v>
      </c>
      <c r="G82" s="207" t="s">
        <v>117</v>
      </c>
    </row>
    <row r="83" hidden="1" ht="45" customHeight="1">
      <c r="A83" s="226"/>
      <c r="B83" s="238">
        <v>1253</v>
      </c>
      <c r="C83" s="242" t="s">
        <v>161</v>
      </c>
      <c r="D83" s="301">
        <v>29</v>
      </c>
      <c r="E83" s="301">
        <v>25</v>
      </c>
      <c r="F83" s="301">
        <v>36</v>
      </c>
      <c r="G83" s="207" t="s">
        <v>117</v>
      </c>
    </row>
    <row r="84" hidden="1" ht="45" customHeight="1">
      <c r="A84" s="219"/>
      <c r="B84" s="238">
        <v>1254</v>
      </c>
      <c r="C84" s="221" t="s">
        <v>162</v>
      </c>
      <c r="D84" s="265"/>
      <c r="E84" s="265"/>
      <c r="F84" s="265"/>
      <c r="G84" s="207"/>
    </row>
    <row r="85" hidden="1" ht="45" customHeight="1">
      <c r="A85" s="226"/>
      <c r="B85" s="238">
        <v>1255</v>
      </c>
      <c r="C85" s="242" t="s">
        <v>163</v>
      </c>
      <c r="D85" s="301">
        <v>2</v>
      </c>
      <c r="E85" s="301">
        <v>0</v>
      </c>
      <c r="F85" s="301">
        <v>0</v>
      </c>
      <c r="G85" s="207" t="s">
        <v>117</v>
      </c>
    </row>
    <row r="86" hidden="1" ht="45" customHeight="1">
      <c r="A86" s="226"/>
      <c r="B86" s="238">
        <v>1256</v>
      </c>
      <c r="C86" s="242" t="s">
        <v>164</v>
      </c>
      <c r="D86" s="301">
        <v>2</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2</v>
      </c>
      <c r="G88" s="207" t="s">
        <v>117</v>
      </c>
    </row>
    <row r="89" hidden="1" ht="45" customHeight="1">
      <c r="A89" s="226"/>
      <c r="B89" s="238">
        <v>1259</v>
      </c>
      <c r="C89" s="242" t="s">
        <v>167</v>
      </c>
      <c r="D89" s="301">
        <v>2</v>
      </c>
      <c r="E89" s="301">
        <v>0</v>
      </c>
      <c r="F89" s="301">
        <v>2</v>
      </c>
      <c r="G89" s="207" t="s">
        <v>117</v>
      </c>
    </row>
    <row r="90" hidden="1" ht="45" customHeight="1">
      <c r="A90" s="226"/>
      <c r="C90" s="252"/>
      <c r="D90" s="253"/>
      <c r="E90" s="254"/>
      <c r="F90" s="254"/>
      <c r="G90" s="266"/>
    </row>
    <row r="91" ht="45" customHeight="1">
      <c r="A91" s="226"/>
      <c r="B91" s="220" t="s">
        <v>168</v>
      </c>
      <c r="C91" s="260" t="s">
        <v>169</v>
      </c>
      <c r="D91" s="228"/>
      <c r="E91" s="231"/>
      <c r="F91" s="300">
        <v>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0</v>
      </c>
      <c r="F93" s="301">
        <v>2</v>
      </c>
      <c r="G93" s="266" t="s">
        <v>168</v>
      </c>
    </row>
    <row r="94" ht="45" customHeight="1">
      <c r="A94" s="226"/>
      <c r="B94" s="238">
        <v>1314</v>
      </c>
      <c r="C94" s="269" t="s">
        <v>173</v>
      </c>
      <c r="D94" s="301">
        <v>3</v>
      </c>
      <c r="E94" s="301">
        <v>0</v>
      </c>
      <c r="F94" s="301">
        <v>2</v>
      </c>
      <c r="G94" s="266" t="s">
        <v>168</v>
      </c>
    </row>
    <row r="95" ht="45" customHeight="1">
      <c r="A95" s="226"/>
      <c r="B95" s="238">
        <v>1315</v>
      </c>
      <c r="C95" s="243" t="s">
        <v>174</v>
      </c>
      <c r="D95" s="301">
        <v>0</v>
      </c>
      <c r="E95" s="301">
        <v>0</v>
      </c>
      <c r="F95" s="301">
        <v>2</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2</v>
      </c>
      <c r="E97" s="301">
        <v>0</v>
      </c>
      <c r="F97" s="301">
        <v>2</v>
      </c>
      <c r="G97" s="266" t="s">
        <v>168</v>
      </c>
    </row>
    <row r="98" ht="45" customHeight="1" s="270" customFormat="1">
      <c r="A98" s="226"/>
      <c r="B98" s="238">
        <v>1322</v>
      </c>
      <c r="C98" s="242" t="s">
        <v>177</v>
      </c>
      <c r="D98" s="301">
        <v>2</v>
      </c>
      <c r="E98" s="301">
        <v>0</v>
      </c>
      <c r="F98" s="301">
        <v>2</v>
      </c>
      <c r="G98" s="266" t="s">
        <v>168</v>
      </c>
    </row>
    <row r="99" ht="45" customHeight="1" s="270" customFormat="1">
      <c r="A99" s="226"/>
      <c r="B99" s="238">
        <v>1323</v>
      </c>
      <c r="C99" s="242" t="s">
        <v>178</v>
      </c>
      <c r="D99" s="301">
        <v>2</v>
      </c>
      <c r="E99" s="301">
        <v>0</v>
      </c>
      <c r="F99" s="301">
        <v>2</v>
      </c>
      <c r="G99" s="266" t="s">
        <v>168</v>
      </c>
    </row>
    <row r="100" ht="45" customHeight="1" s="270" customFormat="1">
      <c r="A100" s="226"/>
      <c r="B100" s="238">
        <v>1324</v>
      </c>
      <c r="C100" s="242" t="s">
        <v>179</v>
      </c>
      <c r="D100" s="301">
        <v>2</v>
      </c>
      <c r="E100" s="301">
        <v>0</v>
      </c>
      <c r="F100" s="301">
        <v>2</v>
      </c>
      <c r="G100" s="266" t="s">
        <v>168</v>
      </c>
    </row>
    <row r="101" ht="45" customHeight="1" s="270" customFormat="1">
      <c r="A101" s="226"/>
      <c r="B101" s="238">
        <v>1331</v>
      </c>
      <c r="C101" s="242" t="s">
        <v>180</v>
      </c>
      <c r="D101" s="301">
        <v>0</v>
      </c>
      <c r="E101" s="301">
        <v>0</v>
      </c>
      <c r="F101" s="301">
        <v>1</v>
      </c>
      <c r="G101" s="266" t="s">
        <v>168</v>
      </c>
    </row>
    <row r="102" ht="45" customHeight="1" s="270" customFormat="1">
      <c r="A102" s="226"/>
      <c r="B102" s="238">
        <v>1332</v>
      </c>
      <c r="C102" s="242" t="s">
        <v>181</v>
      </c>
      <c r="D102" s="301">
        <v>0</v>
      </c>
      <c r="E102" s="301">
        <v>0</v>
      </c>
      <c r="F102" s="301">
        <v>2</v>
      </c>
      <c r="G102" s="266" t="s">
        <v>168</v>
      </c>
    </row>
    <row r="103" ht="45" customHeight="1" s="270" customFormat="1">
      <c r="A103" s="226"/>
      <c r="B103" s="238">
        <v>1333</v>
      </c>
      <c r="C103" s="242" t="s">
        <v>182</v>
      </c>
      <c r="D103" s="301">
        <v>0</v>
      </c>
      <c r="E103" s="301">
        <v>0</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2</v>
      </c>
      <c r="E106" s="301">
        <v>0</v>
      </c>
      <c r="F106" s="301">
        <v>0</v>
      </c>
      <c r="G106" s="266" t="s">
        <v>168</v>
      </c>
    </row>
    <row r="107" hidden="1" ht="45" customHeight="1" s="270" customFormat="1">
      <c r="A107" s="226"/>
      <c r="B107" s="238">
        <v>1342</v>
      </c>
      <c r="C107" s="242" t="s">
        <v>186</v>
      </c>
      <c r="D107" s="271">
        <f>D94</f>
        <v>3</v>
      </c>
      <c r="E107" s="271">
        <f>E94</f>
        <v>0</v>
      </c>
      <c r="F107" s="271">
        <f>F94</f>
        <v>2</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2</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3</v>
      </c>
      <c r="E111" s="301">
        <v>0</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3</v>
      </c>
      <c r="E114" s="301">
        <v>0</v>
      </c>
      <c r="F114" s="301">
        <v>0</v>
      </c>
      <c r="G114" s="266" t="s">
        <v>168</v>
      </c>
    </row>
    <row r="115" ht="45" customHeight="1" s="270" customFormat="1">
      <c r="A115" s="226"/>
      <c r="B115" s="238">
        <v>1356</v>
      </c>
      <c r="C115" s="242" t="s">
        <v>193</v>
      </c>
      <c r="D115" s="301">
        <v>2</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3</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3</v>
      </c>
      <c r="E120" s="301">
        <v>0</v>
      </c>
      <c r="F120" s="301">
        <v>1</v>
      </c>
      <c r="G120" s="207" t="s">
        <v>194</v>
      </c>
    </row>
    <row r="121" hidden="1" ht="45" customHeight="1" s="270" customFormat="1">
      <c r="A121" s="226"/>
      <c r="B121" s="238">
        <v>1422</v>
      </c>
      <c r="C121" s="242" t="s">
        <v>199</v>
      </c>
      <c r="D121" s="301">
        <v>3</v>
      </c>
      <c r="E121" s="301">
        <v>0</v>
      </c>
      <c r="F121" s="301">
        <v>1</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1</v>
      </c>
      <c r="G126" s="207" t="s">
        <v>194</v>
      </c>
    </row>
    <row r="127" hidden="1" ht="45" customHeight="1" s="270" customFormat="1">
      <c r="A127" s="226"/>
      <c r="B127" s="238">
        <v>1432</v>
      </c>
      <c r="C127" s="242" t="s">
        <v>206</v>
      </c>
      <c r="D127" s="301">
        <v>1</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1</v>
      </c>
      <c r="E130" s="301">
        <v>0</v>
      </c>
      <c r="F130" s="301">
        <v>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3</v>
      </c>
      <c r="E132" s="271">
        <f>E120</f>
        <v>0</v>
      </c>
      <c r="F132" s="271">
        <f>F120</f>
        <v>1</v>
      </c>
      <c r="G132" s="207"/>
    </row>
    <row r="133" hidden="1" ht="45" customHeight="1" s="270" customFormat="1">
      <c r="A133" s="226"/>
      <c r="B133" s="238">
        <v>1443</v>
      </c>
      <c r="C133" s="242" t="s">
        <v>212</v>
      </c>
      <c r="D133" s="301">
        <v>3</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0</v>
      </c>
      <c r="F135" s="301">
        <v>1</v>
      </c>
      <c r="G135" s="207" t="s">
        <v>194</v>
      </c>
    </row>
    <row r="136" hidden="1" ht="45" customHeight="1" s="270" customFormat="1">
      <c r="A136" s="226"/>
      <c r="B136" s="238">
        <v>1453</v>
      </c>
      <c r="C136" s="242" t="s">
        <v>215</v>
      </c>
      <c r="D136" s="301">
        <v>3</v>
      </c>
      <c r="E136" s="301">
        <v>0</v>
      </c>
      <c r="F136" s="301">
        <v>1</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0</v>
      </c>
      <c r="F138" s="301">
        <v>1</v>
      </c>
      <c r="G138" s="207" t="s">
        <v>194</v>
      </c>
    </row>
    <row r="139" hidden="1" ht="45" customHeight="1">
      <c r="A139" s="226"/>
      <c r="B139" s="238">
        <v>1456</v>
      </c>
      <c r="C139" s="242" t="s">
        <v>218</v>
      </c>
      <c r="D139" s="301">
        <v>3</v>
      </c>
      <c r="E139" s="301">
        <v>0</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1962</v>
      </c>
      <c r="AZ453" s="0" t="s">
        <v>1963</v>
      </c>
      <c r="BA453" s="0" t="s">
        <v>285</v>
      </c>
      <c r="BB453" s="0" t="str">
        <f t="shared" si="7"/>
        <v>CCFNbeOtukpo</v>
      </c>
    </row>
    <row r="454">
      <c r="AV454" s="0" t="s">
        <v>471</v>
      </c>
      <c r="AW454" s="0" t="s">
        <v>286</v>
      </c>
      <c r="AX454" s="0" t="s">
        <v>867</v>
      </c>
      <c r="AY454" s="0" t="s">
        <v>1964</v>
      </c>
      <c r="AZ454" s="0" t="s">
        <v>1965</v>
      </c>
      <c r="BA454" s="0" t="s">
        <v>285</v>
      </c>
      <c r="BB454" s="0" t="str">
        <f t="shared" si="7"/>
        <v>CCFNbeOtukpo</v>
      </c>
    </row>
    <row r="455">
      <c r="AV455" s="0" t="s">
        <v>471</v>
      </c>
      <c r="AW455" s="0" t="s">
        <v>286</v>
      </c>
      <c r="AX455" s="0" t="s">
        <v>893</v>
      </c>
      <c r="AY455" s="0" t="s">
        <v>1966</v>
      </c>
      <c r="AZ455" s="0" t="s">
        <v>1967</v>
      </c>
      <c r="BA455" s="0" t="s">
        <v>285</v>
      </c>
      <c r="BB455" s="0" t="str">
        <f t="shared" si="7"/>
        <v>CCFNbeTarka</v>
      </c>
    </row>
    <row r="456">
      <c r="AV456" s="0" t="s">
        <v>471</v>
      </c>
      <c r="AW456" s="0" t="s">
        <v>286</v>
      </c>
      <c r="AX456" s="0" t="s">
        <v>893</v>
      </c>
      <c r="AY456" s="0" t="s">
        <v>1968</v>
      </c>
      <c r="AZ456" s="0" t="s">
        <v>1969</v>
      </c>
      <c r="BA456" s="0" t="s">
        <v>285</v>
      </c>
      <c r="BB456" s="0" t="str">
        <f t="shared" si="7"/>
        <v>CCFNbeTarka</v>
      </c>
    </row>
    <row r="457">
      <c r="AV457" s="0" t="s">
        <v>471</v>
      </c>
      <c r="AW457" s="0" t="s">
        <v>286</v>
      </c>
      <c r="AX457" s="0" t="s">
        <v>918</v>
      </c>
      <c r="AY457" s="0" t="s">
        <v>1970</v>
      </c>
      <c r="AZ457" s="0" t="s">
        <v>1971</v>
      </c>
      <c r="BA457" s="0" t="s">
        <v>285</v>
      </c>
      <c r="BB457" s="0" t="str">
        <f t="shared" si="7"/>
        <v>CCFNbeUkum</v>
      </c>
    </row>
    <row r="458">
      <c r="AV458" s="0" t="s">
        <v>471</v>
      </c>
      <c r="AW458" s="0" t="s">
        <v>286</v>
      </c>
      <c r="AX458" s="0" t="s">
        <v>918</v>
      </c>
      <c r="AY458" s="0" t="s">
        <v>1972</v>
      </c>
      <c r="AZ458" s="0" t="s">
        <v>1973</v>
      </c>
      <c r="BA458" s="0" t="s">
        <v>285</v>
      </c>
      <c r="BB458" s="0" t="str">
        <f t="shared" si="7"/>
        <v>CCFNbeUkum</v>
      </c>
    </row>
    <row r="459">
      <c r="AV459" s="0" t="s">
        <v>471</v>
      </c>
      <c r="AW459" s="0" t="s">
        <v>286</v>
      </c>
      <c r="AX459" s="0" t="s">
        <v>918</v>
      </c>
      <c r="AY459" s="0" t="s">
        <v>1974</v>
      </c>
      <c r="AZ459" s="0" t="s">
        <v>1975</v>
      </c>
      <c r="BA459" s="0" t="s">
        <v>285</v>
      </c>
      <c r="BB459" s="0" t="str">
        <f t="shared" si="7"/>
        <v>CCFNbeUkum</v>
      </c>
    </row>
    <row r="460">
      <c r="AV460" s="0" t="s">
        <v>471</v>
      </c>
      <c r="AW460" s="0" t="s">
        <v>286</v>
      </c>
      <c r="AX460" s="0" t="s">
        <v>942</v>
      </c>
      <c r="AY460" s="0" t="s">
        <v>1976</v>
      </c>
      <c r="AZ460" s="0" t="s">
        <v>1977</v>
      </c>
      <c r="BA460" s="0" t="s">
        <v>285</v>
      </c>
      <c r="BB460" s="0" t="str">
        <f t="shared" si="7"/>
        <v>CCFNbeUshongo</v>
      </c>
    </row>
    <row r="461">
      <c r="AV461" s="0" t="s">
        <v>471</v>
      </c>
      <c r="AW461" s="0" t="s">
        <v>286</v>
      </c>
      <c r="AX461" s="0" t="s">
        <v>942</v>
      </c>
      <c r="AY461" s="0" t="s">
        <v>1978</v>
      </c>
      <c r="AZ461" s="0" t="s">
        <v>1979</v>
      </c>
      <c r="BA461" s="0" t="s">
        <v>285</v>
      </c>
      <c r="BB461" s="0" t="str">
        <f t="shared" si="7"/>
        <v>CCFNbeUshongo</v>
      </c>
    </row>
    <row r="462">
      <c r="AV462" s="0" t="s">
        <v>471</v>
      </c>
      <c r="AW462" s="0" t="s">
        <v>286</v>
      </c>
      <c r="AX462" s="0" t="s">
        <v>942</v>
      </c>
      <c r="AY462" s="0" t="s">
        <v>1980</v>
      </c>
      <c r="AZ462" s="0" t="s">
        <v>1981</v>
      </c>
      <c r="BA462" s="0" t="s">
        <v>285</v>
      </c>
      <c r="BB462" s="0" t="str">
        <f t="shared" si="7"/>
        <v>CCFNbeUshongo</v>
      </c>
    </row>
    <row r="463">
      <c r="AV463" s="0" t="s">
        <v>471</v>
      </c>
      <c r="AW463" s="0" t="s">
        <v>286</v>
      </c>
      <c r="AX463" s="0" t="s">
        <v>942</v>
      </c>
      <c r="AY463" s="0" t="s">
        <v>1982</v>
      </c>
      <c r="AZ463" s="0" t="s">
        <v>1983</v>
      </c>
      <c r="BA463" s="0" t="s">
        <v>285</v>
      </c>
      <c r="BB463" s="0" t="str">
        <f t="shared" si="7"/>
        <v>CCFNbeUshongo</v>
      </c>
    </row>
    <row r="464">
      <c r="AV464" s="0" t="s">
        <v>471</v>
      </c>
      <c r="AW464" s="0" t="s">
        <v>286</v>
      </c>
      <c r="AX464" s="0" t="s">
        <v>942</v>
      </c>
      <c r="AY464" s="0" t="s">
        <v>1984</v>
      </c>
      <c r="AZ464" s="0" t="s">
        <v>1985</v>
      </c>
      <c r="BA464" s="0" t="s">
        <v>285</v>
      </c>
      <c r="BB464" s="0" t="str">
        <f t="shared" si="7"/>
        <v>CCFNbeUshongo</v>
      </c>
    </row>
    <row r="465">
      <c r="AV465" s="0" t="s">
        <v>471</v>
      </c>
      <c r="AW465" s="0" t="s">
        <v>286</v>
      </c>
      <c r="AX465" s="0" t="s">
        <v>942</v>
      </c>
      <c r="AY465" s="0" t="s">
        <v>1986</v>
      </c>
      <c r="AZ465" s="0" t="s">
        <v>1987</v>
      </c>
      <c r="BA465" s="0" t="s">
        <v>285</v>
      </c>
      <c r="BB465" s="0" t="str">
        <f t="shared" si="7"/>
        <v>CCFNbeUshongo</v>
      </c>
    </row>
    <row r="466">
      <c r="AV466" s="0" t="s">
        <v>471</v>
      </c>
      <c r="AW466" s="0" t="s">
        <v>286</v>
      </c>
      <c r="AX466" s="0" t="s">
        <v>942</v>
      </c>
      <c r="AY466" s="0" t="s">
        <v>1988</v>
      </c>
      <c r="AZ466" s="0" t="s">
        <v>1989</v>
      </c>
      <c r="BA466" s="0" t="s">
        <v>285</v>
      </c>
      <c r="BB466" s="0" t="str">
        <f t="shared" si="7"/>
        <v>CCFNbeUshongo</v>
      </c>
    </row>
    <row r="467">
      <c r="AV467" s="0" t="s">
        <v>471</v>
      </c>
      <c r="AW467" s="0" t="s">
        <v>286</v>
      </c>
      <c r="AX467" s="0" t="s">
        <v>965</v>
      </c>
      <c r="AY467" s="0" t="s">
        <v>289</v>
      </c>
      <c r="AZ467" s="0" t="s">
        <v>293</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