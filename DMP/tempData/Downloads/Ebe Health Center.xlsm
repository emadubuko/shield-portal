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<sst xmlns="http://schemas.openxmlformats.org/spreadsheetml/2006/main" count="4056" uniqueCount="4056">
  <si>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</si>
  <si>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</si>
  <si>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</si>
  <si>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</si>
  <si>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</si>
  <si>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</si>
  <si>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</si>
  <si>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</si>
  <si>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</si>
  <si>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</si>
  <si>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</si>
  <si>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</si>
  <si>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</si>
  <si>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</si>
  <si>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</si>
  <si>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</si>
  <si>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</si>
  <si>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</si>
  <si>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</si>
  <si>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</si>
  <si>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</si>
  <si>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</si>
  <si>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</si>
  <si>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</si>
  <si>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</si>
  <si>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</si>
  <si>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</si>
  <si>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</si>
  <si>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</si>
  <si>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</si>
  <si>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</si>
  <si>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</si>
  <si>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</si>
  <si>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</si>
  <si>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</si>
  <si>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</si>
  <si>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</si>
  <si>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</si>
  <si>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</si>
  <si>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</si>
  <si>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</si>
  <si>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</si>
  <si>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</si>
  <si>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</si>
  <si>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</si>
  <si>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</si>
  <si>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</si>
  <si>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</si>
  <si>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</si>
  <si>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</si>
  <si>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</si>
  <si>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</si>
  <si>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</si>
  <si>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</si>
  <si>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</si>
  <si>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</si>
  <si>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</si>
  <si>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</si>
  <si>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</si>
  <si>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</si>
  <si>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</si>
  <si>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</si>
  <si>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</si>
  <si>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</si>
  <si>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</si>
  <si>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</si>
  <si>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</si>
  <si>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</si>
  <si>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</si>
  <si>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</si>
  <si>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</si>
  <si>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</si>
  <si>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</si>
  <si>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</si>
  <si>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</si>
  <si>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</si>
  <si>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</si>
  <si>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</si>
  <si>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</si>
  <si>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</si>
  <si>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</si>
  <si>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</si>
  <si>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</si>
  <si>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</si>
  <si>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</si>
  <si>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</si>
  <si>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</si>
  <si>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</si>
  <si>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</si>
  <si>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</si>
  <si>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</si>
  <si>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</si>
  <si>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</si>
  <si>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</si>
  <si>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</si>
  <si>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</si>
  <si>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</si>
  <si>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</si>
  <si>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</si>
  <si>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</si>
  <si>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</si>
  <si>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</si>
  <si>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</si>
  <si>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</si>
  <si>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</si>
  <si>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</si>
  <si>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</si>
  <si>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</si>
  <si>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</si>
  <si>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</si>
  <si>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</si>
  <si>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</si>
  <si>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</si>
  <si>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</si>
  <si>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</si>
  <si>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</si>
  <si>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</si>
  <si>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</si>
  <si>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</si>
  <si>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</si>
  <si>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</si>
  <si>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</si>
  <si>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</si>
  <si>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</si>
  <si>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</si>
  <si>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</si>
  <si>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</si>
  <si>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</si>
  <si>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</si>
  <si>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</si>
  <si>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</si>
  <si>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</si>
  <si>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</si>
  <si>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</si>
  <si>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</si>
  <si>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</si>
  <si>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</si>
  <si>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</si>
  <si>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</si>
  <si>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</si>
  <si>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</si>
  <si>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</si>
  <si>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</si>
  <si>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</si>
  <si>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</si>
  <si>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</si>
  <si>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</si>
  <si>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</si>
  <si>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</si>
  <si>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</si>
  <si>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</si>
  <si>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</si>
  <si>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</si>
  <si>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</si>
  <si>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</si>
  <si>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</si>
  <si>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</si>
  <si>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</si>
  <si>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</si>
  <si>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</si>
  <si>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</si>
  <si>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</si>
  <si>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</si>
  <si>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</si>
  <si>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</si>
  <si>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</si>
  <si>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</si>
  <si>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</si>
  <si>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</si>
  <si>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</si>
  <si>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</si>
  <si>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</si>
  <si>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</si>
  <si>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</si>
  <si>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</si>
  <si>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</si>
  <si>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</si>
  <si>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</si>
  <si>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</si>
  <si>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</si>
  <si>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</si>
  <si>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</si>
  <si>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</si>
  <si>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</si>
  <si>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</si>
  <si>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</si>
  <si>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</si>
  <si>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</si>
  <si>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</si>
  <si>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</si>
  <si>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</si>
  <si>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</si>
  <si>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</si>
  <si>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</si>
  <si>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</si>
  <si>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</si>
  <si>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</si>
  <si>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</si>
  <si>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</si>
  <si>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</si>
  <si>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</si>
  <si>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</si>
  <si>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</si>
  <si>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</si>
  <si>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</si>
  <si>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</si>
  <si>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</si>
  <si>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</si>
  <si>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</si>
  <si>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</si>
  <si>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</si>
  <si>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</si>
  <si>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</si>
  <si>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</si>
  <si>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</si>
  <si>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</si>
  <si>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</si>
  <si>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</si>
  <si>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</si>
  <si>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</si>
  <si>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</si>
  <si>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</si>
  <si>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</si>
  <si>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</si>
  <si>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</si>
  <si>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</si>
  <si>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</si>
  <si>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</si>
  <si>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</si>
  <si>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</si>
  <si>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</si>
  <si>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</si>
  <si>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</si>
  <si>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</si>
  <si>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</si>
  <si>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</si>
  <si>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</si>
  <si>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</si>
  <si>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</si>
  <si>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</si>
  <si>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</si>
  <si>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</si>
  <si>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</si>
  <si>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</si>
  <si>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</si>
  <si>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</si>
  <si>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</si>
  <si>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</si>
  <si>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</si>
  <si>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</si>
  <si>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</si>
  <si>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</si>
  <si>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</si>
  <si>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</si>
  <si>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</si>
  <si>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</si>
  <si>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</si>
  <si>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</si>
  <si>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</si>
  <si>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</si>
  <si>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</si>
  <si>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</si>
  <si>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</si>
  <si>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</si>
  <si>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</si>
  <si>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</si>
  <si>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</si>
  <si>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</si>
  <si>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</si>
  <si>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</si>
  <si>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</si>
  <si>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</si>
  <si>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</si>
  <si>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</si>
  <si>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</si>
  <si>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</si>
  <si>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</si>
  <si>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</si>
  <si>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</si>
  <si>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</si>
  <si>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</si>
  <si>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</si>
  <si>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</si>
  <si>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</si>
  <si>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</si>
  <si>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ECEWS</t>
  </si>
  <si>
    <t>Enugu</t>
  </si>
  <si>
    <t>Udi</t>
  </si>
  <si>
    <t>Facility Name:</t>
  </si>
  <si>
    <t>Ebe Health Center</t>
  </si>
  <si>
    <t>Reporting Period:</t>
  </si>
  <si>
    <t>Q1(Oct - Dec)</t>
  </si>
  <si>
    <t>Facility Code:</t>
  </si>
  <si>
    <t>TgFjP5Ug5b1</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</si>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</sst>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28</v>
      </c>
      <c r="G8" s="155">
        <f>ROUND(SUM('All Questions'!D31:D35)/5+G12,0)</f>
        <v>67</v>
      </c>
      <c r="H8" s="156">
        <f>ROUND(SUM('All Questions'!D37,'All Questions'!D40)/2+'All Questions'!D26+H12,0)</f>
        <v>110</v>
      </c>
      <c r="I8" s="157">
        <f>ROUND((SUM('All Questions'!E11:E14)/4)+I12,0)</f>
        <v>0</v>
      </c>
      <c r="J8" s="155">
        <f>ROUND(SUM('All Questions'!E15:E21)/7+J12,0)</f>
        <v>0</v>
      </c>
      <c r="K8" s="155">
        <f>ROUND(SUM('All Questions'!E23:E30)/4+K12,0)</f>
        <v>30</v>
      </c>
      <c r="L8" s="155">
        <f>ROUND(SUM('All Questions'!E31:E35)/5+L12,0)</f>
        <v>70</v>
      </c>
      <c r="M8" s="156">
        <f>ROUND(('All Questions'!E37+'All Questions'!E40)/2+'All Questions'!E26+M12,0)</f>
        <v>113</v>
      </c>
      <c r="N8" s="157">
        <f>ROUND((SUM('All Questions'!F11:F14)/4)+N12,0)</f>
        <v>0</v>
      </c>
      <c r="O8" s="155">
        <f>ROUND(SUM('All Questions'!F15:F21)/7+O12,0)</f>
        <v>0</v>
      </c>
      <c r="P8" s="155">
        <f>ROUND(SUM('All Questions'!F23:F30)/4+P12,0)</f>
        <v>18</v>
      </c>
      <c r="Q8" s="155">
        <f>ROUND(SUM('All Questions'!F31:F35)/5+Q12,0)</f>
        <v>51</v>
      </c>
      <c r="R8" s="156">
        <f>ROUND(('All Questions'!F37+'All Questions'!F40)/2+'All Questions'!F26+R12,0)</f>
        <v>65</v>
      </c>
      <c r="S8" s="141">
        <f>'All Questions'!F2</f>
        <v>0</v>
      </c>
      <c r="T8" s="142" t="e">
        <f>(AVERAGE(F8:H8)+AVERAGE(K8:M8)+AVERAGE(P8:R8))/S8</f>
        <v>#DIV/0!</v>
      </c>
      <c r="V8" s="309">
        <f>AVERAGE(F8:H8)+AVERAGE(K8:M8)+AVERAGE(P8:R8)</f>
        <v>183.99999999999997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26</v>
      </c>
      <c r="G10" s="159">
        <f>ROUND(SUM('All Questions'!D31:D35)/5,0)</f>
        <v>63</v>
      </c>
      <c r="H10" s="162">
        <f>ROUND(('All Questions'!D37+'All Questions'!D40)/2+'All Questions'!D26,0)</f>
        <v>105</v>
      </c>
      <c r="I10" s="163">
        <f>ROUND((SUM('All Questions'!E11:E14)/4),0)</f>
        <v>0</v>
      </c>
      <c r="J10" s="164">
        <f>ROUND(SUM('All Questions'!E15:E21)/7,0)</f>
        <v>0</v>
      </c>
      <c r="K10" s="164">
        <f>ROUND(SUM('All Questions'!E23:E30)/4,0)</f>
        <v>26</v>
      </c>
      <c r="L10" s="164">
        <f>ROUND(SUM('All Questions'!E31:E35)/5,0)</f>
        <v>62</v>
      </c>
      <c r="M10" s="165">
        <f>ROUND(('All Questions'!E37+'All Questions'!E40)/2+'All Questions'!E26,0)</f>
        <v>104</v>
      </c>
      <c r="N10" s="166">
        <f>ROUND((SUM('All Questions'!F11:F14)/4),0)</f>
        <v>0</v>
      </c>
      <c r="O10" s="164">
        <f>ROUND(SUM('All Questions'!F15:F21)/7,0)</f>
        <v>0</v>
      </c>
      <c r="P10" s="164">
        <f>ROUND(SUM('All Questions'!F23:F30)/4,0)</f>
        <v>15</v>
      </c>
      <c r="Q10" s="164">
        <f>ROUND(SUM('All Questions'!F31:F35)/5,0)</f>
        <v>46</v>
      </c>
      <c r="R10" s="165">
        <f>ROUND(('All Questions'!F37+'All Questions'!F40)/2+'All Questions'!F26,0)</f>
        <v>60</v>
      </c>
      <c r="S10" s="141">
        <f>'All Questions'!F4</f>
        <v>0</v>
      </c>
      <c r="T10" s="143" t="e">
        <f>(AVERAGE(F10:H10)+AVERAGE(K10:M10)+AVERAGE(P10:R10))/S10</f>
        <v>#DIV/0!</v>
      </c>
      <c r="V10" s="309">
        <f>AVERAGE(F10:H10)+AVERAGE(K10:M10)+AVERAGE(P10:R10)</f>
        <v>169.00000000000003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v>
      </c>
      <c r="G12" s="173">
        <f>ROUND(SUM('All Questions'!D73:D80)/4,0)</f>
        <v>4</v>
      </c>
      <c r="H12" s="174">
        <f>ROUND(SUM('All Questions'!D82:D83)/2,0)</f>
        <v>5</v>
      </c>
      <c r="I12" s="175">
        <f>ROUND(SUM('All Questions'!E54:E58)+'All Questions'!E71/4,0)</f>
        <v>0</v>
      </c>
      <c r="J12" s="176">
        <f>ROUND(SUM('All Questions'!E60:E63)/4,0)</f>
        <v>0</v>
      </c>
      <c r="K12" s="176">
        <f>ROUND(SUM('All Questions'!E67:E72)/3,0)</f>
        <v>4</v>
      </c>
      <c r="L12" s="176">
        <f>ROUND(SUM('All Questions'!E73:E80)/4,0)</f>
        <v>8</v>
      </c>
      <c r="M12" s="177">
        <f>ROUND(SUM('All Questions'!E82:E83)/2,0)</f>
        <v>9</v>
      </c>
      <c r="N12" s="178">
        <f>ROUND(SUM('All Questions'!F54:F58)+'All Questions'!F71/4,0)</f>
        <v>0</v>
      </c>
      <c r="O12" s="176">
        <f>ROUND(SUM('All Questions'!F60:F63)/4,0)</f>
        <v>0</v>
      </c>
      <c r="P12" s="176">
        <f>ROUND(SUM('All Questions'!F67:F72)/3,0)</f>
        <v>3</v>
      </c>
      <c r="Q12" s="176">
        <f>ROUND(SUM('All Questions'!F73:F80)/4,0)</f>
        <v>5</v>
      </c>
      <c r="R12" s="177">
        <f>ROUND(SUM('All Questions'!F82:F83)/2,0)</f>
        <v>5</v>
      </c>
      <c r="S12" s="145">
        <f>'All Questions'!F46</f>
        <v>0</v>
      </c>
      <c r="T12" s="146" t="e">
        <f ref="T12:T15" t="shared" si="1">(AVERAGE(F12:H12)+AVERAGE(K12:M12)+AVERAGE(P12:R12))/S12</f>
        <v>#DIV/0!</v>
      </c>
      <c r="V12" s="309">
        <f>AVERAGE(F12:H12)+AVERAGE(K12:M12)+AVERAGE(P12:R12)</f>
        <v>15</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166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6</v>
      </c>
      <c r="E10" s="301">
        <v>6</v>
      </c>
      <c r="F10" s="301">
        <v>5</v>
      </c>
      <c r="G10" s="207" t="s">
        <v>67</v>
      </c>
    </row>
    <row r="11" hidden="1" ht="45" customHeight="1">
      <c r="A11" s="226"/>
      <c r="B11" s="238">
        <v>1114</v>
      </c>
      <c r="C11" s="243" t="s">
        <v>84</v>
      </c>
      <c r="D11" s="301">
        <v>105</v>
      </c>
      <c r="E11" s="301">
        <v>0</v>
      </c>
      <c r="F11" s="301">
        <v>77</v>
      </c>
      <c r="G11" s="207" t="s">
        <v>67</v>
      </c>
    </row>
    <row r="12" hidden="1" ht="45" customHeight="1">
      <c r="A12" s="226"/>
      <c r="B12" s="238">
        <v>1115</v>
      </c>
      <c r="C12" s="242" t="s">
        <v>85</v>
      </c>
      <c r="D12" s="301">
        <v>105</v>
      </c>
      <c r="E12" s="301">
        <v>104</v>
      </c>
      <c r="F12" s="301">
        <v>77</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61</v>
      </c>
      <c r="E25" s="301">
        <v>75</v>
      </c>
      <c r="F25" s="301">
        <v>46</v>
      </c>
      <c r="G25" s="207" t="s">
        <v>67</v>
      </c>
    </row>
    <row r="26" hidden="1" ht="45" customHeight="1">
      <c r="A26" s="226"/>
      <c r="B26" s="238">
        <v>1134</v>
      </c>
      <c r="C26" s="242" t="s">
        <v>99</v>
      </c>
      <c r="D26" s="301">
        <v>44</v>
      </c>
      <c r="E26" s="301">
        <v>29</v>
      </c>
      <c r="F26" s="301">
        <v>14</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105</v>
      </c>
      <c r="E33" s="301">
        <v>104</v>
      </c>
      <c r="F33" s="301">
        <v>77</v>
      </c>
      <c r="G33" s="207" t="s">
        <v>67</v>
      </c>
    </row>
    <row r="34" hidden="1" ht="45" customHeight="1">
      <c r="A34" s="226"/>
      <c r="B34" s="238">
        <v>1144</v>
      </c>
      <c r="C34" s="242" t="s">
        <v>107</v>
      </c>
      <c r="D34" s="301">
        <v>105</v>
      </c>
      <c r="E34" s="301">
        <v>104</v>
      </c>
      <c r="F34" s="301">
        <v>77</v>
      </c>
      <c r="G34" s="207" t="s">
        <v>67</v>
      </c>
    </row>
    <row r="35" hidden="1" ht="45" customHeight="1">
      <c r="A35" s="226"/>
      <c r="B35" s="238">
        <v>1145</v>
      </c>
      <c r="C35" s="242" t="s">
        <v>108</v>
      </c>
      <c r="D35" s="301">
        <v>105</v>
      </c>
      <c r="E35" s="301">
        <v>104</v>
      </c>
      <c r="F35" s="301">
        <v>77</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61</v>
      </c>
      <c r="E37" s="301">
        <v>75</v>
      </c>
      <c r="F37" s="301">
        <v>46</v>
      </c>
      <c r="G37" s="207" t="s">
        <v>67</v>
      </c>
    </row>
    <row r="38" hidden="1" ht="45" customHeight="1">
      <c r="A38" s="226"/>
      <c r="B38" s="238">
        <v>1153</v>
      </c>
      <c r="C38" s="242" t="s">
        <v>111</v>
      </c>
      <c r="D38" s="301">
        <v>61</v>
      </c>
      <c r="E38" s="301">
        <v>75</v>
      </c>
      <c r="F38" s="301">
        <v>46</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61</v>
      </c>
      <c r="E40" s="301">
        <v>75</v>
      </c>
      <c r="F40" s="301">
        <v>46</v>
      </c>
      <c r="G40" s="207" t="s">
        <v>67</v>
      </c>
    </row>
    <row r="41" hidden="1" ht="45" customHeight="1">
      <c r="A41" s="226"/>
      <c r="B41" s="238">
        <v>1156</v>
      </c>
      <c r="C41" s="242" t="s">
        <v>113</v>
      </c>
      <c r="D41" s="301">
        <v>61</v>
      </c>
      <c r="E41" s="301">
        <v>75</v>
      </c>
      <c r="F41" s="301">
        <v>46</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5</v>
      </c>
      <c r="E54" s="301">
        <v>9</v>
      </c>
      <c r="F54" s="301">
        <v>5</v>
      </c>
      <c r="G54" s="207" t="s">
        <v>117</v>
      </c>
    </row>
    <row r="55" hidden="1" ht="45" customHeight="1">
      <c r="A55" s="226"/>
      <c r="B55" s="238">
        <v>1215</v>
      </c>
      <c r="C55" s="242" t="s">
        <v>133</v>
      </c>
      <c r="D55" s="301">
        <v>1</v>
      </c>
      <c r="E55" s="301">
        <v>1</v>
      </c>
      <c r="F55" s="301">
        <v>1</v>
      </c>
      <c r="G55" s="207" t="s">
        <v>117</v>
      </c>
    </row>
    <row r="56" hidden="1" ht="45" customHeight="1">
      <c r="A56" s="226"/>
      <c r="B56" s="238">
        <v>1216</v>
      </c>
      <c r="C56" s="243" t="s">
        <v>134</v>
      </c>
      <c r="D56" s="301">
        <v>5</v>
      </c>
      <c r="E56" s="301">
        <v>9</v>
      </c>
      <c r="F56" s="301">
        <v>5</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5</v>
      </c>
      <c r="E58" s="301">
        <v>9</v>
      </c>
      <c r="F58" s="301">
        <v>5</v>
      </c>
      <c r="G58" s="207" t="s">
        <v>117</v>
      </c>
    </row>
    <row r="59" hidden="1" ht="45" customHeight="1">
      <c r="A59" s="226"/>
      <c r="B59" s="238">
        <v>1221</v>
      </c>
      <c r="C59" s="264" t="s">
        <v>137</v>
      </c>
      <c r="D59" s="301">
        <v>5</v>
      </c>
      <c r="E59" s="301">
        <v>9</v>
      </c>
      <c r="F59" s="301">
        <v>5</v>
      </c>
      <c r="G59" s="207" t="s">
        <v>117</v>
      </c>
    </row>
    <row r="60" hidden="1" ht="45" customHeight="1">
      <c r="A60" s="226"/>
      <c r="B60" s="238">
        <v>1222</v>
      </c>
      <c r="C60" s="264" t="s">
        <v>138</v>
      </c>
      <c r="D60" s="301">
        <v>5</v>
      </c>
      <c r="E60" s="301">
        <v>9</v>
      </c>
      <c r="F60" s="301">
        <v>5</v>
      </c>
      <c r="G60" s="207" t="s">
        <v>117</v>
      </c>
    </row>
    <row r="61" hidden="1" ht="45" customHeight="1">
      <c r="A61" s="226"/>
      <c r="B61" s="238">
        <v>1223</v>
      </c>
      <c r="C61" s="264" t="s">
        <v>139</v>
      </c>
      <c r="D61" s="301">
        <v>5</v>
      </c>
      <c r="E61" s="301">
        <v>9</v>
      </c>
      <c r="F61" s="301">
        <v>5</v>
      </c>
      <c r="G61" s="207" t="s">
        <v>117</v>
      </c>
    </row>
    <row r="62" hidden="1" ht="54.65" customHeight="1">
      <c r="A62" s="226"/>
      <c r="B62" s="238">
        <v>1224</v>
      </c>
      <c r="C62" s="264" t="s">
        <v>140</v>
      </c>
      <c r="D62" s="301">
        <v>0</v>
      </c>
      <c r="E62" s="301">
        <v>3</v>
      </c>
      <c r="F62" s="301">
        <v>5</v>
      </c>
      <c r="G62" s="207" t="s">
        <v>117</v>
      </c>
    </row>
    <row r="63" hidden="1" ht="66.65" customHeight="1">
      <c r="A63" s="226"/>
      <c r="B63" s="238">
        <v>1225</v>
      </c>
      <c r="C63" s="264" t="s">
        <v>141</v>
      </c>
      <c r="D63" s="301">
        <v>0</v>
      </c>
      <c r="E63" s="301">
        <v>3</v>
      </c>
      <c r="F63" s="301">
        <v>5</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5</v>
      </c>
      <c r="E67" s="301">
        <v>9</v>
      </c>
      <c r="F67" s="301">
        <v>5</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3</v>
      </c>
      <c r="F71" s="301">
        <v>5</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5</v>
      </c>
      <c r="E73" s="301">
        <v>9</v>
      </c>
      <c r="F73" s="301">
        <v>5</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5</v>
      </c>
      <c r="E75" s="301">
        <v>9</v>
      </c>
      <c r="F75" s="301">
        <v>5</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3</v>
      </c>
      <c r="F77" s="301">
        <v>5</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5</v>
      </c>
      <c r="E79" s="301">
        <v>9</v>
      </c>
      <c r="F79" s="301">
        <v>5</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5</v>
      </c>
      <c r="E82" s="301">
        <v>9</v>
      </c>
      <c r="F82" s="301">
        <v>5</v>
      </c>
      <c r="G82" s="207" t="s">
        <v>117</v>
      </c>
    </row>
    <row r="83" hidden="1" ht="45" customHeight="1">
      <c r="A83" s="226"/>
      <c r="B83" s="238">
        <v>1253</v>
      </c>
      <c r="C83" s="242" t="s">
        <v>161</v>
      </c>
      <c r="D83" s="301">
        <v>5</v>
      </c>
      <c r="E83" s="301">
        <v>9</v>
      </c>
      <c r="F83" s="301">
        <v>5</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285</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615</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621</v>
      </c>
      <c r="AV136" s="0" t="s">
        <v>471</v>
      </c>
      <c r="AW136" s="0" t="s">
        <v>411</v>
      </c>
      <c r="AX136" s="0" t="s">
        <v>693</v>
      </c>
      <c r="AY136" s="0" t="s">
        <v>1324</v>
      </c>
      <c r="AZ136" s="0" t="s">
        <v>1325</v>
      </c>
      <c r="BA136" s="0" t="s">
        <v>474</v>
      </c>
      <c r="BB136" s="0" t="str">
        <f t="shared" si="2"/>
        <v>APINlaIkeja</v>
      </c>
    </row>
    <row r="137">
      <c r="E137" s="0" t="s">
        <v>623</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679</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644</v>
      </c>
      <c r="AV245" s="0" t="s">
        <v>471</v>
      </c>
      <c r="AW245" s="0" t="s">
        <v>398</v>
      </c>
      <c r="AX245" s="0" t="s">
        <v>487</v>
      </c>
      <c r="AY245" s="0" t="s">
        <v>1546</v>
      </c>
      <c r="AZ245" s="0" t="s">
        <v>1547</v>
      </c>
      <c r="BA245" s="0" t="s">
        <v>556</v>
      </c>
      <c r="BB245" s="0" t="str">
        <f t="shared" si="3"/>
        <v>CCCRNebAfikpoNorth</v>
      </c>
    </row>
    <row r="246">
      <c r="E246" s="0" t="s">
        <v>682</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647</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645</v>
      </c>
      <c r="AY265" s="0" t="s">
        <v>1586</v>
      </c>
      <c r="AZ265" s="0" t="s">
        <v>1587</v>
      </c>
      <c r="BA265" s="0" t="s">
        <v>556</v>
      </c>
      <c r="BB265" s="0" t="str">
        <f t="shared" si="4"/>
        <v>CCCRNebIzzi</v>
      </c>
    </row>
    <row r="266">
      <c r="E266" s="0" t="s">
        <v>502</v>
      </c>
      <c r="AV266" s="0" t="s">
        <v>471</v>
      </c>
      <c r="AW266" s="0" t="s">
        <v>398</v>
      </c>
      <c r="AX266" s="0" t="s">
        <v>645</v>
      </c>
      <c r="AY266" s="0" t="s">
        <v>1588</v>
      </c>
      <c r="AZ266" s="0" t="s">
        <v>1589</v>
      </c>
      <c r="BA266" s="0" t="s">
        <v>556</v>
      </c>
      <c r="BB266" s="0" t="str">
        <f t="shared" si="4"/>
        <v>CCCRNebIzzi</v>
      </c>
    </row>
    <row r="267">
      <c r="E267" s="0" t="s">
        <v>658</v>
      </c>
      <c r="AV267" s="0" t="s">
        <v>471</v>
      </c>
      <c r="AW267" s="0" t="s">
        <v>398</v>
      </c>
      <c r="AX267" s="0" t="s">
        <v>645</v>
      </c>
      <c r="AY267" s="0" t="s">
        <v>1590</v>
      </c>
      <c r="AZ267" s="0" t="s">
        <v>1591</v>
      </c>
      <c r="BA267" s="0" t="s">
        <v>556</v>
      </c>
      <c r="BB267" s="0" t="str">
        <f t="shared" si="4"/>
        <v>CCCRNebIzzi</v>
      </c>
    </row>
    <row r="268">
      <c r="E268" s="0" t="s">
        <v>694</v>
      </c>
      <c r="AV268" s="0" t="s">
        <v>471</v>
      </c>
      <c r="AW268" s="0" t="s">
        <v>398</v>
      </c>
      <c r="AX268" s="0" t="s">
        <v>683</v>
      </c>
      <c r="AY268" s="0" t="s">
        <v>1592</v>
      </c>
      <c r="AZ268" s="0" t="s">
        <v>1593</v>
      </c>
      <c r="BA268" s="0" t="s">
        <v>556</v>
      </c>
      <c r="BB268" s="0" t="str">
        <f t="shared" si="4"/>
        <v>CCCRNebOhaozara</v>
      </c>
    </row>
    <row r="269">
      <c r="E269" s="0" t="s">
        <v>543</v>
      </c>
      <c r="AV269" s="0" t="s">
        <v>471</v>
      </c>
      <c r="AW269" s="0" t="s">
        <v>398</v>
      </c>
      <c r="AX269" s="0" t="s">
        <v>683</v>
      </c>
      <c r="AY269" s="0" t="s">
        <v>1594</v>
      </c>
      <c r="AZ269" s="0" t="s">
        <v>1595</v>
      </c>
      <c r="BA269" s="0" t="s">
        <v>556</v>
      </c>
      <c r="BB269" s="0" t="str">
        <f t="shared" si="4"/>
        <v>CCCRNebOhaozara</v>
      </c>
    </row>
    <row r="270">
      <c r="E270" s="0" t="s">
        <v>729</v>
      </c>
      <c r="AV270" s="0" t="s">
        <v>471</v>
      </c>
      <c r="AW270" s="0" t="s">
        <v>398</v>
      </c>
      <c r="AX270" s="0" t="s">
        <v>683</v>
      </c>
      <c r="AY270" s="0" t="s">
        <v>1596</v>
      </c>
      <c r="AZ270" s="0" t="s">
        <v>1597</v>
      </c>
      <c r="BA270" s="0" t="s">
        <v>556</v>
      </c>
      <c r="BB270" s="0" t="str">
        <f t="shared" si="4"/>
        <v>CCCRNebOhaozara</v>
      </c>
    </row>
    <row r="271">
      <c r="E271" s="0" t="s">
        <v>583</v>
      </c>
      <c r="AV271" s="0" t="s">
        <v>471</v>
      </c>
      <c r="AW271" s="0" t="s">
        <v>398</v>
      </c>
      <c r="AX271" s="0" t="s">
        <v>683</v>
      </c>
      <c r="AY271" s="0" t="s">
        <v>1598</v>
      </c>
      <c r="AZ271" s="0" t="s">
        <v>1599</v>
      </c>
      <c r="BA271" s="0" t="s">
        <v>556</v>
      </c>
      <c r="BB271" s="0" t="str">
        <f t="shared" si="4"/>
        <v>CCCRNebOhaozara</v>
      </c>
    </row>
    <row r="272">
      <c r="E272" s="0" t="s">
        <v>762</v>
      </c>
      <c r="AV272" s="0" t="s">
        <v>471</v>
      </c>
      <c r="AW272" s="0" t="s">
        <v>398</v>
      </c>
      <c r="AX272" s="0" t="s">
        <v>683</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660</v>
      </c>
      <c r="AV276" s="0" t="s">
        <v>471</v>
      </c>
      <c r="AW276" s="0" t="s">
        <v>398</v>
      </c>
      <c r="AX276" s="0" t="s">
        <v>718</v>
      </c>
      <c r="AY276" s="0" t="s">
        <v>1608</v>
      </c>
      <c r="AZ276" s="0" t="s">
        <v>1609</v>
      </c>
      <c r="BA276" s="0" t="s">
        <v>556</v>
      </c>
      <c r="BB276" s="0" t="str">
        <f t="shared" si="4"/>
        <v>CCCRNebOhaukwu</v>
      </c>
    </row>
    <row r="277">
      <c r="E277" s="0" t="s">
        <v>696</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286</v>
      </c>
      <c r="AX282" s="0" t="s">
        <v>447</v>
      </c>
      <c r="AY282" s="0" t="s">
        <v>1620</v>
      </c>
      <c r="AZ282" s="0" t="s">
        <v>1621</v>
      </c>
      <c r="BA282" s="0" t="s">
        <v>556</v>
      </c>
      <c r="BB282" s="0" t="str">
        <f t="shared" si="4"/>
        <v>CCCRNenEnuguEast</v>
      </c>
    </row>
    <row r="283">
      <c r="E283" s="0" t="s">
        <v>661</v>
      </c>
      <c r="AV283" s="0" t="s">
        <v>471</v>
      </c>
      <c r="AW283" s="0" t="s">
        <v>286</v>
      </c>
      <c r="AX283" s="0" t="s">
        <v>447</v>
      </c>
      <c r="AY283" s="0" t="s">
        <v>1622</v>
      </c>
      <c r="AZ283" s="0" t="s">
        <v>1623</v>
      </c>
      <c r="BA283" s="0" t="s">
        <v>556</v>
      </c>
      <c r="BB283" s="0" t="str">
        <f t="shared" si="4"/>
        <v>CCCRNenEnuguEast</v>
      </c>
    </row>
    <row r="284">
      <c r="E284" s="0" t="s">
        <v>697</v>
      </c>
      <c r="AV284" s="0" t="s">
        <v>471</v>
      </c>
      <c r="AW284" s="0" t="s">
        <v>286</v>
      </c>
      <c r="AX284" s="0" t="s">
        <v>447</v>
      </c>
      <c r="AY284" s="0" t="s">
        <v>1624</v>
      </c>
      <c r="AZ284" s="0" t="s">
        <v>1625</v>
      </c>
      <c r="BA284" s="0" t="s">
        <v>556</v>
      </c>
      <c r="BB284" s="0" t="str">
        <f t="shared" si="4"/>
        <v>CCCRNenEnuguEast</v>
      </c>
    </row>
    <row r="285">
      <c r="E285" s="0" t="s">
        <v>545</v>
      </c>
      <c r="AV285" s="0" t="s">
        <v>471</v>
      </c>
      <c r="AW285" s="0" t="s">
        <v>286</v>
      </c>
      <c r="AX285" s="0" t="s">
        <v>447</v>
      </c>
      <c r="AY285" s="0" t="s">
        <v>1626</v>
      </c>
      <c r="AZ285" s="0" t="s">
        <v>1627</v>
      </c>
      <c r="BA285" s="0" t="s">
        <v>556</v>
      </c>
      <c r="BB285" s="0" t="str">
        <f t="shared" si="4"/>
        <v>CCCRNenEnuguEast</v>
      </c>
    </row>
    <row r="286">
      <c r="E286" s="0" t="s">
        <v>585</v>
      </c>
      <c r="AV286" s="0" t="s">
        <v>471</v>
      </c>
      <c r="AW286" s="0" t="s">
        <v>286</v>
      </c>
      <c r="AX286" s="0" t="s">
        <v>447</v>
      </c>
      <c r="AY286" s="0" t="s">
        <v>1628</v>
      </c>
      <c r="AZ286" s="0" t="s">
        <v>1629</v>
      </c>
      <c r="BA286" s="0" t="s">
        <v>556</v>
      </c>
      <c r="BB286" s="0" t="str">
        <f t="shared" si="4"/>
        <v>CCCRNenEnuguEast</v>
      </c>
    </row>
    <row r="287">
      <c r="E287" s="0" t="s">
        <v>586</v>
      </c>
      <c r="AV287" s="0" t="s">
        <v>471</v>
      </c>
      <c r="AW287" s="0" t="s">
        <v>286</v>
      </c>
      <c r="AX287" s="0" t="s">
        <v>447</v>
      </c>
      <c r="AY287" s="0" t="s">
        <v>1630</v>
      </c>
      <c r="AZ287" s="0" t="s">
        <v>1631</v>
      </c>
      <c r="BA287" s="0" t="s">
        <v>556</v>
      </c>
      <c r="BB287" s="0" t="str">
        <f t="shared" si="4"/>
        <v>CCCRNenEnuguEast</v>
      </c>
    </row>
    <row r="288">
      <c r="E288" s="0" t="s">
        <v>625</v>
      </c>
      <c r="AV288" s="0" t="s">
        <v>471</v>
      </c>
      <c r="AW288" s="0" t="s">
        <v>286</v>
      </c>
      <c r="AX288" s="0" t="s">
        <v>447</v>
      </c>
      <c r="AY288" s="0" t="s">
        <v>1632</v>
      </c>
      <c r="AZ288" s="0" t="s">
        <v>1633</v>
      </c>
      <c r="BA288" s="0" t="s">
        <v>556</v>
      </c>
      <c r="BB288" s="0" t="str">
        <f t="shared" si="4"/>
        <v>CCCRNenEnuguEast</v>
      </c>
    </row>
    <row r="289">
      <c r="E289" s="0" t="s">
        <v>662</v>
      </c>
      <c r="AV289" s="0" t="s">
        <v>471</v>
      </c>
      <c r="AW289" s="0" t="s">
        <v>286</v>
      </c>
      <c r="AX289" s="0" t="s">
        <v>447</v>
      </c>
      <c r="AY289" s="0" t="s">
        <v>1634</v>
      </c>
      <c r="AZ289" s="0" t="s">
        <v>1635</v>
      </c>
      <c r="BA289" s="0" t="s">
        <v>556</v>
      </c>
      <c r="BB289" s="0" t="str">
        <f t="shared" si="4"/>
        <v>CCCRNenEnuguEast</v>
      </c>
    </row>
    <row r="290">
      <c r="E290" s="0" t="s">
        <v>698</v>
      </c>
      <c r="AV290" s="0" t="s">
        <v>471</v>
      </c>
      <c r="AW290" s="0" t="s">
        <v>286</v>
      </c>
      <c r="AX290" s="0" t="s">
        <v>447</v>
      </c>
      <c r="AY290" s="0" t="s">
        <v>1636</v>
      </c>
      <c r="AZ290" s="0" t="s">
        <v>1637</v>
      </c>
      <c r="BA290" s="0" t="s">
        <v>556</v>
      </c>
      <c r="BB290" s="0" t="str">
        <f t="shared" si="4"/>
        <v>CCCRNenEnuguEast</v>
      </c>
    </row>
    <row r="291">
      <c r="E291" s="0" t="s">
        <v>732</v>
      </c>
      <c r="AV291" s="0" t="s">
        <v>471</v>
      </c>
      <c r="AW291" s="0" t="s">
        <v>286</v>
      </c>
      <c r="AX291" s="0" t="s">
        <v>447</v>
      </c>
      <c r="AY291" s="0" t="s">
        <v>1638</v>
      </c>
      <c r="AZ291" s="0" t="s">
        <v>1639</v>
      </c>
      <c r="BA291" s="0" t="s">
        <v>556</v>
      </c>
      <c r="BB291" s="0" t="str">
        <f t="shared" si="4"/>
        <v>CCCRNenEnuguEast</v>
      </c>
    </row>
    <row r="292">
      <c r="E292" s="0" t="s">
        <v>546</v>
      </c>
      <c r="AV292" s="0" t="s">
        <v>471</v>
      </c>
      <c r="AW292" s="0" t="s">
        <v>286</v>
      </c>
      <c r="AX292" s="0" t="s">
        <v>490</v>
      </c>
      <c r="AY292" s="0" t="s">
        <v>1640</v>
      </c>
      <c r="AZ292" s="0" t="s">
        <v>1641</v>
      </c>
      <c r="BA292" s="0" t="s">
        <v>556</v>
      </c>
      <c r="BB292" s="0" t="str">
        <f t="shared" si="4"/>
        <v>CCCRNenEnuguNorth</v>
      </c>
    </row>
    <row r="293">
      <c r="E293" s="0" t="s">
        <v>765</v>
      </c>
      <c r="AV293" s="0" t="s">
        <v>471</v>
      </c>
      <c r="AW293" s="0" t="s">
        <v>286</v>
      </c>
      <c r="AX293" s="0" t="s">
        <v>490</v>
      </c>
      <c r="AY293" s="0" t="s">
        <v>1642</v>
      </c>
      <c r="AZ293" s="0" t="s">
        <v>1643</v>
      </c>
      <c r="BA293" s="0" t="s">
        <v>556</v>
      </c>
      <c r="BB293" s="0" t="str">
        <f t="shared" si="4"/>
        <v>CCCRNenEnuguNorth</v>
      </c>
    </row>
    <row r="294">
      <c r="E294" s="0" t="s">
        <v>649</v>
      </c>
      <c r="AV294" s="0" t="s">
        <v>471</v>
      </c>
      <c r="AW294" s="0" t="s">
        <v>286</v>
      </c>
      <c r="AX294" s="0" t="s">
        <v>490</v>
      </c>
      <c r="AY294" s="0" t="s">
        <v>1644</v>
      </c>
      <c r="AZ294" s="0" t="s">
        <v>1645</v>
      </c>
      <c r="BA294" s="0" t="s">
        <v>556</v>
      </c>
      <c r="BB294" s="0" t="str">
        <f t="shared" si="4"/>
        <v>CCCRNenEnuguNorth</v>
      </c>
    </row>
    <row r="295">
      <c r="E295" s="0" t="s">
        <v>459</v>
      </c>
      <c r="AV295" s="0" t="s">
        <v>471</v>
      </c>
      <c r="AW295" s="0" t="s">
        <v>286</v>
      </c>
      <c r="AX295" s="0" t="s">
        <v>490</v>
      </c>
      <c r="AY295" s="0" t="s">
        <v>1646</v>
      </c>
      <c r="AZ295" s="0" t="s">
        <v>1647</v>
      </c>
      <c r="BA295" s="0" t="s">
        <v>556</v>
      </c>
      <c r="BB295" s="0" t="str">
        <f t="shared" si="4"/>
        <v>CCCRNenEnuguNorth</v>
      </c>
    </row>
    <row r="296">
      <c r="E296" s="0" t="s">
        <v>794</v>
      </c>
      <c r="AV296" s="0" t="s">
        <v>471</v>
      </c>
      <c r="AW296" s="0" t="s">
        <v>286</v>
      </c>
      <c r="AX296" s="0" t="s">
        <v>490</v>
      </c>
      <c r="AY296" s="0" t="s">
        <v>1648</v>
      </c>
      <c r="AZ296" s="0" t="s">
        <v>1649</v>
      </c>
      <c r="BA296" s="0" t="s">
        <v>556</v>
      </c>
      <c r="BB296" s="0" t="str">
        <f t="shared" si="4"/>
        <v>CCCRNenEnuguNorth</v>
      </c>
    </row>
    <row r="297">
      <c r="E297" s="0" t="s">
        <v>851</v>
      </c>
      <c r="AV297" s="0" t="s">
        <v>471</v>
      </c>
      <c r="AW297" s="0" t="s">
        <v>286</v>
      </c>
      <c r="AX297" s="0" t="s">
        <v>490</v>
      </c>
      <c r="AY297" s="0" t="s">
        <v>1650</v>
      </c>
      <c r="AZ297" s="0" t="s">
        <v>1651</v>
      </c>
      <c r="BA297" s="0" t="s">
        <v>556</v>
      </c>
      <c r="BB297" s="0" t="str">
        <f t="shared" si="4"/>
        <v>CCCRNenEnuguNorth</v>
      </c>
    </row>
    <row r="298">
      <c r="E298" s="0" t="s">
        <v>854</v>
      </c>
      <c r="AV298" s="0" t="s">
        <v>471</v>
      </c>
      <c r="AW298" s="0" t="s">
        <v>286</v>
      </c>
      <c r="AX298" s="0" t="s">
        <v>531</v>
      </c>
      <c r="AY298" s="0" t="s">
        <v>1652</v>
      </c>
      <c r="AZ298" s="0" t="s">
        <v>1653</v>
      </c>
      <c r="BA298" s="0" t="s">
        <v>556</v>
      </c>
      <c r="BB298" s="0" t="str">
        <f t="shared" si="4"/>
        <v>CCCRNenEnuguSouth</v>
      </c>
    </row>
    <row r="299">
      <c r="E299" s="0" t="s">
        <v>880</v>
      </c>
      <c r="AV299" s="0" t="s">
        <v>471</v>
      </c>
      <c r="AW299" s="0" t="s">
        <v>286</v>
      </c>
      <c r="AX299" s="0" t="s">
        <v>531</v>
      </c>
      <c r="AY299" s="0" t="s">
        <v>1654</v>
      </c>
      <c r="AZ299" s="0" t="s">
        <v>1655</v>
      </c>
      <c r="BA299" s="0" t="s">
        <v>556</v>
      </c>
      <c r="BB299" s="0" t="str">
        <f t="shared" si="4"/>
        <v>CCCRNenEnuguSouth</v>
      </c>
    </row>
    <row r="300">
      <c r="E300" s="0" t="s">
        <v>905</v>
      </c>
      <c r="AV300" s="0" t="s">
        <v>471</v>
      </c>
      <c r="AW300" s="0" t="s">
        <v>286</v>
      </c>
      <c r="AX300" s="0" t="s">
        <v>531</v>
      </c>
      <c r="AY300" s="0" t="s">
        <v>1656</v>
      </c>
      <c r="AZ300" s="0" t="s">
        <v>1657</v>
      </c>
      <c r="BA300" s="0" t="s">
        <v>556</v>
      </c>
      <c r="BB300" s="0" t="str">
        <f t="shared" si="4"/>
        <v>CCCRNenEnuguSouth</v>
      </c>
    </row>
    <row r="301">
      <c r="E301" s="0" t="s">
        <v>930</v>
      </c>
      <c r="AV301" s="0" t="s">
        <v>471</v>
      </c>
      <c r="AW301" s="0" t="s">
        <v>286</v>
      </c>
      <c r="AX301" s="0" t="s">
        <v>531</v>
      </c>
      <c r="AY301" s="0" t="s">
        <v>1658</v>
      </c>
      <c r="AZ301" s="0" t="s">
        <v>1659</v>
      </c>
      <c r="BA301" s="0" t="s">
        <v>556</v>
      </c>
      <c r="BB301" s="0" t="str">
        <f t="shared" si="4"/>
        <v>CCCRNenEnuguSouth</v>
      </c>
    </row>
    <row r="302">
      <c r="AV302" s="0" t="s">
        <v>471</v>
      </c>
      <c r="AW302" s="0" t="s">
        <v>286</v>
      </c>
      <c r="AX302" s="0" t="s">
        <v>531</v>
      </c>
      <c r="AY302" s="0" t="s">
        <v>1660</v>
      </c>
      <c r="AZ302" s="0" t="s">
        <v>1661</v>
      </c>
      <c r="BA302" s="0" t="s">
        <v>556</v>
      </c>
      <c r="BB302" s="0" t="str">
        <f t="shared" si="4"/>
        <v>CCCRNenEnuguSouth</v>
      </c>
    </row>
    <row r="303">
      <c r="AV303" s="0" t="s">
        <v>471</v>
      </c>
      <c r="AW303" s="0" t="s">
        <v>286</v>
      </c>
      <c r="AX303" s="0" t="s">
        <v>531</v>
      </c>
      <c r="AY303" s="0" t="s">
        <v>1662</v>
      </c>
      <c r="AZ303" s="0" t="s">
        <v>1663</v>
      </c>
      <c r="BA303" s="0" t="s">
        <v>556</v>
      </c>
      <c r="BB303" s="0" t="str">
        <f t="shared" si="4"/>
        <v>CCCRNenEnuguSouth</v>
      </c>
    </row>
    <row r="304">
      <c r="AV304" s="0" t="s">
        <v>471</v>
      </c>
      <c r="AW304" s="0" t="s">
        <v>286</v>
      </c>
      <c r="AX304" s="0" t="s">
        <v>572</v>
      </c>
      <c r="AY304" s="0" t="s">
        <v>1664</v>
      </c>
      <c r="AZ304" s="0" t="s">
        <v>1665</v>
      </c>
      <c r="BA304" s="0" t="s">
        <v>556</v>
      </c>
      <c r="BB304" s="0" t="str">
        <f t="shared" si="4"/>
        <v>CCCRNenIgboEtiti</v>
      </c>
    </row>
    <row r="305">
      <c r="AV305" s="0" t="s">
        <v>471</v>
      </c>
      <c r="AW305" s="0" t="s">
        <v>286</v>
      </c>
      <c r="AX305" s="0" t="s">
        <v>572</v>
      </c>
      <c r="AY305" s="0" t="s">
        <v>1666</v>
      </c>
      <c r="AZ305" s="0" t="s">
        <v>1667</v>
      </c>
      <c r="BA305" s="0" t="s">
        <v>556</v>
      </c>
      <c r="BB305" s="0" t="str">
        <f t="shared" si="4"/>
        <v>CCCRNenIgboEtiti</v>
      </c>
    </row>
    <row r="306">
      <c r="AV306" s="0" t="s">
        <v>471</v>
      </c>
      <c r="AW306" s="0" t="s">
        <v>286</v>
      </c>
      <c r="AX306" s="0" t="s">
        <v>572</v>
      </c>
      <c r="AY306" s="0" t="s">
        <v>1668</v>
      </c>
      <c r="AZ306" s="0" t="s">
        <v>1669</v>
      </c>
      <c r="BA306" s="0" t="s">
        <v>556</v>
      </c>
      <c r="BB306" s="0" t="str">
        <f t="shared" si="4"/>
        <v>CCCRNenIgboEtiti</v>
      </c>
    </row>
    <row r="307">
      <c r="AV307" s="0" t="s">
        <v>471</v>
      </c>
      <c r="AW307" s="0" t="s">
        <v>286</v>
      </c>
      <c r="AX307" s="0" t="s">
        <v>572</v>
      </c>
      <c r="AY307" s="0" t="s">
        <v>1670</v>
      </c>
      <c r="AZ307" s="0" t="s">
        <v>1671</v>
      </c>
      <c r="BA307" s="0" t="s">
        <v>556</v>
      </c>
      <c r="BB307" s="0" t="str">
        <f t="shared" si="4"/>
        <v>CCCRNenIgboEtiti</v>
      </c>
    </row>
    <row r="308">
      <c r="AV308" s="0" t="s">
        <v>471</v>
      </c>
      <c r="AW308" s="0" t="s">
        <v>286</v>
      </c>
      <c r="AX308" s="0" t="s">
        <v>572</v>
      </c>
      <c r="AY308" s="0" t="s">
        <v>1672</v>
      </c>
      <c r="AZ308" s="0" t="s">
        <v>1673</v>
      </c>
      <c r="BA308" s="0" t="s">
        <v>556</v>
      </c>
      <c r="BB308" s="0" t="str">
        <f t="shared" si="4"/>
        <v>CCCRNenIgboEtiti</v>
      </c>
    </row>
    <row r="309">
      <c r="AV309" s="0" t="s">
        <v>471</v>
      </c>
      <c r="AW309" s="0" t="s">
        <v>286</v>
      </c>
      <c r="AX309" s="0" t="s">
        <v>610</v>
      </c>
      <c r="AY309" s="0" t="s">
        <v>1674</v>
      </c>
      <c r="AZ309" s="0" t="s">
        <v>1675</v>
      </c>
      <c r="BA309" s="0" t="s">
        <v>556</v>
      </c>
      <c r="BB309" s="0" t="str">
        <f t="shared" si="4"/>
        <v>CCCRNenIgboEzeNorth</v>
      </c>
    </row>
    <row r="310">
      <c r="AV310" s="0" t="s">
        <v>471</v>
      </c>
      <c r="AW310" s="0" t="s">
        <v>286</v>
      </c>
      <c r="AX310" s="0" t="s">
        <v>610</v>
      </c>
      <c r="AY310" s="0" t="s">
        <v>1676</v>
      </c>
      <c r="AZ310" s="0" t="s">
        <v>1677</v>
      </c>
      <c r="BA310" s="0" t="s">
        <v>556</v>
      </c>
      <c r="BB310" s="0" t="str">
        <f t="shared" si="4"/>
        <v>CCCRNenIgboEzeNorth</v>
      </c>
    </row>
    <row r="311">
      <c r="AV311" s="0" t="s">
        <v>471</v>
      </c>
      <c r="AW311" s="0" t="s">
        <v>286</v>
      </c>
      <c r="AX311" s="0" t="s">
        <v>610</v>
      </c>
      <c r="AY311" s="0" t="s">
        <v>1678</v>
      </c>
      <c r="AZ311" s="0" t="s">
        <v>1679</v>
      </c>
      <c r="BA311" s="0" t="s">
        <v>556</v>
      </c>
      <c r="BB311" s="0" t="str">
        <f t="shared" si="4"/>
        <v>CCCRNenIgboEzeNorth</v>
      </c>
    </row>
    <row r="312">
      <c r="AV312" s="0" t="s">
        <v>471</v>
      </c>
      <c r="AW312" s="0" t="s">
        <v>286</v>
      </c>
      <c r="AX312" s="0" t="s">
        <v>610</v>
      </c>
      <c r="AY312" s="0" t="s">
        <v>1680</v>
      </c>
      <c r="AZ312" s="0" t="s">
        <v>1681</v>
      </c>
      <c r="BA312" s="0" t="s">
        <v>556</v>
      </c>
      <c r="BB312" s="0" t="str">
        <f t="shared" si="4"/>
        <v>CCCRNenIgboEzeNorth</v>
      </c>
    </row>
    <row r="313">
      <c r="AV313" s="0" t="s">
        <v>471</v>
      </c>
      <c r="AW313" s="0" t="s">
        <v>286</v>
      </c>
      <c r="AX313" s="0" t="s">
        <v>610</v>
      </c>
      <c r="AY313" s="0" t="s">
        <v>1682</v>
      </c>
      <c r="AZ313" s="0" t="s">
        <v>1683</v>
      </c>
      <c r="BA313" s="0" t="s">
        <v>556</v>
      </c>
      <c r="BB313" s="0" t="str">
        <f t="shared" si="4"/>
        <v>CCCRNenIgboEzeNorth</v>
      </c>
    </row>
    <row r="314">
      <c r="AV314" s="0" t="s">
        <v>471</v>
      </c>
      <c r="AW314" s="0" t="s">
        <v>286</v>
      </c>
      <c r="AX314" s="0" t="s">
        <v>610</v>
      </c>
      <c r="AY314" s="0" t="s">
        <v>1684</v>
      </c>
      <c r="AZ314" s="0" t="s">
        <v>1685</v>
      </c>
      <c r="BA314" s="0" t="s">
        <v>556</v>
      </c>
      <c r="BB314" s="0" t="str">
        <f t="shared" si="4"/>
        <v>CCCRNenIgboEzeNorth</v>
      </c>
    </row>
    <row r="315">
      <c r="AV315" s="0" t="s">
        <v>471</v>
      </c>
      <c r="AW315" s="0" t="s">
        <v>286</v>
      </c>
      <c r="AX315" s="0" t="s">
        <v>610</v>
      </c>
      <c r="AY315" s="0" t="s">
        <v>1686</v>
      </c>
      <c r="AZ315" s="0" t="s">
        <v>1687</v>
      </c>
      <c r="BA315" s="0" t="s">
        <v>556</v>
      </c>
      <c r="BB315" s="0" t="str">
        <f t="shared" si="4"/>
        <v>CCCRNenIgboEzeNorth</v>
      </c>
    </row>
    <row r="316">
      <c r="AV316" s="0" t="s">
        <v>471</v>
      </c>
      <c r="AW316" s="0" t="s">
        <v>286</v>
      </c>
      <c r="AX316" s="0" t="s">
        <v>648</v>
      </c>
      <c r="AY316" s="0" t="s">
        <v>1688</v>
      </c>
      <c r="AZ316" s="0" t="s">
        <v>1689</v>
      </c>
      <c r="BA316" s="0" t="s">
        <v>556</v>
      </c>
      <c r="BB316" s="0" t="str">
        <f t="shared" si="4"/>
        <v>CCCRNenIgboEzeSouth</v>
      </c>
    </row>
    <row r="317">
      <c r="AV317" s="0" t="s">
        <v>471</v>
      </c>
      <c r="AW317" s="0" t="s">
        <v>286</v>
      </c>
      <c r="AX317" s="0" t="s">
        <v>648</v>
      </c>
      <c r="AY317" s="0" t="s">
        <v>1690</v>
      </c>
      <c r="AZ317" s="0" t="s">
        <v>1691</v>
      </c>
      <c r="BA317" s="0" t="s">
        <v>556</v>
      </c>
      <c r="BB317" s="0" t="str">
        <f t="shared" si="4"/>
        <v>CCCRNenIgboEzeSouth</v>
      </c>
    </row>
    <row r="318">
      <c r="AV318" s="0" t="s">
        <v>471</v>
      </c>
      <c r="AW318" s="0" t="s">
        <v>286</v>
      </c>
      <c r="AX318" s="0" t="s">
        <v>648</v>
      </c>
      <c r="AY318" s="0" t="s">
        <v>1692</v>
      </c>
      <c r="AZ318" s="0" t="s">
        <v>1693</v>
      </c>
      <c r="BA318" s="0" t="s">
        <v>556</v>
      </c>
      <c r="BB318" s="0" t="str">
        <f t="shared" si="4"/>
        <v>CCCRNenIgboEzeSouth</v>
      </c>
    </row>
    <row r="319">
      <c r="AV319" s="0" t="s">
        <v>471</v>
      </c>
      <c r="AW319" s="0" t="s">
        <v>286</v>
      </c>
      <c r="AX319" s="0" t="s">
        <v>685</v>
      </c>
      <c r="AY319" s="0" t="s">
        <v>1694</v>
      </c>
      <c r="AZ319" s="0" t="s">
        <v>1695</v>
      </c>
      <c r="BA319" s="0" t="s">
        <v>556</v>
      </c>
      <c r="BB319" s="0" t="str">
        <f t="shared" si="4"/>
        <v>CCCRNenIsiuzo</v>
      </c>
    </row>
    <row r="320">
      <c r="AV320" s="0" t="s">
        <v>471</v>
      </c>
      <c r="AW320" s="0" t="s">
        <v>286</v>
      </c>
      <c r="AX320" s="0" t="s">
        <v>685</v>
      </c>
      <c r="AY320" s="0" t="s">
        <v>1696</v>
      </c>
      <c r="AZ320" s="0" t="s">
        <v>1697</v>
      </c>
      <c r="BA320" s="0" t="s">
        <v>556</v>
      </c>
      <c r="BB320" s="0" t="str">
        <f t="shared" si="4"/>
        <v>CCCRNenIsiuzo</v>
      </c>
    </row>
    <row r="321">
      <c r="AV321" s="0" t="s">
        <v>471</v>
      </c>
      <c r="AW321" s="0" t="s">
        <v>286</v>
      </c>
      <c r="AX321" s="0" t="s">
        <v>685</v>
      </c>
      <c r="AY321" s="0" t="s">
        <v>1698</v>
      </c>
      <c r="AZ321" s="0" t="s">
        <v>1699</v>
      </c>
      <c r="BA321" s="0" t="s">
        <v>556</v>
      </c>
      <c r="BB321" s="0" t="str">
        <f t="shared" si="4"/>
        <v>CCCRNenIsiuzo</v>
      </c>
    </row>
    <row r="322">
      <c r="AV322" s="0" t="s">
        <v>471</v>
      </c>
      <c r="AW322" s="0" t="s">
        <v>286</v>
      </c>
      <c r="AX322" s="0" t="s">
        <v>685</v>
      </c>
      <c r="AY322" s="0" t="s">
        <v>1700</v>
      </c>
      <c r="AZ322" s="0" t="s">
        <v>1701</v>
      </c>
      <c r="BA322" s="0" t="s">
        <v>556</v>
      </c>
      <c r="BB322" s="0" t="str">
        <f t="shared" si="4"/>
        <v>CCCRNenIsiuzo</v>
      </c>
    </row>
    <row r="323">
      <c r="AV323" s="0" t="s">
        <v>471</v>
      </c>
      <c r="AW323" s="0" t="s">
        <v>286</v>
      </c>
      <c r="AX323" s="0" t="s">
        <v>685</v>
      </c>
      <c r="AY323" s="0" t="s">
        <v>1702</v>
      </c>
      <c r="AZ323" s="0" t="s">
        <v>1703</v>
      </c>
      <c r="BA323" s="0" t="s">
        <v>556</v>
      </c>
      <c r="BB323" s="0" t="str">
        <f ref="BB323:BB386" t="shared" si="5">SUBSTITUTE(SUBSTITUTE(BA323&amp;AX323," ",""),"-","")</f>
        <v>CCCRNenIsiuzo</v>
      </c>
    </row>
    <row r="324">
      <c r="AV324" s="0" t="s">
        <v>471</v>
      </c>
      <c r="AW324" s="0" t="s">
        <v>286</v>
      </c>
      <c r="AX324" s="0" t="s">
        <v>720</v>
      </c>
      <c r="AY324" s="0" t="s">
        <v>1704</v>
      </c>
      <c r="AZ324" s="0" t="s">
        <v>1705</v>
      </c>
      <c r="BA324" s="0" t="s">
        <v>556</v>
      </c>
      <c r="BB324" s="0" t="str">
        <f t="shared" si="5"/>
        <v>CCCRNenNkanuEast</v>
      </c>
    </row>
    <row r="325">
      <c r="AV325" s="0" t="s">
        <v>471</v>
      </c>
      <c r="AW325" s="0" t="s">
        <v>286</v>
      </c>
      <c r="AX325" s="0" t="s">
        <v>753</v>
      </c>
      <c r="AY325" s="0" t="s">
        <v>1706</v>
      </c>
      <c r="AZ325" s="0" t="s">
        <v>1707</v>
      </c>
      <c r="BA325" s="0" t="s">
        <v>556</v>
      </c>
      <c r="BB325" s="0" t="str">
        <f t="shared" si="5"/>
        <v>CCCRNenNkanuWest</v>
      </c>
    </row>
    <row r="326">
      <c r="AV326" s="0" t="s">
        <v>471</v>
      </c>
      <c r="AW326" s="0" t="s">
        <v>286</v>
      </c>
      <c r="AX326" s="0" t="s">
        <v>753</v>
      </c>
      <c r="AY326" s="0" t="s">
        <v>1708</v>
      </c>
      <c r="AZ326" s="0" t="s">
        <v>1709</v>
      </c>
      <c r="BA326" s="0" t="s">
        <v>556</v>
      </c>
      <c r="BB326" s="0" t="str">
        <f t="shared" si="5"/>
        <v>CCCRNenNkanuWest</v>
      </c>
    </row>
    <row r="327">
      <c r="AV327" s="0" t="s">
        <v>471</v>
      </c>
      <c r="AW327" s="0" t="s">
        <v>286</v>
      </c>
      <c r="AX327" s="0" t="s">
        <v>753</v>
      </c>
      <c r="AY327" s="0" t="s">
        <v>1710</v>
      </c>
      <c r="AZ327" s="0" t="s">
        <v>1711</v>
      </c>
      <c r="BA327" s="0" t="s">
        <v>556</v>
      </c>
      <c r="BB327" s="0" t="str">
        <f t="shared" si="5"/>
        <v>CCCRNenNkanuWest</v>
      </c>
    </row>
    <row r="328">
      <c r="AV328" s="0" t="s">
        <v>471</v>
      </c>
      <c r="AW328" s="0" t="s">
        <v>286</v>
      </c>
      <c r="AX328" s="0" t="s">
        <v>785</v>
      </c>
      <c r="AY328" s="0" t="s">
        <v>1712</v>
      </c>
      <c r="AZ328" s="0" t="s">
        <v>1713</v>
      </c>
      <c r="BA328" s="0" t="s">
        <v>556</v>
      </c>
      <c r="BB328" s="0" t="str">
        <f t="shared" si="5"/>
        <v>CCCRNenNsukka</v>
      </c>
    </row>
    <row r="329">
      <c r="AV329" s="0" t="s">
        <v>471</v>
      </c>
      <c r="AW329" s="0" t="s">
        <v>286</v>
      </c>
      <c r="AX329" s="0" t="s">
        <v>785</v>
      </c>
      <c r="AY329" s="0" t="s">
        <v>1714</v>
      </c>
      <c r="AZ329" s="0" t="s">
        <v>1715</v>
      </c>
      <c r="BA329" s="0" t="s">
        <v>556</v>
      </c>
      <c r="BB329" s="0" t="str">
        <f t="shared" si="5"/>
        <v>CCCRNenNsukka</v>
      </c>
    </row>
    <row r="330">
      <c r="AV330" s="0" t="s">
        <v>471</v>
      </c>
      <c r="AW330" s="0" t="s">
        <v>286</v>
      </c>
      <c r="AX330" s="0" t="s">
        <v>785</v>
      </c>
      <c r="AY330" s="0" t="s">
        <v>1716</v>
      </c>
      <c r="AZ330" s="0" t="s">
        <v>1717</v>
      </c>
      <c r="BA330" s="0" t="s">
        <v>556</v>
      </c>
      <c r="BB330" s="0" t="str">
        <f t="shared" si="5"/>
        <v>CCCRNenNsukka</v>
      </c>
    </row>
    <row r="331">
      <c r="AV331" s="0" t="s">
        <v>471</v>
      </c>
      <c r="AW331" s="0" t="s">
        <v>286</v>
      </c>
      <c r="AX331" s="0" t="s">
        <v>785</v>
      </c>
      <c r="AY331" s="0" t="s">
        <v>1718</v>
      </c>
      <c r="AZ331" s="0" t="s">
        <v>1719</v>
      </c>
      <c r="BA331" s="0" t="s">
        <v>556</v>
      </c>
      <c r="BB331" s="0" t="str">
        <f t="shared" si="5"/>
        <v>CCCRNenNsukka</v>
      </c>
    </row>
    <row r="332">
      <c r="AV332" s="0" t="s">
        <v>471</v>
      </c>
      <c r="AW332" s="0" t="s">
        <v>286</v>
      </c>
      <c r="AX332" s="0" t="s">
        <v>785</v>
      </c>
      <c r="AY332" s="0" t="s">
        <v>1720</v>
      </c>
      <c r="AZ332" s="0" t="s">
        <v>1721</v>
      </c>
      <c r="BA332" s="0" t="s">
        <v>556</v>
      </c>
      <c r="BB332" s="0" t="str">
        <f t="shared" si="5"/>
        <v>CCCRNenNsukka</v>
      </c>
    </row>
    <row r="333">
      <c r="AV333" s="0" t="s">
        <v>471</v>
      </c>
      <c r="AW333" s="0" t="s">
        <v>286</v>
      </c>
      <c r="AX333" s="0" t="s">
        <v>785</v>
      </c>
      <c r="AY333" s="0" t="s">
        <v>1722</v>
      </c>
      <c r="AZ333" s="0" t="s">
        <v>1723</v>
      </c>
      <c r="BA333" s="0" t="s">
        <v>556</v>
      </c>
      <c r="BB333" s="0" t="str">
        <f t="shared" si="5"/>
        <v>CCCRNenNsukka</v>
      </c>
    </row>
    <row r="334">
      <c r="AV334" s="0" t="s">
        <v>471</v>
      </c>
      <c r="AW334" s="0" t="s">
        <v>286</v>
      </c>
      <c r="AX334" s="0" t="s">
        <v>785</v>
      </c>
      <c r="AY334" s="0" t="s">
        <v>1724</v>
      </c>
      <c r="AZ334" s="0" t="s">
        <v>1725</v>
      </c>
      <c r="BA334" s="0" t="s">
        <v>556</v>
      </c>
      <c r="BB334" s="0" t="str">
        <f t="shared" si="5"/>
        <v>CCCRNenNsukka</v>
      </c>
    </row>
    <row r="335">
      <c r="AV335" s="0" t="s">
        <v>471</v>
      </c>
      <c r="AW335" s="0" t="s">
        <v>286</v>
      </c>
      <c r="AX335" s="0" t="s">
        <v>785</v>
      </c>
      <c r="AY335" s="0" t="s">
        <v>1726</v>
      </c>
      <c r="AZ335" s="0" t="s">
        <v>1727</v>
      </c>
      <c r="BA335" s="0" t="s">
        <v>556</v>
      </c>
      <c r="BB335" s="0" t="str">
        <f t="shared" si="5"/>
        <v>CCCRNenNsukka</v>
      </c>
    </row>
    <row r="336">
      <c r="AV336" s="0" t="s">
        <v>471</v>
      </c>
      <c r="AW336" s="0" t="s">
        <v>286</v>
      </c>
      <c r="AX336" s="0" t="s">
        <v>785</v>
      </c>
      <c r="AY336" s="0" t="s">
        <v>1728</v>
      </c>
      <c r="AZ336" s="0" t="s">
        <v>1729</v>
      </c>
      <c r="BA336" s="0" t="s">
        <v>556</v>
      </c>
      <c r="BB336" s="0" t="str">
        <f t="shared" si="5"/>
        <v>CCCRNenNsukka</v>
      </c>
    </row>
    <row r="337">
      <c r="AV337" s="0" t="s">
        <v>471</v>
      </c>
      <c r="AW337" s="0" t="s">
        <v>286</v>
      </c>
      <c r="AX337" s="0" t="s">
        <v>785</v>
      </c>
      <c r="AY337" s="0" t="s">
        <v>1730</v>
      </c>
      <c r="AZ337" s="0" t="s">
        <v>1731</v>
      </c>
      <c r="BA337" s="0" t="s">
        <v>556</v>
      </c>
      <c r="BB337" s="0" t="str">
        <f t="shared" si="5"/>
        <v>CCCRNenNsukka</v>
      </c>
    </row>
    <row r="338">
      <c r="AV338" s="0" t="s">
        <v>471</v>
      </c>
      <c r="AW338" s="0" t="s">
        <v>286</v>
      </c>
      <c r="AX338" s="0" t="s">
        <v>815</v>
      </c>
      <c r="AY338" s="0" t="s">
        <v>1732</v>
      </c>
      <c r="AZ338" s="0" t="s">
        <v>1733</v>
      </c>
      <c r="BA338" s="0" t="s">
        <v>556</v>
      </c>
      <c r="BB338" s="0" t="str">
        <f t="shared" si="5"/>
        <v>CCCRNenUdenu</v>
      </c>
    </row>
    <row r="339">
      <c r="AV339" s="0" t="s">
        <v>471</v>
      </c>
      <c r="AW339" s="0" t="s">
        <v>286</v>
      </c>
      <c r="AX339" s="0" t="s">
        <v>815</v>
      </c>
      <c r="AY339" s="0" t="s">
        <v>1734</v>
      </c>
      <c r="AZ339" s="0" t="s">
        <v>1735</v>
      </c>
      <c r="BA339" s="0" t="s">
        <v>556</v>
      </c>
      <c r="BB339" s="0" t="str">
        <f t="shared" si="5"/>
        <v>CCCRNenUdenu</v>
      </c>
    </row>
    <row r="340">
      <c r="AV340" s="0" t="s">
        <v>471</v>
      </c>
      <c r="AW340" s="0" t="s">
        <v>286</v>
      </c>
      <c r="AX340" s="0" t="s">
        <v>815</v>
      </c>
      <c r="AY340" s="0" t="s">
        <v>1736</v>
      </c>
      <c r="AZ340" s="0" t="s">
        <v>1737</v>
      </c>
      <c r="BA340" s="0" t="s">
        <v>556</v>
      </c>
      <c r="BB340" s="0" t="str">
        <f t="shared" si="5"/>
        <v>CCCRNenUdenu</v>
      </c>
    </row>
    <row r="341">
      <c r="AV341" s="0" t="s">
        <v>471</v>
      </c>
      <c r="AW341" s="0" t="s">
        <v>286</v>
      </c>
      <c r="AX341" s="0" t="s">
        <v>815</v>
      </c>
      <c r="AY341" s="0" t="s">
        <v>1738</v>
      </c>
      <c r="AZ341" s="0" t="s">
        <v>1739</v>
      </c>
      <c r="BA341" s="0" t="s">
        <v>556</v>
      </c>
      <c r="BB341" s="0" t="str">
        <f t="shared" si="5"/>
        <v>CCCRNenUdenu</v>
      </c>
    </row>
    <row r="342">
      <c r="AV342" s="0" t="s">
        <v>471</v>
      </c>
      <c r="AW342" s="0" t="s">
        <v>286</v>
      </c>
      <c r="AX342" s="0" t="s">
        <v>815</v>
      </c>
      <c r="AY342" s="0" t="s">
        <v>1740</v>
      </c>
      <c r="AZ342" s="0" t="s">
        <v>1741</v>
      </c>
      <c r="BA342" s="0" t="s">
        <v>556</v>
      </c>
      <c r="BB342" s="0" t="str">
        <f t="shared" si="5"/>
        <v>CCCRNenUdenu</v>
      </c>
    </row>
    <row r="343">
      <c r="AV343" s="0" t="s">
        <v>471</v>
      </c>
      <c r="AW343" s="0" t="s">
        <v>286</v>
      </c>
      <c r="AX343" s="0" t="s">
        <v>815</v>
      </c>
      <c r="AY343" s="0" t="s">
        <v>1742</v>
      </c>
      <c r="AZ343" s="0" t="s">
        <v>1743</v>
      </c>
      <c r="BA343" s="0" t="s">
        <v>556</v>
      </c>
      <c r="BB343" s="0" t="str">
        <f t="shared" si="5"/>
        <v>CCCRNenUdenu</v>
      </c>
    </row>
    <row r="344">
      <c r="AV344" s="0" t="s">
        <v>471</v>
      </c>
      <c r="AW344" s="0" t="s">
        <v>286</v>
      </c>
      <c r="AX344" s="0" t="s">
        <v>815</v>
      </c>
      <c r="AY344" s="0" t="s">
        <v>1744</v>
      </c>
      <c r="AZ344" s="0" t="s">
        <v>1745</v>
      </c>
      <c r="BA344" s="0" t="s">
        <v>556</v>
      </c>
      <c r="BB344" s="0" t="str">
        <f t="shared" si="5"/>
        <v>CCCRNenUdenu</v>
      </c>
    </row>
    <row r="345">
      <c r="AV345" s="0" t="s">
        <v>471</v>
      </c>
      <c r="AW345" s="0" t="s">
        <v>286</v>
      </c>
      <c r="AX345" s="0" t="s">
        <v>815</v>
      </c>
      <c r="AY345" s="0" t="s">
        <v>1746</v>
      </c>
      <c r="AZ345" s="0" t="s">
        <v>1747</v>
      </c>
      <c r="BA345" s="0" t="s">
        <v>556</v>
      </c>
      <c r="BB345" s="0" t="str">
        <f t="shared" si="5"/>
        <v>CCCRNenUdenu</v>
      </c>
    </row>
    <row r="346">
      <c r="AV346" s="0" t="s">
        <v>471</v>
      </c>
      <c r="AW346" s="0" t="s">
        <v>286</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641</v>
      </c>
      <c r="AY430" s="0" t="s">
        <v>1916</v>
      </c>
      <c r="AZ430" s="0" t="s">
        <v>1917</v>
      </c>
      <c r="BA430" s="0" t="s">
        <v>515</v>
      </c>
      <c r="BB430" s="0" t="str">
        <f t="shared" si="6"/>
        <v>CCFNbeGwerWest</v>
      </c>
    </row>
    <row r="431">
      <c r="AV431" s="0" t="s">
        <v>471</v>
      </c>
      <c r="AW431" s="0" t="s">
        <v>394</v>
      </c>
      <c r="AX431" s="0" t="s">
        <v>641</v>
      </c>
      <c r="AY431" s="0" t="s">
        <v>1918</v>
      </c>
      <c r="AZ431" s="0" t="s">
        <v>1919</v>
      </c>
      <c r="BA431" s="0" t="s">
        <v>515</v>
      </c>
      <c r="BB431" s="0" t="str">
        <f t="shared" si="6"/>
        <v>CCFNbeGwerWest</v>
      </c>
    </row>
    <row r="432">
      <c r="AV432" s="0" t="s">
        <v>471</v>
      </c>
      <c r="AW432" s="0" t="s">
        <v>394</v>
      </c>
      <c r="AX432" s="0" t="s">
        <v>641</v>
      </c>
      <c r="AY432" s="0" t="s">
        <v>1920</v>
      </c>
      <c r="AZ432" s="0" t="s">
        <v>1921</v>
      </c>
      <c r="BA432" s="0" t="s">
        <v>515</v>
      </c>
      <c r="BB432" s="0" t="str">
        <f t="shared" si="6"/>
        <v>CCFNbeGwerWest</v>
      </c>
    </row>
    <row r="433">
      <c r="AV433" s="0" t="s">
        <v>471</v>
      </c>
      <c r="AW433" s="0" t="s">
        <v>394</v>
      </c>
      <c r="AX433" s="0" t="s">
        <v>679</v>
      </c>
      <c r="AY433" s="0" t="s">
        <v>1922</v>
      </c>
      <c r="AZ433" s="0" t="s">
        <v>1923</v>
      </c>
      <c r="BA433" s="0" t="s">
        <v>515</v>
      </c>
      <c r="BB433" s="0" t="str">
        <f t="shared" si="6"/>
        <v>CCFNbeKatsinaAla</v>
      </c>
    </row>
    <row r="434">
      <c r="AV434" s="0" t="s">
        <v>471</v>
      </c>
      <c r="AW434" s="0" t="s">
        <v>394</v>
      </c>
      <c r="AX434" s="0" t="s">
        <v>679</v>
      </c>
      <c r="AY434" s="0" t="s">
        <v>1924</v>
      </c>
      <c r="AZ434" s="0" t="s">
        <v>1925</v>
      </c>
      <c r="BA434" s="0" t="s">
        <v>515</v>
      </c>
      <c r="BB434" s="0" t="str">
        <f t="shared" si="6"/>
        <v>CCFNbeKatsinaAla</v>
      </c>
    </row>
    <row r="435">
      <c r="AV435" s="0" t="s">
        <v>471</v>
      </c>
      <c r="AW435" s="0" t="s">
        <v>394</v>
      </c>
      <c r="AX435" s="0" t="s">
        <v>679</v>
      </c>
      <c r="AY435" s="0" t="s">
        <v>1926</v>
      </c>
      <c r="AZ435" s="0" t="s">
        <v>1927</v>
      </c>
      <c r="BA435" s="0" t="s">
        <v>515</v>
      </c>
      <c r="BB435" s="0" t="str">
        <f t="shared" si="6"/>
        <v>CCFNbeKatsinaAla</v>
      </c>
    </row>
    <row r="436">
      <c r="AV436" s="0" t="s">
        <v>471</v>
      </c>
      <c r="AW436" s="0" t="s">
        <v>394</v>
      </c>
      <c r="AX436" s="0" t="s">
        <v>679</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641</v>
      </c>
      <c r="AY611" s="0" t="s">
        <v>2277</v>
      </c>
      <c r="AZ611" s="0" t="s">
        <v>2278</v>
      </c>
      <c r="BA611" s="0" t="s">
        <v>596</v>
      </c>
      <c r="BB611" s="0" t="str">
        <f t="shared" si="9"/>
        <v>CIHPbeGwerWest</v>
      </c>
    </row>
    <row r="612">
      <c r="AV612" s="0" t="s">
        <v>471</v>
      </c>
      <c r="AW612" s="0" t="s">
        <v>394</v>
      </c>
      <c r="AX612" s="0" t="s">
        <v>641</v>
      </c>
      <c r="AY612" s="0" t="s">
        <v>2279</v>
      </c>
      <c r="AZ612" s="0" t="s">
        <v>2280</v>
      </c>
      <c r="BA612" s="0" t="s">
        <v>596</v>
      </c>
      <c r="BB612" s="0" t="str">
        <f t="shared" si="9"/>
        <v>CIHPbeGwerWest</v>
      </c>
    </row>
    <row r="613">
      <c r="AV613" s="0" t="s">
        <v>471</v>
      </c>
      <c r="AW613" s="0" t="s">
        <v>394</v>
      </c>
      <c r="AX613" s="0" t="s">
        <v>641</v>
      </c>
      <c r="AY613" s="0" t="s">
        <v>2281</v>
      </c>
      <c r="AZ613" s="0" t="s">
        <v>2282</v>
      </c>
      <c r="BA613" s="0" t="s">
        <v>596</v>
      </c>
      <c r="BB613" s="0" t="str">
        <f t="shared" si="9"/>
        <v>CIHPbeGwerWest</v>
      </c>
    </row>
    <row r="614">
      <c r="AV614" s="0" t="s">
        <v>471</v>
      </c>
      <c r="AW614" s="0" t="s">
        <v>394</v>
      </c>
      <c r="AX614" s="0" t="s">
        <v>641</v>
      </c>
      <c r="AY614" s="0" t="s">
        <v>2283</v>
      </c>
      <c r="AZ614" s="0" t="s">
        <v>2284</v>
      </c>
      <c r="BA614" s="0" t="s">
        <v>596</v>
      </c>
      <c r="BB614" s="0" t="str">
        <f t="shared" si="9"/>
        <v>CIHPbeGwerWest</v>
      </c>
    </row>
    <row r="615">
      <c r="AV615" s="0" t="s">
        <v>471</v>
      </c>
      <c r="AW615" s="0" t="s">
        <v>394</v>
      </c>
      <c r="AX615" s="0" t="s">
        <v>641</v>
      </c>
      <c r="AY615" s="0" t="s">
        <v>2285</v>
      </c>
      <c r="AZ615" s="0" t="s">
        <v>2286</v>
      </c>
      <c r="BA615" s="0" t="s">
        <v>596</v>
      </c>
      <c r="BB615" s="0" t="str">
        <f t="shared" si="9"/>
        <v>CIHPbeGwerWest</v>
      </c>
    </row>
    <row r="616">
      <c r="AV616" s="0" t="s">
        <v>471</v>
      </c>
      <c r="AW616" s="0" t="s">
        <v>394</v>
      </c>
      <c r="AX616" s="0" t="s">
        <v>641</v>
      </c>
      <c r="AY616" s="0" t="s">
        <v>2287</v>
      </c>
      <c r="AZ616" s="0" t="s">
        <v>2288</v>
      </c>
      <c r="BA616" s="0" t="s">
        <v>596</v>
      </c>
      <c r="BB616" s="0" t="str">
        <f t="shared" si="9"/>
        <v>CIHPbeGwerWest</v>
      </c>
    </row>
    <row r="617">
      <c r="AV617" s="0" t="s">
        <v>471</v>
      </c>
      <c r="AW617" s="0" t="s">
        <v>394</v>
      </c>
      <c r="AX617" s="0" t="s">
        <v>641</v>
      </c>
      <c r="AY617" s="0" t="s">
        <v>2289</v>
      </c>
      <c r="AZ617" s="0" t="s">
        <v>2290</v>
      </c>
      <c r="BA617" s="0" t="s">
        <v>596</v>
      </c>
      <c r="BB617" s="0" t="str">
        <f t="shared" si="9"/>
        <v>CIHPbeGwerWest</v>
      </c>
    </row>
    <row r="618">
      <c r="AV618" s="0" t="s">
        <v>471</v>
      </c>
      <c r="AW618" s="0" t="s">
        <v>394</v>
      </c>
      <c r="AX618" s="0" t="s">
        <v>641</v>
      </c>
      <c r="AY618" s="0" t="s">
        <v>2291</v>
      </c>
      <c r="AZ618" s="0" t="s">
        <v>2292</v>
      </c>
      <c r="BA618" s="0" t="s">
        <v>596</v>
      </c>
      <c r="BB618" s="0" t="str">
        <f t="shared" si="9"/>
        <v>CIHPbeGwerWest</v>
      </c>
    </row>
    <row r="619">
      <c r="AV619" s="0" t="s">
        <v>471</v>
      </c>
      <c r="AW619" s="0" t="s">
        <v>394</v>
      </c>
      <c r="AX619" s="0" t="s">
        <v>641</v>
      </c>
      <c r="AY619" s="0" t="s">
        <v>2293</v>
      </c>
      <c r="AZ619" s="0" t="s">
        <v>2294</v>
      </c>
      <c r="BA619" s="0" t="s">
        <v>596</v>
      </c>
      <c r="BB619" s="0" t="str">
        <f t="shared" si="9"/>
        <v>CIHPbeGwerWest</v>
      </c>
    </row>
    <row r="620">
      <c r="AV620" s="0" t="s">
        <v>471</v>
      </c>
      <c r="AW620" s="0" t="s">
        <v>394</v>
      </c>
      <c r="AX620" s="0" t="s">
        <v>641</v>
      </c>
      <c r="AY620" s="0" t="s">
        <v>2295</v>
      </c>
      <c r="AZ620" s="0" t="s">
        <v>2296</v>
      </c>
      <c r="BA620" s="0" t="s">
        <v>596</v>
      </c>
      <c r="BB620" s="0" t="str">
        <f t="shared" si="9"/>
        <v>CIHPbeGwerWest</v>
      </c>
    </row>
    <row r="621">
      <c r="AV621" s="0" t="s">
        <v>471</v>
      </c>
      <c r="AW621" s="0" t="s">
        <v>394</v>
      </c>
      <c r="AX621" s="0" t="s">
        <v>641</v>
      </c>
      <c r="AY621" s="0" t="s">
        <v>2297</v>
      </c>
      <c r="AZ621" s="0" t="s">
        <v>2298</v>
      </c>
      <c r="BA621" s="0" t="s">
        <v>596</v>
      </c>
      <c r="BB621" s="0" t="str">
        <f t="shared" si="9"/>
        <v>CIHPbeGwerWest</v>
      </c>
    </row>
    <row r="622">
      <c r="AV622" s="0" t="s">
        <v>471</v>
      </c>
      <c r="AW622" s="0" t="s">
        <v>394</v>
      </c>
      <c r="AX622" s="0" t="s">
        <v>641</v>
      </c>
      <c r="AY622" s="0" t="s">
        <v>2299</v>
      </c>
      <c r="AZ622" s="0" t="s">
        <v>2300</v>
      </c>
      <c r="BA622" s="0" t="s">
        <v>596</v>
      </c>
      <c r="BB622" s="0" t="str">
        <f t="shared" si="9"/>
        <v>CIHPbeGwerWest</v>
      </c>
    </row>
    <row r="623">
      <c r="AV623" s="0" t="s">
        <v>471</v>
      </c>
      <c r="AW623" s="0" t="s">
        <v>394</v>
      </c>
      <c r="AX623" s="0" t="s">
        <v>641</v>
      </c>
      <c r="AY623" s="0" t="s">
        <v>2301</v>
      </c>
      <c r="AZ623" s="0" t="s">
        <v>2302</v>
      </c>
      <c r="BA623" s="0" t="s">
        <v>596</v>
      </c>
      <c r="BB623" s="0" t="str">
        <f t="shared" si="9"/>
        <v>CIHPbeGwerWest</v>
      </c>
    </row>
    <row r="624">
      <c r="AV624" s="0" t="s">
        <v>471</v>
      </c>
      <c r="AW624" s="0" t="s">
        <v>394</v>
      </c>
      <c r="AX624" s="0" t="s">
        <v>641</v>
      </c>
      <c r="AY624" s="0" t="s">
        <v>2303</v>
      </c>
      <c r="AZ624" s="0" t="s">
        <v>2304</v>
      </c>
      <c r="BA624" s="0" t="s">
        <v>596</v>
      </c>
      <c r="BB624" s="0" t="str">
        <f t="shared" si="9"/>
        <v>CIHPbeGwerWest</v>
      </c>
    </row>
    <row r="625">
      <c r="AV625" s="0" t="s">
        <v>471</v>
      </c>
      <c r="AW625" s="0" t="s">
        <v>394</v>
      </c>
      <c r="AX625" s="0" t="s">
        <v>641</v>
      </c>
      <c r="AY625" s="0" t="s">
        <v>2305</v>
      </c>
      <c r="AZ625" s="0" t="s">
        <v>2306</v>
      </c>
      <c r="BA625" s="0" t="s">
        <v>596</v>
      </c>
      <c r="BB625" s="0" t="str">
        <f t="shared" si="9"/>
        <v>CIHPbeGwerWest</v>
      </c>
    </row>
    <row r="626">
      <c r="AV626" s="0" t="s">
        <v>471</v>
      </c>
      <c r="AW626" s="0" t="s">
        <v>394</v>
      </c>
      <c r="AX626" s="0" t="s">
        <v>641</v>
      </c>
      <c r="AY626" s="0" t="s">
        <v>2307</v>
      </c>
      <c r="AZ626" s="0" t="s">
        <v>2308</v>
      </c>
      <c r="BA626" s="0" t="s">
        <v>596</v>
      </c>
      <c r="BB626" s="0" t="str">
        <f t="shared" si="9"/>
        <v>CIHPbeGwerWest</v>
      </c>
    </row>
    <row r="627">
      <c r="AV627" s="0" t="s">
        <v>471</v>
      </c>
      <c r="AW627" s="0" t="s">
        <v>394</v>
      </c>
      <c r="AX627" s="0" t="s">
        <v>641</v>
      </c>
      <c r="AY627" s="0" t="s">
        <v>2309</v>
      </c>
      <c r="AZ627" s="0" t="s">
        <v>2310</v>
      </c>
      <c r="BA627" s="0" t="s">
        <v>596</v>
      </c>
      <c r="BB627" s="0" t="str">
        <f t="shared" si="9"/>
        <v>CIHPbeGwerWest</v>
      </c>
    </row>
    <row r="628">
      <c r="AV628" s="0" t="s">
        <v>471</v>
      </c>
      <c r="AW628" s="0" t="s">
        <v>394</v>
      </c>
      <c r="AX628" s="0" t="s">
        <v>641</v>
      </c>
      <c r="AY628" s="0" t="s">
        <v>2311</v>
      </c>
      <c r="AZ628" s="0" t="s">
        <v>2312</v>
      </c>
      <c r="BA628" s="0" t="s">
        <v>596</v>
      </c>
      <c r="BB628" s="0" t="str">
        <f t="shared" si="9"/>
        <v>CIHPbeGwerWest</v>
      </c>
    </row>
    <row r="629">
      <c r="AV629" s="0" t="s">
        <v>471</v>
      </c>
      <c r="AW629" s="0" t="s">
        <v>394</v>
      </c>
      <c r="AX629" s="0" t="s">
        <v>641</v>
      </c>
      <c r="AY629" s="0" t="s">
        <v>2313</v>
      </c>
      <c r="AZ629" s="0" t="s">
        <v>2314</v>
      </c>
      <c r="BA629" s="0" t="s">
        <v>596</v>
      </c>
      <c r="BB629" s="0" t="str">
        <f t="shared" si="9"/>
        <v>CIHPbeGwerWest</v>
      </c>
    </row>
    <row r="630">
      <c r="AV630" s="0" t="s">
        <v>471</v>
      </c>
      <c r="AW630" s="0" t="s">
        <v>394</v>
      </c>
      <c r="AX630" s="0" t="s">
        <v>641</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650</v>
      </c>
      <c r="AY779" s="0" t="s">
        <v>2613</v>
      </c>
      <c r="AZ779" s="0" t="s">
        <v>2614</v>
      </c>
      <c r="BA779" s="0" t="s">
        <v>596</v>
      </c>
      <c r="BB779" s="0" t="str">
        <f t="shared" si="12"/>
        <v>CIHPgoKaltungo</v>
      </c>
    </row>
    <row r="780">
      <c r="AV780" s="0" t="s">
        <v>471</v>
      </c>
      <c r="AW780" s="0" t="s">
        <v>402</v>
      </c>
      <c r="AX780" s="0" t="s">
        <v>650</v>
      </c>
      <c r="AY780" s="0" t="s">
        <v>2615</v>
      </c>
      <c r="AZ780" s="0" t="s">
        <v>2616</v>
      </c>
      <c r="BA780" s="0" t="s">
        <v>596</v>
      </c>
      <c r="BB780" s="0" t="str">
        <f t="shared" si="12"/>
        <v>CIHPgoKaltungo</v>
      </c>
    </row>
    <row r="781">
      <c r="AV781" s="0" t="s">
        <v>471</v>
      </c>
      <c r="AW781" s="0" t="s">
        <v>402</v>
      </c>
      <c r="AX781" s="0" t="s">
        <v>650</v>
      </c>
      <c r="AY781" s="0" t="s">
        <v>2617</v>
      </c>
      <c r="AZ781" s="0" t="s">
        <v>2618</v>
      </c>
      <c r="BA781" s="0" t="s">
        <v>596</v>
      </c>
      <c r="BB781" s="0" t="str">
        <f t="shared" si="12"/>
        <v>CIHPgoKaltungo</v>
      </c>
    </row>
    <row r="782">
      <c r="AV782" s="0" t="s">
        <v>471</v>
      </c>
      <c r="AW782" s="0" t="s">
        <v>402</v>
      </c>
      <c r="AX782" s="0" t="s">
        <v>650</v>
      </c>
      <c r="AY782" s="0" t="s">
        <v>2619</v>
      </c>
      <c r="AZ782" s="0" t="s">
        <v>2620</v>
      </c>
      <c r="BA782" s="0" t="s">
        <v>596</v>
      </c>
      <c r="BB782" s="0" t="str">
        <f t="shared" si="12"/>
        <v>CIHPgoKaltungo</v>
      </c>
    </row>
    <row r="783">
      <c r="AV783" s="0" t="s">
        <v>471</v>
      </c>
      <c r="AW783" s="0" t="s">
        <v>402</v>
      </c>
      <c r="AX783" s="0" t="s">
        <v>650</v>
      </c>
      <c r="AY783" s="0" t="s">
        <v>2621</v>
      </c>
      <c r="AZ783" s="0" t="s">
        <v>2622</v>
      </c>
      <c r="BA783" s="0" t="s">
        <v>596</v>
      </c>
      <c r="BB783" s="0" t="str">
        <f t="shared" si="12"/>
        <v>CIHPgoKaltungo</v>
      </c>
    </row>
    <row r="784">
      <c r="AV784" s="0" t="s">
        <v>471</v>
      </c>
      <c r="AW784" s="0" t="s">
        <v>402</v>
      </c>
      <c r="AX784" s="0" t="s">
        <v>650</v>
      </c>
      <c r="AY784" s="0" t="s">
        <v>2623</v>
      </c>
      <c r="AZ784" s="0" t="s">
        <v>2624</v>
      </c>
      <c r="BA784" s="0" t="s">
        <v>596</v>
      </c>
      <c r="BB784" s="0" t="str">
        <f t="shared" si="12"/>
        <v>CIHPgoKaltungo</v>
      </c>
    </row>
    <row r="785">
      <c r="AV785" s="0" t="s">
        <v>471</v>
      </c>
      <c r="AW785" s="0" t="s">
        <v>402</v>
      </c>
      <c r="AX785" s="0" t="s">
        <v>650</v>
      </c>
      <c r="AY785" s="0" t="s">
        <v>2625</v>
      </c>
      <c r="AZ785" s="0" t="s">
        <v>2626</v>
      </c>
      <c r="BA785" s="0" t="s">
        <v>596</v>
      </c>
      <c r="BB785" s="0" t="str">
        <f t="shared" si="12"/>
        <v>CIHPgoKaltungo</v>
      </c>
    </row>
    <row r="786">
      <c r="AV786" s="0" t="s">
        <v>471</v>
      </c>
      <c r="AW786" s="0" t="s">
        <v>402</v>
      </c>
      <c r="AX786" s="0" t="s">
        <v>686</v>
      </c>
      <c r="AY786" s="0" t="s">
        <v>2627</v>
      </c>
      <c r="AZ786" s="0" t="s">
        <v>2628</v>
      </c>
      <c r="BA786" s="0" t="s">
        <v>596</v>
      </c>
      <c r="BB786" s="0" t="str">
        <f t="shared" si="12"/>
        <v>CIHPgoKwami</v>
      </c>
    </row>
    <row r="787">
      <c r="AV787" s="0" t="s">
        <v>471</v>
      </c>
      <c r="AW787" s="0" t="s">
        <v>402</v>
      </c>
      <c r="AX787" s="0" t="s">
        <v>686</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653</v>
      </c>
      <c r="AY846" s="0" t="s">
        <v>2747</v>
      </c>
      <c r="AZ846" s="0" t="s">
        <v>2748</v>
      </c>
      <c r="BA846" s="0" t="s">
        <v>596</v>
      </c>
      <c r="BB846" s="0" t="str">
        <f t="shared" si="13"/>
        <v>CIHPkdSanga</v>
      </c>
    </row>
    <row r="847">
      <c r="AV847" s="0" t="s">
        <v>471</v>
      </c>
      <c r="AW847" s="0" t="s">
        <v>405</v>
      </c>
      <c r="AX847" s="0" t="s">
        <v>653</v>
      </c>
      <c r="AY847" s="0" t="s">
        <v>2749</v>
      </c>
      <c r="AZ847" s="0" t="s">
        <v>2750</v>
      </c>
      <c r="BA847" s="0" t="s">
        <v>596</v>
      </c>
      <c r="BB847" s="0" t="str">
        <f t="shared" si="13"/>
        <v>CIHPkdSanga</v>
      </c>
    </row>
    <row r="848">
      <c r="AV848" s="0" t="s">
        <v>471</v>
      </c>
      <c r="AW848" s="0" t="s">
        <v>405</v>
      </c>
      <c r="AX848" s="0" t="s">
        <v>653</v>
      </c>
      <c r="AY848" s="0" t="s">
        <v>2751</v>
      </c>
      <c r="AZ848" s="0" t="s">
        <v>2752</v>
      </c>
      <c r="BA848" s="0" t="s">
        <v>596</v>
      </c>
      <c r="BB848" s="0" t="str">
        <f t="shared" si="13"/>
        <v>CIHPkdSanga</v>
      </c>
    </row>
    <row r="849">
      <c r="AV849" s="0" t="s">
        <v>471</v>
      </c>
      <c r="AW849" s="0" t="s">
        <v>405</v>
      </c>
      <c r="AX849" s="0" t="s">
        <v>653</v>
      </c>
      <c r="AY849" s="0" t="s">
        <v>2753</v>
      </c>
      <c r="AZ849" s="0" t="s">
        <v>2754</v>
      </c>
      <c r="BA849" s="0" t="s">
        <v>596</v>
      </c>
      <c r="BB849" s="0" t="str">
        <f t="shared" si="13"/>
        <v>CIHPkdSanga</v>
      </c>
    </row>
    <row r="850">
      <c r="AV850" s="0" t="s">
        <v>471</v>
      </c>
      <c r="AW850" s="0" t="s">
        <v>405</v>
      </c>
      <c r="AX850" s="0" t="s">
        <v>653</v>
      </c>
      <c r="AY850" s="0" t="s">
        <v>2755</v>
      </c>
      <c r="AZ850" s="0" t="s">
        <v>2756</v>
      </c>
      <c r="BA850" s="0" t="s">
        <v>596</v>
      </c>
      <c r="BB850" s="0" t="str">
        <f t="shared" si="13"/>
        <v>CIHPkdSanga</v>
      </c>
    </row>
    <row r="851">
      <c r="AV851" s="0" t="s">
        <v>471</v>
      </c>
      <c r="AW851" s="0" t="s">
        <v>405</v>
      </c>
      <c r="AX851" s="0" t="s">
        <v>653</v>
      </c>
      <c r="AY851" s="0" t="s">
        <v>2757</v>
      </c>
      <c r="AZ851" s="0" t="s">
        <v>2758</v>
      </c>
      <c r="BA851" s="0" t="s">
        <v>596</v>
      </c>
      <c r="BB851" s="0" t="str">
        <f t="shared" si="13"/>
        <v>CIHPkdSanga</v>
      </c>
    </row>
    <row r="852">
      <c r="AV852" s="0" t="s">
        <v>471</v>
      </c>
      <c r="AW852" s="0" t="s">
        <v>405</v>
      </c>
      <c r="AX852" s="0" t="s">
        <v>653</v>
      </c>
      <c r="AY852" s="0" t="s">
        <v>2759</v>
      </c>
      <c r="AZ852" s="0" t="s">
        <v>2760</v>
      </c>
      <c r="BA852" s="0" t="s">
        <v>596</v>
      </c>
      <c r="BB852" s="0" t="str">
        <f t="shared" si="13"/>
        <v>CIHPkdSanga</v>
      </c>
    </row>
    <row r="853">
      <c r="AV853" s="0" t="s">
        <v>471</v>
      </c>
      <c r="AW853" s="0" t="s">
        <v>405</v>
      </c>
      <c r="AX853" s="0" t="s">
        <v>653</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689</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655</v>
      </c>
      <c r="AY862" s="0" t="s">
        <v>2779</v>
      </c>
      <c r="AZ862" s="0" t="s">
        <v>2780</v>
      </c>
      <c r="BA862" s="0" t="s">
        <v>596</v>
      </c>
      <c r="BB862" s="0" t="str">
        <f t="shared" si="13"/>
        <v>CIHPkoAnkpa</v>
      </c>
    </row>
    <row r="863">
      <c r="AV863" s="0" t="s">
        <v>471</v>
      </c>
      <c r="AW863" s="0" t="s">
        <v>409</v>
      </c>
      <c r="AX863" s="0" t="s">
        <v>655</v>
      </c>
      <c r="AY863" s="0" t="s">
        <v>2781</v>
      </c>
      <c r="AZ863" s="0" t="s">
        <v>2782</v>
      </c>
      <c r="BA863" s="0" t="s">
        <v>596</v>
      </c>
      <c r="BB863" s="0" t="str">
        <f t="shared" si="13"/>
        <v>CIHPkoAnkpa</v>
      </c>
    </row>
    <row r="864">
      <c r="AV864" s="0" t="s">
        <v>471</v>
      </c>
      <c r="AW864" s="0" t="s">
        <v>409</v>
      </c>
      <c r="AX864" s="0" t="s">
        <v>655</v>
      </c>
      <c r="AY864" s="0" t="s">
        <v>2783</v>
      </c>
      <c r="AZ864" s="0" t="s">
        <v>2784</v>
      </c>
      <c r="BA864" s="0" t="s">
        <v>596</v>
      </c>
      <c r="BB864" s="0" t="str">
        <f t="shared" si="13"/>
        <v>CIHPkoAnkpa</v>
      </c>
    </row>
    <row r="865">
      <c r="AV865" s="0" t="s">
        <v>471</v>
      </c>
      <c r="AW865" s="0" t="s">
        <v>409</v>
      </c>
      <c r="AX865" s="0" t="s">
        <v>655</v>
      </c>
      <c r="AY865" s="0" t="s">
        <v>2785</v>
      </c>
      <c r="AZ865" s="0" t="s">
        <v>2786</v>
      </c>
      <c r="BA865" s="0" t="s">
        <v>596</v>
      </c>
      <c r="BB865" s="0" t="str">
        <f t="shared" si="13"/>
        <v>CIHPkoAnkpa</v>
      </c>
    </row>
    <row r="866">
      <c r="AV866" s="0" t="s">
        <v>471</v>
      </c>
      <c r="AW866" s="0" t="s">
        <v>409</v>
      </c>
      <c r="AX866" s="0" t="s">
        <v>655</v>
      </c>
      <c r="AY866" s="0" t="s">
        <v>2787</v>
      </c>
      <c r="AZ866" s="0" t="s">
        <v>2788</v>
      </c>
      <c r="BA866" s="0" t="s">
        <v>596</v>
      </c>
      <c r="BB866" s="0" t="str">
        <f t="shared" si="13"/>
        <v>CIHPkoAnkpa</v>
      </c>
    </row>
    <row r="867">
      <c r="AV867" s="0" t="s">
        <v>471</v>
      </c>
      <c r="AW867" s="0" t="s">
        <v>409</v>
      </c>
      <c r="AX867" s="0" t="s">
        <v>655</v>
      </c>
      <c r="AY867" s="0" t="s">
        <v>2789</v>
      </c>
      <c r="AZ867" s="0" t="s">
        <v>2790</v>
      </c>
      <c r="BA867" s="0" t="s">
        <v>596</v>
      </c>
      <c r="BB867" s="0" t="str">
        <f t="shared" si="13"/>
        <v>CIHPkoAnkpa</v>
      </c>
    </row>
    <row r="868">
      <c r="AV868" s="0" t="s">
        <v>471</v>
      </c>
      <c r="AW868" s="0" t="s">
        <v>409</v>
      </c>
      <c r="AX868" s="0" t="s">
        <v>655</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691</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285</v>
      </c>
      <c r="BB893" s="0" t="str">
        <f t="shared" si="13"/>
        <v>ECEWSebEzzaNorth</v>
      </c>
    </row>
    <row r="894">
      <c r="AV894" s="0" t="s">
        <v>471</v>
      </c>
      <c r="AW894" s="0" t="s">
        <v>398</v>
      </c>
      <c r="AX894" s="0" t="s">
        <v>813</v>
      </c>
      <c r="AY894" s="0" t="s">
        <v>2843</v>
      </c>
      <c r="AZ894" s="0" t="s">
        <v>2844</v>
      </c>
      <c r="BA894" s="0" t="s">
        <v>285</v>
      </c>
      <c r="BB894" s="0" t="str">
        <f t="shared" si="13"/>
        <v>ECEWSebEzzaSouth</v>
      </c>
    </row>
    <row r="895">
      <c r="AV895" s="0" t="s">
        <v>471</v>
      </c>
      <c r="AW895" s="0" t="s">
        <v>398</v>
      </c>
      <c r="AX895" s="0" t="s">
        <v>813</v>
      </c>
      <c r="AY895" s="0" t="s">
        <v>2845</v>
      </c>
      <c r="AZ895" s="0" t="s">
        <v>2846</v>
      </c>
      <c r="BA895" s="0" t="s">
        <v>285</v>
      </c>
      <c r="BB895" s="0" t="str">
        <f t="shared" si="13"/>
        <v>ECEWSebEzzaSouth</v>
      </c>
    </row>
    <row r="896">
      <c r="AV896" s="0" t="s">
        <v>471</v>
      </c>
      <c r="AW896" s="0" t="s">
        <v>398</v>
      </c>
      <c r="AX896" s="0" t="s">
        <v>813</v>
      </c>
      <c r="AY896" s="0" t="s">
        <v>2847</v>
      </c>
      <c r="AZ896" s="0" t="s">
        <v>2848</v>
      </c>
      <c r="BA896" s="0" t="s">
        <v>285</v>
      </c>
      <c r="BB896" s="0" t="str">
        <f t="shared" si="13"/>
        <v>ECEWSebEzzaSouth</v>
      </c>
    </row>
    <row r="897">
      <c r="AV897" s="0" t="s">
        <v>471</v>
      </c>
      <c r="AW897" s="0" t="s">
        <v>398</v>
      </c>
      <c r="AX897" s="0" t="s">
        <v>842</v>
      </c>
      <c r="AY897" s="0" t="s">
        <v>2849</v>
      </c>
      <c r="AZ897" s="0" t="s">
        <v>2850</v>
      </c>
      <c r="BA897" s="0" t="s">
        <v>285</v>
      </c>
      <c r="BB897" s="0" t="str">
        <f t="shared" si="13"/>
        <v>ECEWSebIkwo</v>
      </c>
    </row>
    <row r="898">
      <c r="AV898" s="0" t="s">
        <v>471</v>
      </c>
      <c r="AW898" s="0" t="s">
        <v>398</v>
      </c>
      <c r="AX898" s="0" t="s">
        <v>842</v>
      </c>
      <c r="AY898" s="0" t="s">
        <v>2851</v>
      </c>
      <c r="AZ898" s="0" t="s">
        <v>2852</v>
      </c>
      <c r="BA898" s="0" t="s">
        <v>285</v>
      </c>
      <c r="BB898" s="0" t="str">
        <f t="shared" si="13"/>
        <v>ECEWSebIkwo</v>
      </c>
    </row>
    <row r="899">
      <c r="AV899" s="0" t="s">
        <v>471</v>
      </c>
      <c r="AW899" s="0" t="s">
        <v>398</v>
      </c>
      <c r="AX899" s="0" t="s">
        <v>842</v>
      </c>
      <c r="AY899" s="0" t="s">
        <v>2853</v>
      </c>
      <c r="AZ899" s="0" t="s">
        <v>2854</v>
      </c>
      <c r="BA899" s="0" t="s">
        <v>285</v>
      </c>
      <c r="BB899" s="0" t="str">
        <f ref="BB899:BB962" t="shared" si="14">SUBSTITUTE(SUBSTITUTE(BA899&amp;AX899," ",""),"-","")</f>
        <v>ECEWSebIkwo</v>
      </c>
    </row>
    <row r="900">
      <c r="AV900" s="0" t="s">
        <v>471</v>
      </c>
      <c r="AW900" s="0" t="s">
        <v>398</v>
      </c>
      <c r="AX900" s="0" t="s">
        <v>870</v>
      </c>
      <c r="AY900" s="0" t="s">
        <v>2855</v>
      </c>
      <c r="AZ900" s="0" t="s">
        <v>2856</v>
      </c>
      <c r="BA900" s="0" t="s">
        <v>285</v>
      </c>
      <c r="BB900" s="0" t="str">
        <f t="shared" si="14"/>
        <v>ECEWSebIshielu</v>
      </c>
    </row>
    <row r="901">
      <c r="AV901" s="0" t="s">
        <v>471</v>
      </c>
      <c r="AW901" s="0" t="s">
        <v>398</v>
      </c>
      <c r="AX901" s="0" t="s">
        <v>870</v>
      </c>
      <c r="AY901" s="0" t="s">
        <v>2857</v>
      </c>
      <c r="AZ901" s="0" t="s">
        <v>2858</v>
      </c>
      <c r="BA901" s="0" t="s">
        <v>285</v>
      </c>
      <c r="BB901" s="0" t="str">
        <f t="shared" si="14"/>
        <v>ECEWSebIshielu</v>
      </c>
    </row>
    <row r="902">
      <c r="AV902" s="0" t="s">
        <v>471</v>
      </c>
      <c r="AW902" s="0" t="s">
        <v>286</v>
      </c>
      <c r="AX902" s="0" t="s">
        <v>844</v>
      </c>
      <c r="AY902" s="0" t="s">
        <v>2859</v>
      </c>
      <c r="AZ902" s="0" t="s">
        <v>2860</v>
      </c>
      <c r="BA902" s="0" t="s">
        <v>285</v>
      </c>
      <c r="BB902" s="0" t="str">
        <f t="shared" si="14"/>
        <v>ECEWSenAninri</v>
      </c>
    </row>
    <row r="903">
      <c r="AV903" s="0" t="s">
        <v>471</v>
      </c>
      <c r="AW903" s="0" t="s">
        <v>286</v>
      </c>
      <c r="AX903" s="0" t="s">
        <v>844</v>
      </c>
      <c r="AY903" s="0" t="s">
        <v>2861</v>
      </c>
      <c r="AZ903" s="0" t="s">
        <v>2862</v>
      </c>
      <c r="BA903" s="0" t="s">
        <v>285</v>
      </c>
      <c r="BB903" s="0" t="str">
        <f t="shared" si="14"/>
        <v>ECEWSenAninri</v>
      </c>
    </row>
    <row r="904">
      <c r="AV904" s="0" t="s">
        <v>471</v>
      </c>
      <c r="AW904" s="0" t="s">
        <v>286</v>
      </c>
      <c r="AX904" s="0" t="s">
        <v>844</v>
      </c>
      <c r="AY904" s="0" t="s">
        <v>2863</v>
      </c>
      <c r="AZ904" s="0" t="s">
        <v>2864</v>
      </c>
      <c r="BA904" s="0" t="s">
        <v>285</v>
      </c>
      <c r="BB904" s="0" t="str">
        <f t="shared" si="14"/>
        <v>ECEWSenAninri</v>
      </c>
    </row>
    <row r="905">
      <c r="AV905" s="0" t="s">
        <v>471</v>
      </c>
      <c r="AW905" s="0" t="s">
        <v>286</v>
      </c>
      <c r="AX905" s="0" t="s">
        <v>844</v>
      </c>
      <c r="AY905" s="0" t="s">
        <v>2865</v>
      </c>
      <c r="AZ905" s="0" t="s">
        <v>2866</v>
      </c>
      <c r="BA905" s="0" t="s">
        <v>285</v>
      </c>
      <c r="BB905" s="0" t="str">
        <f t="shared" si="14"/>
        <v>ECEWSenAninri</v>
      </c>
    </row>
    <row r="906">
      <c r="AV906" s="0" t="s">
        <v>471</v>
      </c>
      <c r="AW906" s="0" t="s">
        <v>286</v>
      </c>
      <c r="AX906" s="0" t="s">
        <v>844</v>
      </c>
      <c r="AY906" s="0" t="s">
        <v>2867</v>
      </c>
      <c r="AZ906" s="0" t="s">
        <v>2868</v>
      </c>
      <c r="BA906" s="0" t="s">
        <v>285</v>
      </c>
      <c r="BB906" s="0" t="str">
        <f t="shared" si="14"/>
        <v>ECEWSenAninri</v>
      </c>
    </row>
    <row r="907">
      <c r="AV907" s="0" t="s">
        <v>471</v>
      </c>
      <c r="AW907" s="0" t="s">
        <v>286</v>
      </c>
      <c r="AX907" s="0" t="s">
        <v>844</v>
      </c>
      <c r="AY907" s="0" t="s">
        <v>2869</v>
      </c>
      <c r="AZ907" s="0" t="s">
        <v>2870</v>
      </c>
      <c r="BA907" s="0" t="s">
        <v>285</v>
      </c>
      <c r="BB907" s="0" t="str">
        <f t="shared" si="14"/>
        <v>ECEWSenAninri</v>
      </c>
    </row>
    <row r="908">
      <c r="AV908" s="0" t="s">
        <v>471</v>
      </c>
      <c r="AW908" s="0" t="s">
        <v>286</v>
      </c>
      <c r="AX908" s="0" t="s">
        <v>844</v>
      </c>
      <c r="AY908" s="0" t="s">
        <v>2871</v>
      </c>
      <c r="AZ908" s="0" t="s">
        <v>2872</v>
      </c>
      <c r="BA908" s="0" t="s">
        <v>285</v>
      </c>
      <c r="BB908" s="0" t="str">
        <f t="shared" si="14"/>
        <v>ECEWSenAninri</v>
      </c>
    </row>
    <row r="909">
      <c r="AV909" s="0" t="s">
        <v>471</v>
      </c>
      <c r="AW909" s="0" t="s">
        <v>286</v>
      </c>
      <c r="AX909" s="0" t="s">
        <v>872</v>
      </c>
      <c r="AY909" s="0" t="s">
        <v>2873</v>
      </c>
      <c r="AZ909" s="0" t="s">
        <v>2874</v>
      </c>
      <c r="BA909" s="0" t="s">
        <v>285</v>
      </c>
      <c r="BB909" s="0" t="str">
        <f t="shared" si="14"/>
        <v>ECEWSenAwgu</v>
      </c>
    </row>
    <row r="910">
      <c r="AV910" s="0" t="s">
        <v>471</v>
      </c>
      <c r="AW910" s="0" t="s">
        <v>286</v>
      </c>
      <c r="AX910" s="0" t="s">
        <v>872</v>
      </c>
      <c r="AY910" s="0" t="s">
        <v>2875</v>
      </c>
      <c r="AZ910" s="0" t="s">
        <v>2876</v>
      </c>
      <c r="BA910" s="0" t="s">
        <v>285</v>
      </c>
      <c r="BB910" s="0" t="str">
        <f t="shared" si="14"/>
        <v>ECEWSenAwgu</v>
      </c>
    </row>
    <row r="911">
      <c r="AV911" s="0" t="s">
        <v>471</v>
      </c>
      <c r="AW911" s="0" t="s">
        <v>286</v>
      </c>
      <c r="AX911" s="0" t="s">
        <v>872</v>
      </c>
      <c r="AY911" s="0" t="s">
        <v>2877</v>
      </c>
      <c r="AZ911" s="0" t="s">
        <v>2878</v>
      </c>
      <c r="BA911" s="0" t="s">
        <v>285</v>
      </c>
      <c r="BB911" s="0" t="str">
        <f t="shared" si="14"/>
        <v>ECEWSenAwgu</v>
      </c>
    </row>
    <row r="912">
      <c r="AV912" s="0" t="s">
        <v>471</v>
      </c>
      <c r="AW912" s="0" t="s">
        <v>286</v>
      </c>
      <c r="AX912" s="0" t="s">
        <v>872</v>
      </c>
      <c r="AY912" s="0" t="s">
        <v>2879</v>
      </c>
      <c r="AZ912" s="0" t="s">
        <v>2880</v>
      </c>
      <c r="BA912" s="0" t="s">
        <v>285</v>
      </c>
      <c r="BB912" s="0" t="str">
        <f t="shared" si="14"/>
        <v>ECEWSenAwgu</v>
      </c>
    </row>
    <row r="913">
      <c r="AV913" s="0" t="s">
        <v>471</v>
      </c>
      <c r="AW913" s="0" t="s">
        <v>286</v>
      </c>
      <c r="AX913" s="0" t="s">
        <v>897</v>
      </c>
      <c r="AY913" s="0" t="s">
        <v>2881</v>
      </c>
      <c r="AZ913" s="0" t="s">
        <v>2882</v>
      </c>
      <c r="BA913" s="0" t="s">
        <v>285</v>
      </c>
      <c r="BB913" s="0" t="str">
        <f t="shared" si="14"/>
        <v>ECEWSenEzeagu</v>
      </c>
    </row>
    <row r="914">
      <c r="AV914" s="0" t="s">
        <v>471</v>
      </c>
      <c r="AW914" s="0" t="s">
        <v>286</v>
      </c>
      <c r="AX914" s="0" t="s">
        <v>897</v>
      </c>
      <c r="AY914" s="0" t="s">
        <v>2883</v>
      </c>
      <c r="AZ914" s="0" t="s">
        <v>2884</v>
      </c>
      <c r="BA914" s="0" t="s">
        <v>285</v>
      </c>
      <c r="BB914" s="0" t="str">
        <f t="shared" si="14"/>
        <v>ECEWSenEzeagu</v>
      </c>
    </row>
    <row r="915">
      <c r="AV915" s="0" t="s">
        <v>471</v>
      </c>
      <c r="AW915" s="0" t="s">
        <v>286</v>
      </c>
      <c r="AX915" s="0" t="s">
        <v>922</v>
      </c>
      <c r="AY915" s="0" t="s">
        <v>2885</v>
      </c>
      <c r="AZ915" s="0" t="s">
        <v>2886</v>
      </c>
      <c r="BA915" s="0" t="s">
        <v>285</v>
      </c>
      <c r="BB915" s="0" t="str">
        <f t="shared" si="14"/>
        <v>ECEWSenOjiRiver</v>
      </c>
    </row>
    <row r="916">
      <c r="AV916" s="0" t="s">
        <v>471</v>
      </c>
      <c r="AW916" s="0" t="s">
        <v>286</v>
      </c>
      <c r="AX916" s="0" t="s">
        <v>922</v>
      </c>
      <c r="AY916" s="0" t="s">
        <v>2887</v>
      </c>
      <c r="AZ916" s="0" t="s">
        <v>2888</v>
      </c>
      <c r="BA916" s="0" t="s">
        <v>285</v>
      </c>
      <c r="BB916" s="0" t="str">
        <f t="shared" si="14"/>
        <v>ECEWSenOjiRiver</v>
      </c>
    </row>
    <row r="917">
      <c r="AV917" s="0" t="s">
        <v>471</v>
      </c>
      <c r="AW917" s="0" t="s">
        <v>286</v>
      </c>
      <c r="AX917" s="0" t="s">
        <v>922</v>
      </c>
      <c r="AY917" s="0" t="s">
        <v>2889</v>
      </c>
      <c r="AZ917" s="0" t="s">
        <v>2890</v>
      </c>
      <c r="BA917" s="0" t="s">
        <v>285</v>
      </c>
      <c r="BB917" s="0" t="str">
        <f t="shared" si="14"/>
        <v>ECEWSenOjiRiver</v>
      </c>
    </row>
    <row r="918">
      <c r="AV918" s="0" t="s">
        <v>471</v>
      </c>
      <c r="AW918" s="0" t="s">
        <v>286</v>
      </c>
      <c r="AX918" s="0" t="s">
        <v>922</v>
      </c>
      <c r="AY918" s="0" t="s">
        <v>2891</v>
      </c>
      <c r="AZ918" s="0" t="s">
        <v>2892</v>
      </c>
      <c r="BA918" s="0" t="s">
        <v>285</v>
      </c>
      <c r="BB918" s="0" t="str">
        <f t="shared" si="14"/>
        <v>ECEWSenOjiRiver</v>
      </c>
    </row>
    <row r="919">
      <c r="AV919" s="0" t="s">
        <v>471</v>
      </c>
      <c r="AW919" s="0" t="s">
        <v>286</v>
      </c>
      <c r="AX919" s="0" t="s">
        <v>946</v>
      </c>
      <c r="AY919" s="0" t="s">
        <v>2893</v>
      </c>
      <c r="AZ919" s="0" t="s">
        <v>2894</v>
      </c>
      <c r="BA919" s="0" t="s">
        <v>285</v>
      </c>
      <c r="BB919" s="0" t="str">
        <f t="shared" si="14"/>
        <v>ECEWSenUdi</v>
      </c>
    </row>
    <row r="920">
      <c r="AV920" s="0" t="s">
        <v>471</v>
      </c>
      <c r="AW920" s="0" t="s">
        <v>286</v>
      </c>
      <c r="AX920" s="0" t="s">
        <v>946</v>
      </c>
      <c r="AY920" s="0" t="s">
        <v>289</v>
      </c>
      <c r="AZ920" s="0" t="s">
        <v>293</v>
      </c>
      <c r="BA920" s="0" t="s">
        <v>285</v>
      </c>
      <c r="BB920" s="0" t="str">
        <f t="shared" si="14"/>
        <v>ECEWSenUdi</v>
      </c>
    </row>
    <row r="921">
      <c r="AV921" s="0" t="s">
        <v>471</v>
      </c>
      <c r="AW921" s="0" t="s">
        <v>286</v>
      </c>
      <c r="AX921" s="0" t="s">
        <v>946</v>
      </c>
      <c r="AY921" s="0" t="s">
        <v>2895</v>
      </c>
      <c r="AZ921" s="0" t="s">
        <v>2896</v>
      </c>
      <c r="BA921" s="0" t="s">
        <v>285</v>
      </c>
      <c r="BB921" s="0" t="str">
        <f t="shared" si="14"/>
        <v>ECEWSenUdi</v>
      </c>
    </row>
    <row r="922">
      <c r="AV922" s="0" t="s">
        <v>471</v>
      </c>
      <c r="AW922" s="0" t="s">
        <v>286</v>
      </c>
      <c r="AX922" s="0" t="s">
        <v>946</v>
      </c>
      <c r="AY922" s="0" t="s">
        <v>2897</v>
      </c>
      <c r="AZ922" s="0" t="s">
        <v>2898</v>
      </c>
      <c r="BA922" s="0" t="s">
        <v>285</v>
      </c>
      <c r="BB922" s="0" t="str">
        <f t="shared" si="14"/>
        <v>ECEWSenUdi</v>
      </c>
    </row>
    <row r="923">
      <c r="AV923" s="0" t="s">
        <v>471</v>
      </c>
      <c r="AW923" s="0" t="s">
        <v>286</v>
      </c>
      <c r="AX923" s="0" t="s">
        <v>946</v>
      </c>
      <c r="AY923" s="0" t="s">
        <v>2899</v>
      </c>
      <c r="AZ923" s="0" t="s">
        <v>2900</v>
      </c>
      <c r="BA923" s="0" t="s">
        <v>285</v>
      </c>
      <c r="BB923" s="0" t="str">
        <f t="shared" si="14"/>
        <v>ECEWSenUdi</v>
      </c>
    </row>
    <row r="924">
      <c r="AV924" s="0" t="s">
        <v>471</v>
      </c>
      <c r="AW924" s="0" t="s">
        <v>286</v>
      </c>
      <c r="AX924" s="0" t="s">
        <v>946</v>
      </c>
      <c r="AY924" s="0" t="s">
        <v>2901</v>
      </c>
      <c r="AZ924" s="0" t="s">
        <v>2902</v>
      </c>
      <c r="BA924" s="0" t="s">
        <v>285</v>
      </c>
      <c r="BB924" s="0" t="str">
        <f t="shared" si="14"/>
        <v>ECEWSenUdi</v>
      </c>
    </row>
    <row r="925">
      <c r="AV925" s="0" t="s">
        <v>471</v>
      </c>
      <c r="AW925" s="0" t="s">
        <v>286</v>
      </c>
      <c r="AX925" s="0" t="s">
        <v>946</v>
      </c>
      <c r="AY925" s="0" t="s">
        <v>2903</v>
      </c>
      <c r="AZ925" s="0" t="s">
        <v>2904</v>
      </c>
      <c r="BA925" s="0" t="s">
        <v>285</v>
      </c>
      <c r="BB925" s="0" t="str">
        <f t="shared" si="14"/>
        <v>ECEWSenUdi</v>
      </c>
    </row>
    <row r="926">
      <c r="AV926" s="0" t="s">
        <v>471</v>
      </c>
      <c r="AW926" s="0" t="s">
        <v>286</v>
      </c>
      <c r="AX926" s="0" t="s">
        <v>946</v>
      </c>
      <c r="AY926" s="0" t="s">
        <v>2905</v>
      </c>
      <c r="AZ926" s="0" t="s">
        <v>2906</v>
      </c>
      <c r="BA926" s="0" t="s">
        <v>285</v>
      </c>
      <c r="BB926" s="0" t="str">
        <f t="shared" si="14"/>
        <v>ECEWSenUdi</v>
      </c>
    </row>
    <row r="927">
      <c r="AV927" s="0" t="s">
        <v>471</v>
      </c>
      <c r="AW927" s="0" t="s">
        <v>286</v>
      </c>
      <c r="AX927" s="0" t="s">
        <v>946</v>
      </c>
      <c r="AY927" s="0" t="s">
        <v>2907</v>
      </c>
      <c r="AZ927" s="0" t="s">
        <v>2908</v>
      </c>
      <c r="BA927" s="0" t="s">
        <v>285</v>
      </c>
      <c r="BB927" s="0" t="str">
        <f t="shared" si="14"/>
        <v>ECEWSenUdi</v>
      </c>
    </row>
    <row r="928">
      <c r="AV928" s="0" t="s">
        <v>471</v>
      </c>
      <c r="AW928" s="0" t="s">
        <v>286</v>
      </c>
      <c r="AX928" s="0" t="s">
        <v>946</v>
      </c>
      <c r="AY928" s="0" t="s">
        <v>2909</v>
      </c>
      <c r="AZ928" s="0" t="s">
        <v>2910</v>
      </c>
      <c r="BA928" s="0" t="s">
        <v>285</v>
      </c>
      <c r="BB928" s="0" t="str">
        <f t="shared" si="14"/>
        <v>ECEWSenUdi</v>
      </c>
    </row>
    <row r="929">
      <c r="AV929" s="0" t="s">
        <v>471</v>
      </c>
      <c r="AW929" s="0" t="s">
        <v>403</v>
      </c>
      <c r="AX929" s="0" t="s">
        <v>1049</v>
      </c>
      <c r="AY929" s="0" t="s">
        <v>2911</v>
      </c>
      <c r="AZ929" s="0" t="s">
        <v>2912</v>
      </c>
      <c r="BA929" s="0" t="s">
        <v>285</v>
      </c>
      <c r="BB929" s="0" t="str">
        <f t="shared" si="14"/>
        <v>ECEWSimEhimeMbano</v>
      </c>
    </row>
    <row r="930">
      <c r="AV930" s="0" t="s">
        <v>471</v>
      </c>
      <c r="AW930" s="0" t="s">
        <v>403</v>
      </c>
      <c r="AX930" s="0" t="s">
        <v>1049</v>
      </c>
      <c r="AY930" s="0" t="s">
        <v>2913</v>
      </c>
      <c r="AZ930" s="0" t="s">
        <v>2914</v>
      </c>
      <c r="BA930" s="0" t="s">
        <v>285</v>
      </c>
      <c r="BB930" s="0" t="str">
        <f t="shared" si="14"/>
        <v>ECEWSimEhimeMbano</v>
      </c>
    </row>
    <row r="931">
      <c r="AV931" s="0" t="s">
        <v>471</v>
      </c>
      <c r="AW931" s="0" t="s">
        <v>403</v>
      </c>
      <c r="AX931" s="0" t="s">
        <v>1049</v>
      </c>
      <c r="AY931" s="0" t="s">
        <v>2915</v>
      </c>
      <c r="AZ931" s="0" t="s">
        <v>2916</v>
      </c>
      <c r="BA931" s="0" t="s">
        <v>285</v>
      </c>
      <c r="BB931" s="0" t="str">
        <f t="shared" si="14"/>
        <v>ECEWSimEhimeMbano</v>
      </c>
    </row>
    <row r="932">
      <c r="AV932" s="0" t="s">
        <v>471</v>
      </c>
      <c r="AW932" s="0" t="s">
        <v>403</v>
      </c>
      <c r="AX932" s="0" t="s">
        <v>1049</v>
      </c>
      <c r="AY932" s="0" t="s">
        <v>2917</v>
      </c>
      <c r="AZ932" s="0" t="s">
        <v>2918</v>
      </c>
      <c r="BA932" s="0" t="s">
        <v>285</v>
      </c>
      <c r="BB932" s="0" t="str">
        <f t="shared" si="14"/>
        <v>ECEWSimEhimeMbano</v>
      </c>
    </row>
    <row r="933">
      <c r="AV933" s="0" t="s">
        <v>471</v>
      </c>
      <c r="AW933" s="0" t="s">
        <v>403</v>
      </c>
      <c r="AX933" s="0" t="s">
        <v>1493</v>
      </c>
      <c r="AY933" s="304" t="s">
        <v>2919</v>
      </c>
      <c r="AZ933" s="0" t="s">
        <v>2920</v>
      </c>
      <c r="BA933" s="0" t="s">
        <v>285</v>
      </c>
      <c r="BB933" s="0" t="str">
        <f t="shared" si="14"/>
        <v>ECEWSimIhitteUboma</v>
      </c>
    </row>
    <row r="934">
      <c r="AV934" s="0" t="s">
        <v>471</v>
      </c>
      <c r="AW934" s="0" t="s">
        <v>403</v>
      </c>
      <c r="AX934" s="0" t="s">
        <v>1493</v>
      </c>
      <c r="AY934" s="304" t="s">
        <v>2921</v>
      </c>
      <c r="AZ934" s="0" t="s">
        <v>2922</v>
      </c>
      <c r="BA934" s="0" t="s">
        <v>285</v>
      </c>
      <c r="BB934" s="0" t="str">
        <f t="shared" si="14"/>
        <v>ECEWSimIhitteUboma</v>
      </c>
    </row>
    <row r="935">
      <c r="AV935" s="0" t="s">
        <v>471</v>
      </c>
      <c r="AW935" s="0" t="s">
        <v>403</v>
      </c>
      <c r="AX935" s="0" t="s">
        <v>1493</v>
      </c>
      <c r="AY935" s="304" t="s">
        <v>2911</v>
      </c>
      <c r="AZ935" s="0" t="s">
        <v>2923</v>
      </c>
      <c r="BA935" s="0" t="s">
        <v>285</v>
      </c>
      <c r="BB935" s="0" t="str">
        <f t="shared" si="14"/>
        <v>ECEWSimIhitteUboma</v>
      </c>
    </row>
    <row r="936">
      <c r="AV936" s="0" t="s">
        <v>471</v>
      </c>
      <c r="AW936" s="0" t="s">
        <v>403</v>
      </c>
      <c r="AX936" s="0" t="s">
        <v>1070</v>
      </c>
      <c r="AY936" s="0" t="s">
        <v>2924</v>
      </c>
      <c r="AZ936" s="0" t="s">
        <v>2925</v>
      </c>
      <c r="BA936" s="0" t="s">
        <v>285</v>
      </c>
      <c r="BB936" s="0" t="str">
        <f t="shared" si="14"/>
        <v>ECEWSimIsialaMbano</v>
      </c>
    </row>
    <row r="937">
      <c r="AV937" s="0" t="s">
        <v>471</v>
      </c>
      <c r="AW937" s="0" t="s">
        <v>403</v>
      </c>
      <c r="AX937" s="0" t="s">
        <v>1078</v>
      </c>
      <c r="AY937" s="0" t="s">
        <v>2926</v>
      </c>
      <c r="AZ937" s="0" t="s">
        <v>2927</v>
      </c>
      <c r="BA937" s="0" t="s">
        <v>285</v>
      </c>
      <c r="BB937" s="0" t="str">
        <f t="shared" si="14"/>
        <v>ECEWSimObowo</v>
      </c>
    </row>
    <row r="938">
      <c r="AV938" s="0" t="s">
        <v>471</v>
      </c>
      <c r="AW938" s="0" t="s">
        <v>403</v>
      </c>
      <c r="AX938" s="0" t="s">
        <v>1078</v>
      </c>
      <c r="AY938" s="0" t="s">
        <v>2928</v>
      </c>
      <c r="AZ938" s="0" t="s">
        <v>2929</v>
      </c>
      <c r="BA938" s="0" t="s">
        <v>285</v>
      </c>
      <c r="BB938" s="0" t="str">
        <f t="shared" si="14"/>
        <v>ECEWSimObowo</v>
      </c>
    </row>
    <row r="939">
      <c r="AV939" s="0" t="s">
        <v>471</v>
      </c>
      <c r="AW939" s="0" t="s">
        <v>403</v>
      </c>
      <c r="AX939" s="0" t="s">
        <v>1086</v>
      </c>
      <c r="AY939" s="0" t="s">
        <v>2930</v>
      </c>
      <c r="AZ939" s="0" t="s">
        <v>2931</v>
      </c>
      <c r="BA939" s="0" t="s">
        <v>285</v>
      </c>
      <c r="BB939" s="0" t="str">
        <f t="shared" si="14"/>
        <v>ECEWSimOkigwe</v>
      </c>
    </row>
    <row r="940">
      <c r="AV940" s="0" t="s">
        <v>471</v>
      </c>
      <c r="AW940" s="0" t="s">
        <v>403</v>
      </c>
      <c r="AX940" s="0" t="s">
        <v>1086</v>
      </c>
      <c r="AY940" s="0" t="s">
        <v>2932</v>
      </c>
      <c r="AZ940" s="0" t="s">
        <v>2933</v>
      </c>
      <c r="BA940" s="0" t="s">
        <v>285</v>
      </c>
      <c r="BB940" s="0" t="str">
        <f t="shared" si="14"/>
        <v>ECEWSimOkigwe</v>
      </c>
    </row>
    <row r="941">
      <c r="AV941" s="0" t="s">
        <v>471</v>
      </c>
      <c r="AW941" s="0" t="s">
        <v>403</v>
      </c>
      <c r="AX941" s="0" t="s">
        <v>1086</v>
      </c>
      <c r="AY941" s="0" t="s">
        <v>2934</v>
      </c>
      <c r="AZ941" s="0" t="s">
        <v>2935</v>
      </c>
      <c r="BA941" s="0" t="s">
        <v>285</v>
      </c>
      <c r="BB941" s="0" t="str">
        <f t="shared" si="14"/>
        <v>ECEWSimOkigwe</v>
      </c>
    </row>
    <row r="942">
      <c r="AV942" s="0" t="s">
        <v>471</v>
      </c>
      <c r="AW942" s="0" t="s">
        <v>403</v>
      </c>
      <c r="AX942" s="0" t="s">
        <v>1093</v>
      </c>
      <c r="AY942" s="0" t="s">
        <v>2936</v>
      </c>
      <c r="AZ942" s="0" t="s">
        <v>2937</v>
      </c>
      <c r="BA942" s="0" t="s">
        <v>285</v>
      </c>
      <c r="BB942" s="0" t="str">
        <f t="shared" si="14"/>
        <v>ECEWSimOnuimo</v>
      </c>
    </row>
    <row r="943">
      <c r="AV943" s="0" t="s">
        <v>471</v>
      </c>
      <c r="AW943" s="0" t="s">
        <v>403</v>
      </c>
      <c r="AX943" s="0" t="s">
        <v>1093</v>
      </c>
      <c r="AY943" s="0" t="s">
        <v>2938</v>
      </c>
      <c r="AZ943" s="0" t="s">
        <v>2939</v>
      </c>
      <c r="BA943" s="0" t="s">
        <v>285</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615</v>
      </c>
      <c r="AY985" s="0" t="s">
        <v>3022</v>
      </c>
      <c r="AZ985" s="0" t="s">
        <v>3023</v>
      </c>
      <c r="BA985" s="0" t="s">
        <v>672</v>
      </c>
      <c r="BB985" s="0" t="str">
        <f t="shared" si="15"/>
        <v>FGHINkdLere</v>
      </c>
    </row>
    <row r="986">
      <c r="AV986" s="0" t="s">
        <v>471</v>
      </c>
      <c r="AW986" s="0" t="s">
        <v>405</v>
      </c>
      <c r="AX986" s="0" t="s">
        <v>615</v>
      </c>
      <c r="AY986" s="0" t="s">
        <v>3024</v>
      </c>
      <c r="AZ986" s="0" t="s">
        <v>3025</v>
      </c>
      <c r="BA986" s="0" t="s">
        <v>672</v>
      </c>
      <c r="BB986" s="0" t="str">
        <f t="shared" si="15"/>
        <v>FGHINkdLere</v>
      </c>
    </row>
    <row r="987">
      <c r="AV987" s="0" t="s">
        <v>471</v>
      </c>
      <c r="AW987" s="0" t="s">
        <v>405</v>
      </c>
      <c r="AX987" s="0" t="s">
        <v>615</v>
      </c>
      <c r="AY987" s="0" t="s">
        <v>3026</v>
      </c>
      <c r="AZ987" s="0" t="s">
        <v>3027</v>
      </c>
      <c r="BA987" s="0" t="s">
        <v>672</v>
      </c>
      <c r="BB987" s="0" t="str">
        <f t="shared" si="15"/>
        <v>FGHINkdLere</v>
      </c>
    </row>
    <row r="988">
      <c r="AV988" s="0" t="s">
        <v>471</v>
      </c>
      <c r="AW988" s="0" t="s">
        <v>405</v>
      </c>
      <c r="AX988" s="0" t="s">
        <v>615</v>
      </c>
      <c r="AY988" s="0" t="s">
        <v>2159</v>
      </c>
      <c r="AZ988" s="0" t="s">
        <v>3028</v>
      </c>
      <c r="BA988" s="0" t="s">
        <v>672</v>
      </c>
      <c r="BB988" s="0" t="str">
        <f t="shared" si="15"/>
        <v>FGHINkdLere</v>
      </c>
    </row>
    <row r="989">
      <c r="AV989" s="0" t="s">
        <v>471</v>
      </c>
      <c r="AW989" s="0" t="s">
        <v>405</v>
      </c>
      <c r="AX989" s="0" t="s">
        <v>615</v>
      </c>
      <c r="AY989" s="0" t="s">
        <v>3029</v>
      </c>
      <c r="AZ989" s="0" t="s">
        <v>3030</v>
      </c>
      <c r="BA989" s="0" t="s">
        <v>672</v>
      </c>
      <c r="BB989" s="0" t="str">
        <f t="shared" si="15"/>
        <v>FGHINkdLere</v>
      </c>
    </row>
    <row r="990">
      <c r="AV990" s="0" t="s">
        <v>471</v>
      </c>
      <c r="AW990" s="0" t="s">
        <v>405</v>
      </c>
      <c r="AX990" s="0" t="s">
        <v>615</v>
      </c>
      <c r="AY990" s="0" t="s">
        <v>3031</v>
      </c>
      <c r="AZ990" s="0" t="s">
        <v>3032</v>
      </c>
      <c r="BA990" s="0" t="s">
        <v>672</v>
      </c>
      <c r="BB990" s="0" t="str">
        <f t="shared" si="15"/>
        <v>FGHINkdLere</v>
      </c>
    </row>
    <row r="991">
      <c r="AV991" s="0" t="s">
        <v>471</v>
      </c>
      <c r="AW991" s="0" t="s">
        <v>405</v>
      </c>
      <c r="AX991" s="0" t="s">
        <v>615</v>
      </c>
      <c r="AY991" s="0" t="s">
        <v>3033</v>
      </c>
      <c r="AZ991" s="0" t="s">
        <v>3034</v>
      </c>
      <c r="BA991" s="0" t="s">
        <v>672</v>
      </c>
      <c r="BB991" s="0" t="str">
        <f t="shared" si="15"/>
        <v>FGHINkdLere</v>
      </c>
    </row>
    <row r="992">
      <c r="AV992" s="0" t="s">
        <v>471</v>
      </c>
      <c r="AW992" s="0" t="s">
        <v>405</v>
      </c>
      <c r="AX992" s="0" t="s">
        <v>615</v>
      </c>
      <c r="AY992" s="0" t="s">
        <v>3035</v>
      </c>
      <c r="AZ992" s="0" t="s">
        <v>3036</v>
      </c>
      <c r="BA992" s="0" t="s">
        <v>672</v>
      </c>
      <c r="BB992" s="0" t="str">
        <f t="shared" si="15"/>
        <v>FGHINkdLere</v>
      </c>
    </row>
    <row r="993">
      <c r="AV993" s="0" t="s">
        <v>471</v>
      </c>
      <c r="AW993" s="0" t="s">
        <v>405</v>
      </c>
      <c r="AX993" s="0" t="s">
        <v>615</v>
      </c>
      <c r="AY993" s="0" t="s">
        <v>3037</v>
      </c>
      <c r="AZ993" s="0" t="s">
        <v>3038</v>
      </c>
      <c r="BA993" s="0" t="s">
        <v>672</v>
      </c>
      <c r="BB993" s="0" t="str">
        <f t="shared" si="15"/>
        <v>FGHINkdLere</v>
      </c>
    </row>
    <row r="994">
      <c r="AV994" s="0" t="s">
        <v>471</v>
      </c>
      <c r="AW994" s="0" t="s">
        <v>405</v>
      </c>
      <c r="AX994" s="0" t="s">
        <v>615</v>
      </c>
      <c r="AY994" s="0" t="s">
        <v>3039</v>
      </c>
      <c r="AZ994" s="0" t="s">
        <v>3040</v>
      </c>
      <c r="BA994" s="0" t="s">
        <v>672</v>
      </c>
      <c r="BB994" s="0" t="str">
        <f t="shared" si="15"/>
        <v>FGHINkdLere</v>
      </c>
    </row>
    <row r="995">
      <c r="AV995" s="0" t="s">
        <v>471</v>
      </c>
      <c r="AW995" s="0" t="s">
        <v>405</v>
      </c>
      <c r="AX995" s="0" t="s">
        <v>615</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2217</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606</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571</v>
      </c>
      <c r="AY1129" s="0" t="s">
        <v>3307</v>
      </c>
      <c r="AZ1129" s="0" t="s">
        <v>3308</v>
      </c>
      <c r="BA1129" s="0" t="s">
        <v>708</v>
      </c>
      <c r="BB1129" s="0" t="str">
        <f t="shared" si="17"/>
        <v>IHVNekIlejemeje</v>
      </c>
    </row>
    <row r="1130">
      <c r="AV1130" s="0" t="s">
        <v>471</v>
      </c>
      <c r="AW1130" s="0" t="s">
        <v>400</v>
      </c>
      <c r="AX1130" s="0" t="s">
        <v>609</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611</v>
      </c>
      <c r="AY1278" s="0" t="s">
        <v>3605</v>
      </c>
      <c r="AZ1278" s="0" t="s">
        <v>3606</v>
      </c>
      <c r="BA1278" s="0" t="s">
        <v>708</v>
      </c>
      <c r="BB1278" s="0" t="str">
        <f t="shared" si="19"/>
        <v>IHVNfcKuje</v>
      </c>
    </row>
    <row r="1279">
      <c r="AV1279" s="0" t="s">
        <v>471</v>
      </c>
      <c r="AW1279" s="0" t="s">
        <v>401</v>
      </c>
      <c r="AX1279" s="0" t="s">
        <v>611</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616</v>
      </c>
      <c r="AY1285" s="0" t="s">
        <v>3619</v>
      </c>
      <c r="AZ1285" s="0" t="s">
        <v>3620</v>
      </c>
      <c r="BA1285" s="0" t="s">
        <v>708</v>
      </c>
      <c r="BB1285" s="0" t="str">
        <f t="shared" si="20"/>
        <v>IHVNknUngogo</v>
      </c>
    </row>
    <row r="1286">
      <c r="AV1286" s="0" t="s">
        <v>471</v>
      </c>
      <c r="AW1286" s="0" t="s">
        <v>406</v>
      </c>
      <c r="AX1286" s="0" t="s">
        <v>616</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621</v>
      </c>
      <c r="AY1430" s="0" t="s">
        <v>3906</v>
      </c>
      <c r="AZ1430" s="0" t="s">
        <v>3907</v>
      </c>
      <c r="BA1430" s="0" t="s">
        <v>708</v>
      </c>
      <c r="BB1430" s="0" t="str">
        <f t="shared" si="22"/>
        <v>IHVNnaObi</v>
      </c>
    </row>
    <row r="1431">
      <c r="AV1431" s="0" t="s">
        <v>471</v>
      </c>
      <c r="AW1431" s="0" t="s">
        <v>412</v>
      </c>
      <c r="AX1431" s="0" t="s">
        <v>621</v>
      </c>
      <c r="AY1431" s="0" t="s">
        <v>3908</v>
      </c>
      <c r="AZ1431" s="0" t="s">
        <v>3909</v>
      </c>
      <c r="BA1431" s="0" t="s">
        <v>708</v>
      </c>
      <c r="BB1431" s="0" t="str">
        <f t="shared" si="22"/>
        <v>IHVNnaObi</v>
      </c>
    </row>
    <row r="1432">
      <c r="AV1432" s="0" t="s">
        <v>471</v>
      </c>
      <c r="AW1432" s="0" t="s">
        <v>412</v>
      </c>
      <c r="AX1432" s="0" t="s">
        <v>621</v>
      </c>
      <c r="AY1432" s="0" t="s">
        <v>3910</v>
      </c>
      <c r="AZ1432" s="0" t="s">
        <v>3911</v>
      </c>
      <c r="BA1432" s="0" t="s">
        <v>708</v>
      </c>
      <c r="BB1432" s="0" t="str">
        <f t="shared" si="22"/>
        <v>IHVNnaObi</v>
      </c>
    </row>
    <row r="1433">
      <c r="AV1433" s="0" t="s">
        <v>471</v>
      </c>
      <c r="AW1433" s="0" t="s">
        <v>412</v>
      </c>
      <c r="AX1433" s="0" t="s">
        <v>621</v>
      </c>
      <c r="AY1433" s="0" t="s">
        <v>3912</v>
      </c>
      <c r="AZ1433" s="0" t="s">
        <v>3913</v>
      </c>
      <c r="BA1433" s="0" t="s">
        <v>708</v>
      </c>
      <c r="BB1433" s="0" t="str">
        <f t="shared" si="22"/>
        <v>IHVNnaObi</v>
      </c>
    </row>
    <row r="1434">
      <c r="AV1434" s="0" t="s">
        <v>471</v>
      </c>
      <c r="AW1434" s="0" t="s">
        <v>412</v>
      </c>
      <c r="AX1434" s="0" t="s">
        <v>621</v>
      </c>
      <c r="AY1434" s="0" t="s">
        <v>3914</v>
      </c>
      <c r="AZ1434" s="0" t="s">
        <v>3915</v>
      </c>
      <c r="BA1434" s="0" t="s">
        <v>708</v>
      </c>
      <c r="BB1434" s="0" t="str">
        <f t="shared" si="22"/>
        <v>IHVNnaObi</v>
      </c>
    </row>
    <row r="1435">
      <c r="AV1435" s="0" t="s">
        <v>471</v>
      </c>
      <c r="AW1435" s="0" t="s">
        <v>412</v>
      </c>
      <c r="AX1435" s="0" t="s">
        <v>621</v>
      </c>
      <c r="AY1435" s="0" t="s">
        <v>3916</v>
      </c>
      <c r="AZ1435" s="0" t="s">
        <v>3917</v>
      </c>
      <c r="BA1435" s="0" t="s">
        <v>708</v>
      </c>
      <c r="BB1435" s="0" t="str">
        <f t="shared" si="22"/>
        <v>IHVNnaObi</v>
      </c>
    </row>
    <row r="1436">
      <c r="AV1436" s="0" t="s">
        <v>471</v>
      </c>
      <c r="AW1436" s="0" t="s">
        <v>412</v>
      </c>
      <c r="AX1436" s="0" t="s">
        <v>621</v>
      </c>
      <c r="AY1436" s="0" t="s">
        <v>3918</v>
      </c>
      <c r="AZ1436" s="0" t="s">
        <v>3919</v>
      </c>
      <c r="BA1436" s="0" t="s">
        <v>708</v>
      </c>
      <c r="BB1436" s="0" t="str">
        <f t="shared" si="22"/>
        <v>IHVNnaObi</v>
      </c>
    </row>
    <row r="1437">
      <c r="AV1437" s="0" t="s">
        <v>471</v>
      </c>
      <c r="AW1437" s="0" t="s">
        <v>412</v>
      </c>
      <c r="AX1437" s="0" t="s">
        <v>621</v>
      </c>
      <c r="AY1437" s="0" t="s">
        <v>3920</v>
      </c>
      <c r="AZ1437" s="0" t="s">
        <v>3921</v>
      </c>
      <c r="BA1437" s="0" t="s">
        <v>708</v>
      </c>
      <c r="BB1437" s="0" t="str">
        <f t="shared" si="22"/>
        <v>IHVNnaObi</v>
      </c>
    </row>
    <row r="1438">
      <c r="AV1438" s="0" t="s">
        <v>471</v>
      </c>
      <c r="AW1438" s="0" t="s">
        <v>412</v>
      </c>
      <c r="AX1438" s="0" t="s">
        <v>621</v>
      </c>
      <c r="AY1438" s="0" t="s">
        <v>3922</v>
      </c>
      <c r="AZ1438" s="0" t="s">
        <v>3923</v>
      </c>
      <c r="BA1438" s="0" t="s">
        <v>708</v>
      </c>
      <c r="BB1438" s="0" t="str">
        <f t="shared" si="22"/>
        <v>IHVNnaObi</v>
      </c>
    </row>
    <row r="1439">
      <c r="AV1439" s="0" t="s">
        <v>471</v>
      </c>
      <c r="AW1439" s="0" t="s">
        <v>412</v>
      </c>
      <c r="AX1439" s="0" t="s">
        <v>621</v>
      </c>
      <c r="AY1439" s="0" t="s">
        <v>3924</v>
      </c>
      <c r="AZ1439" s="0" t="s">
        <v>3925</v>
      </c>
      <c r="BA1439" s="0" t="s">
        <v>708</v>
      </c>
      <c r="BB1439" s="0" t="str">
        <f t="shared" si="22"/>
        <v>IHVNnaObi</v>
      </c>
    </row>
    <row r="1440">
      <c r="AV1440" s="0" t="s">
        <v>471</v>
      </c>
      <c r="AW1440" s="0" t="s">
        <v>412</v>
      </c>
      <c r="AX1440" s="0" t="s">
        <v>621</v>
      </c>
      <c r="AY1440" s="0" t="s">
        <v>3926</v>
      </c>
      <c r="AZ1440" s="0" t="s">
        <v>3927</v>
      </c>
      <c r="BA1440" s="0" t="s">
        <v>708</v>
      </c>
      <c r="BB1440" s="0" t="str">
        <f t="shared" si="22"/>
        <v>IHVNnaObi</v>
      </c>
    </row>
    <row r="1441">
      <c r="AV1441" s="0" t="s">
        <v>471</v>
      </c>
      <c r="AW1441" s="0" t="s">
        <v>412</v>
      </c>
      <c r="AX1441" s="0" t="s">
        <v>621</v>
      </c>
      <c r="AY1441" s="0" t="s">
        <v>3928</v>
      </c>
      <c r="AZ1441" s="0" t="s">
        <v>3929</v>
      </c>
      <c r="BA1441" s="0" t="s">
        <v>708</v>
      </c>
      <c r="BB1441" s="0" t="str">
        <f t="shared" si="22"/>
        <v>IHVNnaObi</v>
      </c>
    </row>
    <row r="1442">
      <c r="AV1442" s="0" t="s">
        <v>471</v>
      </c>
      <c r="AW1442" s="0" t="s">
        <v>412</v>
      </c>
      <c r="AX1442" s="0" t="s">
        <v>621</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623</v>
      </c>
      <c r="AY1449" s="0" t="s">
        <v>3944</v>
      </c>
      <c r="AZ1449" s="0" t="s">
        <v>3945</v>
      </c>
      <c r="BA1449" s="0" t="s">
        <v>708</v>
      </c>
      <c r="BB1449" s="0" t="str">
        <f t="shared" si="22"/>
        <v>IHVNogIfo</v>
      </c>
    </row>
    <row r="1450">
      <c r="AV1450" s="0" t="s">
        <v>471</v>
      </c>
      <c r="AW1450" s="0" t="s">
        <v>414</v>
      </c>
      <c r="AX1450" s="0" t="s">
        <v>623</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624</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625</v>
      </c>
      <c r="AY1464" s="0" t="s">
        <v>3974</v>
      </c>
      <c r="AZ1464" s="0" t="s">
        <v>3975</v>
      </c>
      <c r="BA1464" s="0" t="s">
        <v>708</v>
      </c>
      <c r="BB1464" s="0" t="str">
        <f t="shared" si="22"/>
        <v>IHVNosIfeCentral</v>
      </c>
    </row>
    <row r="1465">
      <c r="AV1465" s="0" t="s">
        <v>471</v>
      </c>
      <c r="AW1465" s="0" t="s">
        <v>416</v>
      </c>
      <c r="AX1465" s="0" t="s">
        <v>625</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