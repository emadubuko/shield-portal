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<sst xmlns="http://schemas.openxmlformats.org/spreadsheetml/2006/main" count="4056" uniqueCount="4056">
  <si>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</si>
  <si>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</si>
  <si>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</si>
  <si>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</si>
  <si>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</si>
  <si>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</si>
  <si>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</si>
  <si>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</si>
  <si>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</si>
  <si>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</si>
  <si>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</si>
  <si>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</si>
  <si>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</si>
  <si>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</si>
  <si>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</si>
  <si>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</si>
  <si>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</si>
  <si>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</si>
  <si>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</si>
  <si>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</si>
  <si>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</si>
  <si>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</si>
  <si>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</si>
  <si>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</si>
  <si>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</si>
  <si>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</si>
  <si>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</si>
  <si>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</si>
  <si>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</si>
  <si>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</si>
  <si>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</si>
  <si>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</si>
  <si>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</si>
  <si>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</si>
  <si>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</si>
  <si>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</si>
  <si>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</si>
  <si>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</si>
  <si>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</si>
  <si>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</si>
  <si>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</si>
  <si>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</si>
  <si>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</si>
  <si>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</si>
  <si>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</si>
  <si>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</si>
  <si>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</si>
  <si>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</si>
  <si>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</si>
  <si>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</si>
  <si>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</si>
  <si>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</si>
  <si>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</si>
  <si>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</si>
  <si>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</si>
  <si>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</si>
  <si>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</si>
  <si>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</si>
  <si>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</si>
  <si>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</si>
  <si>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</si>
  <si>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</si>
  <si>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</si>
  <si>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</si>
  <si>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</si>
  <si>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</si>
  <si>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</si>
  <si>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</si>
  <si>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</si>
  <si>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</si>
  <si>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</si>
  <si>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</si>
  <si>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</si>
  <si>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</si>
  <si>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</si>
  <si>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</si>
  <si>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</si>
  <si>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</si>
  <si>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</si>
  <si>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</si>
  <si>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</si>
  <si>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</si>
  <si>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</si>
  <si>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</si>
  <si>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</si>
  <si>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</si>
  <si>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</si>
  <si>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</si>
  <si>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</si>
  <si>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</si>
  <si>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</si>
  <si>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</si>
  <si>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</si>
  <si>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</si>
  <si>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</si>
  <si>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</si>
  <si>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</si>
  <si>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</si>
  <si>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</si>
  <si>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</si>
  <si>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</si>
  <si>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</si>
  <si>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</si>
  <si>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</si>
  <si>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</si>
  <si>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</si>
  <si>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</si>
  <si>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</si>
  <si>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</si>
  <si>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</si>
  <si>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</si>
  <si>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</si>
  <si>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</si>
  <si>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</si>
  <si>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</si>
  <si>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</si>
  <si>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</si>
  <si>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</si>
  <si>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</si>
  <si>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</si>
  <si>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</si>
  <si>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</si>
  <si>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</si>
  <si>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</si>
  <si>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</si>
  <si>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</si>
  <si>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</si>
  <si>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</si>
  <si>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</si>
  <si>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</si>
  <si>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</si>
  <si>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</si>
  <si>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</si>
  <si>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</si>
  <si>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</si>
  <si>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</si>
  <si>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</si>
  <si>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</si>
  <si>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</si>
  <si>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</si>
  <si>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</si>
  <si>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</si>
  <si>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</si>
  <si>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</si>
  <si>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</si>
  <si>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</si>
  <si>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</si>
  <si>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</si>
  <si>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</si>
  <si>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</si>
  <si>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</si>
  <si>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</si>
  <si>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</si>
  <si>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</si>
  <si>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</si>
  <si>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</si>
  <si>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</si>
  <si>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</si>
  <si>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</si>
  <si>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</si>
  <si>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</si>
  <si>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</si>
  <si>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</si>
  <si>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</si>
  <si>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</si>
  <si>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</si>
  <si>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</si>
  <si>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</si>
  <si>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</si>
  <si>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</si>
  <si>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</si>
  <si>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</si>
  <si>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</si>
  <si>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</si>
  <si>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</si>
  <si>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</si>
  <si>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</si>
  <si>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</si>
  <si>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</si>
  <si>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</si>
  <si>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</si>
  <si>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</si>
  <si>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</si>
  <si>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</si>
  <si>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</si>
  <si>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</si>
  <si>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</si>
  <si>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</si>
  <si>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</si>
  <si>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</si>
  <si>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</si>
  <si>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</si>
  <si>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</si>
  <si>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</si>
  <si>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</si>
  <si>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</si>
  <si>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</si>
  <si>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</si>
  <si>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</si>
  <si>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</si>
  <si>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</si>
  <si>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</si>
  <si>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</si>
  <si>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</si>
  <si>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</si>
  <si>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</si>
  <si>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</si>
  <si>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</si>
  <si>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</si>
  <si>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</si>
  <si>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</si>
  <si>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</si>
  <si>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</si>
  <si>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</si>
  <si>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</si>
  <si>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</si>
  <si>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</si>
  <si>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</si>
  <si>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</si>
  <si>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</si>
  <si>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</si>
  <si>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</si>
  <si>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</si>
  <si>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</si>
  <si>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</si>
  <si>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</si>
  <si>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</si>
  <si>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</si>
  <si>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</si>
  <si>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</si>
  <si>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</si>
  <si>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</si>
  <si>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</si>
  <si>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</si>
  <si>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</si>
  <si>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</si>
  <si>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</si>
  <si>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</si>
  <si>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</si>
  <si>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</si>
  <si>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</si>
  <si>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</si>
  <si>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</si>
  <si>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</si>
  <si>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</si>
  <si>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</si>
  <si>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</si>
  <si>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</si>
  <si>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</si>
  <si>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</si>
  <si>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</si>
  <si>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</si>
  <si>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</si>
  <si>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</si>
  <si>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</si>
  <si>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</si>
  <si>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</si>
  <si>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</si>
  <si>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</si>
  <si>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</si>
  <si>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</si>
  <si>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</si>
  <si>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</si>
  <si>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</si>
  <si>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</si>
  <si>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</si>
  <si>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</si>
  <si>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</si>
  <si>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</si>
  <si>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</si>
  <si>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</si>
  <si>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</si>
  <si>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</si>
  <si>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</si>
  <si>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</si>
  <si>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</si>
  <si>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</si>
  <si>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</si>
  <si>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</si>
  <si>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</si>
  <si>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</si>
  <si>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</si>
  <si>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</si>
  <si>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</si>
  <si>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</si>
  <si>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</si>
  <si>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</si>
  <si>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</si>
  <si>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</si>
  <si>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Ikyo Primary Health Center</t>
  </si>
  <si>
    <t>Reporting Period:</t>
  </si>
  <si>
    <t>Q1(Oct - Dec)</t>
  </si>
  <si>
    <t>Facility Code:</t>
  </si>
  <si>
    <t>p744o3LL0jI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</si>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</sst>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137</v>
      </c>
      <c r="G8" s="155">
        <f>ROUND(SUM('All Questions'!D31:D35)/5+G12,0)</f>
        <v>200</v>
      </c>
      <c r="H8" s="156">
        <f>ROUND(SUM('All Questions'!D37,'All Questions'!D40)/2+'All Questions'!D26+H12,0)</f>
        <v>511</v>
      </c>
      <c r="I8" s="157">
        <f>ROUND((SUM('All Questions'!E11:E14)/4)+I12,0)</f>
        <v>0</v>
      </c>
      <c r="J8" s="155">
        <f>ROUND(SUM('All Questions'!E15:E21)/7+J12,0)</f>
        <v>0</v>
      </c>
      <c r="K8" s="155">
        <f>ROUND(SUM('All Questions'!E23:E30)/4+K12,0)</f>
        <v>159</v>
      </c>
      <c r="L8" s="155">
        <f>ROUND(SUM('All Questions'!E31:E35)/5+L12,0)</f>
        <v>235</v>
      </c>
      <c r="M8" s="156">
        <f>ROUND(('All Questions'!E37+'All Questions'!E40)/2+'All Questions'!E26+M12,0)</f>
        <v>551</v>
      </c>
      <c r="N8" s="157">
        <f>ROUND((SUM('All Questions'!F11:F14)/4)+N12,0)</f>
        <v>0</v>
      </c>
      <c r="O8" s="155">
        <f>ROUND(SUM('All Questions'!F15:F21)/7+O12,0)</f>
        <v>0</v>
      </c>
      <c r="P8" s="155">
        <f>ROUND(SUM('All Questions'!F23:F30)/4+P12,0)</f>
        <v>155</v>
      </c>
      <c r="Q8" s="155">
        <f>ROUND(SUM('All Questions'!F31:F35)/5+Q12,0)</f>
        <v>242</v>
      </c>
      <c r="R8" s="156">
        <f>ROUND(('All Questions'!F37+'All Questions'!F40)/2+'All Questions'!F26+R12,0)</f>
        <v>518</v>
      </c>
      <c r="S8" s="141">
        <f>'All Questions'!F2</f>
        <v>0</v>
      </c>
      <c r="T8" s="142" t="e">
        <f>(AVERAGE(F8:H8)+AVERAGE(K8:M8)+AVERAGE(P8:R8))/S8</f>
        <v>#DIV/0!</v>
      </c>
      <c r="V8" s="309">
        <f>AVERAGE(F8:H8)+AVERAGE(K8:M8)+AVERAGE(P8:R8)</f>
        <v>902.66666666666674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v>
      </c>
      <c r="G9" s="158"/>
      <c r="H9" s="160"/>
      <c r="I9" s="161"/>
      <c r="J9" s="158"/>
      <c r="K9" s="159">
        <f>ROUND('All Questions'!E29+K13,0)</f>
        <v>3</v>
      </c>
      <c r="L9" s="158"/>
      <c r="M9" s="160"/>
      <c r="N9" s="161"/>
      <c r="O9" s="158"/>
      <c r="P9" s="159">
        <f>ROUND('All Questions'!F29+P13,0)</f>
        <v>4</v>
      </c>
      <c r="Q9" s="158"/>
      <c r="R9" s="160"/>
      <c r="S9" s="141">
        <f>'All Questions'!F3</f>
        <v>0</v>
      </c>
      <c r="T9" s="143" t="e">
        <f>SUM(F9,K9,P9)/S9</f>
        <v>#DIV/0!</v>
      </c>
      <c r="V9" s="309">
        <f>SUM(F9+K9+P9)</f>
        <v>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135</v>
      </c>
      <c r="G10" s="159">
        <f>ROUND(SUM('All Questions'!D31:D35)/5,0)</f>
        <v>195</v>
      </c>
      <c r="H10" s="162">
        <f>ROUND(('All Questions'!D37+'All Questions'!D40)/2+'All Questions'!D26,0)</f>
        <v>503</v>
      </c>
      <c r="I10" s="163">
        <f>ROUND((SUM('All Questions'!E11:E14)/4),0)</f>
        <v>0</v>
      </c>
      <c r="J10" s="164">
        <f>ROUND(SUM('All Questions'!E15:E21)/7,0)</f>
        <v>0</v>
      </c>
      <c r="K10" s="164">
        <f>ROUND(SUM('All Questions'!E23:E30)/4,0)</f>
        <v>156</v>
      </c>
      <c r="L10" s="164">
        <f>ROUND(SUM('All Questions'!E31:E35)/5,0)</f>
        <v>228</v>
      </c>
      <c r="M10" s="165">
        <f>ROUND(('All Questions'!E37+'All Questions'!E40)/2+'All Questions'!E26,0)</f>
        <v>541</v>
      </c>
      <c r="N10" s="166">
        <f>ROUND((SUM('All Questions'!F11:F14)/4),0)</f>
        <v>0</v>
      </c>
      <c r="O10" s="164">
        <f>ROUND(SUM('All Questions'!F15:F21)/7,0)</f>
        <v>0</v>
      </c>
      <c r="P10" s="164">
        <f>ROUND(SUM('All Questions'!F23:F30)/4,0)</f>
        <v>152</v>
      </c>
      <c r="Q10" s="164">
        <f>ROUND(SUM('All Questions'!F31:F35)/5,0)</f>
        <v>236</v>
      </c>
      <c r="R10" s="165">
        <f>ROUND(('All Questions'!F37+'All Questions'!F40)/2+'All Questions'!F26,0)</f>
        <v>510</v>
      </c>
      <c r="S10" s="141">
        <f>'All Questions'!F4</f>
        <v>0</v>
      </c>
      <c r="T10" s="143" t="e">
        <f>(AVERAGE(F10:H10)+AVERAGE(K10:M10)+AVERAGE(P10:R10))/S10</f>
        <v>#DIV/0!</v>
      </c>
      <c r="V10" s="309">
        <f>AVERAGE(F10:H10)+AVERAGE(K10:M10)+AVERAGE(P10:R10)</f>
        <v>885.33333333333326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v>
      </c>
      <c r="G11" s="167"/>
      <c r="H11" s="169"/>
      <c r="I11" s="170"/>
      <c r="J11" s="167"/>
      <c r="K11" s="171">
        <f>ROUND('All Questions'!E29,0)</f>
        <v>3</v>
      </c>
      <c r="L11" s="167"/>
      <c r="M11" s="169"/>
      <c r="N11" s="170"/>
      <c r="O11" s="167"/>
      <c r="P11" s="171">
        <f>ROUND('All Questions'!F29,0)</f>
        <v>4</v>
      </c>
      <c r="Q11" s="167"/>
      <c r="R11" s="169"/>
      <c r="S11" s="141">
        <f>'All Questions'!F5</f>
        <v>0</v>
      </c>
      <c r="T11" s="144" t="e">
        <f>SUM(F11,K11,P11)/S11</f>
        <v>#DIV/0!</v>
      </c>
      <c r="V11" s="309">
        <f>SUM(F11+K11+P11)</f>
        <v>9</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v>
      </c>
      <c r="G12" s="173">
        <f>ROUND(SUM('All Questions'!D73:D80)/4,0)</f>
        <v>5</v>
      </c>
      <c r="H12" s="174">
        <f>ROUND(SUM('All Questions'!D82:D83)/2,0)</f>
        <v>8</v>
      </c>
      <c r="I12" s="175">
        <f>ROUND(SUM('All Questions'!E54:E58)+'All Questions'!E71/4,0)</f>
        <v>0</v>
      </c>
      <c r="J12" s="176">
        <f>ROUND(SUM('All Questions'!E60:E63)/4,0)</f>
        <v>0</v>
      </c>
      <c r="K12" s="176">
        <f>ROUND(SUM('All Questions'!E67:E72)/3,0)</f>
        <v>3</v>
      </c>
      <c r="L12" s="176">
        <f>ROUND(SUM('All Questions'!E73:E80)/4,0)</f>
        <v>7</v>
      </c>
      <c r="M12" s="177">
        <f>ROUND(SUM('All Questions'!E82:E83)/2,0)</f>
        <v>10</v>
      </c>
      <c r="N12" s="178">
        <f>ROUND(SUM('All Questions'!F54:F58)+'All Questions'!F71/4,0)</f>
        <v>0</v>
      </c>
      <c r="O12" s="176">
        <f>ROUND(SUM('All Questions'!F60:F63)/4,0)</f>
        <v>0</v>
      </c>
      <c r="P12" s="176">
        <f>ROUND(SUM('All Questions'!F67:F72)/3,0)</f>
        <v>3</v>
      </c>
      <c r="Q12" s="176">
        <f>ROUND(SUM('All Questions'!F73:F80)/4,0)</f>
        <v>6</v>
      </c>
      <c r="R12" s="177">
        <f>ROUND(SUM('All Questions'!F82:F83)/2,0)</f>
        <v>8</v>
      </c>
      <c r="S12" s="145">
        <f>'All Questions'!F46</f>
        <v>0</v>
      </c>
      <c r="T12" s="146" t="e">
        <f ref="T12:T15" t="shared" si="1">(AVERAGE(F12:H12)+AVERAGE(K12:M12)+AVERAGE(P12:R12))/S12</f>
        <v>#DIV/0!</v>
      </c>
      <c r="V12" s="309">
        <f>AVERAGE(F12:H12)+AVERAGE(K12:M12)+AVERAGE(P12:R12)</f>
        <v>17.333333333333336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6</v>
      </c>
      <c r="H17" s="197">
        <f>ROUND(SUM('All Questions'!D160,'All Questions'!D163)/2,0)</f>
        <v>5</v>
      </c>
      <c r="I17" s="198">
        <f>ROUND(SUM('All Questions'!E145:E146)/2,0)</f>
        <v>0</v>
      </c>
      <c r="J17" s="199">
        <f>ROUND(SUM('All Questions'!E147:E150)/4,0)</f>
        <v>0</v>
      </c>
      <c r="K17" s="199">
        <f>ROUND(SUM('All Questions'!E151:E154)/2,0)</f>
        <v>9</v>
      </c>
      <c r="L17" s="199">
        <f>ROUND(SUM('All Questions'!E155:E158)/4,0)</f>
        <v>10</v>
      </c>
      <c r="M17" s="197">
        <f>ROUND(SUM('All Questions'!E160,'All Questions'!E163)/2,0)</f>
        <v>9</v>
      </c>
      <c r="N17" s="200">
        <f>ROUND(SUM('All Questions'!F145:F146)/2,0)</f>
        <v>0</v>
      </c>
      <c r="O17" s="199">
        <f>ROUND(SUM('All Questions'!F147:F150)/4,0)</f>
        <v>0</v>
      </c>
      <c r="P17" s="199">
        <f>ROUND(SUM('All Questions'!F151:F154)/2,0)</f>
        <v>5</v>
      </c>
      <c r="Q17" s="199">
        <f>ROUND(SUM('All Questions'!F155:F158)/4,0)</f>
        <v>7</v>
      </c>
      <c r="R17" s="199">
        <f>ROUND(SUM('All Questions'!F160,'All Questions'!F163)/2,0)</f>
        <v>5</v>
      </c>
      <c r="S17" s="151">
        <f>'All Questions'!F141</f>
        <v>0</v>
      </c>
      <c r="T17" s="142" t="e">
        <f>(AVERAGE(F17:H17)+AVERAGE(K17:M17)+AVERAGE(P17:R17))/S17</f>
        <v>#DIV/0!</v>
      </c>
      <c r="V17" s="309">
        <f t="shared" si="2"/>
        <v>20.333333333333336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60</v>
      </c>
      <c r="Q18" s="204">
        <f>ROUND(SUM('All Questions'!F186:F189)/4,0)</f>
        <v>31</v>
      </c>
      <c r="R18" s="303">
        <f>ROUND(('All Questions'!F191-('All Questions'!F194+'All Questions'!F197+'All Questions'!F200)),0)</f>
        <v>180</v>
      </c>
      <c r="S18" s="152">
        <f>'All Questions'!F166</f>
        <v>0</v>
      </c>
      <c r="T18" s="144" t="e">
        <f>AVERAGE(P18:R18)/S18</f>
        <v>#DIV/0!</v>
      </c>
      <c r="V18" s="309">
        <f>AVERAGE(P18:R18)</f>
        <v>90.333333333333329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1508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38</v>
      </c>
      <c r="F10" s="301">
        <v>35</v>
      </c>
      <c r="G10" s="207" t="s">
        <v>67</v>
      </c>
    </row>
    <row r="11" hidden="1" ht="45" customHeight="1">
      <c r="A11" s="226"/>
      <c r="B11" s="238">
        <v>1114</v>
      </c>
      <c r="C11" s="243" t="s">
        <v>84</v>
      </c>
      <c r="D11" s="301">
        <v>32</v>
      </c>
      <c r="E11" s="301">
        <v>38</v>
      </c>
      <c r="F11" s="301">
        <v>35</v>
      </c>
      <c r="G11" s="207" t="s">
        <v>67</v>
      </c>
    </row>
    <row r="12" hidden="1" ht="45" customHeight="1">
      <c r="A12" s="226"/>
      <c r="B12" s="238">
        <v>1115</v>
      </c>
      <c r="C12" s="242" t="s">
        <v>85</v>
      </c>
      <c r="D12" s="301">
        <v>32</v>
      </c>
      <c r="E12" s="301">
        <v>38</v>
      </c>
      <c r="F12" s="301">
        <v>35</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346</v>
      </c>
      <c r="E25" s="301">
        <v>353</v>
      </c>
      <c r="F25" s="301">
        <v>358</v>
      </c>
      <c r="G25" s="207" t="s">
        <v>67</v>
      </c>
    </row>
    <row r="26" hidden="1" ht="45" customHeight="1">
      <c r="A26" s="226"/>
      <c r="B26" s="238">
        <v>1134</v>
      </c>
      <c r="C26" s="242" t="s">
        <v>99</v>
      </c>
      <c r="D26" s="301">
        <v>157</v>
      </c>
      <c r="E26" s="301">
        <v>188</v>
      </c>
      <c r="F26" s="301">
        <v>152</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v>
      </c>
      <c r="E29" s="301">
        <v>3</v>
      </c>
      <c r="F29" s="301">
        <v>4</v>
      </c>
      <c r="G29" s="207" t="s">
        <v>67</v>
      </c>
    </row>
    <row r="30" hidden="1" ht="45" customHeight="1">
      <c r="A30" s="226"/>
      <c r="B30" s="238">
        <v>1138</v>
      </c>
      <c r="C30" s="242" t="s">
        <v>103</v>
      </c>
      <c r="D30" s="301">
        <v>34</v>
      </c>
      <c r="E30" s="301">
        <v>80</v>
      </c>
      <c r="F30" s="301">
        <v>94</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503</v>
      </c>
      <c r="E33" s="301">
        <v>541</v>
      </c>
      <c r="F33" s="301">
        <v>510</v>
      </c>
      <c r="G33" s="207" t="s">
        <v>67</v>
      </c>
    </row>
    <row r="34" hidden="1" ht="45" customHeight="1">
      <c r="A34" s="226"/>
      <c r="B34" s="238">
        <v>1144</v>
      </c>
      <c r="C34" s="242" t="s">
        <v>107</v>
      </c>
      <c r="D34" s="301">
        <v>36</v>
      </c>
      <c r="E34" s="301">
        <v>83</v>
      </c>
      <c r="F34" s="301">
        <v>98</v>
      </c>
      <c r="G34" s="207" t="s">
        <v>67</v>
      </c>
    </row>
    <row r="35" hidden="1" ht="45" customHeight="1">
      <c r="A35" s="226"/>
      <c r="B35" s="238">
        <v>1145</v>
      </c>
      <c r="C35" s="242" t="s">
        <v>108</v>
      </c>
      <c r="D35" s="301">
        <v>437</v>
      </c>
      <c r="E35" s="301">
        <v>515</v>
      </c>
      <c r="F35" s="301">
        <v>573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346</v>
      </c>
      <c r="E37" s="301">
        <v>353</v>
      </c>
      <c r="F37" s="301">
        <v>358</v>
      </c>
      <c r="G37" s="207" t="s">
        <v>67</v>
      </c>
    </row>
    <row r="38" hidden="1" ht="45" customHeight="1">
      <c r="A38" s="226"/>
      <c r="B38" s="238">
        <v>1153</v>
      </c>
      <c r="C38" s="242" t="s">
        <v>111</v>
      </c>
      <c r="D38" s="301">
        <v>372</v>
      </c>
      <c r="E38" s="301">
        <v>423</v>
      </c>
      <c r="F38" s="301">
        <v>513</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346</v>
      </c>
      <c r="E40" s="301">
        <v>353</v>
      </c>
      <c r="F40" s="301">
        <v>358</v>
      </c>
      <c r="G40" s="207" t="s">
        <v>67</v>
      </c>
    </row>
    <row r="41" hidden="1" ht="45" customHeight="1">
      <c r="A41" s="226"/>
      <c r="B41" s="238">
        <v>1156</v>
      </c>
      <c r="C41" s="242" t="s">
        <v>113</v>
      </c>
      <c r="D41" s="301">
        <v>372</v>
      </c>
      <c r="E41" s="301">
        <v>423</v>
      </c>
      <c r="F41" s="301">
        <v>513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10</v>
      </c>
      <c r="E43" s="301">
        <v>8</v>
      </c>
      <c r="F43" s="301">
        <v>9</v>
      </c>
      <c r="G43" s="207" t="s">
        <v>67</v>
      </c>
    </row>
    <row r="44" hidden="1" ht="45" customHeight="1" s="250" customFormat="1">
      <c r="A44" s="226"/>
      <c r="B44" s="238">
        <v>1159</v>
      </c>
      <c r="C44" s="242" t="s">
        <v>116</v>
      </c>
      <c r="D44" s="301">
        <v>7</v>
      </c>
      <c r="E44" s="301">
        <v>9</v>
      </c>
      <c r="F44" s="301">
        <v>8</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5</v>
      </c>
      <c r="E53" s="301">
        <v>9</v>
      </c>
      <c r="F53" s="301">
        <v>8</v>
      </c>
      <c r="G53" s="207" t="s">
        <v>117</v>
      </c>
    </row>
    <row r="54" hidden="1" ht="45" customHeight="1">
      <c r="A54" s="226"/>
      <c r="B54" s="238">
        <v>1214</v>
      </c>
      <c r="C54" s="264" t="s">
        <v>132</v>
      </c>
      <c r="D54" s="301">
        <v>5</v>
      </c>
      <c r="E54" s="301">
        <v>9</v>
      </c>
      <c r="F54" s="301">
        <v>8</v>
      </c>
      <c r="G54" s="207" t="s">
        <v>117</v>
      </c>
    </row>
    <row r="55" hidden="1" ht="45" customHeight="1">
      <c r="A55" s="226"/>
      <c r="B55" s="238">
        <v>1215</v>
      </c>
      <c r="C55" s="242" t="s">
        <v>133</v>
      </c>
      <c r="D55" s="301">
        <v>5</v>
      </c>
      <c r="E55" s="301">
        <v>9</v>
      </c>
      <c r="F55" s="301">
        <v>8</v>
      </c>
      <c r="G55" s="207" t="s">
        <v>117</v>
      </c>
    </row>
    <row r="56" hidden="1" ht="45" customHeight="1">
      <c r="A56" s="226"/>
      <c r="B56" s="238">
        <v>1216</v>
      </c>
      <c r="C56" s="243" t="s">
        <v>134</v>
      </c>
      <c r="D56" s="301">
        <v>5</v>
      </c>
      <c r="E56" s="301">
        <v>9</v>
      </c>
      <c r="F56" s="301">
        <v>8</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v>
      </c>
      <c r="E59" s="301">
        <v>9</v>
      </c>
      <c r="F59" s="301">
        <v>8</v>
      </c>
      <c r="G59" s="207" t="s">
        <v>117</v>
      </c>
    </row>
    <row r="60" hidden="1" ht="45" customHeight="1">
      <c r="A60" s="226"/>
      <c r="B60" s="238">
        <v>1222</v>
      </c>
      <c r="C60" s="264" t="s">
        <v>138</v>
      </c>
      <c r="D60" s="301">
        <v>5</v>
      </c>
      <c r="E60" s="301">
        <v>9</v>
      </c>
      <c r="F60" s="301">
        <v>8</v>
      </c>
      <c r="G60" s="207" t="s">
        <v>117</v>
      </c>
    </row>
    <row r="61" hidden="1" ht="45" customHeight="1">
      <c r="A61" s="226"/>
      <c r="B61" s="238">
        <v>1223</v>
      </c>
      <c r="C61" s="264" t="s">
        <v>139</v>
      </c>
      <c r="D61" s="301">
        <v>5</v>
      </c>
      <c r="E61" s="301">
        <v>9</v>
      </c>
      <c r="F61" s="301">
        <v>8</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v>
      </c>
      <c r="E67" s="301">
        <v>9</v>
      </c>
      <c r="F67" s="301">
        <v>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v>
      </c>
      <c r="E73" s="301">
        <v>9</v>
      </c>
      <c r="F73" s="301">
        <v>8</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5</v>
      </c>
      <c r="E75" s="301">
        <v>9</v>
      </c>
      <c r="F75" s="301">
        <v>8</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10</v>
      </c>
      <c r="E79" s="301">
        <v>11</v>
      </c>
      <c r="F79" s="301">
        <v>9</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v>
      </c>
      <c r="E82" s="301">
        <v>9</v>
      </c>
      <c r="F82" s="301">
        <v>8</v>
      </c>
      <c r="G82" s="207" t="s">
        <v>117</v>
      </c>
    </row>
    <row r="83" hidden="1" ht="45" customHeight="1">
      <c r="A83" s="226"/>
      <c r="B83" s="238">
        <v>1253</v>
      </c>
      <c r="C83" s="242" t="s">
        <v>161</v>
      </c>
      <c r="D83" s="301">
        <v>10</v>
      </c>
      <c r="E83" s="301">
        <v>11</v>
      </c>
      <c r="F83" s="301">
        <v>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28</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10</v>
      </c>
      <c r="E144" s="301">
        <v>18</v>
      </c>
      <c r="F144" s="301">
        <v>10</v>
      </c>
      <c r="G144" s="207" t="s">
        <v>219</v>
      </c>
    </row>
    <row r="145" hidden="1" ht="45" customHeight="1">
      <c r="A145" s="226"/>
      <c r="B145" s="238">
        <v>1514</v>
      </c>
      <c r="C145" s="264" t="s">
        <v>225</v>
      </c>
      <c r="D145" s="301">
        <v>7</v>
      </c>
      <c r="E145" s="301">
        <v>8</v>
      </c>
      <c r="F145" s="301">
        <v>9</v>
      </c>
      <c r="G145" s="207" t="s">
        <v>219</v>
      </c>
    </row>
    <row r="146" hidden="1" ht="45" customHeight="1">
      <c r="A146" s="226">
        <v>1541</v>
      </c>
      <c r="B146" s="238">
        <v>1515</v>
      </c>
      <c r="C146" s="264" t="s">
        <v>226</v>
      </c>
      <c r="D146" s="301">
        <v>7</v>
      </c>
      <c r="E146" s="301">
        <v>8</v>
      </c>
      <c r="F146" s="301">
        <v>9</v>
      </c>
      <c r="G146" s="207" t="s">
        <v>219</v>
      </c>
    </row>
    <row r="147" hidden="1" ht="45" customHeight="1">
      <c r="A147" s="226"/>
      <c r="B147" s="238">
        <v>1521</v>
      </c>
      <c r="C147" s="264" t="s">
        <v>227</v>
      </c>
      <c r="D147" s="301">
        <v>7</v>
      </c>
      <c r="E147" s="301">
        <v>8</v>
      </c>
      <c r="F147" s="301">
        <v>9</v>
      </c>
      <c r="G147" s="207" t="s">
        <v>219</v>
      </c>
    </row>
    <row r="148" hidden="1" ht="45" customHeight="1">
      <c r="A148" s="226"/>
      <c r="B148" s="238">
        <v>1522</v>
      </c>
      <c r="C148" s="264" t="s">
        <v>228</v>
      </c>
      <c r="D148" s="301">
        <v>7</v>
      </c>
      <c r="E148" s="301">
        <v>8</v>
      </c>
      <c r="F148" s="301">
        <v>9</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4</v>
      </c>
      <c r="E151" s="301">
        <v>8</v>
      </c>
      <c r="F151" s="301">
        <v>4</v>
      </c>
      <c r="G151" s="207" t="s">
        <v>219</v>
      </c>
    </row>
    <row r="152" hidden="1" ht="45" customHeight="1">
      <c r="A152" s="226"/>
      <c r="B152" s="238">
        <v>1532</v>
      </c>
      <c r="C152" s="242" t="s">
        <v>232</v>
      </c>
      <c r="D152" s="301">
        <v>6</v>
      </c>
      <c r="E152" s="301">
        <v>10</v>
      </c>
      <c r="F152" s="301">
        <v>6</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7</v>
      </c>
      <c r="E155" s="301">
        <v>8</v>
      </c>
      <c r="F155" s="301">
        <v>9</v>
      </c>
      <c r="G155" s="207" t="s">
        <v>219</v>
      </c>
    </row>
    <row r="156" hidden="1" ht="45" customHeight="1">
      <c r="A156" s="226"/>
      <c r="B156" s="238">
        <v>1542</v>
      </c>
      <c r="C156" s="264" t="s">
        <v>236</v>
      </c>
      <c r="D156" s="301">
        <v>10</v>
      </c>
      <c r="E156" s="301">
        <v>18</v>
      </c>
      <c r="F156" s="301">
        <v>10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9</v>
      </c>
      <c r="E158" s="301">
        <v>12</v>
      </c>
      <c r="F158" s="301">
        <v>8</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9</v>
      </c>
      <c r="E161" s="301">
        <v>12</v>
      </c>
      <c r="F161" s="301">
        <v>8</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10</v>
      </c>
      <c r="E163" s="301">
        <v>18</v>
      </c>
      <c r="F163" s="301">
        <v>10</v>
      </c>
      <c r="G163" s="207" t="s">
        <v>219</v>
      </c>
    </row>
    <row r="164" hidden="1" ht="45" customHeight="1">
      <c r="A164" s="226"/>
      <c r="B164" s="238">
        <v>1556</v>
      </c>
      <c r="C164" s="242" t="s">
        <v>241</v>
      </c>
      <c r="D164" s="301">
        <v>9</v>
      </c>
      <c r="E164" s="301">
        <v>12</v>
      </c>
      <c r="F164" s="301">
        <v>8</v>
      </c>
      <c r="G164" s="207" t="s">
        <v>219</v>
      </c>
    </row>
    <row r="165" hidden="1" ht="45" customHeight="1">
      <c r="A165" s="226"/>
      <c r="C165" s="278"/>
      <c r="D165" s="279"/>
      <c r="G165" s="207"/>
    </row>
    <row r="166" hidden="1" ht="45" customHeight="1">
      <c r="A166" s="226"/>
      <c r="B166" s="281" t="s">
        <v>244</v>
      </c>
      <c r="C166" s="260" t="s">
        <v>245</v>
      </c>
      <c r="D166" s="228"/>
      <c r="E166" s="231"/>
      <c r="F166" s="300">
        <v>174</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21</v>
      </c>
      <c r="E171" s="301">
        <v>23</v>
      </c>
      <c r="F171" s="301">
        <v>23</v>
      </c>
      <c r="G171" s="207" t="s">
        <v>244</v>
      </c>
    </row>
    <row r="172" hidden="1" ht="45" customHeight="1">
      <c r="A172" s="226"/>
      <c r="B172" s="238">
        <v>1614</v>
      </c>
      <c r="C172" s="283" t="s">
        <v>251</v>
      </c>
      <c r="D172" s="301">
        <v>21</v>
      </c>
      <c r="E172" s="301">
        <v>23</v>
      </c>
      <c r="F172" s="301">
        <v>23</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21</v>
      </c>
      <c r="E174" s="301">
        <v>23</v>
      </c>
      <c r="F174" s="301">
        <v>23</v>
      </c>
      <c r="G174" s="207" t="s">
        <v>244</v>
      </c>
    </row>
    <row r="175" hidden="1" ht="45" customHeight="1">
      <c r="A175" s="226"/>
      <c r="B175" s="238">
        <v>1621</v>
      </c>
      <c r="C175" s="242" t="s">
        <v>254</v>
      </c>
      <c r="D175" s="301">
        <v>21</v>
      </c>
      <c r="E175" s="301">
        <v>23</v>
      </c>
      <c r="F175" s="301">
        <v>23</v>
      </c>
      <c r="G175" s="207" t="s">
        <v>244</v>
      </c>
    </row>
    <row r="176" hidden="1" ht="45" customHeight="1">
      <c r="A176" s="226"/>
      <c r="B176" s="238">
        <v>1622</v>
      </c>
      <c r="C176" s="242" t="s">
        <v>255</v>
      </c>
      <c r="D176" s="301">
        <v>21</v>
      </c>
      <c r="E176" s="301">
        <v>23</v>
      </c>
      <c r="F176" s="301">
        <v>23</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21</v>
      </c>
      <c r="E178" s="301">
        <v>23</v>
      </c>
      <c r="F178" s="301">
        <v>23</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20</v>
      </c>
      <c r="E181" s="301">
        <v>38</v>
      </c>
      <c r="F181" s="301">
        <v>48</v>
      </c>
      <c r="G181" s="207" t="s">
        <v>244</v>
      </c>
    </row>
    <row r="182" hidden="1" ht="45" customHeight="1">
      <c r="A182" s="226"/>
      <c r="B182" s="238">
        <v>1632</v>
      </c>
      <c r="C182" s="242" t="s">
        <v>261</v>
      </c>
      <c r="D182" s="301">
        <v>131</v>
      </c>
      <c r="E182" s="301">
        <v>132</v>
      </c>
      <c r="F182" s="301">
        <v>132</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20</v>
      </c>
      <c r="E186" s="301">
        <v>23</v>
      </c>
      <c r="F186" s="301">
        <v>25</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53</v>
      </c>
      <c r="E189" s="301">
        <v>71</v>
      </c>
      <c r="F189" s="301">
        <v>99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151</v>
      </c>
      <c r="E191" s="301">
        <v>170</v>
      </c>
      <c r="F191" s="301">
        <v>180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1</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2287</v>
      </c>
      <c r="AZ616" s="0" t="s">
        <v>2288</v>
      </c>
      <c r="BA616" s="0" t="s">
        <v>285</v>
      </c>
      <c r="BB616" s="0" t="str">
        <f t="shared" si="9"/>
        <v>CIHPbeGwerWest</v>
      </c>
    </row>
    <row r="617">
      <c r="AV617" s="0" t="s">
        <v>471</v>
      </c>
      <c r="AW617" s="0" t="s">
        <v>286</v>
      </c>
      <c r="AX617" s="0" t="s">
        <v>641</v>
      </c>
      <c r="AY617" s="0" t="s">
        <v>2289</v>
      </c>
      <c r="AZ617" s="0" t="s">
        <v>2290</v>
      </c>
      <c r="BA617" s="0" t="s">
        <v>285</v>
      </c>
      <c r="BB617" s="0" t="str">
        <f t="shared" si="9"/>
        <v>CIHPbeGwerWest</v>
      </c>
    </row>
    <row r="618">
      <c r="AV618" s="0" t="s">
        <v>471</v>
      </c>
      <c r="AW618" s="0" t="s">
        <v>286</v>
      </c>
      <c r="AX618" s="0" t="s">
        <v>641</v>
      </c>
      <c r="AY618" s="0" t="s">
        <v>2291</v>
      </c>
      <c r="AZ618" s="0" t="s">
        <v>2292</v>
      </c>
      <c r="BA618" s="0" t="s">
        <v>285</v>
      </c>
      <c r="BB618" s="0" t="str">
        <f t="shared" si="9"/>
        <v>CIHPbeGwerWest</v>
      </c>
    </row>
    <row r="619">
      <c r="AV619" s="0" t="s">
        <v>471</v>
      </c>
      <c r="AW619" s="0" t="s">
        <v>286</v>
      </c>
      <c r="AX619" s="0" t="s">
        <v>641</v>
      </c>
      <c r="AY619" s="0" t="s">
        <v>2293</v>
      </c>
      <c r="AZ619" s="0" t="s">
        <v>2294</v>
      </c>
      <c r="BA619" s="0" t="s">
        <v>285</v>
      </c>
      <c r="BB619" s="0" t="str">
        <f t="shared" si="9"/>
        <v>CIHPbeGwerWest</v>
      </c>
    </row>
    <row r="620">
      <c r="AV620" s="0" t="s">
        <v>471</v>
      </c>
      <c r="AW620" s="0" t="s">
        <v>286</v>
      </c>
      <c r="AX620" s="0" t="s">
        <v>641</v>
      </c>
      <c r="AY620" s="0" t="s">
        <v>2295</v>
      </c>
      <c r="AZ620" s="0" t="s">
        <v>2296</v>
      </c>
      <c r="BA620" s="0" t="s">
        <v>285</v>
      </c>
      <c r="BB620" s="0" t="str">
        <f t="shared" si="9"/>
        <v>CIHPbeGwerWest</v>
      </c>
    </row>
    <row r="621">
      <c r="AV621" s="0" t="s">
        <v>471</v>
      </c>
      <c r="AW621" s="0" t="s">
        <v>286</v>
      </c>
      <c r="AX621" s="0" t="s">
        <v>641</v>
      </c>
      <c r="AY621" s="0" t="s">
        <v>2297</v>
      </c>
      <c r="AZ621" s="0" t="s">
        <v>2298</v>
      </c>
      <c r="BA621" s="0" t="s">
        <v>285</v>
      </c>
      <c r="BB621" s="0" t="str">
        <f t="shared" si="9"/>
        <v>CIHPbeGwerWest</v>
      </c>
    </row>
    <row r="622">
      <c r="AV622" s="0" t="s">
        <v>471</v>
      </c>
      <c r="AW622" s="0" t="s">
        <v>286</v>
      </c>
      <c r="AX622" s="0" t="s">
        <v>641</v>
      </c>
      <c r="AY622" s="0" t="s">
        <v>2299</v>
      </c>
      <c r="AZ622" s="0" t="s">
        <v>2300</v>
      </c>
      <c r="BA622" s="0" t="s">
        <v>285</v>
      </c>
      <c r="BB622" s="0" t="str">
        <f t="shared" si="9"/>
        <v>CIHPbeGwerWest</v>
      </c>
    </row>
    <row r="623">
      <c r="AV623" s="0" t="s">
        <v>471</v>
      </c>
      <c r="AW623" s="0" t="s">
        <v>286</v>
      </c>
      <c r="AX623" s="0" t="s">
        <v>641</v>
      </c>
      <c r="AY623" s="0" t="s">
        <v>2301</v>
      </c>
      <c r="AZ623" s="0" t="s">
        <v>2302</v>
      </c>
      <c r="BA623" s="0" t="s">
        <v>285</v>
      </c>
      <c r="BB623" s="0" t="str">
        <f t="shared" si="9"/>
        <v>CIHPbeGwerWest</v>
      </c>
    </row>
    <row r="624">
      <c r="AV624" s="0" t="s">
        <v>471</v>
      </c>
      <c r="AW624" s="0" t="s">
        <v>286</v>
      </c>
      <c r="AX624" s="0" t="s">
        <v>641</v>
      </c>
      <c r="AY624" s="0" t="s">
        <v>2303</v>
      </c>
      <c r="AZ624" s="0" t="s">
        <v>2304</v>
      </c>
      <c r="BA624" s="0" t="s">
        <v>285</v>
      </c>
      <c r="BB624" s="0" t="str">
        <f t="shared" si="9"/>
        <v>CIHPbeGwerWest</v>
      </c>
    </row>
    <row r="625">
      <c r="AV625" s="0" t="s">
        <v>471</v>
      </c>
      <c r="AW625" s="0" t="s">
        <v>286</v>
      </c>
      <c r="AX625" s="0" t="s">
        <v>641</v>
      </c>
      <c r="AY625" s="0" t="s">
        <v>2305</v>
      </c>
      <c r="AZ625" s="0" t="s">
        <v>2306</v>
      </c>
      <c r="BA625" s="0" t="s">
        <v>285</v>
      </c>
      <c r="BB625" s="0" t="str">
        <f t="shared" si="9"/>
        <v>CIHPbeGwerWest</v>
      </c>
    </row>
    <row r="626">
      <c r="AV626" s="0" t="s">
        <v>471</v>
      </c>
      <c r="AW626" s="0" t="s">
        <v>286</v>
      </c>
      <c r="AX626" s="0" t="s">
        <v>641</v>
      </c>
      <c r="AY626" s="0" t="s">
        <v>2307</v>
      </c>
      <c r="AZ626" s="0" t="s">
        <v>2308</v>
      </c>
      <c r="BA626" s="0" t="s">
        <v>285</v>
      </c>
      <c r="BB626" s="0" t="str">
        <f t="shared" si="9"/>
        <v>CIHPbeGwerWest</v>
      </c>
    </row>
    <row r="627">
      <c r="AV627" s="0" t="s">
        <v>471</v>
      </c>
      <c r="AW627" s="0" t="s">
        <v>286</v>
      </c>
      <c r="AX627" s="0" t="s">
        <v>641</v>
      </c>
      <c r="AY627" s="0" t="s">
        <v>2309</v>
      </c>
      <c r="AZ627" s="0" t="s">
        <v>2310</v>
      </c>
      <c r="BA627" s="0" t="s">
        <v>285</v>
      </c>
      <c r="BB627" s="0" t="str">
        <f t="shared" si="9"/>
        <v>CIHPbeGwerWest</v>
      </c>
    </row>
    <row r="628">
      <c r="AV628" s="0" t="s">
        <v>471</v>
      </c>
      <c r="AW628" s="0" t="s">
        <v>286</v>
      </c>
      <c r="AX628" s="0" t="s">
        <v>641</v>
      </c>
      <c r="AY628" s="0" t="s">
        <v>2311</v>
      </c>
      <c r="AZ628" s="0" t="s">
        <v>2312</v>
      </c>
      <c r="BA628" s="0" t="s">
        <v>285</v>
      </c>
      <c r="BB628" s="0" t="str">
        <f t="shared" si="9"/>
        <v>CIHPbeGwerWest</v>
      </c>
    </row>
    <row r="629">
      <c r="AV629" s="0" t="s">
        <v>471</v>
      </c>
      <c r="AW629" s="0" t="s">
        <v>286</v>
      </c>
      <c r="AX629" s="0" t="s">
        <v>641</v>
      </c>
      <c r="AY629" s="0" t="s">
        <v>2313</v>
      </c>
      <c r="AZ629" s="0" t="s">
        <v>2314</v>
      </c>
      <c r="BA629" s="0" t="s">
        <v>285</v>
      </c>
      <c r="BB629" s="0" t="str">
        <f t="shared" si="9"/>
        <v>CIHPbeGwerWest</v>
      </c>
    </row>
    <row r="630">
      <c r="AV630" s="0" t="s">
        <v>471</v>
      </c>
      <c r="AW630" s="0" t="s">
        <v>286</v>
      </c>
      <c r="AX630" s="0" t="s">
        <v>641</v>
      </c>
      <c r="AY630" s="0" t="s">
        <v>2315</v>
      </c>
      <c r="AZ630" s="0" t="s">
        <v>2316</v>
      </c>
      <c r="BA630" s="0" t="s">
        <v>285</v>
      </c>
      <c r="BB630" s="0" t="str">
        <f t="shared" si="9"/>
        <v>CIHPbeGwerWest</v>
      </c>
    </row>
    <row r="631">
      <c r="AV631" s="0" t="s">
        <v>471</v>
      </c>
      <c r="AW631" s="0" t="s">
        <v>286</v>
      </c>
      <c r="AX631" s="0" t="s">
        <v>748</v>
      </c>
      <c r="AY631" s="0" t="s">
        <v>2317</v>
      </c>
      <c r="AZ631" s="0" t="s">
        <v>2318</v>
      </c>
      <c r="BA631" s="0" t="s">
        <v>285</v>
      </c>
      <c r="BB631" s="0" t="str">
        <f t="shared" si="9"/>
        <v>CIHPbeKwande</v>
      </c>
    </row>
    <row r="632">
      <c r="AV632" s="0" t="s">
        <v>471</v>
      </c>
      <c r="AW632" s="0" t="s">
        <v>286</v>
      </c>
      <c r="AX632" s="0" t="s">
        <v>748</v>
      </c>
      <c r="AY632" s="0" t="s">
        <v>2319</v>
      </c>
      <c r="AZ632" s="0" t="s">
        <v>2320</v>
      </c>
      <c r="BA632" s="0" t="s">
        <v>285</v>
      </c>
      <c r="BB632" s="0" t="str">
        <f t="shared" si="9"/>
        <v>CIHPbeKwande</v>
      </c>
    </row>
    <row r="633">
      <c r="AV633" s="0" t="s">
        <v>471</v>
      </c>
      <c r="AW633" s="0" t="s">
        <v>286</v>
      </c>
      <c r="AX633" s="0" t="s">
        <v>748</v>
      </c>
      <c r="AY633" s="0" t="s">
        <v>2321</v>
      </c>
      <c r="AZ633" s="0" t="s">
        <v>2322</v>
      </c>
      <c r="BA633" s="0" t="s">
        <v>285</v>
      </c>
      <c r="BB633" s="0" t="str">
        <f t="shared" si="9"/>
        <v>CIHPbeKwande</v>
      </c>
    </row>
    <row r="634">
      <c r="AV634" s="0" t="s">
        <v>471</v>
      </c>
      <c r="AW634" s="0" t="s">
        <v>286</v>
      </c>
      <c r="AX634" s="0" t="s">
        <v>748</v>
      </c>
      <c r="AY634" s="0" t="s">
        <v>2323</v>
      </c>
      <c r="AZ634" s="0" t="s">
        <v>2324</v>
      </c>
      <c r="BA634" s="0" t="s">
        <v>285</v>
      </c>
      <c r="BB634" s="0" t="str">
        <f t="shared" si="9"/>
        <v>CIHPbeKwande</v>
      </c>
    </row>
    <row r="635">
      <c r="AV635" s="0" t="s">
        <v>471</v>
      </c>
      <c r="AW635" s="0" t="s">
        <v>286</v>
      </c>
      <c r="AX635" s="0" t="s">
        <v>748</v>
      </c>
      <c r="AY635" s="0" t="s">
        <v>2325</v>
      </c>
      <c r="AZ635" s="0" t="s">
        <v>2326</v>
      </c>
      <c r="BA635" s="0" t="s">
        <v>285</v>
      </c>
      <c r="BB635" s="0" t="str">
        <f t="shared" si="9"/>
        <v>CIHPbeKwande</v>
      </c>
    </row>
    <row r="636">
      <c r="AV636" s="0" t="s">
        <v>471</v>
      </c>
      <c r="AW636" s="0" t="s">
        <v>286</v>
      </c>
      <c r="AX636" s="0" t="s">
        <v>748</v>
      </c>
      <c r="AY636" s="0" t="s">
        <v>2327</v>
      </c>
      <c r="AZ636" s="0" t="s">
        <v>2328</v>
      </c>
      <c r="BA636" s="0" t="s">
        <v>285</v>
      </c>
      <c r="BB636" s="0" t="str">
        <f t="shared" si="9"/>
        <v>CIHPbeKwande</v>
      </c>
    </row>
    <row r="637">
      <c r="AV637" s="0" t="s">
        <v>471</v>
      </c>
      <c r="AW637" s="0" t="s">
        <v>286</v>
      </c>
      <c r="AX637" s="0" t="s">
        <v>748</v>
      </c>
      <c r="AY637" s="0" t="s">
        <v>2329</v>
      </c>
      <c r="AZ637" s="0" t="s">
        <v>2330</v>
      </c>
      <c r="BA637" s="0" t="s">
        <v>285</v>
      </c>
      <c r="BB637" s="0" t="str">
        <f t="shared" si="9"/>
        <v>CIHPbeKwande</v>
      </c>
    </row>
    <row r="638">
      <c r="AV638" s="0" t="s">
        <v>471</v>
      </c>
      <c r="AW638" s="0" t="s">
        <v>286</v>
      </c>
      <c r="AX638" s="0" t="s">
        <v>748</v>
      </c>
      <c r="AY638" s="0" t="s">
        <v>2331</v>
      </c>
      <c r="AZ638" s="0" t="s">
        <v>2332</v>
      </c>
      <c r="BA638" s="0" t="s">
        <v>285</v>
      </c>
      <c r="BB638" s="0" t="str">
        <f t="shared" si="9"/>
        <v>CIHPbeKwande</v>
      </c>
    </row>
    <row r="639">
      <c r="AV639" s="0" t="s">
        <v>471</v>
      </c>
      <c r="AW639" s="0" t="s">
        <v>286</v>
      </c>
      <c r="AX639" s="0" t="s">
        <v>748</v>
      </c>
      <c r="AY639" s="0" t="s">
        <v>2333</v>
      </c>
      <c r="AZ639" s="0" t="s">
        <v>2334</v>
      </c>
      <c r="BA639" s="0" t="s">
        <v>285</v>
      </c>
      <c r="BB639" s="0" t="str">
        <f t="shared" si="9"/>
        <v>CIHPbeKwande</v>
      </c>
    </row>
    <row r="640">
      <c r="AV640" s="0" t="s">
        <v>471</v>
      </c>
      <c r="AW640" s="0" t="s">
        <v>286</v>
      </c>
      <c r="AX640" s="0" t="s">
        <v>748</v>
      </c>
      <c r="AY640" s="0" t="s">
        <v>2335</v>
      </c>
      <c r="AZ640" s="0" t="s">
        <v>2336</v>
      </c>
      <c r="BA640" s="0" t="s">
        <v>285</v>
      </c>
      <c r="BB640" s="0" t="str">
        <f t="shared" si="9"/>
        <v>CIHPbeKwande</v>
      </c>
    </row>
    <row r="641">
      <c r="AV641" s="0" t="s">
        <v>471</v>
      </c>
      <c r="AW641" s="0" t="s">
        <v>286</v>
      </c>
      <c r="AX641" s="0" t="s">
        <v>748</v>
      </c>
      <c r="AY641" s="0" t="s">
        <v>2337</v>
      </c>
      <c r="AZ641" s="0" t="s">
        <v>2338</v>
      </c>
      <c r="BA641" s="0" t="s">
        <v>285</v>
      </c>
      <c r="BB641" s="0" t="str">
        <f t="shared" si="9"/>
        <v>CIHPbeKwande</v>
      </c>
    </row>
    <row r="642">
      <c r="AV642" s="0" t="s">
        <v>471</v>
      </c>
      <c r="AW642" s="0" t="s">
        <v>286</v>
      </c>
      <c r="AX642" s="0" t="s">
        <v>748</v>
      </c>
      <c r="AY642" s="0" t="s">
        <v>2339</v>
      </c>
      <c r="AZ642" s="0" t="s">
        <v>2340</v>
      </c>
      <c r="BA642" s="0" t="s">
        <v>285</v>
      </c>
      <c r="BB642" s="0" t="str">
        <f t="shared" si="9"/>
        <v>CIHPbeKwande</v>
      </c>
    </row>
    <row r="643">
      <c r="AV643" s="0" t="s">
        <v>471</v>
      </c>
      <c r="AW643" s="0" t="s">
        <v>286</v>
      </c>
      <c r="AX643" s="0" t="s">
        <v>780</v>
      </c>
      <c r="AY643" s="0" t="s">
        <v>2341</v>
      </c>
      <c r="AZ643" s="0" t="s">
        <v>2342</v>
      </c>
      <c r="BA643" s="0" t="s">
        <v>285</v>
      </c>
      <c r="BB643" s="0" t="str">
        <f ref="BB643:BB706" t="shared" si="10">SUBSTITUTE(SUBSTITUTE(BA643&amp;AX643," ",""),"-","")</f>
        <v>CIHPbeLogo</v>
      </c>
    </row>
    <row r="644">
      <c r="AV644" s="0" t="s">
        <v>471</v>
      </c>
      <c r="AW644" s="0" t="s">
        <v>286</v>
      </c>
      <c r="AX644" s="0" t="s">
        <v>780</v>
      </c>
      <c r="AY644" s="0" t="s">
        <v>2343</v>
      </c>
      <c r="AZ644" s="0" t="s">
        <v>2344</v>
      </c>
      <c r="BA644" s="0" t="s">
        <v>285</v>
      </c>
      <c r="BB644" s="0" t="str">
        <f t="shared" si="10"/>
        <v>CIHPbeLogo</v>
      </c>
    </row>
    <row r="645">
      <c r="AV645" s="0" t="s">
        <v>471</v>
      </c>
      <c r="AW645" s="0" t="s">
        <v>286</v>
      </c>
      <c r="AX645" s="0" t="s">
        <v>780</v>
      </c>
      <c r="AY645" s="0" t="s">
        <v>2345</v>
      </c>
      <c r="AZ645" s="0" t="s">
        <v>2346</v>
      </c>
      <c r="BA645" s="0" t="s">
        <v>285</v>
      </c>
      <c r="BB645" s="0" t="str">
        <f t="shared" si="10"/>
        <v>CIHPbeLogo</v>
      </c>
    </row>
    <row r="646">
      <c r="AV646" s="0" t="s">
        <v>471</v>
      </c>
      <c r="AW646" s="0" t="s">
        <v>286</v>
      </c>
      <c r="AX646" s="0" t="s">
        <v>780</v>
      </c>
      <c r="AY646" s="0" t="s">
        <v>2347</v>
      </c>
      <c r="AZ646" s="0" t="s">
        <v>2348</v>
      </c>
      <c r="BA646" s="0" t="s">
        <v>285</v>
      </c>
      <c r="BB646" s="0" t="str">
        <f t="shared" si="10"/>
        <v>CIHPbeLogo</v>
      </c>
    </row>
    <row r="647">
      <c r="AV647" s="0" t="s">
        <v>471</v>
      </c>
      <c r="AW647" s="0" t="s">
        <v>286</v>
      </c>
      <c r="AX647" s="0" t="s">
        <v>780</v>
      </c>
      <c r="AY647" s="0" t="s">
        <v>2349</v>
      </c>
      <c r="AZ647" s="0" t="s">
        <v>2350</v>
      </c>
      <c r="BA647" s="0" t="s">
        <v>285</v>
      </c>
      <c r="BB647" s="0" t="str">
        <f t="shared" si="10"/>
        <v>CIHPbeLogo</v>
      </c>
    </row>
    <row r="648">
      <c r="AV648" s="0" t="s">
        <v>471</v>
      </c>
      <c r="AW648" s="0" t="s">
        <v>286</v>
      </c>
      <c r="AX648" s="0" t="s">
        <v>780</v>
      </c>
      <c r="AY648" s="0" t="s">
        <v>2351</v>
      </c>
      <c r="AZ648" s="0" t="s">
        <v>2352</v>
      </c>
      <c r="BA648" s="0" t="s">
        <v>285</v>
      </c>
      <c r="BB648" s="0" t="str">
        <f t="shared" si="10"/>
        <v>CIHPbeLogo</v>
      </c>
    </row>
    <row r="649">
      <c r="AV649" s="0" t="s">
        <v>471</v>
      </c>
      <c r="AW649" s="0" t="s">
        <v>286</v>
      </c>
      <c r="AX649" s="0" t="s">
        <v>780</v>
      </c>
      <c r="AY649" s="0" t="s">
        <v>2353</v>
      </c>
      <c r="AZ649" s="0" t="s">
        <v>2354</v>
      </c>
      <c r="BA649" s="0" t="s">
        <v>285</v>
      </c>
      <c r="BB649" s="0" t="str">
        <f t="shared" si="10"/>
        <v>CIHPbeLogo</v>
      </c>
    </row>
    <row r="650">
      <c r="AV650" s="0" t="s">
        <v>471</v>
      </c>
      <c r="AW650" s="0" t="s">
        <v>286</v>
      </c>
      <c r="AX650" s="0" t="s">
        <v>780</v>
      </c>
      <c r="AY650" s="0" t="s">
        <v>2355</v>
      </c>
      <c r="AZ650" s="0" t="s">
        <v>2356</v>
      </c>
      <c r="BA650" s="0" t="s">
        <v>285</v>
      </c>
      <c r="BB650" s="0" t="str">
        <f t="shared" si="10"/>
        <v>CIHPbeLogo</v>
      </c>
    </row>
    <row r="651">
      <c r="AV651" s="0" t="s">
        <v>471</v>
      </c>
      <c r="AW651" s="0" t="s">
        <v>286</v>
      </c>
      <c r="AX651" s="0" t="s">
        <v>780</v>
      </c>
      <c r="AY651" s="0" t="s">
        <v>2357</v>
      </c>
      <c r="AZ651" s="0" t="s">
        <v>2358</v>
      </c>
      <c r="BA651" s="0" t="s">
        <v>285</v>
      </c>
      <c r="BB651" s="0" t="str">
        <f t="shared" si="10"/>
        <v>CIHPbeLogo</v>
      </c>
    </row>
    <row r="652">
      <c r="AV652" s="0" t="s">
        <v>471</v>
      </c>
      <c r="AW652" s="0" t="s">
        <v>286</v>
      </c>
      <c r="AX652" s="0" t="s">
        <v>780</v>
      </c>
      <c r="AY652" s="0" t="s">
        <v>2359</v>
      </c>
      <c r="AZ652" s="0" t="s">
        <v>2360</v>
      </c>
      <c r="BA652" s="0" t="s">
        <v>285</v>
      </c>
      <c r="BB652" s="0" t="str">
        <f t="shared" si="10"/>
        <v>CIHPbeLogo</v>
      </c>
    </row>
    <row r="653">
      <c r="AV653" s="0" t="s">
        <v>471</v>
      </c>
      <c r="AW653" s="0" t="s">
        <v>286</v>
      </c>
      <c r="AX653" s="0" t="s">
        <v>780</v>
      </c>
      <c r="AY653" s="0" t="s">
        <v>2361</v>
      </c>
      <c r="AZ653" s="0" t="s">
        <v>2362</v>
      </c>
      <c r="BA653" s="0" t="s">
        <v>285</v>
      </c>
      <c r="BB653" s="0" t="str">
        <f t="shared" si="10"/>
        <v>CIHPbeLogo</v>
      </c>
    </row>
    <row r="654">
      <c r="AV654" s="0" t="s">
        <v>471</v>
      </c>
      <c r="AW654" s="0" t="s">
        <v>286</v>
      </c>
      <c r="AX654" s="0" t="s">
        <v>780</v>
      </c>
      <c r="AY654" s="0" t="s">
        <v>2363</v>
      </c>
      <c r="AZ654" s="0" t="s">
        <v>2364</v>
      </c>
      <c r="BA654" s="0" t="s">
        <v>285</v>
      </c>
      <c r="BB654" s="0" t="str">
        <f t="shared" si="10"/>
        <v>CIHPbeLogo</v>
      </c>
    </row>
    <row r="655">
      <c r="AV655" s="0" t="s">
        <v>471</v>
      </c>
      <c r="AW655" s="0" t="s">
        <v>286</v>
      </c>
      <c r="AX655" s="0" t="s">
        <v>780</v>
      </c>
      <c r="AY655" s="0" t="s">
        <v>2365</v>
      </c>
      <c r="AZ655" s="0" t="s">
        <v>2366</v>
      </c>
      <c r="BA655" s="0" t="s">
        <v>285</v>
      </c>
      <c r="BB655" s="0" t="str">
        <f t="shared" si="10"/>
        <v>CIHPbeLogo</v>
      </c>
    </row>
    <row r="656">
      <c r="AV656" s="0" t="s">
        <v>471</v>
      </c>
      <c r="AW656" s="0" t="s">
        <v>286</v>
      </c>
      <c r="AX656" s="0" t="s">
        <v>780</v>
      </c>
      <c r="AY656" s="0" t="s">
        <v>2367</v>
      </c>
      <c r="AZ656" s="0" t="s">
        <v>2368</v>
      </c>
      <c r="BA656" s="0" t="s">
        <v>285</v>
      </c>
      <c r="BB656" s="0" t="str">
        <f t="shared" si="10"/>
        <v>CIHPbeLogo</v>
      </c>
    </row>
    <row r="657">
      <c r="AV657" s="0" t="s">
        <v>471</v>
      </c>
      <c r="AW657" s="0" t="s">
        <v>286</v>
      </c>
      <c r="AX657" s="0" t="s">
        <v>780</v>
      </c>
      <c r="AY657" s="0" t="s">
        <v>2369</v>
      </c>
      <c r="AZ657" s="0" t="s">
        <v>2370</v>
      </c>
      <c r="BA657" s="0" t="s">
        <v>285</v>
      </c>
      <c r="BB657" s="0" t="str">
        <f t="shared" si="10"/>
        <v>CIHPbeLogo</v>
      </c>
    </row>
    <row r="658">
      <c r="AV658" s="0" t="s">
        <v>471</v>
      </c>
      <c r="AW658" s="0" t="s">
        <v>286</v>
      </c>
      <c r="AX658" s="0" t="s">
        <v>780</v>
      </c>
      <c r="AY658" s="0" t="s">
        <v>289</v>
      </c>
      <c r="AZ658" s="0" t="s">
        <v>293</v>
      </c>
      <c r="BA658" s="0" t="s">
        <v>285</v>
      </c>
      <c r="BB658" s="0" t="str">
        <f t="shared" si="10"/>
        <v>CIHPbeLogo</v>
      </c>
    </row>
    <row r="659">
      <c r="AV659" s="0" t="s">
        <v>471</v>
      </c>
      <c r="AW659" s="0" t="s">
        <v>286</v>
      </c>
      <c r="AX659" s="0" t="s">
        <v>780</v>
      </c>
      <c r="AY659" s="0" t="s">
        <v>2371</v>
      </c>
      <c r="AZ659" s="0" t="s">
        <v>2372</v>
      </c>
      <c r="BA659" s="0" t="s">
        <v>285</v>
      </c>
      <c r="BB659" s="0" t="str">
        <f t="shared" si="10"/>
        <v>CIHPbeLogo</v>
      </c>
    </row>
    <row r="660">
      <c r="AV660" s="0" t="s">
        <v>471</v>
      </c>
      <c r="AW660" s="0" t="s">
        <v>286</v>
      </c>
      <c r="AX660" s="0" t="s">
        <v>780</v>
      </c>
      <c r="AY660" s="0" t="s">
        <v>2373</v>
      </c>
      <c r="AZ660" s="0" t="s">
        <v>2374</v>
      </c>
      <c r="BA660" s="0" t="s">
        <v>285</v>
      </c>
      <c r="BB660" s="0" t="str">
        <f t="shared" si="10"/>
        <v>CIHPbeLogo</v>
      </c>
    </row>
    <row r="661">
      <c r="AV661" s="0" t="s">
        <v>471</v>
      </c>
      <c r="AW661" s="0" t="s">
        <v>286</v>
      </c>
      <c r="AX661" s="0" t="s">
        <v>780</v>
      </c>
      <c r="AY661" s="0" t="s">
        <v>2375</v>
      </c>
      <c r="AZ661" s="0" t="s">
        <v>2376</v>
      </c>
      <c r="BA661" s="0" t="s">
        <v>285</v>
      </c>
      <c r="BB661" s="0" t="str">
        <f t="shared" si="10"/>
        <v>CIHPbeLogo</v>
      </c>
    </row>
    <row r="662">
      <c r="AV662" s="0" t="s">
        <v>471</v>
      </c>
      <c r="AW662" s="0" t="s">
        <v>286</v>
      </c>
      <c r="AX662" s="0" t="s">
        <v>780</v>
      </c>
      <c r="AY662" s="0" t="s">
        <v>2377</v>
      </c>
      <c r="AZ662" s="0" t="s">
        <v>2378</v>
      </c>
      <c r="BA662" s="0" t="s">
        <v>285</v>
      </c>
      <c r="BB662" s="0" t="str">
        <f t="shared" si="10"/>
        <v>CIHPbeLogo</v>
      </c>
    </row>
    <row r="663">
      <c r="AV663" s="0" t="s">
        <v>471</v>
      </c>
      <c r="AW663" s="0" t="s">
        <v>286</v>
      </c>
      <c r="AX663" s="0" t="s">
        <v>780</v>
      </c>
      <c r="AY663" s="0" t="s">
        <v>2379</v>
      </c>
      <c r="AZ663" s="0" t="s">
        <v>2380</v>
      </c>
      <c r="BA663" s="0" t="s">
        <v>285</v>
      </c>
      <c r="BB663" s="0" t="str">
        <f t="shared" si="10"/>
        <v>CIHPbeLogo</v>
      </c>
    </row>
    <row r="664">
      <c r="AV664" s="0" t="s">
        <v>471</v>
      </c>
      <c r="AW664" s="0" t="s">
        <v>286</v>
      </c>
      <c r="AX664" s="0" t="s">
        <v>780</v>
      </c>
      <c r="AY664" s="0" t="s">
        <v>2381</v>
      </c>
      <c r="AZ664" s="0" t="s">
        <v>2382</v>
      </c>
      <c r="BA664" s="0" t="s">
        <v>285</v>
      </c>
      <c r="BB664" s="0" t="str">
        <f t="shared" si="10"/>
        <v>CIHPbeLogo</v>
      </c>
    </row>
    <row r="665">
      <c r="AV665" s="0" t="s">
        <v>471</v>
      </c>
      <c r="AW665" s="0" t="s">
        <v>286</v>
      </c>
      <c r="AX665" s="0" t="s">
        <v>780</v>
      </c>
      <c r="AY665" s="0" t="s">
        <v>2383</v>
      </c>
      <c r="AZ665" s="0" t="s">
        <v>2384</v>
      </c>
      <c r="BA665" s="0" t="s">
        <v>285</v>
      </c>
      <c r="BB665" s="0" t="str">
        <f t="shared" si="10"/>
        <v>CIHPbeLogo</v>
      </c>
    </row>
    <row r="666">
      <c r="AV666" s="0" t="s">
        <v>471</v>
      </c>
      <c r="AW666" s="0" t="s">
        <v>286</v>
      </c>
      <c r="AX666" s="0" t="s">
        <v>780</v>
      </c>
      <c r="AY666" s="0" t="s">
        <v>2385</v>
      </c>
      <c r="AZ666" s="0" t="s">
        <v>2386</v>
      </c>
      <c r="BA666" s="0" t="s">
        <v>285</v>
      </c>
      <c r="BB666" s="0" t="str">
        <f t="shared" si="10"/>
        <v>CIHPbeLogo</v>
      </c>
    </row>
    <row r="667">
      <c r="AV667" s="0" t="s">
        <v>471</v>
      </c>
      <c r="AW667" s="0" t="s">
        <v>286</v>
      </c>
      <c r="AX667" s="0" t="s">
        <v>780</v>
      </c>
      <c r="AY667" s="0" t="s">
        <v>2387</v>
      </c>
      <c r="AZ667" s="0" t="s">
        <v>2388</v>
      </c>
      <c r="BA667" s="0" t="s">
        <v>285</v>
      </c>
      <c r="BB667" s="0" t="str">
        <f t="shared" si="10"/>
        <v>CIHPbeLogo</v>
      </c>
    </row>
    <row r="668">
      <c r="AV668" s="0" t="s">
        <v>471</v>
      </c>
      <c r="AW668" s="0" t="s">
        <v>286</v>
      </c>
      <c r="AX668" s="0" t="s">
        <v>780</v>
      </c>
      <c r="AY668" s="0" t="s">
        <v>2389</v>
      </c>
      <c r="AZ668" s="0" t="s">
        <v>2390</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