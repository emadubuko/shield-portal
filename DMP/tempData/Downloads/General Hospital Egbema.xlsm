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<sst xmlns="http://schemas.openxmlformats.org/spreadsheetml/2006/main" count="4056" uniqueCount="4056">
  <si>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</si>
  <si>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</si>
  <si>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</si>
  <si>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</si>
  <si>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</si>
  <si>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</si>
  <si>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</si>
  <si>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</si>
  <si>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</si>
  <si>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</si>
  <si>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</si>
  <si>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</si>
  <si>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</si>
  <si>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</si>
  <si>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</si>
  <si>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</si>
  <si>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</si>
  <si>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</si>
  <si>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</si>
  <si>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</si>
  <si>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</si>
  <si>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</si>
  <si>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</si>
  <si>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</si>
  <si>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</si>
  <si>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</si>
  <si>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</si>
  <si>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</si>
  <si>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</si>
  <si>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</si>
  <si>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</si>
  <si>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</si>
  <si>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</si>
  <si>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</si>
  <si>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</si>
  <si>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</si>
  <si>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</si>
  <si>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</si>
  <si>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</si>
  <si>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</si>
  <si>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</si>
  <si>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</si>
  <si>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</si>
  <si>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</si>
  <si>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</si>
  <si>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</si>
  <si>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</si>
  <si>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</si>
  <si>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</si>
  <si>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</si>
  <si>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</si>
  <si>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</si>
  <si>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</si>
  <si>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</si>
  <si>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</si>
  <si>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</si>
  <si>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</si>
  <si>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</si>
  <si>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</si>
  <si>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</si>
  <si>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</si>
  <si>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</si>
  <si>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</si>
  <si>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</si>
  <si>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</si>
  <si>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</si>
  <si>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</si>
  <si>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</si>
  <si>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</si>
  <si>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</si>
  <si>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</si>
  <si>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</si>
  <si>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</si>
  <si>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</si>
  <si>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</si>
  <si>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</si>
  <si>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</si>
  <si>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</si>
  <si>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</si>
  <si>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</si>
  <si>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</si>
  <si>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</si>
  <si>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</si>
  <si>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</si>
  <si>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</si>
  <si>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</si>
  <si>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</si>
  <si>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</si>
  <si>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</si>
  <si>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</si>
  <si>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</si>
  <si>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</si>
  <si>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</si>
  <si>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</si>
  <si>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</si>
  <si>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</si>
  <si>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</si>
  <si>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</si>
  <si>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</si>
  <si>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</si>
  <si>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</si>
  <si>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</si>
  <si>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</si>
  <si>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</si>
  <si>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</si>
  <si>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</si>
  <si>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</si>
  <si>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</si>
  <si>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</si>
  <si>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</si>
  <si>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</si>
  <si>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</si>
  <si>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</si>
  <si>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</si>
  <si>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</si>
  <si>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</si>
  <si>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</si>
  <si>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</si>
  <si>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</si>
  <si>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</si>
  <si>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</si>
  <si>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</si>
  <si>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</si>
  <si>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</si>
  <si>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</si>
  <si>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</si>
  <si>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</si>
  <si>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</si>
  <si>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</si>
  <si>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</si>
  <si>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</si>
  <si>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</si>
  <si>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</si>
  <si>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</si>
  <si>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</si>
  <si>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</si>
  <si>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</si>
  <si>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</si>
  <si>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</si>
  <si>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</si>
  <si>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</si>
  <si>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</si>
  <si>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</si>
  <si>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</si>
  <si>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</si>
  <si>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</si>
  <si>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</si>
  <si>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</si>
  <si>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</si>
  <si>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</si>
  <si>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</si>
  <si>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</si>
  <si>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</si>
  <si>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</si>
  <si>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</si>
  <si>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</si>
  <si>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</si>
  <si>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</si>
  <si>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</si>
  <si>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</si>
  <si>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</si>
  <si>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</si>
  <si>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</si>
  <si>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</si>
  <si>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</si>
  <si>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</si>
  <si>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</si>
  <si>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</si>
  <si>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</si>
  <si>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</si>
  <si>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</si>
  <si>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</si>
  <si>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</si>
  <si>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</si>
  <si>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</si>
  <si>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</si>
  <si>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</si>
  <si>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</si>
  <si>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</si>
  <si>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</si>
  <si>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</si>
  <si>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</si>
  <si>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</si>
  <si>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</si>
  <si>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</si>
  <si>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</si>
  <si>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</si>
  <si>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</si>
  <si>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</si>
  <si>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</si>
  <si>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</si>
  <si>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</si>
  <si>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</si>
  <si>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</si>
  <si>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</si>
  <si>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</si>
  <si>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</si>
  <si>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</si>
  <si>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</si>
  <si>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</si>
  <si>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</si>
  <si>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</si>
  <si>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</si>
  <si>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</si>
  <si>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</si>
  <si>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</si>
  <si>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</si>
  <si>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</si>
  <si>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</si>
  <si>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</si>
  <si>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</si>
  <si>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</si>
  <si>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</si>
  <si>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</si>
  <si>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</si>
  <si>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</si>
  <si>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</si>
  <si>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</si>
  <si>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</si>
  <si>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</si>
  <si>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</si>
  <si>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</si>
  <si>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</si>
  <si>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</si>
  <si>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</si>
  <si>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</si>
  <si>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</si>
  <si>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</si>
  <si>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</si>
  <si>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</si>
  <si>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</si>
  <si>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</si>
  <si>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</si>
  <si>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</si>
  <si>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</si>
  <si>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</si>
  <si>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</si>
  <si>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</si>
  <si>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</si>
  <si>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</si>
  <si>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</si>
  <si>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</si>
  <si>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</si>
  <si>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</si>
  <si>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</si>
  <si>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</si>
  <si>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</si>
  <si>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</si>
  <si>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</si>
  <si>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</si>
  <si>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</si>
  <si>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</si>
  <si>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</si>
  <si>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</si>
  <si>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</si>
  <si>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</si>
  <si>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</si>
  <si>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</si>
  <si>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</si>
  <si>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</si>
  <si>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</si>
  <si>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</si>
  <si>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</si>
  <si>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</si>
  <si>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</si>
  <si>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</si>
  <si>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</si>
  <si>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</si>
  <si>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</si>
  <si>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</si>
  <si>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</si>
  <si>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</si>
  <si>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</si>
  <si>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</si>
  <si>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</si>
  <si>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</si>
  <si>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</si>
  <si>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</si>
  <si>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</si>
  <si>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</si>
  <si>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</si>
  <si>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</si>
  <si>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</si>
  <si>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</si>
  <si>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</si>
  <si>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</si>
  <si>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</si>
  <si>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Ohaji/Egbema</t>
  </si>
  <si>
    <t>Facility Name:</t>
  </si>
  <si>
    <t>General Hospital Egbema</t>
  </si>
  <si>
    <t>Reporting Period:</t>
  </si>
  <si>
    <t>Q1(Oct - Dec)</t>
  </si>
  <si>
    <t>Facility Code:</t>
  </si>
  <si>
    <t>cXN58l7fdGH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</si>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</sst>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v>
      </c>
      <c r="G8" s="155">
        <f>ROUND(SUM('All Questions'!D31:D35)/5+G12,0)</f>
        <v>12</v>
      </c>
      <c r="H8" s="156">
        <f>ROUND(SUM('All Questions'!D37,'All Questions'!D40)/2+'All Questions'!D26+H12,0)</f>
        <v>4</v>
      </c>
      <c r="I8" s="157">
        <f>ROUND((SUM('All Questions'!E11:E14)/4)+I12,0)</f>
        <v>0</v>
      </c>
      <c r="J8" s="155">
        <f>ROUND(SUM('All Questions'!E15:E21)/7+J12,0)</f>
        <v>0</v>
      </c>
      <c r="K8" s="155">
        <f>ROUND(SUM('All Questions'!E23:E30)/4+K12,0)</f>
        <v>1</v>
      </c>
      <c r="L8" s="155">
        <f>ROUND(SUM('All Questions'!E31:E35)/5+L12,0)</f>
        <v>14</v>
      </c>
      <c r="M8" s="156">
        <f>ROUND(('All Questions'!E37+'All Questions'!E40)/2+'All Questions'!E26+M12,0)</f>
        <v>2</v>
      </c>
      <c r="N8" s="157">
        <f>ROUND((SUM('All Questions'!F11:F14)/4)+N12,0)</f>
        <v>0</v>
      </c>
      <c r="O8" s="155">
        <f>ROUND(SUM('All Questions'!F15:F21)/7+O12,0)</f>
        <v>0</v>
      </c>
      <c r="P8" s="155">
        <f>ROUND(SUM('All Questions'!F23:F30)/4+P12,0)</f>
        <v>1</v>
      </c>
      <c r="Q8" s="155">
        <f>ROUND(SUM('All Questions'!F31:F35)/5+Q12,0)</f>
        <v>5</v>
      </c>
      <c r="R8" s="156">
        <f>ROUND(('All Questions'!F37+'All Questions'!F40)/2+'All Questions'!F26+R12,0)</f>
        <v>3</v>
      </c>
      <c r="S8" s="141">
        <f>'All Questions'!F2</f>
        <v>0</v>
      </c>
      <c r="T8" s="142" t="e">
        <f>(AVERAGE(F8:H8)+AVERAGE(K8:M8)+AVERAGE(P8:R8))/S8</f>
        <v>#DIV/0!</v>
      </c>
      <c r="V8" s="309">
        <f>AVERAGE(F8:H8)+AVERAGE(K8:M8)+AVERAGE(P8:R8)</f>
        <v>14.333333333333334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9</v>
      </c>
      <c r="H10" s="162">
        <f>ROUND(('All Questions'!D37+'All Questions'!D40)/2+'All Questions'!D26,0)</f>
        <v>0</v>
      </c>
      <c r="I10" s="163">
        <f>ROUND((SUM('All Questions'!E11:E14)/4),0)</f>
        <v>0</v>
      </c>
      <c r="J10" s="164">
        <f>ROUND(SUM('All Questions'!E15:E21)/7,0)</f>
        <v>0</v>
      </c>
      <c r="K10" s="164">
        <f>ROUND(SUM('All Questions'!E23:E30)/4,0)</f>
        <v>0</v>
      </c>
      <c r="L10" s="164">
        <f>ROUND(SUM('All Questions'!E31:E35)/5,0)</f>
        <v>12</v>
      </c>
      <c r="M10" s="165">
        <f>ROUND(('All Questions'!E37+'All Questions'!E40)/2+'All Questions'!E26,0)</f>
        <v>0</v>
      </c>
      <c r="N10" s="166">
        <f>ROUND((SUM('All Questions'!F11:F14)/4),0)</f>
        <v>0</v>
      </c>
      <c r="O10" s="164">
        <f>ROUND(SUM('All Questions'!F15:F21)/7,0)</f>
        <v>0</v>
      </c>
      <c r="P10" s="164">
        <f>ROUND(SUM('All Questions'!F23:F30)/4,0)</f>
        <v>0</v>
      </c>
      <c r="Q10" s="164">
        <f>ROUND(SUM('All Questions'!F31:F35)/5,0)</f>
        <v>3</v>
      </c>
      <c r="R10" s="165">
        <f>ROUND(('All Questions'!F37+'All Questions'!F40)/2+'All Questions'!F26,0)</f>
        <v>0</v>
      </c>
      <c r="S10" s="141">
        <f>'All Questions'!F4</f>
        <v>0</v>
      </c>
      <c r="T10" s="143" t="e">
        <f>(AVERAGE(F10:H10)+AVERAGE(K10:M10)+AVERAGE(P10:R10))/S10</f>
        <v>#DIV/0!</v>
      </c>
      <c r="V10" s="309">
        <f>AVERAGE(F10:H10)+AVERAGE(K10:M10)+AVERAGE(P10:R10)</f>
        <v>8</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3</v>
      </c>
      <c r="H12" s="174">
        <f>ROUND(SUM('All Questions'!D82:D83)/2,0)</f>
        <v>4</v>
      </c>
      <c r="I12" s="175">
        <f>ROUND(SUM('All Questions'!E54:E58)+'All Questions'!E71/4,0)</f>
        <v>0</v>
      </c>
      <c r="J12" s="176">
        <f>ROUND(SUM('All Questions'!E60:E63)/4,0)</f>
        <v>0</v>
      </c>
      <c r="K12" s="176">
        <f>ROUND(SUM('All Questions'!E67:E72)/3,0)</f>
        <v>1</v>
      </c>
      <c r="L12" s="176">
        <f>ROUND(SUM('All Questions'!E73:E80)/4,0)</f>
        <v>2</v>
      </c>
      <c r="M12" s="177">
        <f>ROUND(SUM('All Questions'!E82:E83)/2,0)</f>
        <v>2</v>
      </c>
      <c r="N12" s="178">
        <f>ROUND(SUM('All Questions'!F54:F58)+'All Questions'!F71/4,0)</f>
        <v>0</v>
      </c>
      <c r="O12" s="176">
        <f>ROUND(SUM('All Questions'!F60:F63)/4,0)</f>
        <v>0</v>
      </c>
      <c r="P12" s="176">
        <f>ROUND(SUM('All Questions'!F67:F72)/3,0)</f>
        <v>1</v>
      </c>
      <c r="Q12" s="176">
        <f>ROUND(SUM('All Questions'!F73:F80)/4,0)</f>
        <v>2</v>
      </c>
      <c r="R12" s="177">
        <f>ROUND(SUM('All Questions'!F82:F83)/2,0)</f>
        <v>3</v>
      </c>
      <c r="S12" s="145">
        <f>'All Questions'!F46</f>
        <v>0</v>
      </c>
      <c r="T12" s="146" t="e">
        <f ref="T12:T15" t="shared" si="1">(AVERAGE(F12:H12)+AVERAGE(K12:M12)+AVERAGE(P12:R12))/S12</f>
        <v>#DIV/0!</v>
      </c>
      <c r="V12" s="309">
        <f>AVERAGE(F12:H12)+AVERAGE(K12:M12)+AVERAGE(P12:R12)</f>
        <v>6.333333333333333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2</v>
      </c>
      <c r="H17" s="197">
        <f>ROUND(SUM('All Questions'!D160,'All Questions'!D163)/2,0)</f>
        <v>2</v>
      </c>
      <c r="I17" s="198">
        <f>ROUND(SUM('All Questions'!E145:E146)/2,0)</f>
        <v>0</v>
      </c>
      <c r="J17" s="199">
        <f>ROUND(SUM('All Questions'!E147:E150)/4,0)</f>
        <v>0</v>
      </c>
      <c r="K17" s="199">
        <f>ROUND(SUM('All Questions'!E151:E154)/2,0)</f>
        <v>6</v>
      </c>
      <c r="L17" s="199">
        <f>ROUND(SUM('All Questions'!E155:E158)/4,0)</f>
        <v>6</v>
      </c>
      <c r="M17" s="197">
        <f>ROUND(SUM('All Questions'!E160,'All Questions'!E163)/2,0)</f>
        <v>6</v>
      </c>
      <c r="N17" s="200">
        <f>ROUND(SUM('All Questions'!F145:F146)/2,0)</f>
        <v>0</v>
      </c>
      <c r="O17" s="199">
        <f>ROUND(SUM('All Questions'!F147:F150)/4,0)</f>
        <v>0</v>
      </c>
      <c r="P17" s="199">
        <f>ROUND(SUM('All Questions'!F151:F154)/2,0)</f>
        <v>4</v>
      </c>
      <c r="Q17" s="199">
        <f>ROUND(SUM('All Questions'!F155:F158)/4,0)</f>
        <v>5</v>
      </c>
      <c r="R17" s="199">
        <f>ROUND(SUM('All Questions'!F160,'All Questions'!F163)/2,0)</f>
        <v>4</v>
      </c>
      <c r="S17" s="151">
        <f>'All Questions'!F141</f>
        <v>0</v>
      </c>
      <c r="T17" s="142" t="e">
        <f>(AVERAGE(F17:H17)+AVERAGE(K17:M17)+AVERAGE(P17:R17))/S17</f>
        <v>#DIV/0!</v>
      </c>
      <c r="V17" s="309">
        <f t="shared" si="2"/>
        <v>12.333333333333332</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36</v>
      </c>
      <c r="Q18" s="204">
        <f>ROUND(SUM('All Questions'!F186:F189)/4,0)</f>
        <v>27</v>
      </c>
      <c r="R18" s="303">
        <f>ROUND(('All Questions'!F191-('All Questions'!F194+'All Questions'!F197+'All Questions'!F200)),0)</f>
        <v>0</v>
      </c>
      <c r="S18" s="152">
        <f>'All Questions'!F166</f>
        <v>0</v>
      </c>
      <c r="T18" s="144" t="e">
        <f>AVERAGE(P18:R18)/S18</f>
        <v>#DIV/0!</v>
      </c>
      <c r="V18" s="309">
        <f>AVERAGE(P18:R18)</f>
        <v>21</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45</v>
      </c>
      <c r="E35" s="301">
        <v>60</v>
      </c>
      <c r="F35" s="301">
        <v>17</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42</v>
      </c>
      <c r="E38" s="301">
        <v>53</v>
      </c>
      <c r="F38" s="301">
        <v>16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3</v>
      </c>
      <c r="E41" s="301">
        <v>7</v>
      </c>
      <c r="F41" s="301">
        <v>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7</v>
      </c>
      <c r="E44" s="301">
        <v>12</v>
      </c>
      <c r="F44" s="301">
        <v>5</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4</v>
      </c>
      <c r="E54" s="301">
        <v>2</v>
      </c>
      <c r="F54" s="301">
        <v>3</v>
      </c>
      <c r="G54" s="207" t="s">
        <v>117</v>
      </c>
    </row>
    <row r="55" hidden="1" ht="45" customHeight="1">
      <c r="A55" s="226"/>
      <c r="B55" s="238">
        <v>1215</v>
      </c>
      <c r="C55" s="242" t="s">
        <v>133</v>
      </c>
      <c r="D55" s="301">
        <v>3</v>
      </c>
      <c r="E55" s="301">
        <v>2</v>
      </c>
      <c r="F55" s="301">
        <v>2</v>
      </c>
      <c r="G55" s="207" t="s">
        <v>117</v>
      </c>
    </row>
    <row r="56" hidden="1" ht="45" customHeight="1">
      <c r="A56" s="226"/>
      <c r="B56" s="238">
        <v>1216</v>
      </c>
      <c r="C56" s="243" t="s">
        <v>134</v>
      </c>
      <c r="D56" s="301">
        <v>4</v>
      </c>
      <c r="E56" s="301">
        <v>2</v>
      </c>
      <c r="F56" s="301">
        <v>3</v>
      </c>
      <c r="G56" s="207" t="s">
        <v>117</v>
      </c>
    </row>
    <row r="57" hidden="1" ht="45" customHeight="1">
      <c r="A57" s="226"/>
      <c r="B57" s="238">
        <v>1217</v>
      </c>
      <c r="C57" s="243" t="s">
        <v>135</v>
      </c>
      <c r="D57" s="301">
        <v>0</v>
      </c>
      <c r="E57" s="301">
        <v>0</v>
      </c>
      <c r="F57" s="301">
        <v>1</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4</v>
      </c>
      <c r="E59" s="301">
        <v>2</v>
      </c>
      <c r="F59" s="301">
        <v>3</v>
      </c>
      <c r="G59" s="207" t="s">
        <v>117</v>
      </c>
    </row>
    <row r="60" hidden="1" ht="45" customHeight="1">
      <c r="A60" s="226"/>
      <c r="B60" s="238">
        <v>1222</v>
      </c>
      <c r="C60" s="264" t="s">
        <v>138</v>
      </c>
      <c r="D60" s="301">
        <v>4</v>
      </c>
      <c r="E60" s="301">
        <v>2</v>
      </c>
      <c r="F60" s="301">
        <v>2</v>
      </c>
      <c r="G60" s="207" t="s">
        <v>117</v>
      </c>
    </row>
    <row r="61" hidden="1" ht="45" customHeight="1">
      <c r="A61" s="226"/>
      <c r="B61" s="238">
        <v>1223</v>
      </c>
      <c r="C61" s="264" t="s">
        <v>139</v>
      </c>
      <c r="D61" s="301">
        <v>4</v>
      </c>
      <c r="E61" s="301">
        <v>2</v>
      </c>
      <c r="F61" s="301">
        <v>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v>
      </c>
      <c r="E67" s="301">
        <v>2</v>
      </c>
      <c r="F67" s="301">
        <v>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v>
      </c>
      <c r="E73" s="301">
        <v>2</v>
      </c>
      <c r="F73" s="301">
        <v>2</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4</v>
      </c>
      <c r="E75" s="301">
        <v>2</v>
      </c>
      <c r="F75" s="301">
        <v>2</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v>
      </c>
      <c r="E79" s="301">
        <v>2</v>
      </c>
      <c r="F79" s="301">
        <v>2</v>
      </c>
      <c r="G79" s="207" t="s">
        <v>117</v>
      </c>
    </row>
    <row r="80" hidden="1" ht="45" customHeight="1">
      <c r="A80" s="226"/>
      <c r="B80" s="238">
        <v>1248</v>
      </c>
      <c r="C80" s="242" t="s">
        <v>158</v>
      </c>
      <c r="D80" s="301">
        <v>0</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v>
      </c>
      <c r="E82" s="301">
        <v>2</v>
      </c>
      <c r="F82" s="301">
        <v>3</v>
      </c>
      <c r="G82" s="207" t="s">
        <v>117</v>
      </c>
    </row>
    <row r="83" hidden="1" ht="45" customHeight="1">
      <c r="A83" s="226"/>
      <c r="B83" s="238">
        <v>1253</v>
      </c>
      <c r="C83" s="242" t="s">
        <v>161</v>
      </c>
      <c r="D83" s="301">
        <v>4</v>
      </c>
      <c r="E83" s="301">
        <v>2</v>
      </c>
      <c r="F83" s="301">
        <v>3</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1</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0</v>
      </c>
      <c r="F97" s="301">
        <v>1</v>
      </c>
      <c r="G97" s="266" t="s">
        <v>168</v>
      </c>
    </row>
    <row r="98" ht="45" customHeight="1" s="270" customFormat="1">
      <c r="A98" s="226"/>
      <c r="B98" s="238">
        <v>1322</v>
      </c>
      <c r="C98" s="242" t="s">
        <v>177</v>
      </c>
      <c r="D98" s="301">
        <v>1</v>
      </c>
      <c r="E98" s="301">
        <v>0</v>
      </c>
      <c r="F98" s="301">
        <v>1</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2</v>
      </c>
      <c r="E146" s="301">
        <v>6</v>
      </c>
      <c r="F146" s="301">
        <v>3</v>
      </c>
      <c r="G146" s="207" t="s">
        <v>219</v>
      </c>
    </row>
    <row r="147" hidden="1" ht="45" customHeight="1">
      <c r="A147" s="226"/>
      <c r="B147" s="238">
        <v>1521</v>
      </c>
      <c r="C147" s="264" t="s">
        <v>227</v>
      </c>
      <c r="D147" s="301">
        <v>2</v>
      </c>
      <c r="E147" s="301">
        <v>6</v>
      </c>
      <c r="F147" s="301">
        <v>3</v>
      </c>
      <c r="G147" s="207" t="s">
        <v>219</v>
      </c>
    </row>
    <row r="148" hidden="1" ht="45" customHeight="1">
      <c r="A148" s="226"/>
      <c r="B148" s="238">
        <v>1522</v>
      </c>
      <c r="C148" s="264" t="s">
        <v>228</v>
      </c>
      <c r="D148" s="301">
        <v>2</v>
      </c>
      <c r="E148" s="301">
        <v>6</v>
      </c>
      <c r="F148" s="301">
        <v>3</v>
      </c>
      <c r="G148" s="207" t="s">
        <v>219</v>
      </c>
    </row>
    <row r="149" hidden="1" ht="45" customHeight="1">
      <c r="A149" s="226"/>
      <c r="B149" s="238">
        <v>1523</v>
      </c>
      <c r="C149" s="264" t="s">
        <v>229</v>
      </c>
      <c r="D149" s="301">
        <v>2</v>
      </c>
      <c r="E149" s="301">
        <v>5</v>
      </c>
      <c r="F149" s="301">
        <v>3</v>
      </c>
      <c r="G149" s="207" t="s">
        <v>219</v>
      </c>
    </row>
    <row r="150" hidden="1" ht="45" customHeight="1">
      <c r="A150" s="226"/>
      <c r="B150" s="238">
        <v>1524</v>
      </c>
      <c r="C150" s="264" t="s">
        <v>230</v>
      </c>
      <c r="D150" s="301">
        <v>2</v>
      </c>
      <c r="E150" s="301">
        <v>6</v>
      </c>
      <c r="F150" s="301">
        <v>3</v>
      </c>
      <c r="G150" s="207" t="s">
        <v>219</v>
      </c>
    </row>
    <row r="151" hidden="1" ht="45" customHeight="1">
      <c r="A151" s="226"/>
      <c r="B151" s="238">
        <v>1531</v>
      </c>
      <c r="C151" s="242" t="s">
        <v>231</v>
      </c>
      <c r="D151" s="301">
        <v>1</v>
      </c>
      <c r="E151" s="301">
        <v>2</v>
      </c>
      <c r="F151" s="301">
        <v>0</v>
      </c>
      <c r="G151" s="207" t="s">
        <v>219</v>
      </c>
    </row>
    <row r="152" hidden="1" ht="45" customHeight="1">
      <c r="A152" s="226"/>
      <c r="B152" s="238">
        <v>1532</v>
      </c>
      <c r="C152" s="242" t="s">
        <v>232</v>
      </c>
      <c r="D152" s="301">
        <v>1</v>
      </c>
      <c r="E152" s="301">
        <v>3</v>
      </c>
      <c r="F152" s="301">
        <v>5</v>
      </c>
      <c r="G152" s="207" t="s">
        <v>219</v>
      </c>
    </row>
    <row r="153" hidden="1" ht="45" customHeight="1">
      <c r="A153" s="226"/>
      <c r="B153" s="238">
        <v>1533</v>
      </c>
      <c r="C153" s="242" t="s">
        <v>233</v>
      </c>
      <c r="D153" s="301">
        <v>2</v>
      </c>
      <c r="E153" s="301">
        <v>6</v>
      </c>
      <c r="F153" s="301">
        <v>4</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2</v>
      </c>
      <c r="E155" s="301">
        <v>6</v>
      </c>
      <c r="F155" s="301">
        <v>5</v>
      </c>
      <c r="G155" s="207" t="s">
        <v>219</v>
      </c>
    </row>
    <row r="156" hidden="1" ht="45" customHeight="1">
      <c r="A156" s="226"/>
      <c r="B156" s="238">
        <v>1542</v>
      </c>
      <c r="C156" s="264" t="s">
        <v>236</v>
      </c>
      <c r="D156" s="301">
        <v>2</v>
      </c>
      <c r="E156" s="301">
        <v>5</v>
      </c>
      <c r="F156" s="301">
        <v>5</v>
      </c>
      <c r="G156" s="207" t="s">
        <v>219</v>
      </c>
    </row>
    <row r="157" hidden="1" ht="45" customHeight="1">
      <c r="A157" s="226"/>
      <c r="B157" s="238">
        <v>1543</v>
      </c>
      <c r="C157" s="264" t="s">
        <v>237</v>
      </c>
      <c r="D157" s="301">
        <v>2</v>
      </c>
      <c r="E157" s="301">
        <v>6</v>
      </c>
      <c r="F157" s="301">
        <v>4</v>
      </c>
      <c r="G157" s="207" t="s">
        <v>219</v>
      </c>
    </row>
    <row r="158" hidden="1" ht="45" customHeight="1">
      <c r="A158" s="226"/>
      <c r="B158" s="238">
        <v>1544</v>
      </c>
      <c r="C158" s="242" t="s">
        <v>238</v>
      </c>
      <c r="D158" s="301">
        <v>2</v>
      </c>
      <c r="E158" s="301">
        <v>5</v>
      </c>
      <c r="F158" s="301">
        <v>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v>
      </c>
      <c r="E160" s="301">
        <v>6</v>
      </c>
      <c r="F160" s="301">
        <v>4</v>
      </c>
      <c r="G160" s="207" t="s">
        <v>219</v>
      </c>
    </row>
    <row r="161" hidden="1" ht="45" customHeight="1">
      <c r="A161" s="226"/>
      <c r="B161" s="238">
        <v>1553</v>
      </c>
      <c r="C161" s="242" t="s">
        <v>241</v>
      </c>
      <c r="D161" s="301">
        <v>2</v>
      </c>
      <c r="E161" s="301">
        <v>5</v>
      </c>
      <c r="F161" s="301">
        <v>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2</v>
      </c>
      <c r="E163" s="301">
        <v>5</v>
      </c>
      <c r="F163" s="301">
        <v>5</v>
      </c>
      <c r="G163" s="207" t="s">
        <v>219</v>
      </c>
    </row>
    <row r="164" hidden="1" ht="45" customHeight="1">
      <c r="A164" s="226"/>
      <c r="B164" s="238">
        <v>1556</v>
      </c>
      <c r="C164" s="242" t="s">
        <v>241</v>
      </c>
      <c r="D164" s="301">
        <v>2</v>
      </c>
      <c r="E164" s="301">
        <v>5</v>
      </c>
      <c r="F164" s="301">
        <v>5</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3</v>
      </c>
      <c r="E173" s="301">
        <v>4</v>
      </c>
      <c r="F173" s="301">
        <v>3</v>
      </c>
      <c r="G173" s="207" t="s">
        <v>244</v>
      </c>
    </row>
    <row r="174" hidden="1" ht="45" customHeight="1">
      <c r="A174" s="226"/>
      <c r="B174" s="238">
        <v>1616</v>
      </c>
      <c r="C174" s="242" t="s">
        <v>253</v>
      </c>
      <c r="D174" s="301">
        <v>68</v>
      </c>
      <c r="E174" s="301">
        <v>71</v>
      </c>
      <c r="F174" s="301">
        <v>75</v>
      </c>
      <c r="G174" s="207" t="s">
        <v>244</v>
      </c>
    </row>
    <row r="175" hidden="1" ht="45" customHeight="1">
      <c r="A175" s="226"/>
      <c r="B175" s="238">
        <v>1621</v>
      </c>
      <c r="C175" s="242" t="s">
        <v>254</v>
      </c>
      <c r="D175" s="301">
        <v>34</v>
      </c>
      <c r="E175" s="301">
        <v>46</v>
      </c>
      <c r="F175" s="301">
        <v>34</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34</v>
      </c>
      <c r="E177" s="301">
        <v>46</v>
      </c>
      <c r="F177" s="301">
        <v>34</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34</v>
      </c>
      <c r="E179" s="301">
        <v>46</v>
      </c>
      <c r="F179" s="301">
        <v>34</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66</v>
      </c>
      <c r="E183" s="301">
        <v>69</v>
      </c>
      <c r="F183" s="301">
        <v>73</v>
      </c>
      <c r="G183" s="207" t="s">
        <v>244</v>
      </c>
    </row>
    <row r="184" hidden="1" ht="45" customHeight="1">
      <c r="A184" s="226"/>
      <c r="B184" s="238">
        <v>1634</v>
      </c>
      <c r="C184" s="242" t="s">
        <v>263</v>
      </c>
      <c r="D184" s="301">
        <v>2</v>
      </c>
      <c r="E184" s="301">
        <v>2</v>
      </c>
      <c r="F184" s="301">
        <v>2</v>
      </c>
      <c r="G184" s="207" t="s">
        <v>244</v>
      </c>
    </row>
    <row r="185" hidden="1" ht="45" customHeight="1">
      <c r="A185" s="226"/>
      <c r="B185" s="238">
        <v>1635</v>
      </c>
      <c r="C185" s="242" t="s">
        <v>264</v>
      </c>
      <c r="D185" s="301">
        <v>34</v>
      </c>
      <c r="E185" s="301">
        <v>46</v>
      </c>
      <c r="F185" s="301">
        <v>34</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34</v>
      </c>
      <c r="E187" s="301">
        <v>46</v>
      </c>
      <c r="F187" s="301">
        <v>34</v>
      </c>
      <c r="G187" s="207" t="s">
        <v>244</v>
      </c>
    </row>
    <row r="188" hidden="1" ht="45" customHeight="1">
      <c r="A188" s="226"/>
      <c r="B188" s="238">
        <v>1643</v>
      </c>
      <c r="C188" s="242" t="s">
        <v>266</v>
      </c>
      <c r="D188" s="301">
        <v>68</v>
      </c>
      <c r="E188" s="301">
        <v>71</v>
      </c>
      <c r="F188" s="301">
        <v>75</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68</v>
      </c>
      <c r="E192" s="301">
        <v>71</v>
      </c>
      <c r="F192" s="301">
        <v>75</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1830</v>
      </c>
      <c r="AZ387" s="0" t="s">
        <v>1831</v>
      </c>
      <c r="BA387" s="0" t="s">
        <v>285</v>
      </c>
      <c r="BB387" s="0" t="str">
        <f ref="BB387:BB450" t="shared" si="6">SUBSTITUTE(SUBSTITUTE(BA387&amp;AX387," ",""),"-","")</f>
        <v>CCCRNimNwangele</v>
      </c>
    </row>
    <row r="388">
      <c r="AV388" s="0" t="s">
        <v>471</v>
      </c>
      <c r="AW388" s="0" t="s">
        <v>286</v>
      </c>
      <c r="AX388" s="0" t="s">
        <v>873</v>
      </c>
      <c r="AY388" s="0" t="s">
        <v>1832</v>
      </c>
      <c r="AZ388" s="0" t="s">
        <v>1833</v>
      </c>
      <c r="BA388" s="0" t="s">
        <v>285</v>
      </c>
      <c r="BB388" s="0" t="str">
        <f t="shared" si="6"/>
        <v>CCCRNimOguta</v>
      </c>
    </row>
    <row r="389">
      <c r="AV389" s="0" t="s">
        <v>471</v>
      </c>
      <c r="AW389" s="0" t="s">
        <v>286</v>
      </c>
      <c r="AX389" s="0" t="s">
        <v>873</v>
      </c>
      <c r="AY389" s="0" t="s">
        <v>1834</v>
      </c>
      <c r="AZ389" s="0" t="s">
        <v>1835</v>
      </c>
      <c r="BA389" s="0" t="s">
        <v>285</v>
      </c>
      <c r="BB389" s="0" t="str">
        <f t="shared" si="6"/>
        <v>CCCRNimOguta</v>
      </c>
    </row>
    <row r="390">
      <c r="AV390" s="0" t="s">
        <v>471</v>
      </c>
      <c r="AW390" s="0" t="s">
        <v>286</v>
      </c>
      <c r="AX390" s="0" t="s">
        <v>873</v>
      </c>
      <c r="AY390" s="0" t="s">
        <v>1836</v>
      </c>
      <c r="AZ390" s="0" t="s">
        <v>1837</v>
      </c>
      <c r="BA390" s="0" t="s">
        <v>285</v>
      </c>
      <c r="BB390" s="0" t="str">
        <f t="shared" si="6"/>
        <v>CCCRNimOguta</v>
      </c>
    </row>
    <row r="391">
      <c r="AV391" s="0" t="s">
        <v>471</v>
      </c>
      <c r="AW391" s="0" t="s">
        <v>286</v>
      </c>
      <c r="AX391" s="0" t="s">
        <v>873</v>
      </c>
      <c r="AY391" s="0" t="s">
        <v>1838</v>
      </c>
      <c r="AZ391" s="0" t="s">
        <v>1839</v>
      </c>
      <c r="BA391" s="0" t="s">
        <v>285</v>
      </c>
      <c r="BB391" s="0" t="str">
        <f t="shared" si="6"/>
        <v>CCCRNimOguta</v>
      </c>
    </row>
    <row r="392">
      <c r="AV392" s="0" t="s">
        <v>471</v>
      </c>
      <c r="AW392" s="0" t="s">
        <v>286</v>
      </c>
      <c r="AX392" s="0" t="s">
        <v>873</v>
      </c>
      <c r="AY392" s="0" t="s">
        <v>1840</v>
      </c>
      <c r="AZ392" s="0" t="s">
        <v>1841</v>
      </c>
      <c r="BA392" s="0" t="s">
        <v>285</v>
      </c>
      <c r="BB392" s="0" t="str">
        <f t="shared" si="6"/>
        <v>CCCRNimOguta</v>
      </c>
    </row>
    <row r="393">
      <c r="AV393" s="0" t="s">
        <v>471</v>
      </c>
      <c r="AW393" s="0" t="s">
        <v>286</v>
      </c>
      <c r="AX393" s="0" t="s">
        <v>1226</v>
      </c>
      <c r="AY393" s="304" t="s">
        <v>1842</v>
      </c>
      <c r="AZ393" s="0" t="s">
        <v>1843</v>
      </c>
      <c r="BA393" s="0" t="s">
        <v>285</v>
      </c>
      <c r="BB393" s="0" t="str">
        <f t="shared" si="6"/>
        <v>CCCRNimOhajiEgbema</v>
      </c>
    </row>
    <row r="394">
      <c r="AV394" s="0" t="s">
        <v>471</v>
      </c>
      <c r="AW394" s="0" t="s">
        <v>286</v>
      </c>
      <c r="AX394" s="0" t="s">
        <v>1226</v>
      </c>
      <c r="AY394" s="304" t="s">
        <v>1844</v>
      </c>
      <c r="AZ394" s="0" t="s">
        <v>1845</v>
      </c>
      <c r="BA394" s="0" t="s">
        <v>285</v>
      </c>
      <c r="BB394" s="0" t="str">
        <f t="shared" si="6"/>
        <v>CCCRNimOhajiEgbema</v>
      </c>
    </row>
    <row r="395">
      <c r="AV395" s="0" t="s">
        <v>471</v>
      </c>
      <c r="AW395" s="0" t="s">
        <v>286</v>
      </c>
      <c r="AX395" s="0" t="s">
        <v>1226</v>
      </c>
      <c r="AY395" s="304" t="s">
        <v>289</v>
      </c>
      <c r="AZ395" s="0" t="s">
        <v>293</v>
      </c>
      <c r="BA395" s="0" t="s">
        <v>285</v>
      </c>
      <c r="BB395" s="0" t="str">
        <f t="shared" si="6"/>
        <v>CCCRNimOhajiEgbema</v>
      </c>
    </row>
    <row r="396">
      <c r="AV396" s="0" t="s">
        <v>471</v>
      </c>
      <c r="AW396" s="0" t="s">
        <v>286</v>
      </c>
      <c r="AX396" s="0" t="s">
        <v>1226</v>
      </c>
      <c r="AY396" s="304" t="s">
        <v>1846</v>
      </c>
      <c r="AZ396" s="0" t="s">
        <v>1847</v>
      </c>
      <c r="BA396" s="0" t="s">
        <v>285</v>
      </c>
      <c r="BB396" s="0" t="str">
        <f t="shared" si="6"/>
        <v>CCCRNimOhajiEgbema</v>
      </c>
    </row>
    <row r="397">
      <c r="AV397" s="0" t="s">
        <v>471</v>
      </c>
      <c r="AW397" s="0" t="s">
        <v>286</v>
      </c>
      <c r="AX397" s="0" t="s">
        <v>1226</v>
      </c>
      <c r="AY397" s="304" t="s">
        <v>1848</v>
      </c>
      <c r="AZ397" s="0" t="s">
        <v>1849</v>
      </c>
      <c r="BA397" s="0" t="s">
        <v>285</v>
      </c>
      <c r="BB397" s="0" t="str">
        <f t="shared" si="6"/>
        <v>CCCRNimOhajiEgbema</v>
      </c>
    </row>
    <row r="398">
      <c r="AV398" s="0" t="s">
        <v>471</v>
      </c>
      <c r="AW398" s="0" t="s">
        <v>286</v>
      </c>
      <c r="AX398" s="0" t="s">
        <v>923</v>
      </c>
      <c r="AY398" s="0" t="s">
        <v>1850</v>
      </c>
      <c r="AZ398" s="0" t="s">
        <v>1851</v>
      </c>
      <c r="BA398" s="0" t="s">
        <v>285</v>
      </c>
      <c r="BB398" s="0" t="str">
        <f t="shared" si="6"/>
        <v>CCCRNimOrlu</v>
      </c>
    </row>
    <row r="399">
      <c r="AV399" s="0" t="s">
        <v>471</v>
      </c>
      <c r="AW399" s="0" t="s">
        <v>286</v>
      </c>
      <c r="AX399" s="0" t="s">
        <v>923</v>
      </c>
      <c r="AY399" s="0" t="s">
        <v>1852</v>
      </c>
      <c r="AZ399" s="0" t="s">
        <v>1853</v>
      </c>
      <c r="BA399" s="0" t="s">
        <v>285</v>
      </c>
      <c r="BB399" s="0" t="str">
        <f t="shared" si="6"/>
        <v>CCCRNimOrlu</v>
      </c>
    </row>
    <row r="400">
      <c r="AV400" s="0" t="s">
        <v>471</v>
      </c>
      <c r="AW400" s="0" t="s">
        <v>286</v>
      </c>
      <c r="AX400" s="0" t="s">
        <v>923</v>
      </c>
      <c r="AY400" s="0" t="s">
        <v>1854</v>
      </c>
      <c r="AZ400" s="0" t="s">
        <v>1855</v>
      </c>
      <c r="BA400" s="0" t="s">
        <v>285</v>
      </c>
      <c r="BB400" s="0" t="str">
        <f t="shared" si="6"/>
        <v>CCCRNimOrlu</v>
      </c>
    </row>
    <row r="401">
      <c r="AV401" s="0" t="s">
        <v>471</v>
      </c>
      <c r="AW401" s="0" t="s">
        <v>286</v>
      </c>
      <c r="AX401" s="0" t="s">
        <v>923</v>
      </c>
      <c r="AY401" s="0" t="s">
        <v>1856</v>
      </c>
      <c r="AZ401" s="0" t="s">
        <v>1857</v>
      </c>
      <c r="BA401" s="0" t="s">
        <v>285</v>
      </c>
      <c r="BB401" s="0" t="str">
        <f t="shared" si="6"/>
        <v>CCCRNimOrlu</v>
      </c>
    </row>
    <row r="402">
      <c r="AV402" s="0" t="s">
        <v>471</v>
      </c>
      <c r="AW402" s="0" t="s">
        <v>286</v>
      </c>
      <c r="AX402" s="0" t="s">
        <v>923</v>
      </c>
      <c r="AY402" s="0" t="s">
        <v>1858</v>
      </c>
      <c r="AZ402" s="0" t="s">
        <v>1859</v>
      </c>
      <c r="BA402" s="0" t="s">
        <v>285</v>
      </c>
      <c r="BB402" s="0" t="str">
        <f t="shared" si="6"/>
        <v>CCCRNimOrlu</v>
      </c>
    </row>
    <row r="403">
      <c r="AV403" s="0" t="s">
        <v>471</v>
      </c>
      <c r="AW403" s="0" t="s">
        <v>286</v>
      </c>
      <c r="AX403" s="0" t="s">
        <v>947</v>
      </c>
      <c r="AY403" s="0" t="s">
        <v>1860</v>
      </c>
      <c r="AZ403" s="0" t="s">
        <v>1861</v>
      </c>
      <c r="BA403" s="0" t="s">
        <v>285</v>
      </c>
      <c r="BB403" s="0" t="str">
        <f t="shared" si="6"/>
        <v>CCCRNimOrsu</v>
      </c>
    </row>
    <row r="404">
      <c r="AV404" s="0" t="s">
        <v>471</v>
      </c>
      <c r="AW404" s="0" t="s">
        <v>286</v>
      </c>
      <c r="AX404" s="0" t="s">
        <v>969</v>
      </c>
      <c r="AY404" s="0" t="s">
        <v>1862</v>
      </c>
      <c r="AZ404" s="0" t="s">
        <v>1863</v>
      </c>
      <c r="BA404" s="0" t="s">
        <v>285</v>
      </c>
      <c r="BB404" s="0" t="str">
        <f t="shared" si="6"/>
        <v>CCCRNimOruEast</v>
      </c>
    </row>
    <row r="405">
      <c r="AV405" s="0" t="s">
        <v>471</v>
      </c>
      <c r="AW405" s="0" t="s">
        <v>286</v>
      </c>
      <c r="AX405" s="0" t="s">
        <v>969</v>
      </c>
      <c r="AY405" s="0" t="s">
        <v>1864</v>
      </c>
      <c r="AZ405" s="0" t="s">
        <v>1865</v>
      </c>
      <c r="BA405" s="0" t="s">
        <v>285</v>
      </c>
      <c r="BB405" s="0" t="str">
        <f t="shared" si="6"/>
        <v>CCCRNimOruEast</v>
      </c>
    </row>
    <row r="406">
      <c r="AV406" s="0" t="s">
        <v>471</v>
      </c>
      <c r="AW406" s="0" t="s">
        <v>286</v>
      </c>
      <c r="AX406" s="0" t="s">
        <v>969</v>
      </c>
      <c r="AY406" s="0" t="s">
        <v>1866</v>
      </c>
      <c r="AZ406" s="0" t="s">
        <v>1867</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