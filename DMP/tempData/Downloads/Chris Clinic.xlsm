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<sst xmlns="http://schemas.openxmlformats.org/spreadsheetml/2006/main" count="4056" uniqueCount="4056">
  <si>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</si>
  <si>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</si>
  <si>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</si>
  <si>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</si>
  <si>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</si>
  <si>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</si>
  <si>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</si>
  <si>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</si>
  <si>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</si>
  <si>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</si>
  <si>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</si>
  <si>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</si>
  <si>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</si>
  <si>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</si>
  <si>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</si>
  <si>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</si>
  <si>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</si>
  <si>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</si>
  <si>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</si>
  <si>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</si>
  <si>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</si>
  <si>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</si>
  <si>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</si>
  <si>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</si>
  <si>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</si>
  <si>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</si>
  <si>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</si>
  <si>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</si>
  <si>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</si>
  <si>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</si>
  <si>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</si>
  <si>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</si>
  <si>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</si>
  <si>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</si>
  <si>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</si>
  <si>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</si>
  <si>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</si>
  <si>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</si>
  <si>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</si>
  <si>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</si>
  <si>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</si>
  <si>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</si>
  <si>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</si>
  <si>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</si>
  <si>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</si>
  <si>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</si>
  <si>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</si>
  <si>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</si>
  <si>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</si>
  <si>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</si>
  <si>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</si>
  <si>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</si>
  <si>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</si>
  <si>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</si>
  <si>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</si>
  <si>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</si>
  <si>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</si>
  <si>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</si>
  <si>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</si>
  <si>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</si>
  <si>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</si>
  <si>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</si>
  <si>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</si>
  <si>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</si>
  <si>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</si>
  <si>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</si>
  <si>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</si>
  <si>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</si>
  <si>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</si>
  <si>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</si>
  <si>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</si>
  <si>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</si>
  <si>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</si>
  <si>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</si>
  <si>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</si>
  <si>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</si>
  <si>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</si>
  <si>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</si>
  <si>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</si>
  <si>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</si>
  <si>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</si>
  <si>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</si>
  <si>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</si>
  <si>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</si>
  <si>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</si>
  <si>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</si>
  <si>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</si>
  <si>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</si>
  <si>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</si>
  <si>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</si>
  <si>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</si>
  <si>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</si>
  <si>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</si>
  <si>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</si>
  <si>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</si>
  <si>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</si>
  <si>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</si>
  <si>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</si>
  <si>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</si>
  <si>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</si>
  <si>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</si>
  <si>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</si>
  <si>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</si>
  <si>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</si>
  <si>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</si>
  <si>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</si>
  <si>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</si>
  <si>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</si>
  <si>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</si>
  <si>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</si>
  <si>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</si>
  <si>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</si>
  <si>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</si>
  <si>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</si>
  <si>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</si>
  <si>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</si>
  <si>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</si>
  <si>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</si>
  <si>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</si>
  <si>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</si>
  <si>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</si>
  <si>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</si>
  <si>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</si>
  <si>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</si>
  <si>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</si>
  <si>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</si>
  <si>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</si>
  <si>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</si>
  <si>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</si>
  <si>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</si>
  <si>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</si>
  <si>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</si>
  <si>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</si>
  <si>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</si>
  <si>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</si>
  <si>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</si>
  <si>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</si>
  <si>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</si>
  <si>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</si>
  <si>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</si>
  <si>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</si>
  <si>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</si>
  <si>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</si>
  <si>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</si>
  <si>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</si>
  <si>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</si>
  <si>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</si>
  <si>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</si>
  <si>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</si>
  <si>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</si>
  <si>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</si>
  <si>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</si>
  <si>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</si>
  <si>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</si>
  <si>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</si>
  <si>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</si>
  <si>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</si>
  <si>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</si>
  <si>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</si>
  <si>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</si>
  <si>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</si>
  <si>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</si>
  <si>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</si>
  <si>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</si>
  <si>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</si>
  <si>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</si>
  <si>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</si>
  <si>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</si>
  <si>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</si>
  <si>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</si>
  <si>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</si>
  <si>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</si>
  <si>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</si>
  <si>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</si>
  <si>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</si>
  <si>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</si>
  <si>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</si>
  <si>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</si>
  <si>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</si>
  <si>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</si>
  <si>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</si>
  <si>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</si>
  <si>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</si>
  <si>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</si>
  <si>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</si>
  <si>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</si>
  <si>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</si>
  <si>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</si>
  <si>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</si>
  <si>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</si>
  <si>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</si>
  <si>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</si>
  <si>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</si>
  <si>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</si>
  <si>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</si>
  <si>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</si>
  <si>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</si>
  <si>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</si>
  <si>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</si>
  <si>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</si>
  <si>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</si>
  <si>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</si>
  <si>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</si>
  <si>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</si>
  <si>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</si>
  <si>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</si>
  <si>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</si>
  <si>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</si>
  <si>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</si>
  <si>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</si>
  <si>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</si>
  <si>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</si>
  <si>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</si>
  <si>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</si>
  <si>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</si>
  <si>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</si>
  <si>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</si>
  <si>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</si>
  <si>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</si>
  <si>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</si>
  <si>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</si>
  <si>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</si>
  <si>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</si>
  <si>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</si>
  <si>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</si>
  <si>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</si>
  <si>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</si>
  <si>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</si>
  <si>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</si>
  <si>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</si>
  <si>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</si>
  <si>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</si>
  <si>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</si>
  <si>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</si>
  <si>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</si>
  <si>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</si>
  <si>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</si>
  <si>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</si>
  <si>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</si>
  <si>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</si>
  <si>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</si>
  <si>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</si>
  <si>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</si>
  <si>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</si>
  <si>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</si>
  <si>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</si>
  <si>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</si>
  <si>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</si>
  <si>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</si>
  <si>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</si>
  <si>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</si>
  <si>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</si>
  <si>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</si>
  <si>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</si>
  <si>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</si>
  <si>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</si>
  <si>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</si>
  <si>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</si>
  <si>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</si>
  <si>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</si>
  <si>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</si>
  <si>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</si>
  <si>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</si>
  <si>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</si>
  <si>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</si>
  <si>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</si>
  <si>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</si>
  <si>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</si>
  <si>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</si>
  <si>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</si>
  <si>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</si>
  <si>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</si>
  <si>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</si>
  <si>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</si>
  <si>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</si>
  <si>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</si>
  <si>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</si>
  <si>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</si>
  <si>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</si>
  <si>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</si>
  <si>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</si>
  <si>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</si>
  <si>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</si>
  <si>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</si>
  <si>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</si>
  <si>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</si>
  <si>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</si>
  <si>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Gwer West</t>
  </si>
  <si>
    <t>Facility Name:</t>
  </si>
  <si>
    <t>Chris Clinic</t>
  </si>
  <si>
    <t>Reporting Period:</t>
  </si>
  <si>
    <t>Q1(Oct - Dec)</t>
  </si>
  <si>
    <t>Facility Code:</t>
  </si>
  <si>
    <t>EmfiENvlCGq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</si>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</sst>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11</v>
      </c>
      <c r="G8" s="155">
        <f>ROUND(SUM('All Questions'!D31:D35)/5+G12,0)</f>
        <v>15</v>
      </c>
      <c r="H8" s="156">
        <f>ROUND(SUM('All Questions'!D37,'All Questions'!D40)/2+'All Questions'!D26+H12,0)</f>
        <v>30</v>
      </c>
      <c r="I8" s="157">
        <f>ROUND((SUM('All Questions'!E11:E14)/4)+I12,0)</f>
        <v>0</v>
      </c>
      <c r="J8" s="155">
        <f>ROUND(SUM('All Questions'!E15:E21)/7+J12,0)</f>
        <v>0</v>
      </c>
      <c r="K8" s="155">
        <f>ROUND(SUM('All Questions'!E23:E30)/4+K12,0)</f>
        <v>13</v>
      </c>
      <c r="L8" s="155">
        <f>ROUND(SUM('All Questions'!E31:E35)/5+L12,0)</f>
        <v>13</v>
      </c>
      <c r="M8" s="156">
        <f>ROUND(('All Questions'!E37+'All Questions'!E40)/2+'All Questions'!E26+M12,0)</f>
        <v>27</v>
      </c>
      <c r="N8" s="157">
        <f>ROUND((SUM('All Questions'!F11:F14)/4)+N12,0)</f>
        <v>0</v>
      </c>
      <c r="O8" s="155">
        <f>ROUND(SUM('All Questions'!F15:F21)/7+O12,0)</f>
        <v>0</v>
      </c>
      <c r="P8" s="155">
        <f>ROUND(SUM('All Questions'!F23:F30)/4+P12,0)</f>
        <v>28</v>
      </c>
      <c r="Q8" s="155">
        <f>ROUND(SUM('All Questions'!F31:F35)/5+Q12,0)</f>
        <v>26</v>
      </c>
      <c r="R8" s="156">
        <f>ROUND(('All Questions'!F37+'All Questions'!F40)/2+'All Questions'!F26+R12,0)</f>
        <v>72</v>
      </c>
      <c r="S8" s="141">
        <f>'All Questions'!F2</f>
        <v>0</v>
      </c>
      <c r="T8" s="142" t="e">
        <f>(AVERAGE(F8:H8)+AVERAGE(K8:M8)+AVERAGE(P8:R8))/S8</f>
        <v>#DIV/0!</v>
      </c>
      <c r="V8" s="309">
        <f>AVERAGE(F8:H8)+AVERAGE(K8:M8)+AVERAGE(P8:R8)</f>
        <v>78.333333333333343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2</v>
      </c>
      <c r="Q9" s="158"/>
      <c r="R9" s="160"/>
      <c r="S9" s="141">
        <f>'All Questions'!F3</f>
        <v>0</v>
      </c>
      <c r="T9" s="143" t="e">
        <f>SUM(F9,K9,P9)/S9</f>
        <v>#DIV/0!</v>
      </c>
      <c r="V9" s="309">
        <f>SUM(F9+K9+P9)</f>
        <v>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10</v>
      </c>
      <c r="G10" s="159">
        <f>ROUND(SUM('All Questions'!D31:D35)/5,0)</f>
        <v>12</v>
      </c>
      <c r="H10" s="162">
        <f>ROUND(('All Questions'!D37+'All Questions'!D40)/2+'All Questions'!D26,0)</f>
        <v>26</v>
      </c>
      <c r="I10" s="163">
        <f>ROUND((SUM('All Questions'!E11:E14)/4),0)</f>
        <v>0</v>
      </c>
      <c r="J10" s="164">
        <f>ROUND(SUM('All Questions'!E15:E21)/7,0)</f>
        <v>0</v>
      </c>
      <c r="K10" s="164">
        <f>ROUND(SUM('All Questions'!E23:E30)/4,0)</f>
        <v>12</v>
      </c>
      <c r="L10" s="164">
        <f>ROUND(SUM('All Questions'!E31:E35)/5,0)</f>
        <v>11</v>
      </c>
      <c r="M10" s="165">
        <f>ROUND(('All Questions'!E37+'All Questions'!E40)/2+'All Questions'!E26,0)</f>
        <v>24</v>
      </c>
      <c r="N10" s="166">
        <f>ROUND((SUM('All Questions'!F11:F14)/4),0)</f>
        <v>0</v>
      </c>
      <c r="O10" s="164">
        <f>ROUND(SUM('All Questions'!F15:F21)/7,0)</f>
        <v>0</v>
      </c>
      <c r="P10" s="164">
        <f>ROUND(SUM('All Questions'!F23:F30)/4,0)</f>
        <v>28</v>
      </c>
      <c r="Q10" s="164">
        <f>ROUND(SUM('All Questions'!F31:F35)/5,0)</f>
        <v>26</v>
      </c>
      <c r="R10" s="165">
        <f>ROUND(('All Questions'!F37+'All Questions'!F40)/2+'All Questions'!F26,0)</f>
        <v>72</v>
      </c>
      <c r="S10" s="141">
        <f>'All Questions'!F4</f>
        <v>0</v>
      </c>
      <c r="T10" s="143" t="e">
        <f>(AVERAGE(F10:H10)+AVERAGE(K10:M10)+AVERAGE(P10:R10))/S10</f>
        <v>#DIV/0!</v>
      </c>
      <c r="V10" s="309">
        <f>AVERAGE(F10:H10)+AVERAGE(K10:M10)+AVERAGE(P10:R10)</f>
        <v>73.666666666666657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2</v>
      </c>
      <c r="Q11" s="167"/>
      <c r="R11" s="169"/>
      <c r="S11" s="141">
        <f>'All Questions'!F5</f>
        <v>0</v>
      </c>
      <c r="T11" s="144" t="e">
        <f>SUM(F11,K11,P11)/S11</f>
        <v>#DIV/0!</v>
      </c>
      <c r="V11" s="309">
        <f>SUM(F11+K11+P11)</f>
        <v>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v>
      </c>
      <c r="G12" s="173">
        <f>ROUND(SUM('All Questions'!D73:D80)/4,0)</f>
        <v>3</v>
      </c>
      <c r="H12" s="174">
        <f>ROUND(SUM('All Questions'!D82:D83)/2,0)</f>
        <v>4</v>
      </c>
      <c r="I12" s="175">
        <f>ROUND(SUM('All Questions'!E54:E58)+'All Questions'!E71/4,0)</f>
        <v>0</v>
      </c>
      <c r="J12" s="176">
        <f>ROUND(SUM('All Questions'!E60:E63)/4,0)</f>
        <v>0</v>
      </c>
      <c r="K12" s="176">
        <f>ROUND(SUM('All Questions'!E67:E72)/3,0)</f>
        <v>1</v>
      </c>
      <c r="L12" s="176">
        <f>ROUND(SUM('All Questions'!E73:E80)/4,0)</f>
        <v>2</v>
      </c>
      <c r="M12" s="177">
        <f>ROUND(SUM('All Questions'!E82:E83)/2,0)</f>
        <v>3</v>
      </c>
      <c r="N12" s="178">
        <f>ROUND(SUM('All Questions'!F54:F58)+'All Questions'!F71/4,0)</f>
        <v>0</v>
      </c>
      <c r="O12" s="176">
        <f>ROUND(SUM('All Questions'!F60:F63)/4,0)</f>
        <v>0</v>
      </c>
      <c r="P12" s="176">
        <f>ROUND(SUM('All Questions'!F67:F72)/3,0)</f>
        <v>0</v>
      </c>
      <c r="Q12" s="176">
        <f>ROUND(SUM('All Questions'!F73:F80)/4,0)</f>
        <v>0</v>
      </c>
      <c r="R12" s="177">
        <f>ROUND(SUM('All Questions'!F82:F83)/2,0)</f>
        <v>0</v>
      </c>
      <c r="S12" s="145">
        <f>'All Questions'!F46</f>
        <v>0</v>
      </c>
      <c r="T12" s="146" t="e">
        <f ref="T12:T15" t="shared" si="1">(AVERAGE(F12:H12)+AVERAGE(K12:M12)+AVERAGE(P12:R12))/S12</f>
        <v>#DIV/0!</v>
      </c>
      <c r="V12" s="309">
        <f>AVERAGE(F12:H12)+AVERAGE(K12:M12)+AVERAGE(P12:R12)</f>
        <v>4.6666666666666661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2</v>
      </c>
      <c r="H14" s="180">
        <f>ROUND(SUM('All Questions'!D88:D89)/2,0)</f>
        <v>0</v>
      </c>
      <c r="I14" s="187">
        <f>ROUND('All Questions'!E57,0)</f>
        <v>0</v>
      </c>
      <c r="J14" s="183">
        <f>ROUND('All Questions'!E64,0)</f>
        <v>0</v>
      </c>
      <c r="K14" s="183">
        <f>ROUND(SUM('All Questions'!E69:E70),0)</f>
        <v>0</v>
      </c>
      <c r="L14" s="183">
        <f>ROUND(SUM('All Questions'!E74,'All Questions'!E76,'All Questions'!E78,'All Questions'!E80)/4,0)</f>
        <v>2</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1.3333333333333333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73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153</v>
      </c>
      <c r="E9" s="301">
        <v>169</v>
      </c>
      <c r="F9" s="301">
        <v>169</v>
      </c>
      <c r="G9" s="207" t="s">
        <v>67</v>
      </c>
    </row>
    <row r="10" hidden="1" ht="45" customHeight="1">
      <c r="A10" s="226"/>
      <c r="B10" s="238">
        <v>1113</v>
      </c>
      <c r="C10" s="242" t="s">
        <v>83</v>
      </c>
      <c r="D10" s="301">
        <v>13</v>
      </c>
      <c r="E10" s="301">
        <v>15</v>
      </c>
      <c r="F10" s="301">
        <v>9</v>
      </c>
      <c r="G10" s="207" t="s">
        <v>67</v>
      </c>
    </row>
    <row r="11" hidden="1" ht="45" customHeight="1">
      <c r="A11" s="226"/>
      <c r="B11" s="238">
        <v>1114</v>
      </c>
      <c r="C11" s="243" t="s">
        <v>84</v>
      </c>
      <c r="D11" s="301">
        <v>13</v>
      </c>
      <c r="E11" s="301">
        <v>15</v>
      </c>
      <c r="F11" s="301">
        <v>17</v>
      </c>
      <c r="G11" s="207" t="s">
        <v>67</v>
      </c>
    </row>
    <row r="12" hidden="1" ht="45" customHeight="1">
      <c r="A12" s="226"/>
      <c r="B12" s="238">
        <v>1115</v>
      </c>
      <c r="C12" s="242" t="s">
        <v>85</v>
      </c>
      <c r="D12" s="301">
        <v>13</v>
      </c>
      <c r="E12" s="301">
        <v>15</v>
      </c>
      <c r="F12" s="301">
        <v>13</v>
      </c>
      <c r="G12" s="207" t="s">
        <v>67</v>
      </c>
    </row>
    <row r="13" hidden="1" ht="45" customHeight="1">
      <c r="A13" s="226" t="s">
        <v>86</v>
      </c>
      <c r="B13" s="238">
        <v>1116</v>
      </c>
      <c r="C13" s="242" t="s">
        <v>87</v>
      </c>
      <c r="D13" s="301">
        <v>11</v>
      </c>
      <c r="E13" s="301">
        <v>6</v>
      </c>
      <c r="F13" s="301">
        <v>10</v>
      </c>
      <c r="G13" s="207" t="s">
        <v>67</v>
      </c>
    </row>
    <row r="14" hidden="1" ht="45" customHeight="1">
      <c r="A14" s="226"/>
      <c r="B14" s="238">
        <v>1117</v>
      </c>
      <c r="C14" s="242" t="s">
        <v>88</v>
      </c>
      <c r="D14" s="301">
        <v>11</v>
      </c>
      <c r="E14" s="301">
        <v>6</v>
      </c>
      <c r="F14" s="301">
        <v>10</v>
      </c>
      <c r="G14" s="207" t="s">
        <v>67</v>
      </c>
    </row>
    <row r="15" hidden="1" ht="45" customHeight="1">
      <c r="A15" s="226">
        <v>1116</v>
      </c>
      <c r="B15" s="238">
        <v>1121</v>
      </c>
      <c r="C15" s="243" t="str">
        <f>C13</f>
        <v>How many HTC clients have a completed Client intake form </v>
      </c>
      <c r="D15" s="302">
        <v>11</v>
      </c>
      <c r="E15" s="302">
        <v>6</v>
      </c>
      <c r="F15" s="302">
        <v>10</v>
      </c>
      <c r="G15" s="207"/>
    </row>
    <row r="16" hidden="1" ht="45" customHeight="1">
      <c r="A16" s="226"/>
      <c r="B16" s="238">
        <v>1122</v>
      </c>
      <c r="C16" s="243" t="s">
        <v>89</v>
      </c>
      <c r="D16" s="301">
        <v>11</v>
      </c>
      <c r="E16" s="301">
        <v>6</v>
      </c>
      <c r="F16" s="301">
        <v>10</v>
      </c>
      <c r="G16" s="207" t="s">
        <v>67</v>
      </c>
    </row>
    <row r="17" hidden="1" ht="45" customHeight="1">
      <c r="A17" s="226"/>
      <c r="B17" s="238">
        <v>1123</v>
      </c>
      <c r="C17" s="242" t="s">
        <v>90</v>
      </c>
      <c r="D17" s="301">
        <v>13</v>
      </c>
      <c r="E17" s="301">
        <v>15</v>
      </c>
      <c r="F17" s="301">
        <v>15</v>
      </c>
      <c r="G17" s="207" t="s">
        <v>67</v>
      </c>
    </row>
    <row r="18" hidden="1" ht="45" customHeight="1">
      <c r="A18" s="226"/>
      <c r="B18" s="238">
        <v>1124</v>
      </c>
      <c r="C18" s="242" t="s">
        <v>91</v>
      </c>
      <c r="D18" s="301">
        <v>11</v>
      </c>
      <c r="E18" s="301">
        <v>6</v>
      </c>
      <c r="F18" s="301">
        <v>10</v>
      </c>
      <c r="G18" s="207" t="s">
        <v>67</v>
      </c>
    </row>
    <row r="19" hidden="1" ht="45" customHeight="1">
      <c r="A19" s="226"/>
      <c r="B19" s="238">
        <v>1125</v>
      </c>
      <c r="C19" s="242" t="s">
        <v>92</v>
      </c>
      <c r="D19" s="301">
        <v>13</v>
      </c>
      <c r="E19" s="301">
        <v>15</v>
      </c>
      <c r="F19" s="301">
        <v>14</v>
      </c>
      <c r="G19" s="207" t="s">
        <v>67</v>
      </c>
    </row>
    <row r="20" hidden="1" ht="45" customHeight="1">
      <c r="A20" s="226"/>
      <c r="B20" s="238">
        <v>1126</v>
      </c>
      <c r="C20" s="242" t="s">
        <v>93</v>
      </c>
      <c r="D20" s="301">
        <v>0</v>
      </c>
      <c r="E20" s="301">
        <v>2</v>
      </c>
      <c r="F20" s="301">
        <v>3</v>
      </c>
      <c r="G20" s="207" t="s">
        <v>67</v>
      </c>
    </row>
    <row r="21" hidden="1" ht="45" customHeight="1">
      <c r="A21" s="226"/>
      <c r="B21" s="238">
        <v>1127</v>
      </c>
      <c r="C21" s="242" t="s">
        <v>94</v>
      </c>
      <c r="D21" s="301">
        <v>0</v>
      </c>
      <c r="E21" s="301">
        <v>2</v>
      </c>
      <c r="F21" s="301">
        <v>3</v>
      </c>
      <c r="G21" s="207" t="s">
        <v>67</v>
      </c>
    </row>
    <row r="22" hidden="1" ht="45" customHeight="1">
      <c r="A22" s="226"/>
      <c r="B22" s="238"/>
      <c r="C22" s="245" t="s">
        <v>95</v>
      </c>
      <c r="D22" s="246"/>
      <c r="E22" s="246"/>
      <c r="F22" s="247"/>
      <c r="G22" s="207" t="s">
        <v>67</v>
      </c>
    </row>
    <row r="23" hidden="1" ht="45" customHeight="1">
      <c r="A23" s="226"/>
      <c r="B23" s="238">
        <v>1131</v>
      </c>
      <c r="C23" s="242" t="s">
        <v>96</v>
      </c>
      <c r="D23" s="301">
        <v>5</v>
      </c>
      <c r="E23" s="301">
        <v>8</v>
      </c>
      <c r="F23" s="301">
        <v>13</v>
      </c>
      <c r="G23" s="207" t="s">
        <v>67</v>
      </c>
    </row>
    <row r="24" hidden="1" ht="45" customHeight="1">
      <c r="A24" s="226"/>
      <c r="B24" s="238">
        <v>1132</v>
      </c>
      <c r="C24" s="242" t="s">
        <v>97</v>
      </c>
      <c r="D24" s="301">
        <v>8</v>
      </c>
      <c r="E24" s="301">
        <v>7</v>
      </c>
      <c r="F24" s="301">
        <v>21</v>
      </c>
      <c r="G24" s="207" t="s">
        <v>67</v>
      </c>
    </row>
    <row r="25" hidden="1" ht="45" customHeight="1">
      <c r="A25" s="226"/>
      <c r="B25" s="238">
        <v>1133</v>
      </c>
      <c r="C25" s="242" t="s">
        <v>98</v>
      </c>
      <c r="D25" s="301">
        <v>0</v>
      </c>
      <c r="E25" s="301">
        <v>3</v>
      </c>
      <c r="F25" s="301">
        <v>1</v>
      </c>
      <c r="G25" s="207" t="s">
        <v>67</v>
      </c>
    </row>
    <row r="26" hidden="1" ht="45" customHeight="1">
      <c r="A26" s="226"/>
      <c r="B26" s="238">
        <v>1134</v>
      </c>
      <c r="C26" s="242" t="s">
        <v>99</v>
      </c>
      <c r="D26" s="301">
        <v>13</v>
      </c>
      <c r="E26" s="301">
        <v>12</v>
      </c>
      <c r="F26" s="301">
        <v>36</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2</v>
      </c>
      <c r="F28" s="301">
        <v>3</v>
      </c>
      <c r="G28" s="207" t="s">
        <v>67</v>
      </c>
    </row>
    <row r="29" hidden="1" ht="45" customHeight="1">
      <c r="A29" s="226"/>
      <c r="B29" s="238">
        <v>1137</v>
      </c>
      <c r="C29" s="242" t="s">
        <v>102</v>
      </c>
      <c r="D29" s="301">
        <v>0</v>
      </c>
      <c r="E29" s="301">
        <v>0</v>
      </c>
      <c r="F29" s="301">
        <v>2</v>
      </c>
      <c r="G29" s="207" t="s">
        <v>67</v>
      </c>
    </row>
    <row r="30" hidden="1" ht="45" customHeight="1">
      <c r="A30" s="226"/>
      <c r="B30" s="238">
        <v>1138</v>
      </c>
      <c r="C30" s="242" t="s">
        <v>103</v>
      </c>
      <c r="D30" s="301">
        <v>13</v>
      </c>
      <c r="E30" s="301">
        <v>15</v>
      </c>
      <c r="F30" s="301">
        <v>34</v>
      </c>
      <c r="G30" s="207" t="s">
        <v>67</v>
      </c>
    </row>
    <row r="31" hidden="1" ht="45" customHeight="1">
      <c r="A31" s="226">
        <v>1116</v>
      </c>
      <c r="B31" s="238">
        <v>1141</v>
      </c>
      <c r="C31" s="242" t="s">
        <v>104</v>
      </c>
      <c r="D31" s="302">
        <v>11</v>
      </c>
      <c r="E31" s="302">
        <v>6</v>
      </c>
      <c r="F31" s="302">
        <v>10</v>
      </c>
      <c r="G31" s="207"/>
    </row>
    <row r="32" hidden="1" ht="45" customHeight="1">
      <c r="A32" s="226"/>
      <c r="B32" s="238">
        <v>1142</v>
      </c>
      <c r="C32" s="243" t="s">
        <v>105</v>
      </c>
      <c r="D32" s="302">
        <v>11</v>
      </c>
      <c r="E32" s="302">
        <v>6</v>
      </c>
      <c r="F32" s="302">
        <v>10</v>
      </c>
      <c r="G32" s="207"/>
    </row>
    <row r="33" hidden="1" ht="45" customHeight="1">
      <c r="A33" s="226"/>
      <c r="B33" s="238">
        <v>1143</v>
      </c>
      <c r="C33" s="242" t="s">
        <v>106</v>
      </c>
      <c r="D33" s="301">
        <v>13</v>
      </c>
      <c r="E33" s="301">
        <v>15</v>
      </c>
      <c r="F33" s="301">
        <v>37</v>
      </c>
      <c r="G33" s="207" t="s">
        <v>67</v>
      </c>
    </row>
    <row r="34" hidden="1" ht="45" customHeight="1">
      <c r="A34" s="226"/>
      <c r="B34" s="238">
        <v>1144</v>
      </c>
      <c r="C34" s="242" t="s">
        <v>107</v>
      </c>
      <c r="D34" s="301">
        <v>13</v>
      </c>
      <c r="E34" s="301">
        <v>15</v>
      </c>
      <c r="F34" s="301">
        <v>34</v>
      </c>
      <c r="G34" s="207" t="s">
        <v>67</v>
      </c>
    </row>
    <row r="35" hidden="1" ht="45" customHeight="1">
      <c r="A35" s="226"/>
      <c r="B35" s="238">
        <v>1145</v>
      </c>
      <c r="C35" s="242" t="s">
        <v>108</v>
      </c>
      <c r="D35" s="301">
        <v>13</v>
      </c>
      <c r="E35" s="301">
        <v>15</v>
      </c>
      <c r="F35" s="301">
        <v>37</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13</v>
      </c>
      <c r="E37" s="301">
        <v>12</v>
      </c>
      <c r="F37" s="301">
        <v>36</v>
      </c>
      <c r="G37" s="207" t="s">
        <v>67</v>
      </c>
    </row>
    <row r="38" hidden="1" ht="45" customHeight="1">
      <c r="A38" s="226"/>
      <c r="B38" s="238">
        <v>1153</v>
      </c>
      <c r="C38" s="242" t="s">
        <v>111</v>
      </c>
      <c r="D38" s="301">
        <v>13</v>
      </c>
      <c r="E38" s="301">
        <v>12</v>
      </c>
      <c r="F38" s="301">
        <v>36</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13</v>
      </c>
      <c r="E40" s="301">
        <v>12</v>
      </c>
      <c r="F40" s="301">
        <v>36</v>
      </c>
      <c r="G40" s="207" t="s">
        <v>67</v>
      </c>
    </row>
    <row r="41" hidden="1" ht="45" customHeight="1">
      <c r="A41" s="226"/>
      <c r="B41" s="238">
        <v>1156</v>
      </c>
      <c r="C41" s="242" t="s">
        <v>113</v>
      </c>
      <c r="D41" s="301">
        <v>13</v>
      </c>
      <c r="E41" s="301">
        <v>12</v>
      </c>
      <c r="F41" s="301">
        <v>36</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4</v>
      </c>
      <c r="G43" s="207" t="s">
        <v>67</v>
      </c>
    </row>
    <row r="44" hidden="1" ht="45" customHeight="1" s="250" customFormat="1">
      <c r="A44" s="226"/>
      <c r="B44" s="238">
        <v>1159</v>
      </c>
      <c r="C44" s="242" t="s">
        <v>116</v>
      </c>
      <c r="D44" s="301">
        <v>0</v>
      </c>
      <c r="E44" s="301">
        <v>0</v>
      </c>
      <c r="F44" s="301">
        <v>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116</v>
      </c>
      <c r="E52" s="301">
        <v>116</v>
      </c>
      <c r="F52" s="301">
        <v>116</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4</v>
      </c>
      <c r="E54" s="301">
        <v>3</v>
      </c>
      <c r="F54" s="301">
        <v>0</v>
      </c>
      <c r="G54" s="207" t="s">
        <v>117</v>
      </c>
    </row>
    <row r="55" hidden="1" ht="45" customHeight="1">
      <c r="A55" s="226"/>
      <c r="B55" s="238">
        <v>1215</v>
      </c>
      <c r="C55" s="242" t="s">
        <v>133</v>
      </c>
      <c r="D55" s="301">
        <v>4</v>
      </c>
      <c r="E55" s="301">
        <v>3</v>
      </c>
      <c r="F55" s="301">
        <v>0</v>
      </c>
      <c r="G55" s="207" t="s">
        <v>117</v>
      </c>
    </row>
    <row r="56" hidden="1" ht="45" customHeight="1">
      <c r="A56" s="226"/>
      <c r="B56" s="238">
        <v>1216</v>
      </c>
      <c r="C56" s="243" t="s">
        <v>134</v>
      </c>
      <c r="D56" s="301">
        <v>4</v>
      </c>
      <c r="E56" s="301">
        <v>3</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4</v>
      </c>
      <c r="E68" s="301">
        <v>3</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4</v>
      </c>
      <c r="E74" s="301">
        <v>3</v>
      </c>
      <c r="F74" s="301">
        <v>0</v>
      </c>
      <c r="G74" s="207" t="s">
        <v>117</v>
      </c>
    </row>
    <row r="75" hidden="1" ht="45" customHeight="1">
      <c r="A75" s="226"/>
      <c r="B75" s="238">
        <v>1243</v>
      </c>
      <c r="C75" s="243" t="s">
        <v>153</v>
      </c>
      <c r="D75" s="301">
        <v>0</v>
      </c>
      <c r="E75" s="301">
        <v>0</v>
      </c>
      <c r="F75" s="301">
        <v>0</v>
      </c>
      <c r="G75" s="207" t="s">
        <v>117</v>
      </c>
    </row>
    <row r="76" hidden="1" ht="45" customHeight="1">
      <c r="A76" s="226"/>
      <c r="B76" s="238">
        <v>1244</v>
      </c>
      <c r="C76" s="243" t="s">
        <v>154</v>
      </c>
      <c r="D76" s="301">
        <v>4</v>
      </c>
      <c r="E76" s="301">
        <v>3</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4</v>
      </c>
      <c r="E79" s="301">
        <v>3</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v>
      </c>
      <c r="E82" s="301">
        <v>3</v>
      </c>
      <c r="F82" s="301">
        <v>0</v>
      </c>
      <c r="G82" s="207" t="s">
        <v>117</v>
      </c>
    </row>
    <row r="83" hidden="1" ht="45" customHeight="1">
      <c r="A83" s="226"/>
      <c r="B83" s="238">
        <v>1253</v>
      </c>
      <c r="C83" s="242" t="s">
        <v>161</v>
      </c>
      <c r="D83" s="301">
        <v>4</v>
      </c>
      <c r="E83" s="301">
        <v>3</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12</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40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2149</v>
      </c>
      <c r="AZ546" s="0" t="s">
        <v>2150</v>
      </c>
      <c r="BA546" s="0" t="s">
        <v>285</v>
      </c>
      <c r="BB546" s="0" t="str">
        <f t="shared" si="8"/>
        <v>CIHPbeBuruku</v>
      </c>
    </row>
    <row r="547">
      <c r="AV547" s="0" t="s">
        <v>471</v>
      </c>
      <c r="AW547" s="0" t="s">
        <v>286</v>
      </c>
      <c r="AX547" s="0" t="s">
        <v>483</v>
      </c>
      <c r="AY547" s="0" t="s">
        <v>2151</v>
      </c>
      <c r="AZ547" s="0" t="s">
        <v>2152</v>
      </c>
      <c r="BA547" s="0" t="s">
        <v>285</v>
      </c>
      <c r="BB547" s="0" t="str">
        <f t="shared" si="8"/>
        <v>CIHPbeBuruku</v>
      </c>
    </row>
    <row r="548">
      <c r="AV548" s="0" t="s">
        <v>471</v>
      </c>
      <c r="AW548" s="0" t="s">
        <v>286</v>
      </c>
      <c r="AX548" s="0" t="s">
        <v>483</v>
      </c>
      <c r="AY548" s="0" t="s">
        <v>2153</v>
      </c>
      <c r="AZ548" s="0" t="s">
        <v>2154</v>
      </c>
      <c r="BA548" s="0" t="s">
        <v>285</v>
      </c>
      <c r="BB548" s="0" t="str">
        <f t="shared" si="8"/>
        <v>CIHPbeBuruku</v>
      </c>
    </row>
    <row r="549">
      <c r="AV549" s="0" t="s">
        <v>471</v>
      </c>
      <c r="AW549" s="0" t="s">
        <v>286</v>
      </c>
      <c r="AX549" s="0" t="s">
        <v>483</v>
      </c>
      <c r="AY549" s="0" t="s">
        <v>2155</v>
      </c>
      <c r="AZ549" s="0" t="s">
        <v>2156</v>
      </c>
      <c r="BA549" s="0" t="s">
        <v>285</v>
      </c>
      <c r="BB549" s="0" t="str">
        <f t="shared" si="8"/>
        <v>CIHPbeBuruku</v>
      </c>
    </row>
    <row r="550">
      <c r="AV550" s="0" t="s">
        <v>471</v>
      </c>
      <c r="AW550" s="0" t="s">
        <v>286</v>
      </c>
      <c r="AX550" s="0" t="s">
        <v>483</v>
      </c>
      <c r="AY550" s="0" t="s">
        <v>2157</v>
      </c>
      <c r="AZ550" s="0" t="s">
        <v>2158</v>
      </c>
      <c r="BA550" s="0" t="s">
        <v>285</v>
      </c>
      <c r="BB550" s="0" t="str">
        <f t="shared" si="8"/>
        <v>CIHPbeBuruku</v>
      </c>
    </row>
    <row r="551">
      <c r="AV551" s="0" t="s">
        <v>471</v>
      </c>
      <c r="AW551" s="0" t="s">
        <v>286</v>
      </c>
      <c r="AX551" s="0" t="s">
        <v>483</v>
      </c>
      <c r="AY551" s="0" t="s">
        <v>2159</v>
      </c>
      <c r="AZ551" s="0" t="s">
        <v>2160</v>
      </c>
      <c r="BA551" s="0" t="s">
        <v>285</v>
      </c>
      <c r="BB551" s="0" t="str">
        <f t="shared" si="8"/>
        <v>CIHPbeBuruku</v>
      </c>
    </row>
    <row r="552">
      <c r="AV552" s="0" t="s">
        <v>471</v>
      </c>
      <c r="AW552" s="0" t="s">
        <v>286</v>
      </c>
      <c r="AX552" s="0" t="s">
        <v>483</v>
      </c>
      <c r="AY552" s="0" t="s">
        <v>2161</v>
      </c>
      <c r="AZ552" s="0" t="s">
        <v>2162</v>
      </c>
      <c r="BA552" s="0" t="s">
        <v>285</v>
      </c>
      <c r="BB552" s="0" t="str">
        <f t="shared" si="8"/>
        <v>CIHPbeBuruku</v>
      </c>
    </row>
    <row r="553">
      <c r="AV553" s="0" t="s">
        <v>471</v>
      </c>
      <c r="AW553" s="0" t="s">
        <v>286</v>
      </c>
      <c r="AX553" s="0" t="s">
        <v>483</v>
      </c>
      <c r="AY553" s="0" t="s">
        <v>2163</v>
      </c>
      <c r="AZ553" s="0" t="s">
        <v>2164</v>
      </c>
      <c r="BA553" s="0" t="s">
        <v>285</v>
      </c>
      <c r="BB553" s="0" t="str">
        <f t="shared" si="8"/>
        <v>CIHPbeBuruku</v>
      </c>
    </row>
    <row r="554">
      <c r="AV554" s="0" t="s">
        <v>471</v>
      </c>
      <c r="AW554" s="0" t="s">
        <v>286</v>
      </c>
      <c r="AX554" s="0" t="s">
        <v>483</v>
      </c>
      <c r="AY554" s="0" t="s">
        <v>2165</v>
      </c>
      <c r="AZ554" s="0" t="s">
        <v>2166</v>
      </c>
      <c r="BA554" s="0" t="s">
        <v>285</v>
      </c>
      <c r="BB554" s="0" t="str">
        <f t="shared" si="8"/>
        <v>CIHPbeBuruku</v>
      </c>
    </row>
    <row r="555">
      <c r="AV555" s="0" t="s">
        <v>471</v>
      </c>
      <c r="AW555" s="0" t="s">
        <v>286</v>
      </c>
      <c r="AX555" s="0" t="s">
        <v>483</v>
      </c>
      <c r="AY555" s="0" t="s">
        <v>2167</v>
      </c>
      <c r="AZ555" s="0" t="s">
        <v>2168</v>
      </c>
      <c r="BA555" s="0" t="s">
        <v>285</v>
      </c>
      <c r="BB555" s="0" t="str">
        <f t="shared" si="8"/>
        <v>CIHPbeBuruku</v>
      </c>
    </row>
    <row r="556">
      <c r="AV556" s="0" t="s">
        <v>471</v>
      </c>
      <c r="AW556" s="0" t="s">
        <v>286</v>
      </c>
      <c r="AX556" s="0" t="s">
        <v>483</v>
      </c>
      <c r="AY556" s="0" t="s">
        <v>2169</v>
      </c>
      <c r="AZ556" s="0" t="s">
        <v>2170</v>
      </c>
      <c r="BA556" s="0" t="s">
        <v>285</v>
      </c>
      <c r="BB556" s="0" t="str">
        <f t="shared" si="8"/>
        <v>CIHPbeBuruku</v>
      </c>
    </row>
    <row r="557">
      <c r="AV557" s="0" t="s">
        <v>471</v>
      </c>
      <c r="AW557" s="0" t="s">
        <v>286</v>
      </c>
      <c r="AX557" s="0" t="s">
        <v>483</v>
      </c>
      <c r="AY557" s="0" t="s">
        <v>2171</v>
      </c>
      <c r="AZ557" s="0" t="s">
        <v>2172</v>
      </c>
      <c r="BA557" s="0" t="s">
        <v>285</v>
      </c>
      <c r="BB557" s="0" t="str">
        <f t="shared" si="8"/>
        <v>CIHPbeBuruku</v>
      </c>
    </row>
    <row r="558">
      <c r="AV558" s="0" t="s">
        <v>471</v>
      </c>
      <c r="AW558" s="0" t="s">
        <v>286</v>
      </c>
      <c r="AX558" s="0" t="s">
        <v>483</v>
      </c>
      <c r="AY558" s="0" t="s">
        <v>2173</v>
      </c>
      <c r="AZ558" s="0" t="s">
        <v>2174</v>
      </c>
      <c r="BA558" s="0" t="s">
        <v>285</v>
      </c>
      <c r="BB558" s="0" t="str">
        <f t="shared" si="8"/>
        <v>CIHPbeBuruku</v>
      </c>
    </row>
    <row r="559">
      <c r="AV559" s="0" t="s">
        <v>471</v>
      </c>
      <c r="AW559" s="0" t="s">
        <v>286</v>
      </c>
      <c r="AX559" s="0" t="s">
        <v>483</v>
      </c>
      <c r="AY559" s="0" t="s">
        <v>2175</v>
      </c>
      <c r="AZ559" s="0" t="s">
        <v>2176</v>
      </c>
      <c r="BA559" s="0" t="s">
        <v>285</v>
      </c>
      <c r="BB559" s="0" t="str">
        <f t="shared" si="8"/>
        <v>CIHPbeBuruku</v>
      </c>
    </row>
    <row r="560">
      <c r="AV560" s="0" t="s">
        <v>471</v>
      </c>
      <c r="AW560" s="0" t="s">
        <v>286</v>
      </c>
      <c r="AX560" s="0" t="s">
        <v>483</v>
      </c>
      <c r="AY560" s="0" t="s">
        <v>2177</v>
      </c>
      <c r="AZ560" s="0" t="s">
        <v>2178</v>
      </c>
      <c r="BA560" s="0" t="s">
        <v>285</v>
      </c>
      <c r="BB560" s="0" t="str">
        <f t="shared" si="8"/>
        <v>CIHPbeBuruku</v>
      </c>
    </row>
    <row r="561">
      <c r="AV561" s="0" t="s">
        <v>471</v>
      </c>
      <c r="AW561" s="0" t="s">
        <v>286</v>
      </c>
      <c r="AX561" s="0" t="s">
        <v>483</v>
      </c>
      <c r="AY561" s="0" t="s">
        <v>2179</v>
      </c>
      <c r="AZ561" s="0" t="s">
        <v>2180</v>
      </c>
      <c r="BA561" s="0" t="s">
        <v>285</v>
      </c>
      <c r="BB561" s="0" t="str">
        <f t="shared" si="8"/>
        <v>CIHPbeBuruku</v>
      </c>
    </row>
    <row r="562">
      <c r="AV562" s="0" t="s">
        <v>471</v>
      </c>
      <c r="AW562" s="0" t="s">
        <v>286</v>
      </c>
      <c r="AX562" s="0" t="s">
        <v>483</v>
      </c>
      <c r="AY562" s="0" t="s">
        <v>2181</v>
      </c>
      <c r="AZ562" s="0" t="s">
        <v>2182</v>
      </c>
      <c r="BA562" s="0" t="s">
        <v>285</v>
      </c>
      <c r="BB562" s="0" t="str">
        <f t="shared" si="8"/>
        <v>CIHPbeBuruku</v>
      </c>
    </row>
    <row r="563">
      <c r="AV563" s="0" t="s">
        <v>471</v>
      </c>
      <c r="AW563" s="0" t="s">
        <v>286</v>
      </c>
      <c r="AX563" s="0" t="s">
        <v>483</v>
      </c>
      <c r="AY563" s="0" t="s">
        <v>2183</v>
      </c>
      <c r="AZ563" s="0" t="s">
        <v>2184</v>
      </c>
      <c r="BA563" s="0" t="s">
        <v>285</v>
      </c>
      <c r="BB563" s="0" t="str">
        <f t="shared" si="8"/>
        <v>CIHPbeBuruku</v>
      </c>
    </row>
    <row r="564">
      <c r="AV564" s="0" t="s">
        <v>471</v>
      </c>
      <c r="AW564" s="0" t="s">
        <v>286</v>
      </c>
      <c r="AX564" s="0" t="s">
        <v>483</v>
      </c>
      <c r="AY564" s="0" t="s">
        <v>2185</v>
      </c>
      <c r="AZ564" s="0" t="s">
        <v>2186</v>
      </c>
      <c r="BA564" s="0" t="s">
        <v>285</v>
      </c>
      <c r="BB564" s="0" t="str">
        <f t="shared" si="8"/>
        <v>CIHPbeBuruku</v>
      </c>
    </row>
    <row r="565">
      <c r="AV565" s="0" t="s">
        <v>471</v>
      </c>
      <c r="AW565" s="0" t="s">
        <v>286</v>
      </c>
      <c r="AX565" s="0" t="s">
        <v>483</v>
      </c>
      <c r="AY565" s="0" t="s">
        <v>2187</v>
      </c>
      <c r="AZ565" s="0" t="s">
        <v>2188</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2189</v>
      </c>
      <c r="AZ567" s="0" t="s">
        <v>2190</v>
      </c>
      <c r="BA567" s="0" t="s">
        <v>285</v>
      </c>
      <c r="BB567" s="0" t="str">
        <f t="shared" si="8"/>
        <v>CIHPbeBuruku</v>
      </c>
    </row>
    <row r="568">
      <c r="AV568" s="0" t="s">
        <v>471</v>
      </c>
      <c r="AW568" s="0" t="s">
        <v>286</v>
      </c>
      <c r="AX568" s="0" t="s">
        <v>483</v>
      </c>
      <c r="AY568" s="0" t="s">
        <v>2191</v>
      </c>
      <c r="AZ568" s="0" t="s">
        <v>2192</v>
      </c>
      <c r="BA568" s="0" t="s">
        <v>285</v>
      </c>
      <c r="BB568" s="0" t="str">
        <f t="shared" si="8"/>
        <v>CIHPbeBuruku</v>
      </c>
    </row>
    <row r="569">
      <c r="AV569" s="0" t="s">
        <v>471</v>
      </c>
      <c r="AW569" s="0" t="s">
        <v>286</v>
      </c>
      <c r="AX569" s="0" t="s">
        <v>483</v>
      </c>
      <c r="AY569" s="0" t="s">
        <v>2193</v>
      </c>
      <c r="AZ569" s="0" t="s">
        <v>2194</v>
      </c>
      <c r="BA569" s="0" t="s">
        <v>285</v>
      </c>
      <c r="BB569" s="0" t="str">
        <f t="shared" si="8"/>
        <v>CIHPbeBuruku</v>
      </c>
    </row>
    <row r="570">
      <c r="AV570" s="0" t="s">
        <v>471</v>
      </c>
      <c r="AW570" s="0" t="s">
        <v>286</v>
      </c>
      <c r="AX570" s="0" t="s">
        <v>483</v>
      </c>
      <c r="AY570" s="0" t="s">
        <v>2195</v>
      </c>
      <c r="AZ570" s="0" t="s">
        <v>2196</v>
      </c>
      <c r="BA570" s="0" t="s">
        <v>285</v>
      </c>
      <c r="BB570" s="0" t="str">
        <f t="shared" si="8"/>
        <v>CIHPbeBuruku</v>
      </c>
    </row>
    <row r="571">
      <c r="AV571" s="0" t="s">
        <v>471</v>
      </c>
      <c r="AW571" s="0" t="s">
        <v>286</v>
      </c>
      <c r="AX571" s="0" t="s">
        <v>483</v>
      </c>
      <c r="AY571" s="0" t="s">
        <v>2197</v>
      </c>
      <c r="AZ571" s="0" t="s">
        <v>2198</v>
      </c>
      <c r="BA571" s="0" t="s">
        <v>285</v>
      </c>
      <c r="BB571" s="0" t="str">
        <f t="shared" si="8"/>
        <v>CIHPbeBuruku</v>
      </c>
    </row>
    <row r="572">
      <c r="AV572" s="0" t="s">
        <v>471</v>
      </c>
      <c r="AW572" s="0" t="s">
        <v>286</v>
      </c>
      <c r="AX572" s="0" t="s">
        <v>483</v>
      </c>
      <c r="AY572" s="0" t="s">
        <v>2199</v>
      </c>
      <c r="AZ572" s="0" t="s">
        <v>2200</v>
      </c>
      <c r="BA572" s="0" t="s">
        <v>285</v>
      </c>
      <c r="BB572" s="0" t="str">
        <f t="shared" si="8"/>
        <v>CIHPbeBuruku</v>
      </c>
    </row>
    <row r="573">
      <c r="AV573" s="0" t="s">
        <v>471</v>
      </c>
      <c r="AW573" s="0" t="s">
        <v>286</v>
      </c>
      <c r="AX573" s="0" t="s">
        <v>483</v>
      </c>
      <c r="AY573" s="0" t="s">
        <v>2201</v>
      </c>
      <c r="AZ573" s="0" t="s">
        <v>2202</v>
      </c>
      <c r="BA573" s="0" t="s">
        <v>285</v>
      </c>
      <c r="BB573" s="0" t="str">
        <f t="shared" si="8"/>
        <v>CIHPbeBuruku</v>
      </c>
    </row>
    <row r="574">
      <c r="AV574" s="0" t="s">
        <v>471</v>
      </c>
      <c r="AW574" s="0" t="s">
        <v>286</v>
      </c>
      <c r="AX574" s="0" t="s">
        <v>483</v>
      </c>
      <c r="AY574" s="0" t="s">
        <v>2203</v>
      </c>
      <c r="AZ574" s="0" t="s">
        <v>2204</v>
      </c>
      <c r="BA574" s="0" t="s">
        <v>285</v>
      </c>
      <c r="BB574" s="0" t="str">
        <f t="shared" si="8"/>
        <v>CIHPbeBuruku</v>
      </c>
    </row>
    <row r="575">
      <c r="AV575" s="0" t="s">
        <v>471</v>
      </c>
      <c r="AW575" s="0" t="s">
        <v>286</v>
      </c>
      <c r="AX575" s="0" t="s">
        <v>524</v>
      </c>
      <c r="AY575" s="0" t="s">
        <v>2205</v>
      </c>
      <c r="AZ575" s="0" t="s">
        <v>2206</v>
      </c>
      <c r="BA575" s="0" t="s">
        <v>285</v>
      </c>
      <c r="BB575" s="0" t="str">
        <f t="shared" si="8"/>
        <v>CIHPbeGboko</v>
      </c>
    </row>
    <row r="576">
      <c r="AV576" s="0" t="s">
        <v>471</v>
      </c>
      <c r="AW576" s="0" t="s">
        <v>286</v>
      </c>
      <c r="AX576" s="0" t="s">
        <v>524</v>
      </c>
      <c r="AY576" s="0" t="s">
        <v>2207</v>
      </c>
      <c r="AZ576" s="0" t="s">
        <v>2208</v>
      </c>
      <c r="BA576" s="0" t="s">
        <v>285</v>
      </c>
      <c r="BB576" s="0" t="str">
        <f t="shared" si="8"/>
        <v>CIHPbeGboko</v>
      </c>
    </row>
    <row r="577">
      <c r="AV577" s="0" t="s">
        <v>471</v>
      </c>
      <c r="AW577" s="0" t="s">
        <v>286</v>
      </c>
      <c r="AX577" s="0" t="s">
        <v>524</v>
      </c>
      <c r="AY577" s="0" t="s">
        <v>2209</v>
      </c>
      <c r="AZ577" s="0" t="s">
        <v>2210</v>
      </c>
      <c r="BA577" s="0" t="s">
        <v>285</v>
      </c>
      <c r="BB577" s="0" t="str">
        <f t="shared" si="8"/>
        <v>CIHPbeGboko</v>
      </c>
    </row>
    <row r="578">
      <c r="AV578" s="0" t="s">
        <v>471</v>
      </c>
      <c r="AW578" s="0" t="s">
        <v>286</v>
      </c>
      <c r="AX578" s="0" t="s">
        <v>524</v>
      </c>
      <c r="AY578" s="0" t="s">
        <v>2211</v>
      </c>
      <c r="AZ578" s="0" t="s">
        <v>2212</v>
      </c>
      <c r="BA578" s="0" t="s">
        <v>285</v>
      </c>
      <c r="BB578" s="0" t="str">
        <f t="shared" si="8"/>
        <v>CIHPbeGboko</v>
      </c>
    </row>
    <row r="579">
      <c r="AV579" s="0" t="s">
        <v>471</v>
      </c>
      <c r="AW579" s="0" t="s">
        <v>286</v>
      </c>
      <c r="AX579" s="0" t="s">
        <v>524</v>
      </c>
      <c r="AY579" s="0" t="s">
        <v>2213</v>
      </c>
      <c r="AZ579" s="0" t="s">
        <v>2214</v>
      </c>
      <c r="BA579" s="0" t="s">
        <v>285</v>
      </c>
      <c r="BB579" s="0" t="str">
        <f ref="BB579:BB642" t="shared" si="9">SUBSTITUTE(SUBSTITUTE(BA579&amp;AX579," ",""),"-","")</f>
        <v>CIHPbeGboko</v>
      </c>
    </row>
    <row r="580">
      <c r="AV580" s="0" t="s">
        <v>471</v>
      </c>
      <c r="AW580" s="0" t="s">
        <v>286</v>
      </c>
      <c r="AX580" s="0" t="s">
        <v>524</v>
      </c>
      <c r="AY580" s="0" t="s">
        <v>2215</v>
      </c>
      <c r="AZ580" s="0" t="s">
        <v>2216</v>
      </c>
      <c r="BA580" s="0" t="s">
        <v>285</v>
      </c>
      <c r="BB580" s="0" t="str">
        <f t="shared" si="9"/>
        <v>CIHPbeGboko</v>
      </c>
    </row>
    <row r="581">
      <c r="AV581" s="0" t="s">
        <v>471</v>
      </c>
      <c r="AW581" s="0" t="s">
        <v>286</v>
      </c>
      <c r="AX581" s="0" t="s">
        <v>524</v>
      </c>
      <c r="AY581" s="0" t="s">
        <v>2217</v>
      </c>
      <c r="AZ581" s="0" t="s">
        <v>2218</v>
      </c>
      <c r="BA581" s="0" t="s">
        <v>285</v>
      </c>
      <c r="BB581" s="0" t="str">
        <f t="shared" si="9"/>
        <v>CIHPbeGboko</v>
      </c>
    </row>
    <row r="582">
      <c r="AV582" s="0" t="s">
        <v>471</v>
      </c>
      <c r="AW582" s="0" t="s">
        <v>286</v>
      </c>
      <c r="AX582" s="0" t="s">
        <v>524</v>
      </c>
      <c r="AY582" s="0" t="s">
        <v>2219</v>
      </c>
      <c r="AZ582" s="0" t="s">
        <v>2220</v>
      </c>
      <c r="BA582" s="0" t="s">
        <v>285</v>
      </c>
      <c r="BB582" s="0" t="str">
        <f t="shared" si="9"/>
        <v>CIHPbeGboko</v>
      </c>
    </row>
    <row r="583">
      <c r="AV583" s="0" t="s">
        <v>471</v>
      </c>
      <c r="AW583" s="0" t="s">
        <v>286</v>
      </c>
      <c r="AX583" s="0" t="s">
        <v>524</v>
      </c>
      <c r="AY583" s="0" t="s">
        <v>2221</v>
      </c>
      <c r="AZ583" s="0" t="s">
        <v>2222</v>
      </c>
      <c r="BA583" s="0" t="s">
        <v>285</v>
      </c>
      <c r="BB583" s="0" t="str">
        <f t="shared" si="9"/>
        <v>CIHPbeGboko</v>
      </c>
    </row>
    <row r="584">
      <c r="AV584" s="0" t="s">
        <v>471</v>
      </c>
      <c r="AW584" s="0" t="s">
        <v>286</v>
      </c>
      <c r="AX584" s="0" t="s">
        <v>524</v>
      </c>
      <c r="AY584" s="0" t="s">
        <v>2223</v>
      </c>
      <c r="AZ584" s="0" t="s">
        <v>2224</v>
      </c>
      <c r="BA584" s="0" t="s">
        <v>285</v>
      </c>
      <c r="BB584" s="0" t="str">
        <f t="shared" si="9"/>
        <v>CIHPbeGboko</v>
      </c>
    </row>
    <row r="585">
      <c r="AV585" s="0" t="s">
        <v>471</v>
      </c>
      <c r="AW585" s="0" t="s">
        <v>286</v>
      </c>
      <c r="AX585" s="0" t="s">
        <v>524</v>
      </c>
      <c r="AY585" s="0" t="s">
        <v>2225</v>
      </c>
      <c r="AZ585" s="0" t="s">
        <v>2226</v>
      </c>
      <c r="BA585" s="0" t="s">
        <v>285</v>
      </c>
      <c r="BB585" s="0" t="str">
        <f t="shared" si="9"/>
        <v>CIHPbeGboko</v>
      </c>
    </row>
    <row r="586">
      <c r="AV586" s="0" t="s">
        <v>471</v>
      </c>
      <c r="AW586" s="0" t="s">
        <v>286</v>
      </c>
      <c r="AX586" s="0" t="s">
        <v>524</v>
      </c>
      <c r="AY586" s="0" t="s">
        <v>2227</v>
      </c>
      <c r="AZ586" s="0" t="s">
        <v>2228</v>
      </c>
      <c r="BA586" s="0" t="s">
        <v>285</v>
      </c>
      <c r="BB586" s="0" t="str">
        <f t="shared" si="9"/>
        <v>CIHPbeGboko</v>
      </c>
    </row>
    <row r="587">
      <c r="AV587" s="0" t="s">
        <v>471</v>
      </c>
      <c r="AW587" s="0" t="s">
        <v>286</v>
      </c>
      <c r="AX587" s="0" t="s">
        <v>524</v>
      </c>
      <c r="AY587" s="0" t="s">
        <v>2229</v>
      </c>
      <c r="AZ587" s="0" t="s">
        <v>2230</v>
      </c>
      <c r="BA587" s="0" t="s">
        <v>285</v>
      </c>
      <c r="BB587" s="0" t="str">
        <f t="shared" si="9"/>
        <v>CIHPbeGboko</v>
      </c>
    </row>
    <row r="588">
      <c r="AV588" s="0" t="s">
        <v>471</v>
      </c>
      <c r="AW588" s="0" t="s">
        <v>286</v>
      </c>
      <c r="AX588" s="0" t="s">
        <v>524</v>
      </c>
      <c r="AY588" s="0" t="s">
        <v>2231</v>
      </c>
      <c r="AZ588" s="0" t="s">
        <v>2232</v>
      </c>
      <c r="BA588" s="0" t="s">
        <v>285</v>
      </c>
      <c r="BB588" s="0" t="str">
        <f t="shared" si="9"/>
        <v>CIHPbeGboko</v>
      </c>
    </row>
    <row r="589">
      <c r="AV589" s="0" t="s">
        <v>471</v>
      </c>
      <c r="AW589" s="0" t="s">
        <v>286</v>
      </c>
      <c r="AX589" s="0" t="s">
        <v>524</v>
      </c>
      <c r="AY589" s="0" t="s">
        <v>2233</v>
      </c>
      <c r="AZ589" s="0" t="s">
        <v>2234</v>
      </c>
      <c r="BA589" s="0" t="s">
        <v>285</v>
      </c>
      <c r="BB589" s="0" t="str">
        <f t="shared" si="9"/>
        <v>CIHPbeGboko</v>
      </c>
    </row>
    <row r="590">
      <c r="AV590" s="0" t="s">
        <v>471</v>
      </c>
      <c r="AW590" s="0" t="s">
        <v>286</v>
      </c>
      <c r="AX590" s="0" t="s">
        <v>524</v>
      </c>
      <c r="AY590" s="0" t="s">
        <v>2235</v>
      </c>
      <c r="AZ590" s="0" t="s">
        <v>2236</v>
      </c>
      <c r="BA590" s="0" t="s">
        <v>285</v>
      </c>
      <c r="BB590" s="0" t="str">
        <f t="shared" si="9"/>
        <v>CIHPbeGboko</v>
      </c>
    </row>
    <row r="591">
      <c r="AV591" s="0" t="s">
        <v>471</v>
      </c>
      <c r="AW591" s="0" t="s">
        <v>286</v>
      </c>
      <c r="AX591" s="0" t="s">
        <v>524</v>
      </c>
      <c r="AY591" s="0" t="s">
        <v>2237</v>
      </c>
      <c r="AZ591" s="0" t="s">
        <v>2238</v>
      </c>
      <c r="BA591" s="0" t="s">
        <v>285</v>
      </c>
      <c r="BB591" s="0" t="str">
        <f t="shared" si="9"/>
        <v>CIHPbeGboko</v>
      </c>
    </row>
    <row r="592">
      <c r="AV592" s="0" t="s">
        <v>471</v>
      </c>
      <c r="AW592" s="0" t="s">
        <v>286</v>
      </c>
      <c r="AX592" s="0" t="s">
        <v>524</v>
      </c>
      <c r="AY592" s="0" t="s">
        <v>2239</v>
      </c>
      <c r="AZ592" s="0" t="s">
        <v>2240</v>
      </c>
      <c r="BA592" s="0" t="s">
        <v>285</v>
      </c>
      <c r="BB592" s="0" t="str">
        <f t="shared" si="9"/>
        <v>CIHPbeGboko</v>
      </c>
    </row>
    <row r="593">
      <c r="AV593" s="0" t="s">
        <v>471</v>
      </c>
      <c r="AW593" s="0" t="s">
        <v>286</v>
      </c>
      <c r="AX593" s="0" t="s">
        <v>524</v>
      </c>
      <c r="AY593" s="0" t="s">
        <v>2241</v>
      </c>
      <c r="AZ593" s="0" t="s">
        <v>2242</v>
      </c>
      <c r="BA593" s="0" t="s">
        <v>285</v>
      </c>
      <c r="BB593" s="0" t="str">
        <f t="shared" si="9"/>
        <v>CIHPbeGboko</v>
      </c>
    </row>
    <row r="594">
      <c r="AV594" s="0" t="s">
        <v>471</v>
      </c>
      <c r="AW594" s="0" t="s">
        <v>286</v>
      </c>
      <c r="AX594" s="0" t="s">
        <v>524</v>
      </c>
      <c r="AY594" s="0" t="s">
        <v>2243</v>
      </c>
      <c r="AZ594" s="0" t="s">
        <v>2244</v>
      </c>
      <c r="BA594" s="0" t="s">
        <v>285</v>
      </c>
      <c r="BB594" s="0" t="str">
        <f t="shared" si="9"/>
        <v>CIHPbeGboko</v>
      </c>
    </row>
    <row r="595">
      <c r="AV595" s="0" t="s">
        <v>471</v>
      </c>
      <c r="AW595" s="0" t="s">
        <v>286</v>
      </c>
      <c r="AX595" s="0" t="s">
        <v>524</v>
      </c>
      <c r="AY595" s="0" t="s">
        <v>2245</v>
      </c>
      <c r="AZ595" s="0" t="s">
        <v>2246</v>
      </c>
      <c r="BA595" s="0" t="s">
        <v>285</v>
      </c>
      <c r="BB595" s="0" t="str">
        <f t="shared" si="9"/>
        <v>CIHPbeGboko</v>
      </c>
    </row>
    <row r="596">
      <c r="AV596" s="0" t="s">
        <v>471</v>
      </c>
      <c r="AW596" s="0" t="s">
        <v>286</v>
      </c>
      <c r="AX596" s="0" t="s">
        <v>524</v>
      </c>
      <c r="AY596" s="0" t="s">
        <v>2247</v>
      </c>
      <c r="AZ596" s="0" t="s">
        <v>2248</v>
      </c>
      <c r="BA596" s="0" t="s">
        <v>285</v>
      </c>
      <c r="BB596" s="0" t="str">
        <f t="shared" si="9"/>
        <v>CIHPbeGboko</v>
      </c>
    </row>
    <row r="597">
      <c r="AV597" s="0" t="s">
        <v>471</v>
      </c>
      <c r="AW597" s="0" t="s">
        <v>286</v>
      </c>
      <c r="AX597" s="0" t="s">
        <v>524</v>
      </c>
      <c r="AY597" s="0" t="s">
        <v>2249</v>
      </c>
      <c r="AZ597" s="0" t="s">
        <v>2250</v>
      </c>
      <c r="BA597" s="0" t="s">
        <v>285</v>
      </c>
      <c r="BB597" s="0" t="str">
        <f t="shared" si="9"/>
        <v>CIHPbeGboko</v>
      </c>
    </row>
    <row r="598">
      <c r="AV598" s="0" t="s">
        <v>471</v>
      </c>
      <c r="AW598" s="0" t="s">
        <v>286</v>
      </c>
      <c r="AX598" s="0" t="s">
        <v>524</v>
      </c>
      <c r="AY598" s="0" t="s">
        <v>2251</v>
      </c>
      <c r="AZ598" s="0" t="s">
        <v>2252</v>
      </c>
      <c r="BA598" s="0" t="s">
        <v>285</v>
      </c>
      <c r="BB598" s="0" t="str">
        <f t="shared" si="9"/>
        <v>CIHPbeGboko</v>
      </c>
    </row>
    <row r="599">
      <c r="AV599" s="0" t="s">
        <v>471</v>
      </c>
      <c r="AW599" s="0" t="s">
        <v>286</v>
      </c>
      <c r="AX599" s="0" t="s">
        <v>524</v>
      </c>
      <c r="AY599" s="0" t="s">
        <v>2253</v>
      </c>
      <c r="AZ599" s="0" t="s">
        <v>2254</v>
      </c>
      <c r="BA599" s="0" t="s">
        <v>285</v>
      </c>
      <c r="BB599" s="0" t="str">
        <f t="shared" si="9"/>
        <v>CIHPbeGboko</v>
      </c>
    </row>
    <row r="600">
      <c r="AV600" s="0" t="s">
        <v>471</v>
      </c>
      <c r="AW600" s="0" t="s">
        <v>286</v>
      </c>
      <c r="AX600" s="0" t="s">
        <v>565</v>
      </c>
      <c r="AY600" s="0" t="s">
        <v>2255</v>
      </c>
      <c r="AZ600" s="0" t="s">
        <v>2256</v>
      </c>
      <c r="BA600" s="0" t="s">
        <v>285</v>
      </c>
      <c r="BB600" s="0" t="str">
        <f t="shared" si="9"/>
        <v>CIHPbeGuma</v>
      </c>
    </row>
    <row r="601">
      <c r="AV601" s="0" t="s">
        <v>471</v>
      </c>
      <c r="AW601" s="0" t="s">
        <v>286</v>
      </c>
      <c r="AX601" s="0" t="s">
        <v>565</v>
      </c>
      <c r="AY601" s="0" t="s">
        <v>2257</v>
      </c>
      <c r="AZ601" s="0" t="s">
        <v>2258</v>
      </c>
      <c r="BA601" s="0" t="s">
        <v>285</v>
      </c>
      <c r="BB601" s="0" t="str">
        <f t="shared" si="9"/>
        <v>CIHPbeGuma</v>
      </c>
    </row>
    <row r="602">
      <c r="AV602" s="0" t="s">
        <v>471</v>
      </c>
      <c r="AW602" s="0" t="s">
        <v>286</v>
      </c>
      <c r="AX602" s="0" t="s">
        <v>565</v>
      </c>
      <c r="AY602" s="0" t="s">
        <v>2259</v>
      </c>
      <c r="AZ602" s="0" t="s">
        <v>2260</v>
      </c>
      <c r="BA602" s="0" t="s">
        <v>285</v>
      </c>
      <c r="BB602" s="0" t="str">
        <f t="shared" si="9"/>
        <v>CIHPbeGuma</v>
      </c>
    </row>
    <row r="603">
      <c r="AV603" s="0" t="s">
        <v>471</v>
      </c>
      <c r="AW603" s="0" t="s">
        <v>286</v>
      </c>
      <c r="AX603" s="0" t="s">
        <v>565</v>
      </c>
      <c r="AY603" s="0" t="s">
        <v>2261</v>
      </c>
      <c r="AZ603" s="0" t="s">
        <v>2262</v>
      </c>
      <c r="BA603" s="0" t="s">
        <v>285</v>
      </c>
      <c r="BB603" s="0" t="str">
        <f t="shared" si="9"/>
        <v>CIHPbeGuma</v>
      </c>
    </row>
    <row r="604">
      <c r="AV604" s="0" t="s">
        <v>471</v>
      </c>
      <c r="AW604" s="0" t="s">
        <v>286</v>
      </c>
      <c r="AX604" s="0" t="s">
        <v>565</v>
      </c>
      <c r="AY604" s="0" t="s">
        <v>2263</v>
      </c>
      <c r="AZ604" s="0" t="s">
        <v>2264</v>
      </c>
      <c r="BA604" s="0" t="s">
        <v>285</v>
      </c>
      <c r="BB604" s="0" t="str">
        <f t="shared" si="9"/>
        <v>CIHPbeGuma</v>
      </c>
    </row>
    <row r="605">
      <c r="AV605" s="0" t="s">
        <v>471</v>
      </c>
      <c r="AW605" s="0" t="s">
        <v>286</v>
      </c>
      <c r="AX605" s="0" t="s">
        <v>565</v>
      </c>
      <c r="AY605" s="0" t="s">
        <v>2265</v>
      </c>
      <c r="AZ605" s="0" t="s">
        <v>2266</v>
      </c>
      <c r="BA605" s="0" t="s">
        <v>285</v>
      </c>
      <c r="BB605" s="0" t="str">
        <f t="shared" si="9"/>
        <v>CIHPbeGuma</v>
      </c>
    </row>
    <row r="606">
      <c r="AV606" s="0" t="s">
        <v>471</v>
      </c>
      <c r="AW606" s="0" t="s">
        <v>286</v>
      </c>
      <c r="AX606" s="0" t="s">
        <v>602</v>
      </c>
      <c r="AY606" s="0" t="s">
        <v>2267</v>
      </c>
      <c r="AZ606" s="0" t="s">
        <v>2268</v>
      </c>
      <c r="BA606" s="0" t="s">
        <v>285</v>
      </c>
      <c r="BB606" s="0" t="str">
        <f t="shared" si="9"/>
        <v>CIHPbeGwerEast</v>
      </c>
    </row>
    <row r="607">
      <c r="AV607" s="0" t="s">
        <v>471</v>
      </c>
      <c r="AW607" s="0" t="s">
        <v>286</v>
      </c>
      <c r="AX607" s="0" t="s">
        <v>602</v>
      </c>
      <c r="AY607" s="0" t="s">
        <v>2269</v>
      </c>
      <c r="AZ607" s="0" t="s">
        <v>2270</v>
      </c>
      <c r="BA607" s="0" t="s">
        <v>285</v>
      </c>
      <c r="BB607" s="0" t="str">
        <f t="shared" si="9"/>
        <v>CIHPbeGwerEast</v>
      </c>
    </row>
    <row r="608">
      <c r="AV608" s="0" t="s">
        <v>471</v>
      </c>
      <c r="AW608" s="0" t="s">
        <v>286</v>
      </c>
      <c r="AX608" s="0" t="s">
        <v>602</v>
      </c>
      <c r="AY608" s="0" t="s">
        <v>2271</v>
      </c>
      <c r="AZ608" s="0" t="s">
        <v>2272</v>
      </c>
      <c r="BA608" s="0" t="s">
        <v>285</v>
      </c>
      <c r="BB608" s="0" t="str">
        <f t="shared" si="9"/>
        <v>CIHPbeGwerEast</v>
      </c>
    </row>
    <row r="609">
      <c r="AV609" s="0" t="s">
        <v>471</v>
      </c>
      <c r="AW609" s="0" t="s">
        <v>286</v>
      </c>
      <c r="AX609" s="0" t="s">
        <v>602</v>
      </c>
      <c r="AY609" s="0" t="s">
        <v>2273</v>
      </c>
      <c r="AZ609" s="0" t="s">
        <v>2274</v>
      </c>
      <c r="BA609" s="0" t="s">
        <v>285</v>
      </c>
      <c r="BB609" s="0" t="str">
        <f t="shared" si="9"/>
        <v>CIHPbeGwerEast</v>
      </c>
    </row>
    <row r="610">
      <c r="AV610" s="0" t="s">
        <v>471</v>
      </c>
      <c r="AW610" s="0" t="s">
        <v>286</v>
      </c>
      <c r="AX610" s="0" t="s">
        <v>602</v>
      </c>
      <c r="AY610" s="0" t="s">
        <v>2275</v>
      </c>
      <c r="AZ610" s="0" t="s">
        <v>2276</v>
      </c>
      <c r="BA610" s="0" t="s">
        <v>285</v>
      </c>
      <c r="BB610" s="0" t="str">
        <f t="shared" si="9"/>
        <v>CIHPbeGwerEast</v>
      </c>
    </row>
    <row r="611">
      <c r="AV611" s="0" t="s">
        <v>471</v>
      </c>
      <c r="AW611" s="0" t="s">
        <v>286</v>
      </c>
      <c r="AX611" s="0" t="s">
        <v>641</v>
      </c>
      <c r="AY611" s="0" t="s">
        <v>2277</v>
      </c>
      <c r="AZ611" s="0" t="s">
        <v>2278</v>
      </c>
      <c r="BA611" s="0" t="s">
        <v>285</v>
      </c>
      <c r="BB611" s="0" t="str">
        <f t="shared" si="9"/>
        <v>CIHPbeGwerWest</v>
      </c>
    </row>
    <row r="612">
      <c r="AV612" s="0" t="s">
        <v>471</v>
      </c>
      <c r="AW612" s="0" t="s">
        <v>286</v>
      </c>
      <c r="AX612" s="0" t="s">
        <v>641</v>
      </c>
      <c r="AY612" s="0" t="s">
        <v>2279</v>
      </c>
      <c r="AZ612" s="0" t="s">
        <v>2280</v>
      </c>
      <c r="BA612" s="0" t="s">
        <v>285</v>
      </c>
      <c r="BB612" s="0" t="str">
        <f t="shared" si="9"/>
        <v>CIHPbeGwerWest</v>
      </c>
    </row>
    <row r="613">
      <c r="AV613" s="0" t="s">
        <v>471</v>
      </c>
      <c r="AW613" s="0" t="s">
        <v>286</v>
      </c>
      <c r="AX613" s="0" t="s">
        <v>641</v>
      </c>
      <c r="AY613" s="0" t="s">
        <v>2281</v>
      </c>
      <c r="AZ613" s="0" t="s">
        <v>2282</v>
      </c>
      <c r="BA613" s="0" t="s">
        <v>285</v>
      </c>
      <c r="BB613" s="0" t="str">
        <f t="shared" si="9"/>
        <v>CIHPbeGwerWest</v>
      </c>
    </row>
    <row r="614">
      <c r="AV614" s="0" t="s">
        <v>471</v>
      </c>
      <c r="AW614" s="0" t="s">
        <v>286</v>
      </c>
      <c r="AX614" s="0" t="s">
        <v>641</v>
      </c>
      <c r="AY614" s="0" t="s">
        <v>2283</v>
      </c>
      <c r="AZ614" s="0" t="s">
        <v>2284</v>
      </c>
      <c r="BA614" s="0" t="s">
        <v>285</v>
      </c>
      <c r="BB614" s="0" t="str">
        <f t="shared" si="9"/>
        <v>CIHPbeGwerWest</v>
      </c>
    </row>
    <row r="615">
      <c r="AV615" s="0" t="s">
        <v>471</v>
      </c>
      <c r="AW615" s="0" t="s">
        <v>286</v>
      </c>
      <c r="AX615" s="0" t="s">
        <v>641</v>
      </c>
      <c r="AY615" s="0" t="s">
        <v>2285</v>
      </c>
      <c r="AZ615" s="0" t="s">
        <v>2286</v>
      </c>
      <c r="BA615" s="0" t="s">
        <v>285</v>
      </c>
      <c r="BB615" s="0" t="str">
        <f t="shared" si="9"/>
        <v>CIHPbeGwerWest</v>
      </c>
    </row>
    <row r="616">
      <c r="AV616" s="0" t="s">
        <v>471</v>
      </c>
      <c r="AW616" s="0" t="s">
        <v>286</v>
      </c>
      <c r="AX616" s="0" t="s">
        <v>641</v>
      </c>
      <c r="AY616" s="0" t="s">
        <v>289</v>
      </c>
      <c r="AZ616" s="0" t="s">
        <v>293</v>
      </c>
      <c r="BA616" s="0" t="s">
        <v>285</v>
      </c>
      <c r="BB616" s="0" t="str">
        <f t="shared" si="9"/>
        <v>CIHPbeGwerWest</v>
      </c>
    </row>
    <row r="617">
      <c r="AV617" s="0" t="s">
        <v>471</v>
      </c>
      <c r="AW617" s="0" t="s">
        <v>286</v>
      </c>
      <c r="AX617" s="0" t="s">
        <v>641</v>
      </c>
      <c r="AY617" s="0" t="s">
        <v>2287</v>
      </c>
      <c r="AZ617" s="0" t="s">
        <v>2288</v>
      </c>
      <c r="BA617" s="0" t="s">
        <v>285</v>
      </c>
      <c r="BB617" s="0" t="str">
        <f t="shared" si="9"/>
        <v>CIHPbeGwerWest</v>
      </c>
    </row>
    <row r="618">
      <c r="AV618" s="0" t="s">
        <v>471</v>
      </c>
      <c r="AW618" s="0" t="s">
        <v>286</v>
      </c>
      <c r="AX618" s="0" t="s">
        <v>641</v>
      </c>
      <c r="AY618" s="0" t="s">
        <v>2289</v>
      </c>
      <c r="AZ618" s="0" t="s">
        <v>2290</v>
      </c>
      <c r="BA618" s="0" t="s">
        <v>285</v>
      </c>
      <c r="BB618" s="0" t="str">
        <f t="shared" si="9"/>
        <v>CIHPbeGwerWest</v>
      </c>
    </row>
    <row r="619">
      <c r="AV619" s="0" t="s">
        <v>471</v>
      </c>
      <c r="AW619" s="0" t="s">
        <v>286</v>
      </c>
      <c r="AX619" s="0" t="s">
        <v>641</v>
      </c>
      <c r="AY619" s="0" t="s">
        <v>2291</v>
      </c>
      <c r="AZ619" s="0" t="s">
        <v>2292</v>
      </c>
      <c r="BA619" s="0" t="s">
        <v>285</v>
      </c>
      <c r="BB619" s="0" t="str">
        <f t="shared" si="9"/>
        <v>CIHPbeGwerWest</v>
      </c>
    </row>
    <row r="620">
      <c r="AV620" s="0" t="s">
        <v>471</v>
      </c>
      <c r="AW620" s="0" t="s">
        <v>286</v>
      </c>
      <c r="AX620" s="0" t="s">
        <v>641</v>
      </c>
      <c r="AY620" s="0" t="s">
        <v>2293</v>
      </c>
      <c r="AZ620" s="0" t="s">
        <v>2294</v>
      </c>
      <c r="BA620" s="0" t="s">
        <v>285</v>
      </c>
      <c r="BB620" s="0" t="str">
        <f t="shared" si="9"/>
        <v>CIHPbeGwerWest</v>
      </c>
    </row>
    <row r="621">
      <c r="AV621" s="0" t="s">
        <v>471</v>
      </c>
      <c r="AW621" s="0" t="s">
        <v>286</v>
      </c>
      <c r="AX621" s="0" t="s">
        <v>641</v>
      </c>
      <c r="AY621" s="0" t="s">
        <v>2295</v>
      </c>
      <c r="AZ621" s="0" t="s">
        <v>2296</v>
      </c>
      <c r="BA621" s="0" t="s">
        <v>285</v>
      </c>
      <c r="BB621" s="0" t="str">
        <f t="shared" si="9"/>
        <v>CIHPbeGwerWest</v>
      </c>
    </row>
    <row r="622">
      <c r="AV622" s="0" t="s">
        <v>471</v>
      </c>
      <c r="AW622" s="0" t="s">
        <v>286</v>
      </c>
      <c r="AX622" s="0" t="s">
        <v>641</v>
      </c>
      <c r="AY622" s="0" t="s">
        <v>2297</v>
      </c>
      <c r="AZ622" s="0" t="s">
        <v>2298</v>
      </c>
      <c r="BA622" s="0" t="s">
        <v>285</v>
      </c>
      <c r="BB622" s="0" t="str">
        <f t="shared" si="9"/>
        <v>CIHPbeGwerWest</v>
      </c>
    </row>
    <row r="623">
      <c r="AV623" s="0" t="s">
        <v>471</v>
      </c>
      <c r="AW623" s="0" t="s">
        <v>286</v>
      </c>
      <c r="AX623" s="0" t="s">
        <v>641</v>
      </c>
      <c r="AY623" s="0" t="s">
        <v>2299</v>
      </c>
      <c r="AZ623" s="0" t="s">
        <v>2300</v>
      </c>
      <c r="BA623" s="0" t="s">
        <v>285</v>
      </c>
      <c r="BB623" s="0" t="str">
        <f t="shared" si="9"/>
        <v>CIHPbeGwerWest</v>
      </c>
    </row>
    <row r="624">
      <c r="AV624" s="0" t="s">
        <v>471</v>
      </c>
      <c r="AW624" s="0" t="s">
        <v>286</v>
      </c>
      <c r="AX624" s="0" t="s">
        <v>641</v>
      </c>
      <c r="AY624" s="0" t="s">
        <v>2301</v>
      </c>
      <c r="AZ624" s="0" t="s">
        <v>2302</v>
      </c>
      <c r="BA624" s="0" t="s">
        <v>285</v>
      </c>
      <c r="BB624" s="0" t="str">
        <f t="shared" si="9"/>
        <v>CIHPbeGwerWest</v>
      </c>
    </row>
    <row r="625">
      <c r="AV625" s="0" t="s">
        <v>471</v>
      </c>
      <c r="AW625" s="0" t="s">
        <v>286</v>
      </c>
      <c r="AX625" s="0" t="s">
        <v>641</v>
      </c>
      <c r="AY625" s="0" t="s">
        <v>2303</v>
      </c>
      <c r="AZ625" s="0" t="s">
        <v>2304</v>
      </c>
      <c r="BA625" s="0" t="s">
        <v>285</v>
      </c>
      <c r="BB625" s="0" t="str">
        <f t="shared" si="9"/>
        <v>CIHPbeGwerWest</v>
      </c>
    </row>
    <row r="626">
      <c r="AV626" s="0" t="s">
        <v>471</v>
      </c>
      <c r="AW626" s="0" t="s">
        <v>286</v>
      </c>
      <c r="AX626" s="0" t="s">
        <v>641</v>
      </c>
      <c r="AY626" s="0" t="s">
        <v>2305</v>
      </c>
      <c r="AZ626" s="0" t="s">
        <v>2306</v>
      </c>
      <c r="BA626" s="0" t="s">
        <v>285</v>
      </c>
      <c r="BB626" s="0" t="str">
        <f t="shared" si="9"/>
        <v>CIHPbeGwerWest</v>
      </c>
    </row>
    <row r="627">
      <c r="AV627" s="0" t="s">
        <v>471</v>
      </c>
      <c r="AW627" s="0" t="s">
        <v>286</v>
      </c>
      <c r="AX627" s="0" t="s">
        <v>641</v>
      </c>
      <c r="AY627" s="0" t="s">
        <v>2307</v>
      </c>
      <c r="AZ627" s="0" t="s">
        <v>2308</v>
      </c>
      <c r="BA627" s="0" t="s">
        <v>285</v>
      </c>
      <c r="BB627" s="0" t="str">
        <f t="shared" si="9"/>
        <v>CIHPbeGwerWest</v>
      </c>
    </row>
    <row r="628">
      <c r="AV628" s="0" t="s">
        <v>471</v>
      </c>
      <c r="AW628" s="0" t="s">
        <v>286</v>
      </c>
      <c r="AX628" s="0" t="s">
        <v>641</v>
      </c>
      <c r="AY628" s="0" t="s">
        <v>2309</v>
      </c>
      <c r="AZ628" s="0" t="s">
        <v>2310</v>
      </c>
      <c r="BA628" s="0" t="s">
        <v>285</v>
      </c>
      <c r="BB628" s="0" t="str">
        <f t="shared" si="9"/>
        <v>CIHPbeGwerWest</v>
      </c>
    </row>
    <row r="629">
      <c r="AV629" s="0" t="s">
        <v>471</v>
      </c>
      <c r="AW629" s="0" t="s">
        <v>286</v>
      </c>
      <c r="AX629" s="0" t="s">
        <v>641</v>
      </c>
      <c r="AY629" s="0" t="s">
        <v>2311</v>
      </c>
      <c r="AZ629" s="0" t="s">
        <v>2312</v>
      </c>
      <c r="BA629" s="0" t="s">
        <v>285</v>
      </c>
      <c r="BB629" s="0" t="str">
        <f t="shared" si="9"/>
        <v>CIHPbeGwerWest</v>
      </c>
    </row>
    <row r="630">
      <c r="AV630" s="0" t="s">
        <v>471</v>
      </c>
      <c r="AW630" s="0" t="s">
        <v>286</v>
      </c>
      <c r="AX630" s="0" t="s">
        <v>641</v>
      </c>
      <c r="AY630" s="0" t="s">
        <v>2313</v>
      </c>
      <c r="AZ630" s="0" t="s">
        <v>2314</v>
      </c>
      <c r="BA630" s="0" t="s">
        <v>285</v>
      </c>
      <c r="BB630" s="0" t="str">
        <f t="shared" si="9"/>
        <v>CIHPbeGwerWest</v>
      </c>
    </row>
    <row r="631">
      <c r="AV631" s="0" t="s">
        <v>471</v>
      </c>
      <c r="AW631" s="0" t="s">
        <v>286</v>
      </c>
      <c r="AX631" s="0" t="s">
        <v>748</v>
      </c>
      <c r="AY631" s="0" t="s">
        <v>2315</v>
      </c>
      <c r="AZ631" s="0" t="s">
        <v>2316</v>
      </c>
      <c r="BA631" s="0" t="s">
        <v>285</v>
      </c>
      <c r="BB631" s="0" t="str">
        <f t="shared" si="9"/>
        <v>CIHPbeKwande</v>
      </c>
    </row>
    <row r="632">
      <c r="AV632" s="0" t="s">
        <v>471</v>
      </c>
      <c r="AW632" s="0" t="s">
        <v>286</v>
      </c>
      <c r="AX632" s="0" t="s">
        <v>748</v>
      </c>
      <c r="AY632" s="0" t="s">
        <v>2317</v>
      </c>
      <c r="AZ632" s="0" t="s">
        <v>2318</v>
      </c>
      <c r="BA632" s="0" t="s">
        <v>285</v>
      </c>
      <c r="BB632" s="0" t="str">
        <f t="shared" si="9"/>
        <v>CIHPbeKwande</v>
      </c>
    </row>
    <row r="633">
      <c r="AV633" s="0" t="s">
        <v>471</v>
      </c>
      <c r="AW633" s="0" t="s">
        <v>286</v>
      </c>
      <c r="AX633" s="0" t="s">
        <v>748</v>
      </c>
      <c r="AY633" s="0" t="s">
        <v>2319</v>
      </c>
      <c r="AZ633" s="0" t="s">
        <v>2320</v>
      </c>
      <c r="BA633" s="0" t="s">
        <v>285</v>
      </c>
      <c r="BB633" s="0" t="str">
        <f t="shared" si="9"/>
        <v>CIHPbeKwande</v>
      </c>
    </row>
    <row r="634">
      <c r="AV634" s="0" t="s">
        <v>471</v>
      </c>
      <c r="AW634" s="0" t="s">
        <v>286</v>
      </c>
      <c r="AX634" s="0" t="s">
        <v>748</v>
      </c>
      <c r="AY634" s="0" t="s">
        <v>2321</v>
      </c>
      <c r="AZ634" s="0" t="s">
        <v>2322</v>
      </c>
      <c r="BA634" s="0" t="s">
        <v>285</v>
      </c>
      <c r="BB634" s="0" t="str">
        <f t="shared" si="9"/>
        <v>CIHPbeKwande</v>
      </c>
    </row>
    <row r="635">
      <c r="AV635" s="0" t="s">
        <v>471</v>
      </c>
      <c r="AW635" s="0" t="s">
        <v>286</v>
      </c>
      <c r="AX635" s="0" t="s">
        <v>748</v>
      </c>
      <c r="AY635" s="0" t="s">
        <v>2323</v>
      </c>
      <c r="AZ635" s="0" t="s">
        <v>2324</v>
      </c>
      <c r="BA635" s="0" t="s">
        <v>285</v>
      </c>
      <c r="BB635" s="0" t="str">
        <f t="shared" si="9"/>
        <v>CIHPbeKwande</v>
      </c>
    </row>
    <row r="636">
      <c r="AV636" s="0" t="s">
        <v>471</v>
      </c>
      <c r="AW636" s="0" t="s">
        <v>286</v>
      </c>
      <c r="AX636" s="0" t="s">
        <v>748</v>
      </c>
      <c r="AY636" s="0" t="s">
        <v>2325</v>
      </c>
      <c r="AZ636" s="0" t="s">
        <v>2326</v>
      </c>
      <c r="BA636" s="0" t="s">
        <v>285</v>
      </c>
      <c r="BB636" s="0" t="str">
        <f t="shared" si="9"/>
        <v>CIHPbeKwande</v>
      </c>
    </row>
    <row r="637">
      <c r="AV637" s="0" t="s">
        <v>471</v>
      </c>
      <c r="AW637" s="0" t="s">
        <v>286</v>
      </c>
      <c r="AX637" s="0" t="s">
        <v>748</v>
      </c>
      <c r="AY637" s="0" t="s">
        <v>2327</v>
      </c>
      <c r="AZ637" s="0" t="s">
        <v>2328</v>
      </c>
      <c r="BA637" s="0" t="s">
        <v>285</v>
      </c>
      <c r="BB637" s="0" t="str">
        <f t="shared" si="9"/>
        <v>CIHPbeKwande</v>
      </c>
    </row>
    <row r="638">
      <c r="AV638" s="0" t="s">
        <v>471</v>
      </c>
      <c r="AW638" s="0" t="s">
        <v>286</v>
      </c>
      <c r="AX638" s="0" t="s">
        <v>748</v>
      </c>
      <c r="AY638" s="0" t="s">
        <v>2329</v>
      </c>
      <c r="AZ638" s="0" t="s">
        <v>2330</v>
      </c>
      <c r="BA638" s="0" t="s">
        <v>285</v>
      </c>
      <c r="BB638" s="0" t="str">
        <f t="shared" si="9"/>
        <v>CIHPbeKwande</v>
      </c>
    </row>
    <row r="639">
      <c r="AV639" s="0" t="s">
        <v>471</v>
      </c>
      <c r="AW639" s="0" t="s">
        <v>286</v>
      </c>
      <c r="AX639" s="0" t="s">
        <v>748</v>
      </c>
      <c r="AY639" s="0" t="s">
        <v>2331</v>
      </c>
      <c r="AZ639" s="0" t="s">
        <v>2332</v>
      </c>
      <c r="BA639" s="0" t="s">
        <v>285</v>
      </c>
      <c r="BB639" s="0" t="str">
        <f t="shared" si="9"/>
        <v>CIHPbeKwande</v>
      </c>
    </row>
    <row r="640">
      <c r="AV640" s="0" t="s">
        <v>471</v>
      </c>
      <c r="AW640" s="0" t="s">
        <v>286</v>
      </c>
      <c r="AX640" s="0" t="s">
        <v>748</v>
      </c>
      <c r="AY640" s="0" t="s">
        <v>2333</v>
      </c>
      <c r="AZ640" s="0" t="s">
        <v>2334</v>
      </c>
      <c r="BA640" s="0" t="s">
        <v>285</v>
      </c>
      <c r="BB640" s="0" t="str">
        <f t="shared" si="9"/>
        <v>CIHPbeKwande</v>
      </c>
    </row>
    <row r="641">
      <c r="AV641" s="0" t="s">
        <v>471</v>
      </c>
      <c r="AW641" s="0" t="s">
        <v>286</v>
      </c>
      <c r="AX641" s="0" t="s">
        <v>748</v>
      </c>
      <c r="AY641" s="0" t="s">
        <v>2335</v>
      </c>
      <c r="AZ641" s="0" t="s">
        <v>2336</v>
      </c>
      <c r="BA641" s="0" t="s">
        <v>285</v>
      </c>
      <c r="BB641" s="0" t="str">
        <f t="shared" si="9"/>
        <v>CIHPbeKwande</v>
      </c>
    </row>
    <row r="642">
      <c r="AV642" s="0" t="s">
        <v>471</v>
      </c>
      <c r="AW642" s="0" t="s">
        <v>286</v>
      </c>
      <c r="AX642" s="0" t="s">
        <v>748</v>
      </c>
      <c r="AY642" s="0" t="s">
        <v>2337</v>
      </c>
      <c r="AZ642" s="0" t="s">
        <v>2338</v>
      </c>
      <c r="BA642" s="0" t="s">
        <v>285</v>
      </c>
      <c r="BB642" s="0" t="str">
        <f t="shared" si="9"/>
        <v>CIHPbeKwande</v>
      </c>
    </row>
    <row r="643">
      <c r="AV643" s="0" t="s">
        <v>471</v>
      </c>
      <c r="AW643" s="0" t="s">
        <v>286</v>
      </c>
      <c r="AX643" s="0" t="s">
        <v>780</v>
      </c>
      <c r="AY643" s="0" t="s">
        <v>2339</v>
      </c>
      <c r="AZ643" s="0" t="s">
        <v>2340</v>
      </c>
      <c r="BA643" s="0" t="s">
        <v>285</v>
      </c>
      <c r="BB643" s="0" t="str">
        <f ref="BB643:BB706" t="shared" si="10">SUBSTITUTE(SUBSTITUTE(BA643&amp;AX643," ",""),"-","")</f>
        <v>CIHPbeLogo</v>
      </c>
    </row>
    <row r="644">
      <c r="AV644" s="0" t="s">
        <v>471</v>
      </c>
      <c r="AW644" s="0" t="s">
        <v>286</v>
      </c>
      <c r="AX644" s="0" t="s">
        <v>780</v>
      </c>
      <c r="AY644" s="0" t="s">
        <v>2341</v>
      </c>
      <c r="AZ644" s="0" t="s">
        <v>2342</v>
      </c>
      <c r="BA644" s="0" t="s">
        <v>285</v>
      </c>
      <c r="BB644" s="0" t="str">
        <f t="shared" si="10"/>
        <v>CIHPbeLogo</v>
      </c>
    </row>
    <row r="645">
      <c r="AV645" s="0" t="s">
        <v>471</v>
      </c>
      <c r="AW645" s="0" t="s">
        <v>286</v>
      </c>
      <c r="AX645" s="0" t="s">
        <v>780</v>
      </c>
      <c r="AY645" s="0" t="s">
        <v>2343</v>
      </c>
      <c r="AZ645" s="0" t="s">
        <v>2344</v>
      </c>
      <c r="BA645" s="0" t="s">
        <v>285</v>
      </c>
      <c r="BB645" s="0" t="str">
        <f t="shared" si="10"/>
        <v>CIHPbeLogo</v>
      </c>
    </row>
    <row r="646">
      <c r="AV646" s="0" t="s">
        <v>471</v>
      </c>
      <c r="AW646" s="0" t="s">
        <v>286</v>
      </c>
      <c r="AX646" s="0" t="s">
        <v>780</v>
      </c>
      <c r="AY646" s="0" t="s">
        <v>2345</v>
      </c>
      <c r="AZ646" s="0" t="s">
        <v>2346</v>
      </c>
      <c r="BA646" s="0" t="s">
        <v>285</v>
      </c>
      <c r="BB646" s="0" t="str">
        <f t="shared" si="10"/>
        <v>CIHPbeLogo</v>
      </c>
    </row>
    <row r="647">
      <c r="AV647" s="0" t="s">
        <v>471</v>
      </c>
      <c r="AW647" s="0" t="s">
        <v>286</v>
      </c>
      <c r="AX647" s="0" t="s">
        <v>780</v>
      </c>
      <c r="AY647" s="0" t="s">
        <v>2347</v>
      </c>
      <c r="AZ647" s="0" t="s">
        <v>2348</v>
      </c>
      <c r="BA647" s="0" t="s">
        <v>285</v>
      </c>
      <c r="BB647" s="0" t="str">
        <f t="shared" si="10"/>
        <v>CIHPbeLogo</v>
      </c>
    </row>
    <row r="648">
      <c r="AV648" s="0" t="s">
        <v>471</v>
      </c>
      <c r="AW648" s="0" t="s">
        <v>286</v>
      </c>
      <c r="AX648" s="0" t="s">
        <v>780</v>
      </c>
      <c r="AY648" s="0" t="s">
        <v>2349</v>
      </c>
      <c r="AZ648" s="0" t="s">
        <v>2350</v>
      </c>
      <c r="BA648" s="0" t="s">
        <v>285</v>
      </c>
      <c r="BB648" s="0" t="str">
        <f t="shared" si="10"/>
        <v>CIHPbeLogo</v>
      </c>
    </row>
    <row r="649">
      <c r="AV649" s="0" t="s">
        <v>471</v>
      </c>
      <c r="AW649" s="0" t="s">
        <v>286</v>
      </c>
      <c r="AX649" s="0" t="s">
        <v>780</v>
      </c>
      <c r="AY649" s="0" t="s">
        <v>2351</v>
      </c>
      <c r="AZ649" s="0" t="s">
        <v>2352</v>
      </c>
      <c r="BA649" s="0" t="s">
        <v>285</v>
      </c>
      <c r="BB649" s="0" t="str">
        <f t="shared" si="10"/>
        <v>CIHPbeLogo</v>
      </c>
    </row>
    <row r="650">
      <c r="AV650" s="0" t="s">
        <v>471</v>
      </c>
      <c r="AW650" s="0" t="s">
        <v>286</v>
      </c>
      <c r="AX650" s="0" t="s">
        <v>780</v>
      </c>
      <c r="AY650" s="0" t="s">
        <v>2353</v>
      </c>
      <c r="AZ650" s="0" t="s">
        <v>2354</v>
      </c>
      <c r="BA650" s="0" t="s">
        <v>285</v>
      </c>
      <c r="BB650" s="0" t="str">
        <f t="shared" si="10"/>
        <v>CIHPbeLogo</v>
      </c>
    </row>
    <row r="651">
      <c r="AV651" s="0" t="s">
        <v>471</v>
      </c>
      <c r="AW651" s="0" t="s">
        <v>286</v>
      </c>
      <c r="AX651" s="0" t="s">
        <v>780</v>
      </c>
      <c r="AY651" s="0" t="s">
        <v>2355</v>
      </c>
      <c r="AZ651" s="0" t="s">
        <v>2356</v>
      </c>
      <c r="BA651" s="0" t="s">
        <v>285</v>
      </c>
      <c r="BB651" s="0" t="str">
        <f t="shared" si="10"/>
        <v>CIHPbeLogo</v>
      </c>
    </row>
    <row r="652">
      <c r="AV652" s="0" t="s">
        <v>471</v>
      </c>
      <c r="AW652" s="0" t="s">
        <v>286</v>
      </c>
      <c r="AX652" s="0" t="s">
        <v>780</v>
      </c>
      <c r="AY652" s="0" t="s">
        <v>2357</v>
      </c>
      <c r="AZ652" s="0" t="s">
        <v>2358</v>
      </c>
      <c r="BA652" s="0" t="s">
        <v>285</v>
      </c>
      <c r="BB652" s="0" t="str">
        <f t="shared" si="10"/>
        <v>CIHPbeLogo</v>
      </c>
    </row>
    <row r="653">
      <c r="AV653" s="0" t="s">
        <v>471</v>
      </c>
      <c r="AW653" s="0" t="s">
        <v>286</v>
      </c>
      <c r="AX653" s="0" t="s">
        <v>780</v>
      </c>
      <c r="AY653" s="0" t="s">
        <v>2359</v>
      </c>
      <c r="AZ653" s="0" t="s">
        <v>2360</v>
      </c>
      <c r="BA653" s="0" t="s">
        <v>285</v>
      </c>
      <c r="BB653" s="0" t="str">
        <f t="shared" si="10"/>
        <v>CIHPbeLogo</v>
      </c>
    </row>
    <row r="654">
      <c r="AV654" s="0" t="s">
        <v>471</v>
      </c>
      <c r="AW654" s="0" t="s">
        <v>286</v>
      </c>
      <c r="AX654" s="0" t="s">
        <v>780</v>
      </c>
      <c r="AY654" s="0" t="s">
        <v>2361</v>
      </c>
      <c r="AZ654" s="0" t="s">
        <v>2362</v>
      </c>
      <c r="BA654" s="0" t="s">
        <v>285</v>
      </c>
      <c r="BB654" s="0" t="str">
        <f t="shared" si="10"/>
        <v>CIHPbeLogo</v>
      </c>
    </row>
    <row r="655">
      <c r="AV655" s="0" t="s">
        <v>471</v>
      </c>
      <c r="AW655" s="0" t="s">
        <v>286</v>
      </c>
      <c r="AX655" s="0" t="s">
        <v>780</v>
      </c>
      <c r="AY655" s="0" t="s">
        <v>2363</v>
      </c>
      <c r="AZ655" s="0" t="s">
        <v>2364</v>
      </c>
      <c r="BA655" s="0" t="s">
        <v>285</v>
      </c>
      <c r="BB655" s="0" t="str">
        <f t="shared" si="10"/>
        <v>CIHPbeLogo</v>
      </c>
    </row>
    <row r="656">
      <c r="AV656" s="0" t="s">
        <v>471</v>
      </c>
      <c r="AW656" s="0" t="s">
        <v>286</v>
      </c>
      <c r="AX656" s="0" t="s">
        <v>780</v>
      </c>
      <c r="AY656" s="0" t="s">
        <v>2365</v>
      </c>
      <c r="AZ656" s="0" t="s">
        <v>2366</v>
      </c>
      <c r="BA656" s="0" t="s">
        <v>285</v>
      </c>
      <c r="BB656" s="0" t="str">
        <f t="shared" si="10"/>
        <v>CIHPbeLogo</v>
      </c>
    </row>
    <row r="657">
      <c r="AV657" s="0" t="s">
        <v>471</v>
      </c>
      <c r="AW657" s="0" t="s">
        <v>286</v>
      </c>
      <c r="AX657" s="0" t="s">
        <v>780</v>
      </c>
      <c r="AY657" s="0" t="s">
        <v>2367</v>
      </c>
      <c r="AZ657" s="0" t="s">
        <v>2368</v>
      </c>
      <c r="BA657" s="0" t="s">
        <v>285</v>
      </c>
      <c r="BB657" s="0" t="str">
        <f t="shared" si="10"/>
        <v>CIHPbeLogo</v>
      </c>
    </row>
    <row r="658">
      <c r="AV658" s="0" t="s">
        <v>471</v>
      </c>
      <c r="AW658" s="0" t="s">
        <v>286</v>
      </c>
      <c r="AX658" s="0" t="s">
        <v>780</v>
      </c>
      <c r="AY658" s="0" t="s">
        <v>2369</v>
      </c>
      <c r="AZ658" s="0" t="s">
        <v>2370</v>
      </c>
      <c r="BA658" s="0" t="s">
        <v>285</v>
      </c>
      <c r="BB658" s="0" t="str">
        <f t="shared" si="10"/>
        <v>CIHPbeLogo</v>
      </c>
    </row>
    <row r="659">
      <c r="AV659" s="0" t="s">
        <v>471</v>
      </c>
      <c r="AW659" s="0" t="s">
        <v>286</v>
      </c>
      <c r="AX659" s="0" t="s">
        <v>780</v>
      </c>
      <c r="AY659" s="0" t="s">
        <v>2371</v>
      </c>
      <c r="AZ659" s="0" t="s">
        <v>2372</v>
      </c>
      <c r="BA659" s="0" t="s">
        <v>285</v>
      </c>
      <c r="BB659" s="0" t="str">
        <f t="shared" si="10"/>
        <v>CIHPbeLogo</v>
      </c>
    </row>
    <row r="660">
      <c r="AV660" s="0" t="s">
        <v>471</v>
      </c>
      <c r="AW660" s="0" t="s">
        <v>286</v>
      </c>
      <c r="AX660" s="0" t="s">
        <v>780</v>
      </c>
      <c r="AY660" s="0" t="s">
        <v>2373</v>
      </c>
      <c r="AZ660" s="0" t="s">
        <v>2374</v>
      </c>
      <c r="BA660" s="0" t="s">
        <v>285</v>
      </c>
      <c r="BB660" s="0" t="str">
        <f t="shared" si="10"/>
        <v>CIHPbeLogo</v>
      </c>
    </row>
    <row r="661">
      <c r="AV661" s="0" t="s">
        <v>471</v>
      </c>
      <c r="AW661" s="0" t="s">
        <v>286</v>
      </c>
      <c r="AX661" s="0" t="s">
        <v>780</v>
      </c>
      <c r="AY661" s="0" t="s">
        <v>2375</v>
      </c>
      <c r="AZ661" s="0" t="s">
        <v>2376</v>
      </c>
      <c r="BA661" s="0" t="s">
        <v>285</v>
      </c>
      <c r="BB661" s="0" t="str">
        <f t="shared" si="10"/>
        <v>CIHPbeLogo</v>
      </c>
    </row>
    <row r="662">
      <c r="AV662" s="0" t="s">
        <v>471</v>
      </c>
      <c r="AW662" s="0" t="s">
        <v>286</v>
      </c>
      <c r="AX662" s="0" t="s">
        <v>780</v>
      </c>
      <c r="AY662" s="0" t="s">
        <v>2377</v>
      </c>
      <c r="AZ662" s="0" t="s">
        <v>2378</v>
      </c>
      <c r="BA662" s="0" t="s">
        <v>285</v>
      </c>
      <c r="BB662" s="0" t="str">
        <f t="shared" si="10"/>
        <v>CIHPbeLogo</v>
      </c>
    </row>
    <row r="663">
      <c r="AV663" s="0" t="s">
        <v>471</v>
      </c>
      <c r="AW663" s="0" t="s">
        <v>286</v>
      </c>
      <c r="AX663" s="0" t="s">
        <v>780</v>
      </c>
      <c r="AY663" s="0" t="s">
        <v>2379</v>
      </c>
      <c r="AZ663" s="0" t="s">
        <v>2380</v>
      </c>
      <c r="BA663" s="0" t="s">
        <v>285</v>
      </c>
      <c r="BB663" s="0" t="str">
        <f t="shared" si="10"/>
        <v>CIHPbeLogo</v>
      </c>
    </row>
    <row r="664">
      <c r="AV664" s="0" t="s">
        <v>471</v>
      </c>
      <c r="AW664" s="0" t="s">
        <v>286</v>
      </c>
      <c r="AX664" s="0" t="s">
        <v>780</v>
      </c>
      <c r="AY664" s="0" t="s">
        <v>2381</v>
      </c>
      <c r="AZ664" s="0" t="s">
        <v>2382</v>
      </c>
      <c r="BA664" s="0" t="s">
        <v>285</v>
      </c>
      <c r="BB664" s="0" t="str">
        <f t="shared" si="10"/>
        <v>CIHPbeLogo</v>
      </c>
    </row>
    <row r="665">
      <c r="AV665" s="0" t="s">
        <v>471</v>
      </c>
      <c r="AW665" s="0" t="s">
        <v>286</v>
      </c>
      <c r="AX665" s="0" t="s">
        <v>780</v>
      </c>
      <c r="AY665" s="0" t="s">
        <v>2383</v>
      </c>
      <c r="AZ665" s="0" t="s">
        <v>2384</v>
      </c>
      <c r="BA665" s="0" t="s">
        <v>285</v>
      </c>
      <c r="BB665" s="0" t="str">
        <f t="shared" si="10"/>
        <v>CIHPbeLogo</v>
      </c>
    </row>
    <row r="666">
      <c r="AV666" s="0" t="s">
        <v>471</v>
      </c>
      <c r="AW666" s="0" t="s">
        <v>286</v>
      </c>
      <c r="AX666" s="0" t="s">
        <v>780</v>
      </c>
      <c r="AY666" s="0" t="s">
        <v>2385</v>
      </c>
      <c r="AZ666" s="0" t="s">
        <v>2386</v>
      </c>
      <c r="BA666" s="0" t="s">
        <v>285</v>
      </c>
      <c r="BB666" s="0" t="str">
        <f t="shared" si="10"/>
        <v>CIHPbeLogo</v>
      </c>
    </row>
    <row r="667">
      <c r="AV667" s="0" t="s">
        <v>471</v>
      </c>
      <c r="AW667" s="0" t="s">
        <v>286</v>
      </c>
      <c r="AX667" s="0" t="s">
        <v>780</v>
      </c>
      <c r="AY667" s="0" t="s">
        <v>2387</v>
      </c>
      <c r="AZ667" s="0" t="s">
        <v>2388</v>
      </c>
      <c r="BA667" s="0" t="s">
        <v>285</v>
      </c>
      <c r="BB667" s="0" t="str">
        <f t="shared" si="10"/>
        <v>CIHPbeLogo</v>
      </c>
    </row>
    <row r="668">
      <c r="AV668" s="0" t="s">
        <v>471</v>
      </c>
      <c r="AW668" s="0" t="s">
        <v>286</v>
      </c>
      <c r="AX668" s="0" t="s">
        <v>780</v>
      </c>
      <c r="AY668" s="0" t="s">
        <v>2389</v>
      </c>
      <c r="AZ668" s="0" t="s">
        <v>2390</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2159</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2217</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