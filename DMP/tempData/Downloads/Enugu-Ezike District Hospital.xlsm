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<sst xmlns="http://schemas.openxmlformats.org/spreadsheetml/2006/main" count="4056" uniqueCount="4056">
  <si>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</si>
  <si>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</si>
  <si>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</si>
  <si>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</si>
  <si>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</si>
  <si>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</si>
  <si>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</si>
  <si>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</si>
  <si>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</si>
  <si>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</si>
  <si>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</si>
  <si>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</si>
  <si>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</si>
  <si>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</si>
  <si>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</si>
  <si>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</si>
  <si>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</si>
  <si>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</si>
  <si>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</si>
  <si>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</si>
  <si>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</si>
  <si>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</si>
  <si>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</si>
  <si>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</si>
  <si>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</si>
  <si>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</si>
  <si>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</si>
  <si>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</si>
  <si>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</si>
  <si>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</si>
  <si>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</si>
  <si>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</si>
  <si>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</si>
  <si>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</si>
  <si>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</si>
  <si>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</si>
  <si>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</si>
  <si>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</si>
  <si>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</si>
  <si>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</si>
  <si>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</si>
  <si>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</si>
  <si>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</si>
  <si>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</si>
  <si>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</si>
  <si>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</si>
  <si>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</si>
  <si>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</si>
  <si>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</si>
  <si>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</si>
  <si>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</si>
  <si>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</si>
  <si>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</si>
  <si>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</si>
  <si>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</si>
  <si>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</si>
  <si>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</si>
  <si>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</si>
  <si>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</si>
  <si>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</si>
  <si>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</si>
  <si>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</si>
  <si>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</si>
  <si>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</si>
  <si>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</si>
  <si>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</si>
  <si>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</si>
  <si>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</si>
  <si>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</si>
  <si>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</si>
  <si>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</si>
  <si>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</si>
  <si>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</si>
  <si>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</si>
  <si>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</si>
  <si>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</si>
  <si>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</si>
  <si>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</si>
  <si>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</si>
  <si>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</si>
  <si>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</si>
  <si>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</si>
  <si>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</si>
  <si>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</si>
  <si>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</si>
  <si>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</si>
  <si>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</si>
  <si>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</si>
  <si>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</si>
  <si>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</si>
  <si>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</si>
  <si>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</si>
  <si>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</si>
  <si>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</si>
  <si>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</si>
  <si>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</si>
  <si>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</si>
  <si>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</si>
  <si>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</si>
  <si>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</si>
  <si>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</si>
  <si>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</si>
  <si>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</si>
  <si>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</si>
  <si>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</si>
  <si>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</si>
  <si>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</si>
  <si>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</si>
  <si>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</si>
  <si>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</si>
  <si>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</si>
  <si>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</si>
  <si>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</si>
  <si>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</si>
  <si>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</si>
  <si>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</si>
  <si>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</si>
  <si>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</si>
  <si>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</si>
  <si>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</si>
  <si>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</si>
  <si>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</si>
  <si>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</si>
  <si>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</si>
  <si>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</si>
  <si>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</si>
  <si>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</si>
  <si>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</si>
  <si>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</si>
  <si>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</si>
  <si>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</si>
  <si>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</si>
  <si>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</si>
  <si>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</si>
  <si>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</si>
  <si>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</si>
  <si>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</si>
  <si>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</si>
  <si>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</si>
  <si>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</si>
  <si>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</si>
  <si>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</si>
  <si>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</si>
  <si>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</si>
  <si>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</si>
  <si>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</si>
  <si>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</si>
  <si>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</si>
  <si>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</si>
  <si>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</si>
  <si>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</si>
  <si>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</si>
  <si>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</si>
  <si>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</si>
  <si>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</si>
  <si>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</si>
  <si>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</si>
  <si>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</si>
  <si>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</si>
  <si>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</si>
  <si>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</si>
  <si>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</si>
  <si>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</si>
  <si>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</si>
  <si>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</si>
  <si>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</si>
  <si>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</si>
  <si>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</si>
  <si>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</si>
  <si>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</si>
  <si>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</si>
  <si>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</si>
  <si>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</si>
  <si>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</si>
  <si>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</si>
  <si>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</si>
  <si>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</si>
  <si>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</si>
  <si>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</si>
  <si>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</si>
  <si>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</si>
  <si>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</si>
  <si>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</si>
  <si>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</si>
  <si>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</si>
  <si>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</si>
  <si>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</si>
  <si>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</si>
  <si>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</si>
  <si>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</si>
  <si>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</si>
  <si>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</si>
  <si>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</si>
  <si>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</si>
  <si>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</si>
  <si>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</si>
  <si>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</si>
  <si>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</si>
  <si>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</si>
  <si>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</si>
  <si>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</si>
  <si>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</si>
  <si>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</si>
  <si>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</si>
  <si>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</si>
  <si>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</si>
  <si>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</si>
  <si>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</si>
  <si>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</si>
  <si>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</si>
  <si>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</si>
  <si>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</si>
  <si>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</si>
  <si>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</si>
  <si>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</si>
  <si>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</si>
  <si>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</si>
  <si>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</si>
  <si>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</si>
  <si>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</si>
  <si>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</si>
  <si>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</si>
  <si>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</si>
  <si>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</si>
  <si>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</si>
  <si>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</si>
  <si>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</si>
  <si>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</si>
  <si>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</si>
  <si>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</si>
  <si>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</si>
  <si>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</si>
  <si>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</si>
  <si>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</si>
  <si>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</si>
  <si>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</si>
  <si>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</si>
  <si>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</si>
  <si>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</si>
  <si>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</si>
  <si>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</si>
  <si>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</si>
  <si>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</si>
  <si>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</si>
  <si>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</si>
  <si>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</si>
  <si>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</si>
  <si>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</si>
  <si>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</si>
  <si>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</si>
  <si>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</si>
  <si>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</si>
  <si>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</si>
  <si>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</si>
  <si>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</si>
  <si>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</si>
  <si>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</si>
  <si>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</si>
  <si>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</si>
  <si>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</si>
  <si>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</si>
  <si>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</si>
  <si>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</si>
  <si>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</si>
  <si>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</si>
  <si>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</si>
  <si>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</si>
  <si>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</si>
  <si>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</si>
  <si>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</si>
  <si>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</si>
  <si>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</si>
  <si>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</si>
  <si>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</si>
  <si>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</si>
  <si>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</si>
  <si>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</si>
  <si>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</si>
  <si>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</si>
  <si>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</si>
  <si>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</si>
  <si>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</si>
  <si>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</si>
  <si>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</si>
  <si>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</si>
  <si>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</si>
  <si>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</si>
  <si>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Igbo-Eze-North</t>
  </si>
  <si>
    <t>Facility Name:</t>
  </si>
  <si>
    <t>Enugu-Ezike District Hospital</t>
  </si>
  <si>
    <t>Reporting Period:</t>
  </si>
  <si>
    <t>Q1(Oct - Dec)</t>
  </si>
  <si>
    <t>Facility Code:</t>
  </si>
  <si>
    <t>mQP9uTmEuSi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</si>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</sst>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67</v>
      </c>
      <c r="G8" s="155">
        <f>ROUND(SUM('All Questions'!D31:D35)/5+G12,0)</f>
        <v>113</v>
      </c>
      <c r="H8" s="156">
        <f>ROUND(SUM('All Questions'!D37,'All Questions'!D40)/2+'All Questions'!D26+H12,0)</f>
        <v>242</v>
      </c>
      <c r="I8" s="157">
        <f>ROUND((SUM('All Questions'!E11:E14)/4)+I12,0)</f>
        <v>0</v>
      </c>
      <c r="J8" s="155">
        <f>ROUND(SUM('All Questions'!E15:E21)/7+J12,0)</f>
        <v>0</v>
      </c>
      <c r="K8" s="155">
        <f>ROUND(SUM('All Questions'!E23:E30)/4+K12,0)</f>
        <v>74</v>
      </c>
      <c r="L8" s="155">
        <f>ROUND(SUM('All Questions'!E31:E35)/5+L12,0)</f>
        <v>128</v>
      </c>
      <c r="M8" s="156">
        <f>ROUND(('All Questions'!E37+'All Questions'!E40)/2+'All Questions'!E26+M12,0)</f>
        <v>256</v>
      </c>
      <c r="N8" s="157">
        <f>ROUND((SUM('All Questions'!F11:F14)/4)+N12,0)</f>
        <v>0</v>
      </c>
      <c r="O8" s="155">
        <f>ROUND(SUM('All Questions'!F15:F21)/7+O12,0)</f>
        <v>0</v>
      </c>
      <c r="P8" s="155">
        <f>ROUND(SUM('All Questions'!F23:F30)/4+P12,0)</f>
        <v>57</v>
      </c>
      <c r="Q8" s="155">
        <f>ROUND(SUM('All Questions'!F31:F35)/5+Q12,0)</f>
        <v>98</v>
      </c>
      <c r="R8" s="156">
        <f>ROUND(('All Questions'!F37+'All Questions'!F40)/2+'All Questions'!F26+R12,0)</f>
        <v>197</v>
      </c>
      <c r="S8" s="141">
        <f>'All Questions'!F2</f>
        <v>0</v>
      </c>
      <c r="T8" s="142" t="e">
        <f>(AVERAGE(F8:H8)+AVERAGE(K8:M8)+AVERAGE(P8:R8))/S8</f>
        <v>#DIV/0!</v>
      </c>
      <c r="V8" s="309">
        <f>AVERAGE(F8:H8)+AVERAGE(K8:M8)+AVERAGE(P8:R8)</f>
        <v>410.66666666666663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57</v>
      </c>
      <c r="G10" s="159">
        <f>ROUND(SUM('All Questions'!D31:D35)/5,0)</f>
        <v>91</v>
      </c>
      <c r="H10" s="162">
        <f>ROUND(('All Questions'!D37+'All Questions'!D40)/2+'All Questions'!D26,0)</f>
        <v>227</v>
      </c>
      <c r="I10" s="163">
        <f>ROUND((SUM('All Questions'!E11:E14)/4),0)</f>
        <v>0</v>
      </c>
      <c r="J10" s="164">
        <f>ROUND(SUM('All Questions'!E15:E21)/7,0)</f>
        <v>0</v>
      </c>
      <c r="K10" s="164">
        <f>ROUND(SUM('All Questions'!E23:E30)/4,0)</f>
        <v>60</v>
      </c>
      <c r="L10" s="164">
        <f>ROUND(SUM('All Questions'!E31:E35)/5,0)</f>
        <v>96</v>
      </c>
      <c r="M10" s="165">
        <f>ROUND(('All Questions'!E37+'All Questions'!E40)/2+'All Questions'!E26,0)</f>
        <v>235</v>
      </c>
      <c r="N10" s="166">
        <f>ROUND((SUM('All Questions'!F11:F14)/4),0)</f>
        <v>0</v>
      </c>
      <c r="O10" s="164">
        <f>ROUND(SUM('All Questions'!F15:F21)/7,0)</f>
        <v>0</v>
      </c>
      <c r="P10" s="164">
        <f>ROUND(SUM('All Questions'!F23:F30)/4,0)</f>
        <v>47</v>
      </c>
      <c r="Q10" s="164">
        <f>ROUND(SUM('All Questions'!F31:F35)/5,0)</f>
        <v>75</v>
      </c>
      <c r="R10" s="165">
        <f>ROUND(('All Questions'!F37+'All Questions'!F40)/2+'All Questions'!F26,0)</f>
        <v>181</v>
      </c>
      <c r="S10" s="141">
        <f>'All Questions'!F4</f>
        <v>0</v>
      </c>
      <c r="T10" s="143" t="e">
        <f>(AVERAGE(F10:H10)+AVERAGE(K10:M10)+AVERAGE(P10:R10))/S10</f>
        <v>#DIV/0!</v>
      </c>
      <c r="V10" s="309">
        <f>AVERAGE(F10:H10)+AVERAGE(K10:M10)+AVERAGE(P10:R10)</f>
        <v>356.33333333333337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10</v>
      </c>
      <c r="G12" s="173">
        <f>ROUND(SUM('All Questions'!D73:D80)/4,0)</f>
        <v>22</v>
      </c>
      <c r="H12" s="174">
        <f>ROUND(SUM('All Questions'!D82:D83)/2,0)</f>
        <v>15</v>
      </c>
      <c r="I12" s="175">
        <f>ROUND(SUM('All Questions'!E54:E58)+'All Questions'!E71/4,0)</f>
        <v>0</v>
      </c>
      <c r="J12" s="176">
        <f>ROUND(SUM('All Questions'!E60:E63)/4,0)</f>
        <v>0</v>
      </c>
      <c r="K12" s="176">
        <f>ROUND(SUM('All Questions'!E67:E72)/3,0)</f>
        <v>14</v>
      </c>
      <c r="L12" s="176">
        <f>ROUND(SUM('All Questions'!E73:E80)/4,0)</f>
        <v>32</v>
      </c>
      <c r="M12" s="177">
        <f>ROUND(SUM('All Questions'!E82:E83)/2,0)</f>
        <v>21</v>
      </c>
      <c r="N12" s="178">
        <f>ROUND(SUM('All Questions'!F54:F58)+'All Questions'!F71/4,0)</f>
        <v>0</v>
      </c>
      <c r="O12" s="176">
        <f>ROUND(SUM('All Questions'!F60:F63)/4,0)</f>
        <v>0</v>
      </c>
      <c r="P12" s="176">
        <f>ROUND(SUM('All Questions'!F67:F72)/3,0)</f>
        <v>10</v>
      </c>
      <c r="Q12" s="176">
        <f>ROUND(SUM('All Questions'!F73:F80)/4,0)</f>
        <v>23</v>
      </c>
      <c r="R12" s="177">
        <f>ROUND(SUM('All Questions'!F82:F83)/2,0)</f>
        <v>16</v>
      </c>
      <c r="S12" s="145">
        <f>'All Questions'!F46</f>
        <v>0</v>
      </c>
      <c r="T12" s="146" t="e">
        <f ref="T12:T15" t="shared" si="1">(AVERAGE(F12:H12)+AVERAGE(K12:M12)+AVERAGE(P12:R12))/S12</f>
        <v>#DIV/0!</v>
      </c>
      <c r="V12" s="309">
        <f>AVERAGE(F12:H12)+AVERAGE(K12:M12)+AVERAGE(P12:R12)</f>
        <v>54.333333333333329</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1</v>
      </c>
      <c r="L14" s="183">
        <f>ROUND(SUM('All Questions'!E74,'All Questions'!E76,'All Questions'!E78,'All Questions'!E80)/4,0)</f>
        <v>1</v>
      </c>
      <c r="M14" s="184">
        <f>ROUND(SUM('All Questions'!E88:E89)/2,0)</f>
        <v>1</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4</v>
      </c>
      <c r="G15" s="159">
        <f>ROUND(SUM('All Questions'!D131:D133)/3,0)</f>
        <v>5</v>
      </c>
      <c r="H15" s="162">
        <f>ROUND(SUM('All Questions'!D135,'All Questions'!D138),0)</f>
        <v>8</v>
      </c>
      <c r="I15" s="166">
        <f>ROUND(SUM('All Questions'!E119:E120)/2,0)</f>
        <v>0</v>
      </c>
      <c r="J15" s="164">
        <f>ROUND(SUM('All Questions'!E121,'All Questions'!E124)/2,0)</f>
        <v>0</v>
      </c>
      <c r="K15" s="164">
        <f>ROUND(SUM('All Questions'!E126:E129)/2,0)</f>
        <v>6</v>
      </c>
      <c r="L15" s="164">
        <f>ROUND(SUM('All Questions'!E131:E133)/3,0)</f>
        <v>5</v>
      </c>
      <c r="M15" s="165">
        <f>ROUND(SUM('All Questions'!E135,'All Questions'!E138),0)</f>
        <v>10</v>
      </c>
      <c r="N15" s="189">
        <f>ROUND(SUM('All Questions'!F119:F120)/2,0)</f>
        <v>0</v>
      </c>
      <c r="O15" s="164">
        <f>ROUND(SUM('All Questions'!F121,'All Questions'!F124)/2,0)</f>
        <v>0</v>
      </c>
      <c r="P15" s="164">
        <f>ROUND(SUM('All Questions'!F126:F129)/2,0)</f>
        <v>2</v>
      </c>
      <c r="Q15" s="164">
        <f>ROUND(SUM('All Questions'!F131:F133)/3,0)</f>
        <v>3</v>
      </c>
      <c r="R15" s="165">
        <f>ROUND(SUM('All Questions'!F135,'All Questions'!F138),0)</f>
        <v>5</v>
      </c>
      <c r="S15" s="148">
        <f>'All Questions'!F117</f>
        <v>0</v>
      </c>
      <c r="T15" s="147" t="e">
        <f t="shared" si="1"/>
        <v>#DIV/0!</v>
      </c>
      <c r="V15" s="309">
        <f ref="V15:V17" t="shared" si="2">AVERAGE(F15:H15)+AVERAGE(K15:M15)+AVERAGE(P15:R15)</f>
        <v>16</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15</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20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16</v>
      </c>
      <c r="R16" s="195">
        <f>ROUND(SUM('All Questions'!F111,'All Questions'!F112,'All Questions'!F114,'All Questions'!F115)/4,0)</f>
        <v>0</v>
      </c>
      <c r="S16" s="149">
        <f>'All Questions'!F91</f>
        <v>0</v>
      </c>
      <c r="T16" s="150" t="e">
        <f>(AVERAGE(F16:H16)+AVERAGE(K16:M16)+AVERAGE(P16:R16))/S16</f>
        <v>#DIV/0!</v>
      </c>
      <c r="V16" s="309">
        <f t="shared" si="2"/>
        <v>17</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43</v>
      </c>
      <c r="G17" s="155">
        <f>ROUND(SUM('All Questions'!D155:D158)/4,0)</f>
        <v>43</v>
      </c>
      <c r="H17" s="197">
        <f>ROUND(SUM('All Questions'!D160,'All Questions'!D163)/2,0)</f>
        <v>43</v>
      </c>
      <c r="I17" s="198">
        <f>ROUND(SUM('All Questions'!E145:E146)/2,0)</f>
        <v>0</v>
      </c>
      <c r="J17" s="199">
        <f>ROUND(SUM('All Questions'!E147:E150)/4,0)</f>
        <v>0</v>
      </c>
      <c r="K17" s="199">
        <f>ROUND(SUM('All Questions'!E151:E154)/2,0)</f>
        <v>43</v>
      </c>
      <c r="L17" s="199">
        <f>ROUND(SUM('All Questions'!E155:E158)/4,0)</f>
        <v>43</v>
      </c>
      <c r="M17" s="197">
        <f>ROUND(SUM('All Questions'!E160,'All Questions'!E163)/2,0)</f>
        <v>43</v>
      </c>
      <c r="N17" s="200">
        <f>ROUND(SUM('All Questions'!F145:F146)/2,0)</f>
        <v>0</v>
      </c>
      <c r="O17" s="199">
        <f>ROUND(SUM('All Questions'!F147:F150)/4,0)</f>
        <v>0</v>
      </c>
      <c r="P17" s="199">
        <f>ROUND(SUM('All Questions'!F151:F154)/2,0)</f>
        <v>13</v>
      </c>
      <c r="Q17" s="199">
        <f>ROUND(SUM('All Questions'!F155:F158)/4,0)</f>
        <v>13</v>
      </c>
      <c r="R17" s="199">
        <f>ROUND(SUM('All Questions'!F160,'All Questions'!F163)/2,0)</f>
        <v>13</v>
      </c>
      <c r="S17" s="151">
        <f>'All Questions'!F141</f>
        <v>0</v>
      </c>
      <c r="T17" s="142" t="e">
        <f>(AVERAGE(F17:H17)+AVERAGE(K17:M17)+AVERAGE(P17:R17))/S17</f>
        <v>#DIV/0!</v>
      </c>
      <c r="V17" s="309">
        <f t="shared" si="2"/>
        <v>99</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1429</v>
      </c>
      <c r="Q18" s="204">
        <f>ROUND(SUM('All Questions'!F186:F189)/4,0)</f>
        <v>1074</v>
      </c>
      <c r="R18" s="303">
        <f>ROUND(('All Questions'!F191-('All Questions'!F194+'All Questions'!F197+'All Questions'!F200)),0)</f>
        <v>-1505</v>
      </c>
      <c r="S18" s="152">
        <f>'All Questions'!F166</f>
        <v>0</v>
      </c>
      <c r="T18" s="144" t="e">
        <f>AVERAGE(P18:R18)/S18</f>
        <v>#DIV/0!</v>
      </c>
      <c r="V18" s="309">
        <f>AVERAGE(P18:R18)</f>
        <v>332.66666666666669</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1120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227</v>
      </c>
      <c r="E9" s="301">
        <v>235</v>
      </c>
      <c r="F9" s="301">
        <v>197</v>
      </c>
      <c r="G9" s="207" t="s">
        <v>67</v>
      </c>
    </row>
    <row r="10" hidden="1" ht="45" customHeight="1">
      <c r="A10" s="226"/>
      <c r="B10" s="238">
        <v>1113</v>
      </c>
      <c r="C10" s="242" t="s">
        <v>83</v>
      </c>
      <c r="D10" s="301">
        <v>227</v>
      </c>
      <c r="E10" s="301">
        <v>235</v>
      </c>
      <c r="F10" s="301">
        <v>197</v>
      </c>
      <c r="G10" s="207" t="s">
        <v>67</v>
      </c>
    </row>
    <row r="11" hidden="1" ht="45" customHeight="1">
      <c r="A11" s="226"/>
      <c r="B11" s="238">
        <v>1114</v>
      </c>
      <c r="C11" s="243" t="s">
        <v>84</v>
      </c>
      <c r="D11" s="301">
        <v>0</v>
      </c>
      <c r="E11" s="301">
        <v>6</v>
      </c>
      <c r="F11" s="301">
        <v>7</v>
      </c>
      <c r="G11" s="207" t="s">
        <v>67</v>
      </c>
    </row>
    <row r="12" hidden="1" ht="45" customHeight="1">
      <c r="A12" s="226"/>
      <c r="B12" s="238">
        <v>1115</v>
      </c>
      <c r="C12" s="242" t="s">
        <v>85</v>
      </c>
      <c r="D12" s="301">
        <v>0</v>
      </c>
      <c r="E12" s="301">
        <v>6</v>
      </c>
      <c r="F12" s="301">
        <v>7</v>
      </c>
      <c r="G12" s="207" t="s">
        <v>67</v>
      </c>
    </row>
    <row r="13" hidden="1" ht="45" customHeight="1">
      <c r="A13" s="226" t="s">
        <v>86</v>
      </c>
      <c r="B13" s="238">
        <v>1116</v>
      </c>
      <c r="C13" s="242" t="s">
        <v>87</v>
      </c>
      <c r="D13" s="301">
        <v>0</v>
      </c>
      <c r="E13" s="301">
        <v>6</v>
      </c>
      <c r="F13" s="301">
        <v>7</v>
      </c>
      <c r="G13" s="207" t="s">
        <v>67</v>
      </c>
    </row>
    <row r="14" hidden="1" ht="45" customHeight="1">
      <c r="A14" s="226"/>
      <c r="B14" s="238">
        <v>1117</v>
      </c>
      <c r="C14" s="242" t="s">
        <v>88</v>
      </c>
      <c r="D14" s="301">
        <v>0</v>
      </c>
      <c r="E14" s="301">
        <v>6</v>
      </c>
      <c r="F14" s="301">
        <v>7</v>
      </c>
      <c r="G14" s="207" t="s">
        <v>67</v>
      </c>
    </row>
    <row r="15" hidden="1" ht="45" customHeight="1">
      <c r="A15" s="226">
        <v>1116</v>
      </c>
      <c r="B15" s="238">
        <v>1121</v>
      </c>
      <c r="C15" s="243" t="str">
        <f>C13</f>
        <v>How many HTC clients have a completed Client intake form </v>
      </c>
      <c r="D15" s="302">
        <v>0</v>
      </c>
      <c r="E15" s="302">
        <v>6</v>
      </c>
      <c r="F15" s="302">
        <v>7</v>
      </c>
      <c r="G15" s="207"/>
    </row>
    <row r="16" hidden="1" ht="45" customHeight="1">
      <c r="A16" s="226"/>
      <c r="B16" s="238">
        <v>1122</v>
      </c>
      <c r="C16" s="243" t="s">
        <v>89</v>
      </c>
      <c r="D16" s="301">
        <v>0</v>
      </c>
      <c r="E16" s="301">
        <v>6</v>
      </c>
      <c r="F16" s="301">
        <v>7</v>
      </c>
      <c r="G16" s="207" t="s">
        <v>67</v>
      </c>
    </row>
    <row r="17" hidden="1" ht="45" customHeight="1">
      <c r="A17" s="226"/>
      <c r="B17" s="238">
        <v>1123</v>
      </c>
      <c r="C17" s="242" t="s">
        <v>90</v>
      </c>
      <c r="D17" s="301">
        <v>0</v>
      </c>
      <c r="E17" s="301">
        <v>6</v>
      </c>
      <c r="F17" s="301">
        <v>7</v>
      </c>
      <c r="G17" s="207" t="s">
        <v>67</v>
      </c>
    </row>
    <row r="18" hidden="1" ht="45" customHeight="1">
      <c r="A18" s="226"/>
      <c r="B18" s="238">
        <v>1124</v>
      </c>
      <c r="C18" s="242" t="s">
        <v>91</v>
      </c>
      <c r="D18" s="301">
        <v>0</v>
      </c>
      <c r="E18" s="301">
        <v>6</v>
      </c>
      <c r="F18" s="301">
        <v>7</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4</v>
      </c>
      <c r="F23" s="301">
        <v>3</v>
      </c>
      <c r="G23" s="207" t="s">
        <v>67</v>
      </c>
    </row>
    <row r="24" hidden="1" ht="45" customHeight="1">
      <c r="A24" s="226"/>
      <c r="B24" s="238">
        <v>1132</v>
      </c>
      <c r="C24" s="242" t="s">
        <v>97</v>
      </c>
      <c r="D24" s="301">
        <v>0</v>
      </c>
      <c r="E24" s="301">
        <v>2</v>
      </c>
      <c r="F24" s="301">
        <v>4</v>
      </c>
      <c r="G24" s="207" t="s">
        <v>67</v>
      </c>
    </row>
    <row r="25" hidden="1" ht="45" customHeight="1">
      <c r="A25" s="226"/>
      <c r="B25" s="238">
        <v>1133</v>
      </c>
      <c r="C25" s="242" t="s">
        <v>98</v>
      </c>
      <c r="D25" s="301">
        <v>203</v>
      </c>
      <c r="E25" s="301">
        <v>219</v>
      </c>
      <c r="F25" s="301">
        <v>161</v>
      </c>
      <c r="G25" s="207" t="s">
        <v>67</v>
      </c>
    </row>
    <row r="26" hidden="1" ht="45" customHeight="1">
      <c r="A26" s="226"/>
      <c r="B26" s="238">
        <v>1134</v>
      </c>
      <c r="C26" s="242" t="s">
        <v>99</v>
      </c>
      <c r="D26" s="301">
        <v>24</v>
      </c>
      <c r="E26" s="301">
        <v>16</v>
      </c>
      <c r="F26" s="301">
        <v>20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6</v>
      </c>
      <c r="F31" s="302">
        <v>7</v>
      </c>
      <c r="G31" s="207"/>
    </row>
    <row r="32" hidden="1" ht="45" customHeight="1">
      <c r="A32" s="226"/>
      <c r="B32" s="238">
        <v>1142</v>
      </c>
      <c r="C32" s="243" t="s">
        <v>105</v>
      </c>
      <c r="D32" s="302">
        <v>0</v>
      </c>
      <c r="E32" s="302">
        <v>6</v>
      </c>
      <c r="F32" s="302">
        <v>7</v>
      </c>
      <c r="G32" s="207"/>
    </row>
    <row r="33" hidden="1" ht="45" customHeight="1">
      <c r="A33" s="226"/>
      <c r="B33" s="238">
        <v>1143</v>
      </c>
      <c r="C33" s="242" t="s">
        <v>106</v>
      </c>
      <c r="D33" s="301">
        <v>227</v>
      </c>
      <c r="E33" s="301">
        <v>235</v>
      </c>
      <c r="F33" s="301">
        <v>181</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227</v>
      </c>
      <c r="E35" s="301">
        <v>235</v>
      </c>
      <c r="F35" s="301">
        <v>181</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203</v>
      </c>
      <c r="E37" s="301">
        <v>219</v>
      </c>
      <c r="F37" s="301">
        <v>161</v>
      </c>
      <c r="G37" s="207" t="s">
        <v>67</v>
      </c>
    </row>
    <row r="38" hidden="1" ht="45" customHeight="1">
      <c r="A38" s="226"/>
      <c r="B38" s="238">
        <v>1153</v>
      </c>
      <c r="C38" s="242" t="s">
        <v>111</v>
      </c>
      <c r="D38" s="301">
        <v>203</v>
      </c>
      <c r="E38" s="301">
        <v>219</v>
      </c>
      <c r="F38" s="301">
        <v>161</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203</v>
      </c>
      <c r="E40" s="301">
        <v>219</v>
      </c>
      <c r="F40" s="301">
        <v>161</v>
      </c>
      <c r="G40" s="207" t="s">
        <v>67</v>
      </c>
    </row>
    <row r="41" hidden="1" ht="45" customHeight="1">
      <c r="A41" s="226"/>
      <c r="B41" s="238">
        <v>1156</v>
      </c>
      <c r="C41" s="242" t="s">
        <v>113</v>
      </c>
      <c r="D41" s="301">
        <v>203</v>
      </c>
      <c r="E41" s="301">
        <v>219</v>
      </c>
      <c r="F41" s="301">
        <v>161</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40</v>
      </c>
      <c r="E43" s="301">
        <v>40</v>
      </c>
      <c r="F43" s="301">
        <v>23</v>
      </c>
      <c r="G43" s="207" t="s">
        <v>67</v>
      </c>
    </row>
    <row r="44" hidden="1" ht="45" customHeight="1" s="250" customFormat="1">
      <c r="A44" s="226"/>
      <c r="B44" s="238">
        <v>1159</v>
      </c>
      <c r="C44" s="242" t="s">
        <v>116</v>
      </c>
      <c r="D44" s="301">
        <v>40</v>
      </c>
      <c r="E44" s="301">
        <v>40</v>
      </c>
      <c r="F44" s="301">
        <v>23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103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19</v>
      </c>
      <c r="E53" s="301">
        <v>19</v>
      </c>
      <c r="F53" s="301">
        <v>19</v>
      </c>
      <c r="G53" s="207" t="s">
        <v>117</v>
      </c>
    </row>
    <row r="54" hidden="1" ht="45" customHeight="1">
      <c r="A54" s="226"/>
      <c r="B54" s="238">
        <v>1214</v>
      </c>
      <c r="C54" s="264" t="s">
        <v>132</v>
      </c>
      <c r="D54" s="301">
        <v>19</v>
      </c>
      <c r="E54" s="301">
        <v>19</v>
      </c>
      <c r="F54" s="301">
        <v>19</v>
      </c>
      <c r="G54" s="207" t="s">
        <v>117</v>
      </c>
    </row>
    <row r="55" hidden="1" ht="45" customHeight="1">
      <c r="A55" s="226"/>
      <c r="B55" s="238">
        <v>1215</v>
      </c>
      <c r="C55" s="242" t="s">
        <v>133</v>
      </c>
      <c r="D55" s="301">
        <v>19</v>
      </c>
      <c r="E55" s="301">
        <v>19</v>
      </c>
      <c r="F55" s="301">
        <v>19</v>
      </c>
      <c r="G55" s="207" t="s">
        <v>117</v>
      </c>
    </row>
    <row r="56" hidden="1" ht="45" customHeight="1">
      <c r="A56" s="226"/>
      <c r="B56" s="238">
        <v>1216</v>
      </c>
      <c r="C56" s="243" t="s">
        <v>134</v>
      </c>
      <c r="D56" s="301">
        <v>19</v>
      </c>
      <c r="E56" s="301">
        <v>19</v>
      </c>
      <c r="F56" s="301">
        <v>19</v>
      </c>
      <c r="G56" s="207" t="s">
        <v>117</v>
      </c>
    </row>
    <row r="57" hidden="1" ht="45" customHeight="1">
      <c r="A57" s="226"/>
      <c r="B57" s="238">
        <v>1217</v>
      </c>
      <c r="C57" s="243" t="s">
        <v>135</v>
      </c>
      <c r="D57" s="301">
        <v>0</v>
      </c>
      <c r="E57" s="301">
        <v>1</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19</v>
      </c>
      <c r="E59" s="301">
        <v>19</v>
      </c>
      <c r="F59" s="301">
        <v>19</v>
      </c>
      <c r="G59" s="207" t="s">
        <v>117</v>
      </c>
    </row>
    <row r="60" hidden="1" ht="45" customHeight="1">
      <c r="A60" s="226"/>
      <c r="B60" s="238">
        <v>1222</v>
      </c>
      <c r="C60" s="264" t="s">
        <v>138</v>
      </c>
      <c r="D60" s="301">
        <v>19</v>
      </c>
      <c r="E60" s="301">
        <v>19</v>
      </c>
      <c r="F60" s="301">
        <v>19</v>
      </c>
      <c r="G60" s="207" t="s">
        <v>117</v>
      </c>
    </row>
    <row r="61" hidden="1" ht="45" customHeight="1">
      <c r="A61" s="226"/>
      <c r="B61" s="238">
        <v>1223</v>
      </c>
      <c r="C61" s="264" t="s">
        <v>139</v>
      </c>
      <c r="D61" s="301">
        <v>19</v>
      </c>
      <c r="E61" s="301">
        <v>19</v>
      </c>
      <c r="F61" s="301">
        <v>19</v>
      </c>
      <c r="G61" s="207" t="s">
        <v>117</v>
      </c>
    </row>
    <row r="62" hidden="1" ht="54.65" customHeight="1">
      <c r="A62" s="226"/>
      <c r="B62" s="238">
        <v>1224</v>
      </c>
      <c r="C62" s="264" t="s">
        <v>140</v>
      </c>
      <c r="D62" s="301">
        <v>19</v>
      </c>
      <c r="E62" s="301">
        <v>19</v>
      </c>
      <c r="F62" s="301">
        <v>19</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30</v>
      </c>
      <c r="E67" s="301">
        <v>42</v>
      </c>
      <c r="F67" s="301">
        <v>31</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1</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30</v>
      </c>
      <c r="E73" s="301">
        <v>41</v>
      </c>
      <c r="F73" s="301">
        <v>31</v>
      </c>
      <c r="G73" s="207" t="s">
        <v>117</v>
      </c>
    </row>
    <row r="74" hidden="1" ht="45" customHeight="1">
      <c r="A74" s="226"/>
      <c r="B74" s="238">
        <v>1242</v>
      </c>
      <c r="C74" s="242" t="s">
        <v>152</v>
      </c>
      <c r="D74" s="301">
        <v>0</v>
      </c>
      <c r="E74" s="301">
        <v>1</v>
      </c>
      <c r="F74" s="301">
        <v>0</v>
      </c>
      <c r="G74" s="207" t="s">
        <v>117</v>
      </c>
    </row>
    <row r="75" hidden="1" ht="45" customHeight="1">
      <c r="A75" s="226"/>
      <c r="B75" s="238">
        <v>1243</v>
      </c>
      <c r="C75" s="243" t="s">
        <v>153</v>
      </c>
      <c r="D75" s="301">
        <v>30</v>
      </c>
      <c r="E75" s="301">
        <v>41</v>
      </c>
      <c r="F75" s="301">
        <v>31</v>
      </c>
      <c r="G75" s="207" t="s">
        <v>117</v>
      </c>
    </row>
    <row r="76" hidden="1" ht="45" customHeight="1">
      <c r="A76" s="226"/>
      <c r="B76" s="238">
        <v>1244</v>
      </c>
      <c r="C76" s="243" t="s">
        <v>154</v>
      </c>
      <c r="D76" s="301">
        <v>0</v>
      </c>
      <c r="E76" s="301">
        <v>1</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30</v>
      </c>
      <c r="E79" s="301">
        <v>41</v>
      </c>
      <c r="F79" s="301">
        <v>31</v>
      </c>
      <c r="G79" s="207" t="s">
        <v>117</v>
      </c>
    </row>
    <row r="80" hidden="1" ht="45" customHeight="1">
      <c r="A80" s="226"/>
      <c r="B80" s="238">
        <v>1248</v>
      </c>
      <c r="C80" s="242" t="s">
        <v>158</v>
      </c>
      <c r="D80" s="301">
        <v>0</v>
      </c>
      <c r="E80" s="301">
        <v>1</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0</v>
      </c>
      <c r="E82" s="301">
        <v>0</v>
      </c>
      <c r="F82" s="301">
        <v>0</v>
      </c>
      <c r="G82" s="207" t="s">
        <v>117</v>
      </c>
    </row>
    <row r="83" hidden="1" ht="45" customHeight="1">
      <c r="A83" s="226"/>
      <c r="B83" s="238">
        <v>1253</v>
      </c>
      <c r="C83" s="242" t="s">
        <v>161</v>
      </c>
      <c r="D83" s="301">
        <v>30</v>
      </c>
      <c r="E83" s="301">
        <v>42</v>
      </c>
      <c r="F83" s="301">
        <v>31</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1</v>
      </c>
      <c r="F88" s="301">
        <v>0</v>
      </c>
      <c r="G88" s="207" t="s">
        <v>117</v>
      </c>
    </row>
    <row r="89" hidden="1" ht="45" customHeight="1">
      <c r="A89" s="226"/>
      <c r="B89" s="238">
        <v>1259</v>
      </c>
      <c r="C89" s="242" t="s">
        <v>167</v>
      </c>
      <c r="D89" s="301">
        <v>0</v>
      </c>
      <c r="E89" s="301">
        <v>1</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1</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1</v>
      </c>
      <c r="F97" s="301">
        <v>0</v>
      </c>
      <c r="G97" s="266" t="s">
        <v>168</v>
      </c>
    </row>
    <row r="98" ht="45" customHeight="1" s="270" customFormat="1">
      <c r="A98" s="226"/>
      <c r="B98" s="238">
        <v>1322</v>
      </c>
      <c r="C98" s="242" t="s">
        <v>177</v>
      </c>
      <c r="D98" s="301">
        <v>0</v>
      </c>
      <c r="E98" s="301">
        <v>1</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1</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30</v>
      </c>
      <c r="E106" s="301">
        <v>41</v>
      </c>
      <c r="F106" s="301">
        <v>31</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30</v>
      </c>
      <c r="E109" s="301">
        <v>41</v>
      </c>
      <c r="F109" s="301">
        <v>31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32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11</v>
      </c>
      <c r="E119" s="301">
        <v>8</v>
      </c>
      <c r="F119" s="301">
        <v>6</v>
      </c>
      <c r="G119" s="207" t="s">
        <v>194</v>
      </c>
    </row>
    <row r="120" hidden="1" ht="45" customHeight="1" s="270" customFormat="1">
      <c r="A120" s="226"/>
      <c r="B120" s="238">
        <v>1414</v>
      </c>
      <c r="C120" s="243" t="s">
        <v>198</v>
      </c>
      <c r="D120" s="301">
        <v>11</v>
      </c>
      <c r="E120" s="301">
        <v>8</v>
      </c>
      <c r="F120" s="301">
        <v>6</v>
      </c>
      <c r="G120" s="207" t="s">
        <v>194</v>
      </c>
    </row>
    <row r="121" hidden="1" ht="45" customHeight="1" s="270" customFormat="1">
      <c r="A121" s="226"/>
      <c r="B121" s="238">
        <v>1422</v>
      </c>
      <c r="C121" s="242" t="s">
        <v>199</v>
      </c>
      <c r="D121" s="301">
        <v>12</v>
      </c>
      <c r="E121" s="301">
        <v>14</v>
      </c>
      <c r="F121" s="301">
        <v>6</v>
      </c>
      <c r="G121" s="207" t="s">
        <v>194</v>
      </c>
    </row>
    <row r="122" hidden="1" ht="45" customHeight="1" s="270" customFormat="1">
      <c r="A122" s="226"/>
      <c r="B122" s="238">
        <v>1423</v>
      </c>
      <c r="C122" s="242" t="s">
        <v>200</v>
      </c>
      <c r="D122" s="301">
        <v>11</v>
      </c>
      <c r="E122" s="301">
        <v>8</v>
      </c>
      <c r="F122" s="301">
        <v>6</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5</v>
      </c>
      <c r="E124" s="301">
        <v>6</v>
      </c>
      <c r="F124" s="301">
        <v>3</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3</v>
      </c>
      <c r="E126" s="301">
        <v>4</v>
      </c>
      <c r="F126" s="301">
        <v>2</v>
      </c>
      <c r="G126" s="207" t="s">
        <v>194</v>
      </c>
    </row>
    <row r="127" hidden="1" ht="45" customHeight="1" s="270" customFormat="1">
      <c r="A127" s="226"/>
      <c r="B127" s="238">
        <v>1432</v>
      </c>
      <c r="C127" s="242" t="s">
        <v>206</v>
      </c>
      <c r="D127" s="301">
        <v>2</v>
      </c>
      <c r="E127" s="301">
        <v>2</v>
      </c>
      <c r="F127" s="301">
        <v>1</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4</v>
      </c>
      <c r="E129" s="301">
        <v>5</v>
      </c>
      <c r="F129" s="301">
        <v>0</v>
      </c>
      <c r="G129" s="207" t="s">
        <v>194</v>
      </c>
    </row>
    <row r="130" hidden="1" ht="45" customHeight="1" s="270" customFormat="1">
      <c r="A130" s="226"/>
      <c r="B130" s="238">
        <v>1435</v>
      </c>
      <c r="C130" s="242" t="s">
        <v>209</v>
      </c>
      <c r="D130" s="301">
        <v>1</v>
      </c>
      <c r="E130" s="301">
        <v>1</v>
      </c>
      <c r="F130" s="301">
        <v>3</v>
      </c>
      <c r="G130" s="207" t="s">
        <v>194</v>
      </c>
    </row>
    <row r="131" hidden="1" ht="45" customHeight="1" s="270" customFormat="1">
      <c r="A131" s="226"/>
      <c r="B131" s="238">
        <v>1441</v>
      </c>
      <c r="C131" s="242" t="s">
        <v>210</v>
      </c>
      <c r="D131" s="301">
        <v>5</v>
      </c>
      <c r="E131" s="301">
        <v>6</v>
      </c>
      <c r="F131" s="301">
        <v>3</v>
      </c>
      <c r="G131" s="207" t="s">
        <v>194</v>
      </c>
    </row>
    <row r="132" hidden="1" ht="45" customHeight="1" s="270" customFormat="1">
      <c r="A132" s="226"/>
      <c r="B132" s="238">
        <v>1442</v>
      </c>
      <c r="C132" s="242" t="s">
        <v>211</v>
      </c>
      <c r="D132" s="271">
        <f>D120</f>
        <v>11</v>
      </c>
      <c r="E132" s="271">
        <f>E120</f>
        <v>8</v>
      </c>
      <c r="F132" s="271">
        <f>F120</f>
        <v>6</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3</v>
      </c>
      <c r="E135" s="301">
        <v>4</v>
      </c>
      <c r="F135" s="301">
        <v>2</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5</v>
      </c>
      <c r="E138" s="301">
        <v>6</v>
      </c>
      <c r="F138" s="301">
        <v>3</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96</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v>
      </c>
      <c r="E144" s="301">
        <v>1</v>
      </c>
      <c r="F144" s="301">
        <v>1</v>
      </c>
      <c r="G144" s="207" t="s">
        <v>219</v>
      </c>
    </row>
    <row r="145" hidden="1" ht="45" customHeight="1">
      <c r="A145" s="226"/>
      <c r="B145" s="238">
        <v>1514</v>
      </c>
      <c r="C145" s="264" t="s">
        <v>225</v>
      </c>
      <c r="D145" s="301">
        <v>1</v>
      </c>
      <c r="E145" s="301">
        <v>1</v>
      </c>
      <c r="F145" s="301">
        <v>1</v>
      </c>
      <c r="G145" s="207" t="s">
        <v>219</v>
      </c>
    </row>
    <row r="146" hidden="1" ht="45" customHeight="1">
      <c r="A146" s="226">
        <v>1541</v>
      </c>
      <c r="B146" s="238">
        <v>1515</v>
      </c>
      <c r="C146" s="264" t="s">
        <v>226</v>
      </c>
      <c r="D146" s="301">
        <v>43</v>
      </c>
      <c r="E146" s="301">
        <v>43</v>
      </c>
      <c r="F146" s="301">
        <v>13</v>
      </c>
      <c r="G146" s="207" t="s">
        <v>219</v>
      </c>
    </row>
    <row r="147" hidden="1" ht="45" customHeight="1">
      <c r="A147" s="226"/>
      <c r="B147" s="238">
        <v>1521</v>
      </c>
      <c r="C147" s="264" t="s">
        <v>227</v>
      </c>
      <c r="D147" s="301">
        <v>43</v>
      </c>
      <c r="E147" s="301">
        <v>43</v>
      </c>
      <c r="F147" s="301">
        <v>13</v>
      </c>
      <c r="G147" s="207" t="s">
        <v>219</v>
      </c>
    </row>
    <row r="148" hidden="1" ht="45" customHeight="1">
      <c r="A148" s="226"/>
      <c r="B148" s="238">
        <v>1522</v>
      </c>
      <c r="C148" s="264" t="s">
        <v>228</v>
      </c>
      <c r="D148" s="301">
        <v>43</v>
      </c>
      <c r="E148" s="301">
        <v>43</v>
      </c>
      <c r="F148" s="301">
        <v>13</v>
      </c>
      <c r="G148" s="207" t="s">
        <v>219</v>
      </c>
    </row>
    <row r="149" hidden="1" ht="45" customHeight="1">
      <c r="A149" s="226"/>
      <c r="B149" s="238">
        <v>1523</v>
      </c>
      <c r="C149" s="264" t="s">
        <v>229</v>
      </c>
      <c r="D149" s="301">
        <v>43</v>
      </c>
      <c r="E149" s="301">
        <v>43</v>
      </c>
      <c r="F149" s="301">
        <v>13</v>
      </c>
      <c r="G149" s="207" t="s">
        <v>219</v>
      </c>
    </row>
    <row r="150" hidden="1" ht="45" customHeight="1">
      <c r="A150" s="226"/>
      <c r="B150" s="238">
        <v>1524</v>
      </c>
      <c r="C150" s="264" t="s">
        <v>230</v>
      </c>
      <c r="D150" s="301">
        <v>43</v>
      </c>
      <c r="E150" s="301">
        <v>43</v>
      </c>
      <c r="F150" s="301">
        <v>13</v>
      </c>
      <c r="G150" s="207" t="s">
        <v>219</v>
      </c>
    </row>
    <row r="151" hidden="1" ht="45" customHeight="1">
      <c r="A151" s="226"/>
      <c r="B151" s="238">
        <v>1531</v>
      </c>
      <c r="C151" s="242" t="s">
        <v>231</v>
      </c>
      <c r="D151" s="301">
        <v>12</v>
      </c>
      <c r="E151" s="301">
        <v>6</v>
      </c>
      <c r="F151" s="301">
        <v>5</v>
      </c>
      <c r="G151" s="207" t="s">
        <v>219</v>
      </c>
    </row>
    <row r="152" hidden="1" ht="45" customHeight="1">
      <c r="A152" s="226"/>
      <c r="B152" s="238">
        <v>1532</v>
      </c>
      <c r="C152" s="242" t="s">
        <v>232</v>
      </c>
      <c r="D152" s="301">
        <v>31</v>
      </c>
      <c r="E152" s="301">
        <v>37</v>
      </c>
      <c r="F152" s="301">
        <v>8</v>
      </c>
      <c r="G152" s="207" t="s">
        <v>219</v>
      </c>
    </row>
    <row r="153" hidden="1" ht="45" customHeight="1">
      <c r="A153" s="226"/>
      <c r="B153" s="238">
        <v>1533</v>
      </c>
      <c r="C153" s="242" t="s">
        <v>233</v>
      </c>
      <c r="D153" s="301">
        <v>41</v>
      </c>
      <c r="E153" s="301">
        <v>39</v>
      </c>
      <c r="F153" s="301">
        <v>12</v>
      </c>
      <c r="G153" s="207" t="s">
        <v>219</v>
      </c>
    </row>
    <row r="154" hidden="1" ht="45" customHeight="1">
      <c r="A154" s="226"/>
      <c r="B154" s="238">
        <v>1534</v>
      </c>
      <c r="C154" s="242" t="s">
        <v>234</v>
      </c>
      <c r="D154" s="301">
        <v>2</v>
      </c>
      <c r="E154" s="301">
        <v>4</v>
      </c>
      <c r="F154" s="301">
        <v>1</v>
      </c>
      <c r="G154" s="207" t="s">
        <v>219</v>
      </c>
    </row>
    <row r="155" hidden="1" ht="45" customHeight="1">
      <c r="A155" s="226"/>
      <c r="B155" s="238">
        <v>1541</v>
      </c>
      <c r="C155" s="242" t="s">
        <v>235</v>
      </c>
      <c r="D155" s="301">
        <v>43</v>
      </c>
      <c r="E155" s="301">
        <v>43</v>
      </c>
      <c r="F155" s="301">
        <v>13</v>
      </c>
      <c r="G155" s="207" t="s">
        <v>219</v>
      </c>
    </row>
    <row r="156" hidden="1" ht="45" customHeight="1">
      <c r="A156" s="226"/>
      <c r="B156" s="238">
        <v>1542</v>
      </c>
      <c r="C156" s="264" t="s">
        <v>236</v>
      </c>
      <c r="D156" s="301">
        <v>43</v>
      </c>
      <c r="E156" s="301">
        <v>43</v>
      </c>
      <c r="F156" s="301">
        <v>13</v>
      </c>
      <c r="G156" s="207" t="s">
        <v>219</v>
      </c>
    </row>
    <row r="157" hidden="1" ht="45" customHeight="1">
      <c r="A157" s="226"/>
      <c r="B157" s="238">
        <v>1543</v>
      </c>
      <c r="C157" s="264" t="s">
        <v>237</v>
      </c>
      <c r="D157" s="301">
        <v>43</v>
      </c>
      <c r="E157" s="301">
        <v>43</v>
      </c>
      <c r="F157" s="301">
        <v>13</v>
      </c>
      <c r="G157" s="207" t="s">
        <v>219</v>
      </c>
    </row>
    <row r="158" hidden="1" ht="45" customHeight="1">
      <c r="A158" s="226"/>
      <c r="B158" s="238">
        <v>1544</v>
      </c>
      <c r="C158" s="242" t="s">
        <v>238</v>
      </c>
      <c r="D158" s="301">
        <v>43</v>
      </c>
      <c r="E158" s="301">
        <v>43</v>
      </c>
      <c r="F158" s="301">
        <v>13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43</v>
      </c>
      <c r="E160" s="301">
        <v>43</v>
      </c>
      <c r="F160" s="301">
        <v>13</v>
      </c>
      <c r="G160" s="207" t="s">
        <v>219</v>
      </c>
    </row>
    <row r="161" hidden="1" ht="45" customHeight="1">
      <c r="A161" s="226"/>
      <c r="B161" s="238">
        <v>1553</v>
      </c>
      <c r="C161" s="242" t="s">
        <v>241</v>
      </c>
      <c r="D161" s="301">
        <v>43</v>
      </c>
      <c r="E161" s="301">
        <v>43</v>
      </c>
      <c r="F161" s="301">
        <v>13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43</v>
      </c>
      <c r="E163" s="301">
        <v>43</v>
      </c>
      <c r="F163" s="301">
        <v>13</v>
      </c>
      <c r="G163" s="207" t="s">
        <v>219</v>
      </c>
    </row>
    <row r="164" hidden="1" ht="45" customHeight="1">
      <c r="A164" s="226"/>
      <c r="B164" s="238">
        <v>1556</v>
      </c>
      <c r="C164" s="242" t="s">
        <v>241</v>
      </c>
      <c r="D164" s="301">
        <v>43</v>
      </c>
      <c r="E164" s="301">
        <v>43</v>
      </c>
      <c r="F164" s="301">
        <v>13</v>
      </c>
      <c r="G164" s="207" t="s">
        <v>219</v>
      </c>
    </row>
    <row r="165" hidden="1" ht="45" customHeight="1">
      <c r="A165" s="226"/>
      <c r="C165" s="278"/>
      <c r="D165" s="279"/>
      <c r="G165" s="207"/>
    </row>
    <row r="166" hidden="1" ht="45" customHeight="1">
      <c r="A166" s="226"/>
      <c r="B166" s="281" t="s">
        <v>244</v>
      </c>
      <c r="C166" s="260" t="s">
        <v>245</v>
      </c>
      <c r="D166" s="228"/>
      <c r="E166" s="231"/>
      <c r="F166" s="300">
        <v>2197</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35</v>
      </c>
      <c r="E171" s="301">
        <v>35</v>
      </c>
      <c r="F171" s="301">
        <v>35</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35</v>
      </c>
      <c r="E173" s="301">
        <v>35</v>
      </c>
      <c r="F173" s="301">
        <v>35</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35</v>
      </c>
      <c r="E179" s="301">
        <v>35</v>
      </c>
      <c r="F179" s="301">
        <v>35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579</v>
      </c>
      <c r="E181" s="301">
        <v>585</v>
      </c>
      <c r="F181" s="301">
        <v>590</v>
      </c>
      <c r="G181" s="207" t="s">
        <v>244</v>
      </c>
    </row>
    <row r="182" hidden="1" ht="45" customHeight="1">
      <c r="A182" s="226"/>
      <c r="B182" s="238">
        <v>1632</v>
      </c>
      <c r="C182" s="242" t="s">
        <v>261</v>
      </c>
      <c r="D182" s="301">
        <v>1475</v>
      </c>
      <c r="E182" s="301">
        <v>1511</v>
      </c>
      <c r="F182" s="301">
        <v>1519</v>
      </c>
      <c r="G182" s="207" t="s">
        <v>244</v>
      </c>
    </row>
    <row r="183" hidden="1" ht="45" customHeight="1">
      <c r="A183" s="226"/>
      <c r="B183" s="238">
        <v>1633</v>
      </c>
      <c r="C183" s="242" t="s">
        <v>262</v>
      </c>
      <c r="D183" s="301">
        <v>1911</v>
      </c>
      <c r="E183" s="301">
        <v>1948</v>
      </c>
      <c r="F183" s="301">
        <v>1960</v>
      </c>
      <c r="G183" s="207" t="s">
        <v>244</v>
      </c>
    </row>
    <row r="184" hidden="1" ht="45" customHeight="1">
      <c r="A184" s="226"/>
      <c r="B184" s="238">
        <v>1634</v>
      </c>
      <c r="C184" s="242" t="s">
        <v>263</v>
      </c>
      <c r="D184" s="301">
        <v>143</v>
      </c>
      <c r="E184" s="301">
        <v>148</v>
      </c>
      <c r="F184" s="301">
        <v>149</v>
      </c>
      <c r="G184" s="207" t="s">
        <v>244</v>
      </c>
    </row>
    <row r="185" hidden="1" ht="45" customHeight="1">
      <c r="A185" s="226"/>
      <c r="B185" s="238">
        <v>1635</v>
      </c>
      <c r="C185" s="242" t="s">
        <v>264</v>
      </c>
      <c r="D185" s="301">
        <v>684</v>
      </c>
      <c r="E185" s="301">
        <v>168</v>
      </c>
      <c r="F185" s="301">
        <v>68</v>
      </c>
      <c r="G185" s="207" t="s">
        <v>244</v>
      </c>
    </row>
    <row r="186" hidden="1" ht="45" customHeight="1">
      <c r="A186" s="226"/>
      <c r="B186" s="238">
        <v>1641</v>
      </c>
      <c r="C186" s="242" t="s">
        <v>265</v>
      </c>
      <c r="D186" s="301">
        <v>44</v>
      </c>
      <c r="E186" s="301">
        <v>28</v>
      </c>
      <c r="F186" s="301">
        <v>4</v>
      </c>
      <c r="G186" s="207" t="s">
        <v>244</v>
      </c>
    </row>
    <row r="187" hidden="1" ht="45" customHeight="1">
      <c r="A187" s="226"/>
      <c r="B187" s="238">
        <v>1642</v>
      </c>
      <c r="C187" s="242" t="s">
        <v>264</v>
      </c>
      <c r="D187" s="301">
        <v>728</v>
      </c>
      <c r="E187" s="301">
        <v>196</v>
      </c>
      <c r="F187" s="301">
        <v>72</v>
      </c>
      <c r="G187" s="207" t="s">
        <v>244</v>
      </c>
    </row>
    <row r="188" hidden="1" ht="45" customHeight="1">
      <c r="A188" s="226"/>
      <c r="B188" s="238">
        <v>1643</v>
      </c>
      <c r="C188" s="242" t="s">
        <v>266</v>
      </c>
      <c r="D188" s="301">
        <v>2054</v>
      </c>
      <c r="E188" s="301">
        <v>2096</v>
      </c>
      <c r="F188" s="301">
        <v>2109</v>
      </c>
      <c r="G188" s="207" t="s">
        <v>244</v>
      </c>
    </row>
    <row r="189" hidden="1" ht="45" customHeight="1">
      <c r="A189" s="226"/>
      <c r="B189" s="238">
        <v>1644</v>
      </c>
      <c r="C189" s="242" t="s">
        <v>267</v>
      </c>
      <c r="D189" s="301">
        <v>2054</v>
      </c>
      <c r="E189" s="301">
        <v>2096</v>
      </c>
      <c r="F189" s="301">
        <v>2109</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5977</v>
      </c>
      <c r="E191" s="301">
        <v>6020</v>
      </c>
      <c r="F191" s="301">
        <v>6033</v>
      </c>
      <c r="G191" s="207" t="s">
        <v>244</v>
      </c>
    </row>
    <row r="192" hidden="1" ht="45" customHeight="1">
      <c r="A192" s="226"/>
      <c r="B192" s="238">
        <v>1653</v>
      </c>
      <c r="C192" s="242" t="s">
        <v>270</v>
      </c>
      <c r="D192" s="301">
        <v>5977</v>
      </c>
      <c r="E192" s="301">
        <v>6020</v>
      </c>
      <c r="F192" s="301">
        <v>6033</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5934</v>
      </c>
      <c r="E194" s="301">
        <v>5977</v>
      </c>
      <c r="F194" s="301">
        <v>7511</v>
      </c>
      <c r="G194" s="207" t="s">
        <v>244</v>
      </c>
    </row>
    <row r="195" hidden="1" ht="45" customHeight="1">
      <c r="A195" s="226"/>
      <c r="B195" s="238">
        <v>1656</v>
      </c>
      <c r="C195" s="242" t="s">
        <v>273</v>
      </c>
      <c r="D195" s="301">
        <v>5934</v>
      </c>
      <c r="E195" s="301">
        <v>5977</v>
      </c>
      <c r="F195" s="301">
        <v>7511</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5</v>
      </c>
      <c r="E197" s="301">
        <v>0</v>
      </c>
      <c r="F197" s="301">
        <v>1</v>
      </c>
      <c r="G197" s="207" t="s">
        <v>244</v>
      </c>
    </row>
    <row r="198" hidden="1" ht="45" customHeight="1">
      <c r="A198" s="226"/>
      <c r="B198" s="238">
        <v>1659</v>
      </c>
      <c r="C198" s="242" t="s">
        <v>276</v>
      </c>
      <c r="D198" s="301">
        <v>5</v>
      </c>
      <c r="E198" s="301">
        <v>1</v>
      </c>
      <c r="F198" s="301">
        <v>1</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7</v>
      </c>
      <c r="E200" s="301">
        <v>1</v>
      </c>
      <c r="F200" s="301">
        <v>26</v>
      </c>
      <c r="G200" s="207" t="s">
        <v>244</v>
      </c>
    </row>
    <row r="201" hidden="1" ht="45" customHeight="1">
      <c r="A201" s="226"/>
      <c r="B201" s="238">
        <v>1662</v>
      </c>
      <c r="C201" s="242" t="s">
        <v>279</v>
      </c>
      <c r="D201" s="301">
        <v>7</v>
      </c>
      <c r="E201" s="301">
        <v>1</v>
      </c>
      <c r="F201" s="301">
        <v>26</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1672</v>
      </c>
      <c r="AZ308" s="0" t="s">
        <v>1673</v>
      </c>
      <c r="BA308" s="0" t="s">
        <v>285</v>
      </c>
      <c r="BB308" s="0" t="str">
        <f t="shared" si="4"/>
        <v>CCCRNenIgboEtiti</v>
      </c>
    </row>
    <row r="309">
      <c r="AV309" s="0" t="s">
        <v>471</v>
      </c>
      <c r="AW309" s="0" t="s">
        <v>286</v>
      </c>
      <c r="AX309" s="0" t="s">
        <v>609</v>
      </c>
      <c r="AY309" s="0" t="s">
        <v>1674</v>
      </c>
      <c r="AZ309" s="0" t="s">
        <v>1675</v>
      </c>
      <c r="BA309" s="0" t="s">
        <v>285</v>
      </c>
      <c r="BB309" s="0" t="str">
        <f t="shared" si="4"/>
        <v>CCCRNenIgboEzeNorth</v>
      </c>
    </row>
    <row r="310">
      <c r="AV310" s="0" t="s">
        <v>471</v>
      </c>
      <c r="AW310" s="0" t="s">
        <v>286</v>
      </c>
      <c r="AX310" s="0" t="s">
        <v>609</v>
      </c>
      <c r="AY310" s="0" t="s">
        <v>1676</v>
      </c>
      <c r="AZ310" s="0" t="s">
        <v>1677</v>
      </c>
      <c r="BA310" s="0" t="s">
        <v>285</v>
      </c>
      <c r="BB310" s="0" t="str">
        <f t="shared" si="4"/>
        <v>CCCRNenIgboEzeNorth</v>
      </c>
    </row>
    <row r="311">
      <c r="AV311" s="0" t="s">
        <v>471</v>
      </c>
      <c r="AW311" s="0" t="s">
        <v>286</v>
      </c>
      <c r="AX311" s="0" t="s">
        <v>609</v>
      </c>
      <c r="AY311" s="0" t="s">
        <v>289</v>
      </c>
      <c r="AZ311" s="0" t="s">
        <v>293</v>
      </c>
      <c r="BA311" s="0" t="s">
        <v>285</v>
      </c>
      <c r="BB311" s="0" t="str">
        <f t="shared" si="4"/>
        <v>CCCRNenIgboEzeNorth</v>
      </c>
    </row>
    <row r="312">
      <c r="AV312" s="0" t="s">
        <v>471</v>
      </c>
      <c r="AW312" s="0" t="s">
        <v>286</v>
      </c>
      <c r="AX312" s="0" t="s">
        <v>609</v>
      </c>
      <c r="AY312" s="0" t="s">
        <v>1678</v>
      </c>
      <c r="AZ312" s="0" t="s">
        <v>1679</v>
      </c>
      <c r="BA312" s="0" t="s">
        <v>285</v>
      </c>
      <c r="BB312" s="0" t="str">
        <f t="shared" si="4"/>
        <v>CCCRNenIgboEzeNorth</v>
      </c>
    </row>
    <row r="313">
      <c r="AV313" s="0" t="s">
        <v>471</v>
      </c>
      <c r="AW313" s="0" t="s">
        <v>286</v>
      </c>
      <c r="AX313" s="0" t="s">
        <v>609</v>
      </c>
      <c r="AY313" s="0" t="s">
        <v>1680</v>
      </c>
      <c r="AZ313" s="0" t="s">
        <v>1681</v>
      </c>
      <c r="BA313" s="0" t="s">
        <v>285</v>
      </c>
      <c r="BB313" s="0" t="str">
        <f t="shared" si="4"/>
        <v>CCCRNenIgboEzeNorth</v>
      </c>
    </row>
    <row r="314">
      <c r="AV314" s="0" t="s">
        <v>471</v>
      </c>
      <c r="AW314" s="0" t="s">
        <v>286</v>
      </c>
      <c r="AX314" s="0" t="s">
        <v>609</v>
      </c>
      <c r="AY314" s="0" t="s">
        <v>1682</v>
      </c>
      <c r="AZ314" s="0" t="s">
        <v>1683</v>
      </c>
      <c r="BA314" s="0" t="s">
        <v>285</v>
      </c>
      <c r="BB314" s="0" t="str">
        <f t="shared" si="4"/>
        <v>CCCRNenIgboEzeNorth</v>
      </c>
    </row>
    <row r="315">
      <c r="AV315" s="0" t="s">
        <v>471</v>
      </c>
      <c r="AW315" s="0" t="s">
        <v>286</v>
      </c>
      <c r="AX315" s="0" t="s">
        <v>609</v>
      </c>
      <c r="AY315" s="0" t="s">
        <v>1684</v>
      </c>
      <c r="AZ315" s="0" t="s">
        <v>1685</v>
      </c>
      <c r="BA315" s="0" t="s">
        <v>285</v>
      </c>
      <c r="BB315" s="0" t="str">
        <f t="shared" si="4"/>
        <v>CCCRNenIgboEzeNorth</v>
      </c>
    </row>
    <row r="316">
      <c r="AV316" s="0" t="s">
        <v>471</v>
      </c>
      <c r="AW316" s="0" t="s">
        <v>286</v>
      </c>
      <c r="AX316" s="0" t="s">
        <v>648</v>
      </c>
      <c r="AY316" s="0" t="s">
        <v>1686</v>
      </c>
      <c r="AZ316" s="0" t="s">
        <v>1687</v>
      </c>
      <c r="BA316" s="0" t="s">
        <v>285</v>
      </c>
      <c r="BB316" s="0" t="str">
        <f t="shared" si="4"/>
        <v>CCCRNenIgboEzeSouth</v>
      </c>
    </row>
    <row r="317">
      <c r="AV317" s="0" t="s">
        <v>471</v>
      </c>
      <c r="AW317" s="0" t="s">
        <v>286</v>
      </c>
      <c r="AX317" s="0" t="s">
        <v>648</v>
      </c>
      <c r="AY317" s="0" t="s">
        <v>1688</v>
      </c>
      <c r="AZ317" s="0" t="s">
        <v>1689</v>
      </c>
      <c r="BA317" s="0" t="s">
        <v>285</v>
      </c>
      <c r="BB317" s="0" t="str">
        <f t="shared" si="4"/>
        <v>CCCRNenIgboEzeSouth</v>
      </c>
    </row>
    <row r="318">
      <c r="AV318" s="0" t="s">
        <v>471</v>
      </c>
      <c r="AW318" s="0" t="s">
        <v>286</v>
      </c>
      <c r="AX318" s="0" t="s">
        <v>648</v>
      </c>
      <c r="AY318" s="0" t="s">
        <v>1690</v>
      </c>
      <c r="AZ318" s="0" t="s">
        <v>1691</v>
      </c>
      <c r="BA318" s="0" t="s">
        <v>285</v>
      </c>
      <c r="BB318" s="0" t="str">
        <f t="shared" si="4"/>
        <v>CCCRNenIgboEzeSouth</v>
      </c>
    </row>
    <row r="319">
      <c r="AV319" s="0" t="s">
        <v>471</v>
      </c>
      <c r="AW319" s="0" t="s">
        <v>286</v>
      </c>
      <c r="AX319" s="0" t="s">
        <v>685</v>
      </c>
      <c r="AY319" s="0" t="s">
        <v>1692</v>
      </c>
      <c r="AZ319" s="0" t="s">
        <v>1693</v>
      </c>
      <c r="BA319" s="0" t="s">
        <v>285</v>
      </c>
      <c r="BB319" s="0" t="str">
        <f t="shared" si="4"/>
        <v>CCCRNenIsiuzo</v>
      </c>
    </row>
    <row r="320">
      <c r="AV320" s="0" t="s">
        <v>471</v>
      </c>
      <c r="AW320" s="0" t="s">
        <v>286</v>
      </c>
      <c r="AX320" s="0" t="s">
        <v>685</v>
      </c>
      <c r="AY320" s="0" t="s">
        <v>1694</v>
      </c>
      <c r="AZ320" s="0" t="s">
        <v>1695</v>
      </c>
      <c r="BA320" s="0" t="s">
        <v>285</v>
      </c>
      <c r="BB320" s="0" t="str">
        <f t="shared" si="4"/>
        <v>CCCRNenIsiuzo</v>
      </c>
    </row>
    <row r="321">
      <c r="AV321" s="0" t="s">
        <v>471</v>
      </c>
      <c r="AW321" s="0" t="s">
        <v>286</v>
      </c>
      <c r="AX321" s="0" t="s">
        <v>685</v>
      </c>
      <c r="AY321" s="0" t="s">
        <v>1696</v>
      </c>
      <c r="AZ321" s="0" t="s">
        <v>1697</v>
      </c>
      <c r="BA321" s="0" t="s">
        <v>285</v>
      </c>
      <c r="BB321" s="0" t="str">
        <f t="shared" si="4"/>
        <v>CCCRNenIsiuzo</v>
      </c>
    </row>
    <row r="322">
      <c r="AV322" s="0" t="s">
        <v>471</v>
      </c>
      <c r="AW322" s="0" t="s">
        <v>286</v>
      </c>
      <c r="AX322" s="0" t="s">
        <v>685</v>
      </c>
      <c r="AY322" s="0" t="s">
        <v>1698</v>
      </c>
      <c r="AZ322" s="0" t="s">
        <v>1699</v>
      </c>
      <c r="BA322" s="0" t="s">
        <v>285</v>
      </c>
      <c r="BB322" s="0" t="str">
        <f t="shared" si="4"/>
        <v>CCCRNenIsiuzo</v>
      </c>
    </row>
    <row r="323">
      <c r="AV323" s="0" t="s">
        <v>471</v>
      </c>
      <c r="AW323" s="0" t="s">
        <v>286</v>
      </c>
      <c r="AX323" s="0" t="s">
        <v>685</v>
      </c>
      <c r="AY323" s="0" t="s">
        <v>1700</v>
      </c>
      <c r="AZ323" s="0" t="s">
        <v>1701</v>
      </c>
      <c r="BA323" s="0" t="s">
        <v>285</v>
      </c>
      <c r="BB323" s="0" t="str">
        <f ref="BB323:BB386" t="shared" si="5">SUBSTITUTE(SUBSTITUTE(BA323&amp;AX323," ",""),"-","")</f>
        <v>CCCRNenIsiuzo</v>
      </c>
    </row>
    <row r="324">
      <c r="AV324" s="0" t="s">
        <v>471</v>
      </c>
      <c r="AW324" s="0" t="s">
        <v>286</v>
      </c>
      <c r="AX324" s="0" t="s">
        <v>720</v>
      </c>
      <c r="AY324" s="0" t="s">
        <v>1702</v>
      </c>
      <c r="AZ324" s="0" t="s">
        <v>1703</v>
      </c>
      <c r="BA324" s="0" t="s">
        <v>285</v>
      </c>
      <c r="BB324" s="0" t="str">
        <f t="shared" si="5"/>
        <v>CCCRNenNkanuEast</v>
      </c>
    </row>
    <row r="325">
      <c r="AV325" s="0" t="s">
        <v>471</v>
      </c>
      <c r="AW325" s="0" t="s">
        <v>286</v>
      </c>
      <c r="AX325" s="0" t="s">
        <v>753</v>
      </c>
      <c r="AY325" s="0" t="s">
        <v>1704</v>
      </c>
      <c r="AZ325" s="0" t="s">
        <v>1705</v>
      </c>
      <c r="BA325" s="0" t="s">
        <v>285</v>
      </c>
      <c r="BB325" s="0" t="str">
        <f t="shared" si="5"/>
        <v>CCCRNenNkanuWest</v>
      </c>
    </row>
    <row r="326">
      <c r="AV326" s="0" t="s">
        <v>471</v>
      </c>
      <c r="AW326" s="0" t="s">
        <v>286</v>
      </c>
      <c r="AX326" s="0" t="s">
        <v>753</v>
      </c>
      <c r="AY326" s="0" t="s">
        <v>1706</v>
      </c>
      <c r="AZ326" s="0" t="s">
        <v>1707</v>
      </c>
      <c r="BA326" s="0" t="s">
        <v>285</v>
      </c>
      <c r="BB326" s="0" t="str">
        <f t="shared" si="5"/>
        <v>CCCRNenNkanuWest</v>
      </c>
    </row>
    <row r="327">
      <c r="AV327" s="0" t="s">
        <v>471</v>
      </c>
      <c r="AW327" s="0" t="s">
        <v>286</v>
      </c>
      <c r="AX327" s="0" t="s">
        <v>753</v>
      </c>
      <c r="AY327" s="0" t="s">
        <v>1708</v>
      </c>
      <c r="AZ327" s="0" t="s">
        <v>1709</v>
      </c>
      <c r="BA327" s="0" t="s">
        <v>285</v>
      </c>
      <c r="BB327" s="0" t="str">
        <f t="shared" si="5"/>
        <v>CCCRNenNkanuWest</v>
      </c>
    </row>
    <row r="328">
      <c r="AV328" s="0" t="s">
        <v>471</v>
      </c>
      <c r="AW328" s="0" t="s">
        <v>286</v>
      </c>
      <c r="AX328" s="0" t="s">
        <v>785</v>
      </c>
      <c r="AY328" s="0" t="s">
        <v>1710</v>
      </c>
      <c r="AZ328" s="0" t="s">
        <v>1711</v>
      </c>
      <c r="BA328" s="0" t="s">
        <v>285</v>
      </c>
      <c r="BB328" s="0" t="str">
        <f t="shared" si="5"/>
        <v>CCCRNenNsukka</v>
      </c>
    </row>
    <row r="329">
      <c r="AV329" s="0" t="s">
        <v>471</v>
      </c>
      <c r="AW329" s="0" t="s">
        <v>286</v>
      </c>
      <c r="AX329" s="0" t="s">
        <v>785</v>
      </c>
      <c r="AY329" s="0" t="s">
        <v>1712</v>
      </c>
      <c r="AZ329" s="0" t="s">
        <v>1713</v>
      </c>
      <c r="BA329" s="0" t="s">
        <v>285</v>
      </c>
      <c r="BB329" s="0" t="str">
        <f t="shared" si="5"/>
        <v>CCCRNenNsukka</v>
      </c>
    </row>
    <row r="330">
      <c r="AV330" s="0" t="s">
        <v>471</v>
      </c>
      <c r="AW330" s="0" t="s">
        <v>286</v>
      </c>
      <c r="AX330" s="0" t="s">
        <v>785</v>
      </c>
      <c r="AY330" s="0" t="s">
        <v>1714</v>
      </c>
      <c r="AZ330" s="0" t="s">
        <v>1715</v>
      </c>
      <c r="BA330" s="0" t="s">
        <v>285</v>
      </c>
      <c r="BB330" s="0" t="str">
        <f t="shared" si="5"/>
        <v>CCCRNenNsukka</v>
      </c>
    </row>
    <row r="331">
      <c r="AV331" s="0" t="s">
        <v>471</v>
      </c>
      <c r="AW331" s="0" t="s">
        <v>286</v>
      </c>
      <c r="AX331" s="0" t="s">
        <v>785</v>
      </c>
      <c r="AY331" s="0" t="s">
        <v>1716</v>
      </c>
      <c r="AZ331" s="0" t="s">
        <v>1717</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