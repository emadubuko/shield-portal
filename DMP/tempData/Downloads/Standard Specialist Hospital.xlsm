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<sst xmlns="http://schemas.openxmlformats.org/spreadsheetml/2006/main" count="4056" uniqueCount="4056">
  <si>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</si>
  <si>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</si>
  <si>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</si>
  <si>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</si>
  <si>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</si>
  <si>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</si>
  <si>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</si>
  <si>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</si>
  <si>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</si>
  <si>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</si>
  <si>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</si>
  <si>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</si>
  <si>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</si>
  <si>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</si>
  <si>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</si>
  <si>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</si>
  <si>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</si>
  <si>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</si>
  <si>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</si>
  <si>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</si>
  <si>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</si>
  <si>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</si>
  <si>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</si>
  <si>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</si>
  <si>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</si>
  <si>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</si>
  <si>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</si>
  <si>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</si>
  <si>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</si>
  <si>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</si>
  <si>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</si>
  <si>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</si>
  <si>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</si>
  <si>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</si>
  <si>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</si>
  <si>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</si>
  <si>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</si>
  <si>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</si>
  <si>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</si>
  <si>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</si>
  <si>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</si>
  <si>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</si>
  <si>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</si>
  <si>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</si>
  <si>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</si>
  <si>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</si>
  <si>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</si>
  <si>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</si>
  <si>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</si>
  <si>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</si>
  <si>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</si>
  <si>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</si>
  <si>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</si>
  <si>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</si>
  <si>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</si>
  <si>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</si>
  <si>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</si>
  <si>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</si>
  <si>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</si>
  <si>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</si>
  <si>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</si>
  <si>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</si>
  <si>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</si>
  <si>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</si>
  <si>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</si>
  <si>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</si>
  <si>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</si>
  <si>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</si>
  <si>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</si>
  <si>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</si>
  <si>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</si>
  <si>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</si>
  <si>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</si>
  <si>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</si>
  <si>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</si>
  <si>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</si>
  <si>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</si>
  <si>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</si>
  <si>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</si>
  <si>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</si>
  <si>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</si>
  <si>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</si>
  <si>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</si>
  <si>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</si>
  <si>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</si>
  <si>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</si>
  <si>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</si>
  <si>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</si>
  <si>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</si>
  <si>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</si>
  <si>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</si>
  <si>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</si>
  <si>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</si>
  <si>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</si>
  <si>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</si>
  <si>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</si>
  <si>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</si>
  <si>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</si>
  <si>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</si>
  <si>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</si>
  <si>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</si>
  <si>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</si>
  <si>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</si>
  <si>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</si>
  <si>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</si>
  <si>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</si>
  <si>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</si>
  <si>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</si>
  <si>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</si>
  <si>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</si>
  <si>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</si>
  <si>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</si>
  <si>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</si>
  <si>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</si>
  <si>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</si>
  <si>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</si>
  <si>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</si>
  <si>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</si>
  <si>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</si>
  <si>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</si>
  <si>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</si>
  <si>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</si>
  <si>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</si>
  <si>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</si>
  <si>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</si>
  <si>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</si>
  <si>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</si>
  <si>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</si>
  <si>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</si>
  <si>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</si>
  <si>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</si>
  <si>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</si>
  <si>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</si>
  <si>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</si>
  <si>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</si>
  <si>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</si>
  <si>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</si>
  <si>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</si>
  <si>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</si>
  <si>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</si>
  <si>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</si>
  <si>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</si>
  <si>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</si>
  <si>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</si>
  <si>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</si>
  <si>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</si>
  <si>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</si>
  <si>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</si>
  <si>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</si>
  <si>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</si>
  <si>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</si>
  <si>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</si>
  <si>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</si>
  <si>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</si>
  <si>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</si>
  <si>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</si>
  <si>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</si>
  <si>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</si>
  <si>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</si>
  <si>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</si>
  <si>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</si>
  <si>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</si>
  <si>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</si>
  <si>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</si>
  <si>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</si>
  <si>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</si>
  <si>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</si>
  <si>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</si>
  <si>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</si>
  <si>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</si>
  <si>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</si>
  <si>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</si>
  <si>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</si>
  <si>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</si>
  <si>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</si>
  <si>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</si>
  <si>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</si>
  <si>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</si>
  <si>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</si>
  <si>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</si>
  <si>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</si>
  <si>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</si>
  <si>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</si>
  <si>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</si>
  <si>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</si>
  <si>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</si>
  <si>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</si>
  <si>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</si>
  <si>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</si>
  <si>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</si>
  <si>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</si>
  <si>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</si>
  <si>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</si>
  <si>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</si>
  <si>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</si>
  <si>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</si>
  <si>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</si>
  <si>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</si>
  <si>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</si>
  <si>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</si>
  <si>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</si>
  <si>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</si>
  <si>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</si>
  <si>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</si>
  <si>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</si>
  <si>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</si>
  <si>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</si>
  <si>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</si>
  <si>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</si>
  <si>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</si>
  <si>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</si>
  <si>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</si>
  <si>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</si>
  <si>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</si>
  <si>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</si>
  <si>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</si>
  <si>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</si>
  <si>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</si>
  <si>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</si>
  <si>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</si>
  <si>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</si>
  <si>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</si>
  <si>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</si>
  <si>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</si>
  <si>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</si>
  <si>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</si>
  <si>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</si>
  <si>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</si>
  <si>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</si>
  <si>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</si>
  <si>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</si>
  <si>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</si>
  <si>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</si>
  <si>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</si>
  <si>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</si>
  <si>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</si>
  <si>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</si>
  <si>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</si>
  <si>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</si>
  <si>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</si>
  <si>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</si>
  <si>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</si>
  <si>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</si>
  <si>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</si>
  <si>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</si>
  <si>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</si>
  <si>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</si>
  <si>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</si>
  <si>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</si>
  <si>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</si>
  <si>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</si>
  <si>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</si>
  <si>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</si>
  <si>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</si>
  <si>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</si>
  <si>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</si>
  <si>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</si>
  <si>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</si>
  <si>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</si>
  <si>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</si>
  <si>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</si>
  <si>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</si>
  <si>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</si>
  <si>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</si>
  <si>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</si>
  <si>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</si>
  <si>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</si>
  <si>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</si>
  <si>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</si>
  <si>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</si>
  <si>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</si>
  <si>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</si>
  <si>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</si>
  <si>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</si>
  <si>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</si>
  <si>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</si>
  <si>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</si>
  <si>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</si>
  <si>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</si>
  <si>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</si>
  <si>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</si>
  <si>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</si>
  <si>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</si>
  <si>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</si>
  <si>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</si>
  <si>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</si>
  <si>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</si>
  <si>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Ohaozara</t>
  </si>
  <si>
    <t>Facility Name:</t>
  </si>
  <si>
    <t>Standard Specialist Hospital</t>
  </si>
  <si>
    <t>Reporting Period:</t>
  </si>
  <si>
    <t>Q1(Oct - Dec)</t>
  </si>
  <si>
    <t>Facility Code:</t>
  </si>
  <si>
    <t>dhLFxT2Osv2</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</si>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</sst>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64</v>
      </c>
      <c r="G8" s="155">
        <f>ROUND(SUM('All Questions'!D31:D35)/5+G12,0)</f>
        <v>96</v>
      </c>
      <c r="H8" s="156">
        <f>ROUND(SUM('All Questions'!D37,'All Questions'!D40)/2+'All Questions'!D26+H12,0)</f>
        <v>96</v>
      </c>
      <c r="I8" s="157">
        <f>ROUND((SUM('All Questions'!E11:E14)/4)+I12,0)</f>
        <v>0</v>
      </c>
      <c r="J8" s="155">
        <f>ROUND(SUM('All Questions'!E15:E21)/7+J12,0)</f>
        <v>0</v>
      </c>
      <c r="K8" s="155">
        <f>ROUND(SUM('All Questions'!E23:E30)/4+K12,0)</f>
        <v>45</v>
      </c>
      <c r="L8" s="155">
        <f>ROUND(SUM('All Questions'!E31:E35)/5+L12,0)</f>
        <v>67</v>
      </c>
      <c r="M8" s="156">
        <f>ROUND(('All Questions'!E37+'All Questions'!E40)/2+'All Questions'!E26+M12,0)</f>
        <v>67</v>
      </c>
      <c r="N8" s="157">
        <f>ROUND((SUM('All Questions'!F11:F14)/4)+N12,0)</f>
        <v>0</v>
      </c>
      <c r="O8" s="155">
        <f>ROUND(SUM('All Questions'!F15:F21)/7+O12,0)</f>
        <v>0</v>
      </c>
      <c r="P8" s="155">
        <f>ROUND(SUM('All Questions'!F23:F30)/4+P12,0)</f>
        <v>4</v>
      </c>
      <c r="Q8" s="155">
        <f>ROUND(SUM('All Questions'!F31:F35)/5+Q12,0)</f>
        <v>6</v>
      </c>
      <c r="R8" s="156">
        <f>ROUND(('All Questions'!F37+'All Questions'!F40)/2+'All Questions'!F26+R12,0)</f>
        <v>6</v>
      </c>
      <c r="S8" s="141">
        <f>'All Questions'!F2</f>
        <v>0</v>
      </c>
      <c r="T8" s="142" t="e">
        <f>(AVERAGE(F8:H8)+AVERAGE(K8:M8)+AVERAGE(P8:R8))/S8</f>
        <v>#DIV/0!</v>
      </c>
      <c r="V8" s="309">
        <f>AVERAGE(F8:H8)+AVERAGE(K8:M8)+AVERAGE(P8:R8)</f>
        <v>150.33333333333334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64</v>
      </c>
      <c r="G12" s="173">
        <f>ROUND(SUM('All Questions'!D73:D80)/4,0)</f>
        <v>96</v>
      </c>
      <c r="H12" s="174">
        <f>ROUND(SUM('All Questions'!D82:D83)/2,0)</f>
        <v>96</v>
      </c>
      <c r="I12" s="175">
        <f>ROUND(SUM('All Questions'!E54:E58)+'All Questions'!E71/4,0)</f>
        <v>0</v>
      </c>
      <c r="J12" s="176">
        <f>ROUND(SUM('All Questions'!E60:E63)/4,0)</f>
        <v>0</v>
      </c>
      <c r="K12" s="176">
        <f>ROUND(SUM('All Questions'!E67:E72)/3,0)</f>
        <v>45</v>
      </c>
      <c r="L12" s="176">
        <f>ROUND(SUM('All Questions'!E73:E80)/4,0)</f>
        <v>67</v>
      </c>
      <c r="M12" s="177">
        <f>ROUND(SUM('All Questions'!E82:E83)/2,0)</f>
        <v>67</v>
      </c>
      <c r="N12" s="178">
        <f>ROUND(SUM('All Questions'!F54:F58)+'All Questions'!F71/4,0)</f>
        <v>0</v>
      </c>
      <c r="O12" s="176">
        <f>ROUND(SUM('All Questions'!F60:F63)/4,0)</f>
        <v>0</v>
      </c>
      <c r="P12" s="176">
        <f>ROUND(SUM('All Questions'!F67:F72)/3,0)</f>
        <v>4</v>
      </c>
      <c r="Q12" s="176">
        <f>ROUND(SUM('All Questions'!F73:F80)/4,0)</f>
        <v>6</v>
      </c>
      <c r="R12" s="177">
        <f>ROUND(SUM('All Questions'!F82:F83)/2,0)</f>
        <v>6</v>
      </c>
      <c r="S12" s="145">
        <f>'All Questions'!F46</f>
        <v>0</v>
      </c>
      <c r="T12" s="146" t="e">
        <f ref="T12:T15" t="shared" si="1">(AVERAGE(F12:H12)+AVERAGE(K12:M12)+AVERAGE(P12:R12))/S12</f>
        <v>#DIV/0!</v>
      </c>
      <c r="V12" s="309">
        <f>AVERAGE(F12:H12)+AVERAGE(K12:M12)+AVERAGE(P12:R12)</f>
        <v>150.33333333333334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1</v>
      </c>
      <c r="Q17" s="199">
        <f>ROUND(SUM('All Questions'!F155:F158)/4,0)</f>
        <v>1</v>
      </c>
      <c r="R17" s="199">
        <f>ROUND(SUM('All Questions'!F160,'All Questions'!F163)/2,0)</f>
        <v>1</v>
      </c>
      <c r="S17" s="151">
        <f>'All Questions'!F141</f>
        <v>0</v>
      </c>
      <c r="T17" s="142" t="e">
        <f>(AVERAGE(F17:H17)+AVERAGE(K17:M17)+AVERAGE(P17:R17))/S17</f>
        <v>#DIV/0!</v>
      </c>
      <c r="V17" s="309">
        <f t="shared" si="2"/>
        <v>1</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12</v>
      </c>
      <c r="Q18" s="204">
        <f>ROUND(SUM('All Questions'!F186:F189)/4,0)</f>
        <v>12</v>
      </c>
      <c r="R18" s="303">
        <f>ROUND(('All Questions'!F191-('All Questions'!F194+'All Questions'!F197+'All Questions'!F200)),0)</f>
        <v>28</v>
      </c>
      <c r="S18" s="152">
        <f>'All Questions'!F166</f>
        <v>0</v>
      </c>
      <c r="T18" s="144" t="e">
        <f>AVERAGE(P18:R18)/S18</f>
        <v>#DIV/0!</v>
      </c>
      <c r="V18" s="309">
        <f>AVERAGE(P18:R18)</f>
        <v>17.333333333333332</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22</v>
      </c>
      <c r="E53" s="301">
        <v>23</v>
      </c>
      <c r="F53" s="301">
        <v>22</v>
      </c>
      <c r="G53" s="207" t="s">
        <v>117</v>
      </c>
    </row>
    <row r="54" hidden="1" ht="45" customHeight="1">
      <c r="A54" s="226"/>
      <c r="B54" s="238">
        <v>1214</v>
      </c>
      <c r="C54" s="264" t="s">
        <v>132</v>
      </c>
      <c r="D54" s="301">
        <v>22</v>
      </c>
      <c r="E54" s="301">
        <v>23</v>
      </c>
      <c r="F54" s="301">
        <v>22</v>
      </c>
      <c r="G54" s="207" t="s">
        <v>117</v>
      </c>
    </row>
    <row r="55" hidden="1" ht="45" customHeight="1">
      <c r="A55" s="226"/>
      <c r="B55" s="238">
        <v>1215</v>
      </c>
      <c r="C55" s="242" t="s">
        <v>133</v>
      </c>
      <c r="D55" s="301">
        <v>22</v>
      </c>
      <c r="E55" s="301">
        <v>23</v>
      </c>
      <c r="F55" s="301">
        <v>22</v>
      </c>
      <c r="G55" s="207" t="s">
        <v>117</v>
      </c>
    </row>
    <row r="56" hidden="1" ht="45" customHeight="1">
      <c r="A56" s="226"/>
      <c r="B56" s="238">
        <v>1216</v>
      </c>
      <c r="C56" s="243" t="s">
        <v>134</v>
      </c>
      <c r="D56" s="301">
        <v>22</v>
      </c>
      <c r="E56" s="301">
        <v>23</v>
      </c>
      <c r="F56" s="301">
        <v>22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22</v>
      </c>
      <c r="E59" s="301">
        <v>23</v>
      </c>
      <c r="F59" s="301">
        <v>22</v>
      </c>
      <c r="G59" s="207" t="s">
        <v>117</v>
      </c>
    </row>
    <row r="60" hidden="1" ht="45" customHeight="1">
      <c r="A60" s="226"/>
      <c r="B60" s="238">
        <v>1222</v>
      </c>
      <c r="C60" s="264" t="s">
        <v>138</v>
      </c>
      <c r="D60" s="301">
        <v>22</v>
      </c>
      <c r="E60" s="301">
        <v>23</v>
      </c>
      <c r="F60" s="301">
        <v>22</v>
      </c>
      <c r="G60" s="207" t="s">
        <v>117</v>
      </c>
    </row>
    <row r="61" hidden="1" ht="45" customHeight="1">
      <c r="A61" s="226"/>
      <c r="B61" s="238">
        <v>1223</v>
      </c>
      <c r="C61" s="264" t="s">
        <v>139</v>
      </c>
      <c r="D61" s="301">
        <v>22</v>
      </c>
      <c r="E61" s="301">
        <v>23</v>
      </c>
      <c r="F61" s="301">
        <v>22</v>
      </c>
      <c r="G61" s="207" t="s">
        <v>117</v>
      </c>
    </row>
    <row r="62" hidden="1" ht="54.65" customHeight="1">
      <c r="A62" s="226"/>
      <c r="B62" s="238">
        <v>1224</v>
      </c>
      <c r="C62" s="264" t="s">
        <v>140</v>
      </c>
      <c r="D62" s="301">
        <v>22</v>
      </c>
      <c r="E62" s="301">
        <v>23</v>
      </c>
      <c r="F62" s="301">
        <v>22</v>
      </c>
      <c r="G62" s="207" t="s">
        <v>117</v>
      </c>
    </row>
    <row r="63" hidden="1" ht="66.65" customHeight="1">
      <c r="A63" s="226"/>
      <c r="B63" s="238">
        <v>1225</v>
      </c>
      <c r="C63" s="264" t="s">
        <v>141</v>
      </c>
      <c r="D63" s="301">
        <v>22</v>
      </c>
      <c r="E63" s="301">
        <v>23</v>
      </c>
      <c r="F63" s="301">
        <v>22</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96</v>
      </c>
      <c r="E67" s="301">
        <v>67</v>
      </c>
      <c r="F67" s="301">
        <v>6</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96</v>
      </c>
      <c r="E71" s="301">
        <v>67</v>
      </c>
      <c r="F71" s="301">
        <v>6</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96</v>
      </c>
      <c r="E73" s="301">
        <v>67</v>
      </c>
      <c r="F73" s="301">
        <v>6</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96</v>
      </c>
      <c r="E75" s="301">
        <v>67</v>
      </c>
      <c r="F75" s="301">
        <v>6</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96</v>
      </c>
      <c r="E77" s="301">
        <v>67</v>
      </c>
      <c r="F77" s="301">
        <v>6</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96</v>
      </c>
      <c r="E79" s="301">
        <v>67</v>
      </c>
      <c r="F79" s="301">
        <v>6</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96</v>
      </c>
      <c r="E82" s="301">
        <v>67</v>
      </c>
      <c r="F82" s="301">
        <v>6</v>
      </c>
      <c r="G82" s="207" t="s">
        <v>117</v>
      </c>
    </row>
    <row r="83" hidden="1" ht="45" customHeight="1">
      <c r="A83" s="226"/>
      <c r="B83" s="238">
        <v>1253</v>
      </c>
      <c r="C83" s="242" t="s">
        <v>161</v>
      </c>
      <c r="D83" s="301">
        <v>96</v>
      </c>
      <c r="E83" s="301">
        <v>67</v>
      </c>
      <c r="F83" s="301">
        <v>6</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1</v>
      </c>
      <c r="G144" s="207" t="s">
        <v>219</v>
      </c>
    </row>
    <row r="145" hidden="1" ht="45" customHeight="1">
      <c r="A145" s="226"/>
      <c r="B145" s="238">
        <v>1514</v>
      </c>
      <c r="C145" s="264" t="s">
        <v>225</v>
      </c>
      <c r="D145" s="301">
        <v>0</v>
      </c>
      <c r="E145" s="301">
        <v>0</v>
      </c>
      <c r="F145" s="301">
        <v>1</v>
      </c>
      <c r="G145" s="207" t="s">
        <v>219</v>
      </c>
    </row>
    <row r="146" hidden="1" ht="45" customHeight="1">
      <c r="A146" s="226">
        <v>1541</v>
      </c>
      <c r="B146" s="238">
        <v>1515</v>
      </c>
      <c r="C146" s="264" t="s">
        <v>226</v>
      </c>
      <c r="D146" s="301">
        <v>0</v>
      </c>
      <c r="E146" s="301">
        <v>0</v>
      </c>
      <c r="F146" s="301">
        <v>1</v>
      </c>
      <c r="G146" s="207" t="s">
        <v>219</v>
      </c>
    </row>
    <row r="147" hidden="1" ht="45" customHeight="1">
      <c r="A147" s="226"/>
      <c r="B147" s="238">
        <v>1521</v>
      </c>
      <c r="C147" s="264" t="s">
        <v>227</v>
      </c>
      <c r="D147" s="301">
        <v>0</v>
      </c>
      <c r="E147" s="301">
        <v>0</v>
      </c>
      <c r="F147" s="301">
        <v>1</v>
      </c>
      <c r="G147" s="207" t="s">
        <v>219</v>
      </c>
    </row>
    <row r="148" hidden="1" ht="45" customHeight="1">
      <c r="A148" s="226"/>
      <c r="B148" s="238">
        <v>1522</v>
      </c>
      <c r="C148" s="264" t="s">
        <v>228</v>
      </c>
      <c r="D148" s="301">
        <v>0</v>
      </c>
      <c r="E148" s="301">
        <v>0</v>
      </c>
      <c r="F148" s="301">
        <v>1</v>
      </c>
      <c r="G148" s="207" t="s">
        <v>219</v>
      </c>
    </row>
    <row r="149" hidden="1" ht="45" customHeight="1">
      <c r="A149" s="226"/>
      <c r="B149" s="238">
        <v>1523</v>
      </c>
      <c r="C149" s="264" t="s">
        <v>229</v>
      </c>
      <c r="D149" s="301">
        <v>0</v>
      </c>
      <c r="E149" s="301">
        <v>0</v>
      </c>
      <c r="F149" s="301">
        <v>1</v>
      </c>
      <c r="G149" s="207" t="s">
        <v>219</v>
      </c>
    </row>
    <row r="150" hidden="1" ht="45" customHeight="1">
      <c r="A150" s="226"/>
      <c r="B150" s="238">
        <v>1524</v>
      </c>
      <c r="C150" s="264" t="s">
        <v>230</v>
      </c>
      <c r="D150" s="301">
        <v>0</v>
      </c>
      <c r="E150" s="301">
        <v>0</v>
      </c>
      <c r="F150" s="301">
        <v>1</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1</v>
      </c>
      <c r="G152" s="207" t="s">
        <v>219</v>
      </c>
    </row>
    <row r="153" hidden="1" ht="45" customHeight="1">
      <c r="A153" s="226"/>
      <c r="B153" s="238">
        <v>1533</v>
      </c>
      <c r="C153" s="242" t="s">
        <v>233</v>
      </c>
      <c r="D153" s="301">
        <v>0</v>
      </c>
      <c r="E153" s="301">
        <v>0</v>
      </c>
      <c r="F153" s="301">
        <v>1</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1</v>
      </c>
      <c r="G155" s="207" t="s">
        <v>219</v>
      </c>
    </row>
    <row r="156" hidden="1" ht="45" customHeight="1">
      <c r="A156" s="226"/>
      <c r="B156" s="238">
        <v>1542</v>
      </c>
      <c r="C156" s="264" t="s">
        <v>236</v>
      </c>
      <c r="D156" s="301">
        <v>0</v>
      </c>
      <c r="E156" s="301">
        <v>0</v>
      </c>
      <c r="F156" s="301">
        <v>1</v>
      </c>
      <c r="G156" s="207" t="s">
        <v>219</v>
      </c>
    </row>
    <row r="157" hidden="1" ht="45" customHeight="1">
      <c r="A157" s="226"/>
      <c r="B157" s="238">
        <v>1543</v>
      </c>
      <c r="C157" s="264" t="s">
        <v>237</v>
      </c>
      <c r="D157" s="301">
        <v>0</v>
      </c>
      <c r="E157" s="301">
        <v>0</v>
      </c>
      <c r="F157" s="301">
        <v>1</v>
      </c>
      <c r="G157" s="207" t="s">
        <v>219</v>
      </c>
    </row>
    <row r="158" hidden="1" ht="45" customHeight="1">
      <c r="A158" s="226"/>
      <c r="B158" s="238">
        <v>1544</v>
      </c>
      <c r="C158" s="242" t="s">
        <v>238</v>
      </c>
      <c r="D158" s="301">
        <v>0</v>
      </c>
      <c r="E158" s="301">
        <v>0</v>
      </c>
      <c r="F158" s="301">
        <v>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1</v>
      </c>
      <c r="G160" s="207" t="s">
        <v>219</v>
      </c>
    </row>
    <row r="161" hidden="1" ht="45" customHeight="1">
      <c r="A161" s="226"/>
      <c r="B161" s="238">
        <v>1553</v>
      </c>
      <c r="C161" s="242" t="s">
        <v>241</v>
      </c>
      <c r="D161" s="301">
        <v>0</v>
      </c>
      <c r="E161" s="301">
        <v>0</v>
      </c>
      <c r="F161" s="301">
        <v>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1</v>
      </c>
      <c r="G163" s="207" t="s">
        <v>219</v>
      </c>
    </row>
    <row r="164" hidden="1" ht="45" customHeight="1">
      <c r="A164" s="226"/>
      <c r="B164" s="238">
        <v>1556</v>
      </c>
      <c r="C164" s="242" t="s">
        <v>241</v>
      </c>
      <c r="D164" s="301">
        <v>0</v>
      </c>
      <c r="E164" s="301">
        <v>0</v>
      </c>
      <c r="F164" s="301">
        <v>1</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12</v>
      </c>
      <c r="E171" s="301">
        <v>12</v>
      </c>
      <c r="F171" s="301">
        <v>12</v>
      </c>
      <c r="G171" s="207" t="s">
        <v>244</v>
      </c>
    </row>
    <row r="172" hidden="1" ht="45" customHeight="1">
      <c r="A172" s="226"/>
      <c r="B172" s="238">
        <v>1614</v>
      </c>
      <c r="C172" s="283" t="s">
        <v>251</v>
      </c>
      <c r="D172" s="301">
        <v>12</v>
      </c>
      <c r="E172" s="301">
        <v>12</v>
      </c>
      <c r="F172" s="301">
        <v>12</v>
      </c>
      <c r="G172" s="207" t="s">
        <v>244</v>
      </c>
    </row>
    <row r="173" hidden="1" ht="45" customHeight="1">
      <c r="A173" s="226"/>
      <c r="B173" s="238">
        <v>1615</v>
      </c>
      <c r="C173" s="242" t="s">
        <v>252</v>
      </c>
      <c r="D173" s="301">
        <v>12</v>
      </c>
      <c r="E173" s="301">
        <v>12</v>
      </c>
      <c r="F173" s="301">
        <v>12</v>
      </c>
      <c r="G173" s="207" t="s">
        <v>244</v>
      </c>
    </row>
    <row r="174" hidden="1" ht="45" customHeight="1">
      <c r="A174" s="226"/>
      <c r="B174" s="238">
        <v>1616</v>
      </c>
      <c r="C174" s="242" t="s">
        <v>253</v>
      </c>
      <c r="D174" s="301">
        <v>12</v>
      </c>
      <c r="E174" s="301">
        <v>12</v>
      </c>
      <c r="F174" s="301">
        <v>11</v>
      </c>
      <c r="G174" s="207" t="s">
        <v>244</v>
      </c>
    </row>
    <row r="175" hidden="1" ht="45" customHeight="1">
      <c r="A175" s="226"/>
      <c r="B175" s="238">
        <v>1621</v>
      </c>
      <c r="C175" s="242" t="s">
        <v>254</v>
      </c>
      <c r="D175" s="301">
        <v>11</v>
      </c>
      <c r="E175" s="301">
        <v>11</v>
      </c>
      <c r="F175" s="301">
        <v>12</v>
      </c>
      <c r="G175" s="207" t="s">
        <v>244</v>
      </c>
    </row>
    <row r="176" hidden="1" ht="45" customHeight="1">
      <c r="A176" s="226"/>
      <c r="B176" s="238">
        <v>1622</v>
      </c>
      <c r="C176" s="242" t="s">
        <v>255</v>
      </c>
      <c r="D176" s="301">
        <v>11</v>
      </c>
      <c r="E176" s="301">
        <v>11</v>
      </c>
      <c r="F176" s="301">
        <v>11</v>
      </c>
      <c r="G176" s="207" t="s">
        <v>244</v>
      </c>
    </row>
    <row r="177" hidden="1" ht="45" customHeight="1">
      <c r="A177" s="226"/>
      <c r="B177" s="238">
        <v>1623</v>
      </c>
      <c r="C177" s="242" t="s">
        <v>256</v>
      </c>
      <c r="D177" s="301">
        <v>11</v>
      </c>
      <c r="E177" s="301">
        <v>11</v>
      </c>
      <c r="F177" s="301">
        <v>12</v>
      </c>
      <c r="G177" s="207" t="s">
        <v>244</v>
      </c>
    </row>
    <row r="178" hidden="1" ht="45" customHeight="1">
      <c r="A178" s="226"/>
      <c r="B178" s="238">
        <v>1624</v>
      </c>
      <c r="C178" s="242" t="s">
        <v>257</v>
      </c>
      <c r="D178" s="301">
        <v>3</v>
      </c>
      <c r="E178" s="301">
        <v>5</v>
      </c>
      <c r="F178" s="301">
        <v>6</v>
      </c>
      <c r="G178" s="207" t="s">
        <v>244</v>
      </c>
    </row>
    <row r="179" hidden="1" ht="45" customHeight="1">
      <c r="A179" s="226"/>
      <c r="B179" s="238">
        <v>1625</v>
      </c>
      <c r="C179" s="242" t="s">
        <v>258</v>
      </c>
      <c r="D179" s="301">
        <v>12</v>
      </c>
      <c r="E179" s="301">
        <v>12</v>
      </c>
      <c r="F179" s="301">
        <v>11</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3</v>
      </c>
      <c r="E181" s="301">
        <v>3</v>
      </c>
      <c r="F181" s="301">
        <v>4</v>
      </c>
      <c r="G181" s="207" t="s">
        <v>244</v>
      </c>
    </row>
    <row r="182" hidden="1" ht="45" customHeight="1">
      <c r="A182" s="226"/>
      <c r="B182" s="238">
        <v>1632</v>
      </c>
      <c r="C182" s="242" t="s">
        <v>261</v>
      </c>
      <c r="D182" s="301">
        <v>7</v>
      </c>
      <c r="E182" s="301">
        <v>7</v>
      </c>
      <c r="F182" s="301">
        <v>8</v>
      </c>
      <c r="G182" s="207" t="s">
        <v>244</v>
      </c>
    </row>
    <row r="183" hidden="1" ht="45" customHeight="1">
      <c r="A183" s="226"/>
      <c r="B183" s="238">
        <v>1633</v>
      </c>
      <c r="C183" s="242" t="s">
        <v>262</v>
      </c>
      <c r="D183" s="301">
        <v>8</v>
      </c>
      <c r="E183" s="301">
        <v>8</v>
      </c>
      <c r="F183" s="301">
        <v>9</v>
      </c>
      <c r="G183" s="207" t="s">
        <v>244</v>
      </c>
    </row>
    <row r="184" hidden="1" ht="45" customHeight="1">
      <c r="A184" s="226"/>
      <c r="B184" s="238">
        <v>1634</v>
      </c>
      <c r="C184" s="242" t="s">
        <v>263</v>
      </c>
      <c r="D184" s="301">
        <v>3</v>
      </c>
      <c r="E184" s="301">
        <v>3</v>
      </c>
      <c r="F184" s="301">
        <v>3</v>
      </c>
      <c r="G184" s="207" t="s">
        <v>244</v>
      </c>
    </row>
    <row r="185" hidden="1" ht="45" customHeight="1">
      <c r="A185" s="226"/>
      <c r="B185" s="238">
        <v>1635</v>
      </c>
      <c r="C185" s="242" t="s">
        <v>264</v>
      </c>
      <c r="D185" s="301">
        <v>11</v>
      </c>
      <c r="E185" s="301">
        <v>11</v>
      </c>
      <c r="F185" s="301">
        <v>12</v>
      </c>
      <c r="G185" s="207" t="s">
        <v>244</v>
      </c>
    </row>
    <row r="186" hidden="1" ht="45" customHeight="1">
      <c r="A186" s="226"/>
      <c r="B186" s="238">
        <v>1641</v>
      </c>
      <c r="C186" s="242" t="s">
        <v>265</v>
      </c>
      <c r="D186" s="301">
        <v>11</v>
      </c>
      <c r="E186" s="301">
        <v>11</v>
      </c>
      <c r="F186" s="301">
        <v>12</v>
      </c>
      <c r="G186" s="207" t="s">
        <v>244</v>
      </c>
    </row>
    <row r="187" hidden="1" ht="45" customHeight="1">
      <c r="A187" s="226"/>
      <c r="B187" s="238">
        <v>1642</v>
      </c>
      <c r="C187" s="242" t="s">
        <v>264</v>
      </c>
      <c r="D187" s="301">
        <v>11</v>
      </c>
      <c r="E187" s="301">
        <v>11</v>
      </c>
      <c r="F187" s="301">
        <v>12</v>
      </c>
      <c r="G187" s="207" t="s">
        <v>244</v>
      </c>
    </row>
    <row r="188" hidden="1" ht="45" customHeight="1">
      <c r="A188" s="226"/>
      <c r="B188" s="238">
        <v>1643</v>
      </c>
      <c r="C188" s="242" t="s">
        <v>266</v>
      </c>
      <c r="D188" s="301">
        <v>11</v>
      </c>
      <c r="E188" s="301">
        <v>11</v>
      </c>
      <c r="F188" s="301">
        <v>12</v>
      </c>
      <c r="G188" s="207" t="s">
        <v>244</v>
      </c>
    </row>
    <row r="189" hidden="1" ht="45" customHeight="1">
      <c r="A189" s="226"/>
      <c r="B189" s="238">
        <v>1644</v>
      </c>
      <c r="C189" s="242" t="s">
        <v>267</v>
      </c>
      <c r="D189" s="301">
        <v>11</v>
      </c>
      <c r="E189" s="301">
        <v>11</v>
      </c>
      <c r="F189" s="301">
        <v>12</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27</v>
      </c>
      <c r="E191" s="301">
        <v>27</v>
      </c>
      <c r="F191" s="301">
        <v>28</v>
      </c>
      <c r="G191" s="207" t="s">
        <v>244</v>
      </c>
    </row>
    <row r="192" hidden="1" ht="45" customHeight="1">
      <c r="A192" s="226"/>
      <c r="B192" s="238">
        <v>1653</v>
      </c>
      <c r="C192" s="242" t="s">
        <v>270</v>
      </c>
      <c r="D192" s="301">
        <v>27</v>
      </c>
      <c r="E192" s="301">
        <v>27</v>
      </c>
      <c r="F192" s="301">
        <v>28</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286</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286</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286</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286</v>
      </c>
      <c r="AX236" s="0" t="s">
        <v>444</v>
      </c>
      <c r="AY236" s="0" t="s">
        <v>1528</v>
      </c>
      <c r="AZ236" s="0" t="s">
        <v>1529</v>
      </c>
      <c r="BA236" s="0" t="s">
        <v>285</v>
      </c>
      <c r="BB236" s="0" t="str">
        <f t="shared" si="3"/>
        <v>CCCRNebAbakaliki</v>
      </c>
    </row>
    <row r="237">
      <c r="E237" s="0" t="s">
        <v>1309</v>
      </c>
      <c r="AV237" s="0" t="s">
        <v>471</v>
      </c>
      <c r="AW237" s="0" t="s">
        <v>286</v>
      </c>
      <c r="AX237" s="0" t="s">
        <v>444</v>
      </c>
      <c r="AY237" s="0" t="s">
        <v>1530</v>
      </c>
      <c r="AZ237" s="0" t="s">
        <v>1531</v>
      </c>
      <c r="BA237" s="0" t="s">
        <v>285</v>
      </c>
      <c r="BB237" s="0" t="str">
        <f t="shared" si="3"/>
        <v>CCCRNebAbakaliki</v>
      </c>
    </row>
    <row r="238">
      <c r="E238" s="0" t="s">
        <v>679</v>
      </c>
      <c r="AV238" s="0" t="s">
        <v>471</v>
      </c>
      <c r="AW238" s="0" t="s">
        <v>286</v>
      </c>
      <c r="AX238" s="0" t="s">
        <v>444</v>
      </c>
      <c r="AY238" s="0" t="s">
        <v>1532</v>
      </c>
      <c r="AZ238" s="0" t="s">
        <v>1533</v>
      </c>
      <c r="BA238" s="0" t="s">
        <v>285</v>
      </c>
      <c r="BB238" s="0" t="str">
        <f t="shared" si="3"/>
        <v>CCCRNebAbakaliki</v>
      </c>
    </row>
    <row r="239">
      <c r="E239" s="0" t="s">
        <v>715</v>
      </c>
      <c r="AV239" s="0" t="s">
        <v>471</v>
      </c>
      <c r="AW239" s="0" t="s">
        <v>286</v>
      </c>
      <c r="AX239" s="0" t="s">
        <v>444</v>
      </c>
      <c r="AY239" s="0" t="s">
        <v>1534</v>
      </c>
      <c r="AZ239" s="0" t="s">
        <v>1535</v>
      </c>
      <c r="BA239" s="0" t="s">
        <v>285</v>
      </c>
      <c r="BB239" s="0" t="str">
        <f t="shared" si="3"/>
        <v>CCCRNebAbakaliki</v>
      </c>
    </row>
    <row r="240">
      <c r="E240" s="0" t="s">
        <v>810</v>
      </c>
      <c r="AV240" s="0" t="s">
        <v>471</v>
      </c>
      <c r="AW240" s="0" t="s">
        <v>286</v>
      </c>
      <c r="AX240" s="0" t="s">
        <v>444</v>
      </c>
      <c r="AY240" s="0" t="s">
        <v>1536</v>
      </c>
      <c r="AZ240" s="0" t="s">
        <v>1537</v>
      </c>
      <c r="BA240" s="0" t="s">
        <v>285</v>
      </c>
      <c r="BB240" s="0" t="str">
        <f t="shared" si="3"/>
        <v>CCCRNebAbakaliki</v>
      </c>
    </row>
    <row r="241">
      <c r="E241" s="0" t="s">
        <v>1058</v>
      </c>
      <c r="AV241" s="0" t="s">
        <v>471</v>
      </c>
      <c r="AW241" s="0" t="s">
        <v>286</v>
      </c>
      <c r="AX241" s="0" t="s">
        <v>444</v>
      </c>
      <c r="AY241" s="0" t="s">
        <v>1538</v>
      </c>
      <c r="AZ241" s="0" t="s">
        <v>1539</v>
      </c>
      <c r="BA241" s="0" t="s">
        <v>285</v>
      </c>
      <c r="BB241" s="0" t="str">
        <f t="shared" si="3"/>
        <v>CCCRNebAbakaliki</v>
      </c>
    </row>
    <row r="242">
      <c r="E242" s="0" t="s">
        <v>942</v>
      </c>
      <c r="AV242" s="0" t="s">
        <v>471</v>
      </c>
      <c r="AW242" s="0" t="s">
        <v>286</v>
      </c>
      <c r="AX242" s="0" t="s">
        <v>444</v>
      </c>
      <c r="AY242" s="0" t="s">
        <v>1540</v>
      </c>
      <c r="AZ242" s="0" t="s">
        <v>1541</v>
      </c>
      <c r="BA242" s="0" t="s">
        <v>285</v>
      </c>
      <c r="BB242" s="0" t="str">
        <f t="shared" si="3"/>
        <v>CCCRNebAbakaliki</v>
      </c>
    </row>
    <row r="243">
      <c r="E243" s="0" t="s">
        <v>486</v>
      </c>
      <c r="AV243" s="0" t="s">
        <v>471</v>
      </c>
      <c r="AW243" s="0" t="s">
        <v>286</v>
      </c>
      <c r="AX243" s="0" t="s">
        <v>487</v>
      </c>
      <c r="AY243" s="0" t="s">
        <v>1542</v>
      </c>
      <c r="AZ243" s="0" t="s">
        <v>1543</v>
      </c>
      <c r="BA243" s="0" t="s">
        <v>285</v>
      </c>
      <c r="BB243" s="0" t="str">
        <f t="shared" si="3"/>
        <v>CCCRNebAfikpoNorth</v>
      </c>
    </row>
    <row r="244">
      <c r="E244" s="0" t="s">
        <v>605</v>
      </c>
      <c r="AV244" s="0" t="s">
        <v>471</v>
      </c>
      <c r="AW244" s="0" t="s">
        <v>286</v>
      </c>
      <c r="AX244" s="0" t="s">
        <v>487</v>
      </c>
      <c r="AY244" s="0" t="s">
        <v>1544</v>
      </c>
      <c r="AZ244" s="0" t="s">
        <v>1545</v>
      </c>
      <c r="BA244" s="0" t="s">
        <v>285</v>
      </c>
      <c r="BB244" s="0" t="str">
        <f t="shared" si="3"/>
        <v>CCCRNebAfikpoNorth</v>
      </c>
    </row>
    <row r="245">
      <c r="E245" s="0" t="s">
        <v>644</v>
      </c>
      <c r="AV245" s="0" t="s">
        <v>471</v>
      </c>
      <c r="AW245" s="0" t="s">
        <v>286</v>
      </c>
      <c r="AX245" s="0" t="s">
        <v>487</v>
      </c>
      <c r="AY245" s="0" t="s">
        <v>1546</v>
      </c>
      <c r="AZ245" s="0" t="s">
        <v>1547</v>
      </c>
      <c r="BA245" s="0" t="s">
        <v>285</v>
      </c>
      <c r="BB245" s="0" t="str">
        <f t="shared" si="3"/>
        <v>CCCRNebAfikpoNorth</v>
      </c>
    </row>
    <row r="246">
      <c r="E246" s="0" t="s">
        <v>682</v>
      </c>
      <c r="AV246" s="0" t="s">
        <v>471</v>
      </c>
      <c r="AW246" s="0" t="s">
        <v>286</v>
      </c>
      <c r="AX246" s="0" t="s">
        <v>487</v>
      </c>
      <c r="AY246" s="0" t="s">
        <v>1548</v>
      </c>
      <c r="AZ246" s="0" t="s">
        <v>1549</v>
      </c>
      <c r="BA246" s="0" t="s">
        <v>285</v>
      </c>
      <c r="BB246" s="0" t="str">
        <f t="shared" si="3"/>
        <v>CCCRNebAfikpoNorth</v>
      </c>
    </row>
    <row r="247">
      <c r="E247" s="0" t="s">
        <v>446</v>
      </c>
      <c r="AV247" s="0" t="s">
        <v>471</v>
      </c>
      <c r="AW247" s="0" t="s">
        <v>286</v>
      </c>
      <c r="AX247" s="0" t="s">
        <v>487</v>
      </c>
      <c r="AY247" s="0" t="s">
        <v>1550</v>
      </c>
      <c r="AZ247" s="0" t="s">
        <v>1551</v>
      </c>
      <c r="BA247" s="0" t="s">
        <v>285</v>
      </c>
      <c r="BB247" s="0" t="str">
        <f t="shared" si="3"/>
        <v>CCCRNebAfikpoNorth</v>
      </c>
    </row>
    <row r="248">
      <c r="E248" s="0" t="s">
        <v>489</v>
      </c>
      <c r="AV248" s="0" t="s">
        <v>471</v>
      </c>
      <c r="AW248" s="0" t="s">
        <v>286</v>
      </c>
      <c r="AX248" s="0" t="s">
        <v>487</v>
      </c>
      <c r="AY248" s="0" t="s">
        <v>1552</v>
      </c>
      <c r="AZ248" s="0" t="s">
        <v>1553</v>
      </c>
      <c r="BA248" s="0" t="s">
        <v>285</v>
      </c>
      <c r="BB248" s="0" t="str">
        <f t="shared" si="3"/>
        <v>CCCRNebAfikpoNorth</v>
      </c>
    </row>
    <row r="249">
      <c r="E249" s="0" t="s">
        <v>530</v>
      </c>
      <c r="AV249" s="0" t="s">
        <v>471</v>
      </c>
      <c r="AW249" s="0" t="s">
        <v>286</v>
      </c>
      <c r="AX249" s="0" t="s">
        <v>487</v>
      </c>
      <c r="AY249" s="0" t="s">
        <v>1554</v>
      </c>
      <c r="AZ249" s="0" t="s">
        <v>1555</v>
      </c>
      <c r="BA249" s="0" t="s">
        <v>285</v>
      </c>
      <c r="BB249" s="0" t="str">
        <f t="shared" si="3"/>
        <v>CCCRNebAfikpoNorth</v>
      </c>
    </row>
    <row r="250">
      <c r="E250" s="0" t="s">
        <v>570</v>
      </c>
      <c r="AV250" s="0" t="s">
        <v>471</v>
      </c>
      <c r="AW250" s="0" t="s">
        <v>286</v>
      </c>
      <c r="AX250" s="0" t="s">
        <v>487</v>
      </c>
      <c r="AY250" s="0" t="s">
        <v>1556</v>
      </c>
      <c r="AZ250" s="0" t="s">
        <v>1557</v>
      </c>
      <c r="BA250" s="0" t="s">
        <v>285</v>
      </c>
      <c r="BB250" s="0" t="str">
        <f t="shared" si="3"/>
        <v>CCCRNebAfikpoNorth</v>
      </c>
    </row>
    <row r="251">
      <c r="E251" s="0" t="s">
        <v>608</v>
      </c>
      <c r="AV251" s="0" t="s">
        <v>471</v>
      </c>
      <c r="AW251" s="0" t="s">
        <v>286</v>
      </c>
      <c r="AX251" s="0" t="s">
        <v>528</v>
      </c>
      <c r="AY251" s="0" t="s">
        <v>1558</v>
      </c>
      <c r="AZ251" s="0" t="s">
        <v>1559</v>
      </c>
      <c r="BA251" s="0" t="s">
        <v>285</v>
      </c>
      <c r="BB251" s="0" t="str">
        <f t="shared" si="3"/>
        <v>CCCRNebAfikpoSouth</v>
      </c>
    </row>
    <row r="252">
      <c r="E252" s="0" t="s">
        <v>647</v>
      </c>
      <c r="AV252" s="0" t="s">
        <v>471</v>
      </c>
      <c r="AW252" s="0" t="s">
        <v>286</v>
      </c>
      <c r="AX252" s="0" t="s">
        <v>528</v>
      </c>
      <c r="AY252" s="0" t="s">
        <v>1560</v>
      </c>
      <c r="AZ252" s="0" t="s">
        <v>1561</v>
      </c>
      <c r="BA252" s="0" t="s">
        <v>285</v>
      </c>
      <c r="BB252" s="0" t="str">
        <f t="shared" si="3"/>
        <v>CCCRNebAfikpoSouth</v>
      </c>
    </row>
    <row r="253">
      <c r="E253" s="0" t="s">
        <v>532</v>
      </c>
      <c r="AV253" s="0" t="s">
        <v>471</v>
      </c>
      <c r="AW253" s="0" t="s">
        <v>286</v>
      </c>
      <c r="AX253" s="0" t="s">
        <v>568</v>
      </c>
      <c r="AY253" s="0" t="s">
        <v>1562</v>
      </c>
      <c r="AZ253" s="0" t="s">
        <v>1563</v>
      </c>
      <c r="BA253" s="0" t="s">
        <v>285</v>
      </c>
      <c r="BB253" s="0" t="str">
        <f t="shared" si="3"/>
        <v>CCCRNebEbonyi</v>
      </c>
    </row>
    <row r="254">
      <c r="E254" s="0" t="s">
        <v>448</v>
      </c>
      <c r="AV254" s="0" t="s">
        <v>471</v>
      </c>
      <c r="AW254" s="0" t="s">
        <v>286</v>
      </c>
      <c r="AX254" s="0" t="s">
        <v>568</v>
      </c>
      <c r="AY254" s="0" t="s">
        <v>1564</v>
      </c>
      <c r="AZ254" s="0" t="s">
        <v>1565</v>
      </c>
      <c r="BA254" s="0" t="s">
        <v>285</v>
      </c>
      <c r="BB254" s="0" t="str">
        <f t="shared" si="3"/>
        <v>CCCRNebEbonyi</v>
      </c>
    </row>
    <row r="255">
      <c r="E255" s="0" t="s">
        <v>491</v>
      </c>
      <c r="AV255" s="0" t="s">
        <v>471</v>
      </c>
      <c r="AW255" s="0" t="s">
        <v>286</v>
      </c>
      <c r="AX255" s="0" t="s">
        <v>568</v>
      </c>
      <c r="AY255" s="0" t="s">
        <v>1566</v>
      </c>
      <c r="AZ255" s="0" t="s">
        <v>1567</v>
      </c>
      <c r="BA255" s="0" t="s">
        <v>285</v>
      </c>
      <c r="BB255" s="0" t="str">
        <f t="shared" si="3"/>
        <v>CCCRNebEbonyi</v>
      </c>
    </row>
    <row r="256">
      <c r="E256" s="0" t="s">
        <v>572</v>
      </c>
      <c r="AV256" s="0" t="s">
        <v>471</v>
      </c>
      <c r="AW256" s="0" t="s">
        <v>286</v>
      </c>
      <c r="AX256" s="0" t="s">
        <v>568</v>
      </c>
      <c r="AY256" s="0" t="s">
        <v>1568</v>
      </c>
      <c r="AZ256" s="0" t="s">
        <v>1569</v>
      </c>
      <c r="BA256" s="0" t="s">
        <v>285</v>
      </c>
      <c r="BB256" s="0" t="str">
        <f t="shared" si="3"/>
        <v>CCCRNebEbonyi</v>
      </c>
    </row>
    <row r="257">
      <c r="E257" s="0" t="s">
        <v>610</v>
      </c>
      <c r="AV257" s="0" t="s">
        <v>471</v>
      </c>
      <c r="AW257" s="0" t="s">
        <v>286</v>
      </c>
      <c r="AX257" s="0" t="s">
        <v>568</v>
      </c>
      <c r="AY257" s="0" t="s">
        <v>1570</v>
      </c>
      <c r="AZ257" s="0" t="s">
        <v>1571</v>
      </c>
      <c r="BA257" s="0" t="s">
        <v>285</v>
      </c>
      <c r="BB257" s="0" t="str">
        <f t="shared" si="3"/>
        <v>CCCRNebEbonyi</v>
      </c>
    </row>
    <row r="258">
      <c r="E258" s="0" t="s">
        <v>949</v>
      </c>
      <c r="AV258" s="0" t="s">
        <v>471</v>
      </c>
      <c r="AW258" s="0" t="s">
        <v>286</v>
      </c>
      <c r="AX258" s="0" t="s">
        <v>568</v>
      </c>
      <c r="AY258" s="0" t="s">
        <v>1572</v>
      </c>
      <c r="AZ258" s="0" t="s">
        <v>1573</v>
      </c>
      <c r="BA258" s="0" t="s">
        <v>285</v>
      </c>
      <c r="BB258" s="0" t="str">
        <f t="shared" si="3"/>
        <v>CCCRNebEbonyi</v>
      </c>
    </row>
    <row r="259">
      <c r="E259" s="0" t="s">
        <v>496</v>
      </c>
      <c r="AV259" s="0" t="s">
        <v>471</v>
      </c>
      <c r="AW259" s="0" t="s">
        <v>286</v>
      </c>
      <c r="AX259" s="0" t="s">
        <v>606</v>
      </c>
      <c r="AY259" s="0" t="s">
        <v>1574</v>
      </c>
      <c r="AZ259" s="0" t="s">
        <v>1575</v>
      </c>
      <c r="BA259" s="0" t="s">
        <v>285</v>
      </c>
      <c r="BB259" s="0" t="str">
        <f ref="BB259:BB322" t="shared" si="4">SUBSTITUTE(SUBSTITUTE(BA259&amp;AX259," ",""),"-","")</f>
        <v>CCCRNebIvo</v>
      </c>
    </row>
    <row r="260">
      <c r="E260" s="0" t="s">
        <v>537</v>
      </c>
      <c r="AV260" s="0" t="s">
        <v>471</v>
      </c>
      <c r="AW260" s="0" t="s">
        <v>286</v>
      </c>
      <c r="AX260" s="0" t="s">
        <v>606</v>
      </c>
      <c r="AY260" s="0" t="s">
        <v>1576</v>
      </c>
      <c r="AZ260" s="0" t="s">
        <v>1577</v>
      </c>
      <c r="BA260" s="0" t="s">
        <v>285</v>
      </c>
      <c r="BB260" s="0" t="str">
        <f t="shared" si="4"/>
        <v>CCCRNebIvo</v>
      </c>
    </row>
    <row r="261">
      <c r="E261" s="0" t="s">
        <v>577</v>
      </c>
      <c r="AV261" s="0" t="s">
        <v>471</v>
      </c>
      <c r="AW261" s="0" t="s">
        <v>286</v>
      </c>
      <c r="AX261" s="0" t="s">
        <v>606</v>
      </c>
      <c r="AY261" s="0" t="s">
        <v>1578</v>
      </c>
      <c r="AZ261" s="0" t="s">
        <v>1579</v>
      </c>
      <c r="BA261" s="0" t="s">
        <v>285</v>
      </c>
      <c r="BB261" s="0" t="str">
        <f t="shared" si="4"/>
        <v>CCCRNebIvo</v>
      </c>
    </row>
    <row r="262">
      <c r="E262" s="0" t="s">
        <v>615</v>
      </c>
      <c r="AV262" s="0" t="s">
        <v>471</v>
      </c>
      <c r="AW262" s="0" t="s">
        <v>286</v>
      </c>
      <c r="AX262" s="0" t="s">
        <v>606</v>
      </c>
      <c r="AY262" s="0" t="s">
        <v>1580</v>
      </c>
      <c r="AZ262" s="0" t="s">
        <v>1581</v>
      </c>
      <c r="BA262" s="0" t="s">
        <v>285</v>
      </c>
      <c r="BB262" s="0" t="str">
        <f t="shared" si="4"/>
        <v>CCCRNebIvo</v>
      </c>
    </row>
    <row r="263">
      <c r="E263" s="0" t="s">
        <v>454</v>
      </c>
      <c r="AV263" s="0" t="s">
        <v>471</v>
      </c>
      <c r="AW263" s="0" t="s">
        <v>286</v>
      </c>
      <c r="AX263" s="0" t="s">
        <v>606</v>
      </c>
      <c r="AY263" s="0" t="s">
        <v>1582</v>
      </c>
      <c r="AZ263" s="0" t="s">
        <v>1583</v>
      </c>
      <c r="BA263" s="0" t="s">
        <v>285</v>
      </c>
      <c r="BB263" s="0" t="str">
        <f t="shared" si="4"/>
        <v>CCCRNebIvo</v>
      </c>
    </row>
    <row r="264">
      <c r="E264" s="0" t="s">
        <v>497</v>
      </c>
      <c r="AV264" s="0" t="s">
        <v>471</v>
      </c>
      <c r="AW264" s="0" t="s">
        <v>286</v>
      </c>
      <c r="AX264" s="0" t="s">
        <v>606</v>
      </c>
      <c r="AY264" s="0" t="s">
        <v>1584</v>
      </c>
      <c r="AZ264" s="0" t="s">
        <v>1585</v>
      </c>
      <c r="BA264" s="0" t="s">
        <v>285</v>
      </c>
      <c r="BB264" s="0" t="str">
        <f t="shared" si="4"/>
        <v>CCCRNebIvo</v>
      </c>
    </row>
    <row r="265">
      <c r="E265" s="0" t="s">
        <v>538</v>
      </c>
      <c r="AV265" s="0" t="s">
        <v>471</v>
      </c>
      <c r="AW265" s="0" t="s">
        <v>286</v>
      </c>
      <c r="AX265" s="0" t="s">
        <v>645</v>
      </c>
      <c r="AY265" s="0" t="s">
        <v>1586</v>
      </c>
      <c r="AZ265" s="0" t="s">
        <v>1587</v>
      </c>
      <c r="BA265" s="0" t="s">
        <v>285</v>
      </c>
      <c r="BB265" s="0" t="str">
        <f t="shared" si="4"/>
        <v>CCCRNebIzzi</v>
      </c>
    </row>
    <row r="266">
      <c r="E266" s="0" t="s">
        <v>502</v>
      </c>
      <c r="AV266" s="0" t="s">
        <v>471</v>
      </c>
      <c r="AW266" s="0" t="s">
        <v>286</v>
      </c>
      <c r="AX266" s="0" t="s">
        <v>645</v>
      </c>
      <c r="AY266" s="0" t="s">
        <v>1588</v>
      </c>
      <c r="AZ266" s="0" t="s">
        <v>1589</v>
      </c>
      <c r="BA266" s="0" t="s">
        <v>285</v>
      </c>
      <c r="BB266" s="0" t="str">
        <f t="shared" si="4"/>
        <v>CCCRNebIzzi</v>
      </c>
    </row>
    <row r="267">
      <c r="E267" s="0" t="s">
        <v>658</v>
      </c>
      <c r="AV267" s="0" t="s">
        <v>471</v>
      </c>
      <c r="AW267" s="0" t="s">
        <v>286</v>
      </c>
      <c r="AX267" s="0" t="s">
        <v>645</v>
      </c>
      <c r="AY267" s="0" t="s">
        <v>1590</v>
      </c>
      <c r="AZ267" s="0" t="s">
        <v>1591</v>
      </c>
      <c r="BA267" s="0" t="s">
        <v>285</v>
      </c>
      <c r="BB267" s="0" t="str">
        <f t="shared" si="4"/>
        <v>CCCRNebIzzi</v>
      </c>
    </row>
    <row r="268">
      <c r="E268" s="0" t="s">
        <v>694</v>
      </c>
      <c r="AV268" s="0" t="s">
        <v>471</v>
      </c>
      <c r="AW268" s="0" t="s">
        <v>286</v>
      </c>
      <c r="AX268" s="0" t="s">
        <v>683</v>
      </c>
      <c r="AY268" s="0" t="s">
        <v>1592</v>
      </c>
      <c r="AZ268" s="0" t="s">
        <v>1593</v>
      </c>
      <c r="BA268" s="0" t="s">
        <v>285</v>
      </c>
      <c r="BB268" s="0" t="str">
        <f t="shared" si="4"/>
        <v>CCCRNebOhaozara</v>
      </c>
    </row>
    <row r="269">
      <c r="E269" s="0" t="s">
        <v>543</v>
      </c>
      <c r="AV269" s="0" t="s">
        <v>471</v>
      </c>
      <c r="AW269" s="0" t="s">
        <v>286</v>
      </c>
      <c r="AX269" s="0" t="s">
        <v>683</v>
      </c>
      <c r="AY269" s="0" t="s">
        <v>289</v>
      </c>
      <c r="AZ269" s="0" t="s">
        <v>293</v>
      </c>
      <c r="BA269" s="0" t="s">
        <v>285</v>
      </c>
      <c r="BB269" s="0" t="str">
        <f t="shared" si="4"/>
        <v>CCCRNebOhaozara</v>
      </c>
    </row>
    <row r="270">
      <c r="E270" s="0" t="s">
        <v>729</v>
      </c>
      <c r="AV270" s="0" t="s">
        <v>471</v>
      </c>
      <c r="AW270" s="0" t="s">
        <v>286</v>
      </c>
      <c r="AX270" s="0" t="s">
        <v>683</v>
      </c>
      <c r="AY270" s="0" t="s">
        <v>1594</v>
      </c>
      <c r="AZ270" s="0" t="s">
        <v>1595</v>
      </c>
      <c r="BA270" s="0" t="s">
        <v>285</v>
      </c>
      <c r="BB270" s="0" t="str">
        <f t="shared" si="4"/>
        <v>CCCRNebOhaozara</v>
      </c>
    </row>
    <row r="271">
      <c r="E271" s="0" t="s">
        <v>582</v>
      </c>
      <c r="AV271" s="0" t="s">
        <v>471</v>
      </c>
      <c r="AW271" s="0" t="s">
        <v>286</v>
      </c>
      <c r="AX271" s="0" t="s">
        <v>683</v>
      </c>
      <c r="AY271" s="0" t="s">
        <v>1596</v>
      </c>
      <c r="AZ271" s="0" t="s">
        <v>1597</v>
      </c>
      <c r="BA271" s="0" t="s">
        <v>285</v>
      </c>
      <c r="BB271" s="0" t="str">
        <f t="shared" si="4"/>
        <v>CCCRNebOhaozara</v>
      </c>
    </row>
    <row r="272">
      <c r="E272" s="0" t="s">
        <v>762</v>
      </c>
      <c r="AV272" s="0" t="s">
        <v>471</v>
      </c>
      <c r="AW272" s="0" t="s">
        <v>286</v>
      </c>
      <c r="AX272" s="0" t="s">
        <v>683</v>
      </c>
      <c r="AY272" s="0" t="s">
        <v>1598</v>
      </c>
      <c r="AZ272" s="0" t="s">
        <v>1599</v>
      </c>
      <c r="BA272" s="0" t="s">
        <v>285</v>
      </c>
      <c r="BB272" s="0" t="str">
        <f t="shared" si="4"/>
        <v>CCCRNebOhaozara</v>
      </c>
    </row>
    <row r="273">
      <c r="E273" s="0" t="s">
        <v>794</v>
      </c>
      <c r="AV273" s="0" t="s">
        <v>471</v>
      </c>
      <c r="AW273" s="0" t="s">
        <v>286</v>
      </c>
      <c r="AX273" s="0" t="s">
        <v>718</v>
      </c>
      <c r="AY273" s="0" t="s">
        <v>1600</v>
      </c>
      <c r="AZ273" s="0" t="s">
        <v>1601</v>
      </c>
      <c r="BA273" s="0" t="s">
        <v>285</v>
      </c>
      <c r="BB273" s="0" t="str">
        <f t="shared" si="4"/>
        <v>CCCRNebOhaukwu</v>
      </c>
    </row>
    <row r="274">
      <c r="E274" s="0" t="s">
        <v>620</v>
      </c>
      <c r="AV274" s="0" t="s">
        <v>471</v>
      </c>
      <c r="AW274" s="0" t="s">
        <v>286</v>
      </c>
      <c r="AX274" s="0" t="s">
        <v>718</v>
      </c>
      <c r="AY274" s="0" t="s">
        <v>1602</v>
      </c>
      <c r="AZ274" s="0" t="s">
        <v>1603</v>
      </c>
      <c r="BA274" s="0" t="s">
        <v>285</v>
      </c>
      <c r="BB274" s="0" t="str">
        <f t="shared" si="4"/>
        <v>CCCRNebOhaukwu</v>
      </c>
    </row>
    <row r="275">
      <c r="E275" s="0" t="s">
        <v>823</v>
      </c>
      <c r="AV275" s="0" t="s">
        <v>471</v>
      </c>
      <c r="AW275" s="0" t="s">
        <v>286</v>
      </c>
      <c r="AX275" s="0" t="s">
        <v>718</v>
      </c>
      <c r="AY275" s="0" t="s">
        <v>1604</v>
      </c>
      <c r="AZ275" s="0" t="s">
        <v>1605</v>
      </c>
      <c r="BA275" s="0" t="s">
        <v>285</v>
      </c>
      <c r="BB275" s="0" t="str">
        <f t="shared" si="4"/>
        <v>CCCRNebOhaukwu</v>
      </c>
    </row>
    <row r="276">
      <c r="E276" s="0" t="s">
        <v>660</v>
      </c>
      <c r="AV276" s="0" t="s">
        <v>471</v>
      </c>
      <c r="AW276" s="0" t="s">
        <v>286</v>
      </c>
      <c r="AX276" s="0" t="s">
        <v>718</v>
      </c>
      <c r="AY276" s="0" t="s">
        <v>1606</v>
      </c>
      <c r="AZ276" s="0" t="s">
        <v>1607</v>
      </c>
      <c r="BA276" s="0" t="s">
        <v>285</v>
      </c>
      <c r="BB276" s="0" t="str">
        <f t="shared" si="4"/>
        <v>CCCRNebOhaukwu</v>
      </c>
    </row>
    <row r="277">
      <c r="E277" s="0" t="s">
        <v>696</v>
      </c>
      <c r="AV277" s="0" t="s">
        <v>471</v>
      </c>
      <c r="AW277" s="0" t="s">
        <v>286</v>
      </c>
      <c r="AX277" s="0" t="s">
        <v>718</v>
      </c>
      <c r="AY277" s="0" t="s">
        <v>1608</v>
      </c>
      <c r="AZ277" s="0" t="s">
        <v>1609</v>
      </c>
      <c r="BA277" s="0" t="s">
        <v>285</v>
      </c>
      <c r="BB277" s="0" t="str">
        <f t="shared" si="4"/>
        <v>CCCRNebOhaukwu</v>
      </c>
    </row>
    <row r="278">
      <c r="E278" s="0" t="s">
        <v>622</v>
      </c>
      <c r="AV278" s="0" t="s">
        <v>471</v>
      </c>
      <c r="AW278" s="0" t="s">
        <v>286</v>
      </c>
      <c r="AX278" s="0" t="s">
        <v>751</v>
      </c>
      <c r="AY278" s="0" t="s">
        <v>1610</v>
      </c>
      <c r="AZ278" s="0" t="s">
        <v>1611</v>
      </c>
      <c r="BA278" s="0" t="s">
        <v>285</v>
      </c>
      <c r="BB278" s="0" t="str">
        <f t="shared" si="4"/>
        <v>CCCRNebOnicha</v>
      </c>
    </row>
    <row r="279">
      <c r="E279" s="0" t="s">
        <v>731</v>
      </c>
      <c r="AV279" s="0" t="s">
        <v>471</v>
      </c>
      <c r="AW279" s="0" t="s">
        <v>286</v>
      </c>
      <c r="AX279" s="0" t="s">
        <v>751</v>
      </c>
      <c r="AY279" s="0" t="s">
        <v>1612</v>
      </c>
      <c r="AZ279" s="0" t="s">
        <v>1613</v>
      </c>
      <c r="BA279" s="0" t="s">
        <v>285</v>
      </c>
      <c r="BB279" s="0" t="str">
        <f t="shared" si="4"/>
        <v>CCCRNebOnicha</v>
      </c>
    </row>
    <row r="280">
      <c r="E280" s="0" t="s">
        <v>764</v>
      </c>
      <c r="AV280" s="0" t="s">
        <v>471</v>
      </c>
      <c r="AW280" s="0" t="s">
        <v>286</v>
      </c>
      <c r="AX280" s="0" t="s">
        <v>751</v>
      </c>
      <c r="AY280" s="0" t="s">
        <v>1614</v>
      </c>
      <c r="AZ280" s="0" t="s">
        <v>1615</v>
      </c>
      <c r="BA280" s="0" t="s">
        <v>285</v>
      </c>
      <c r="BB280" s="0" t="str">
        <f t="shared" si="4"/>
        <v>CCCRNebOnicha</v>
      </c>
    </row>
    <row r="281">
      <c r="E281" s="0" t="s">
        <v>623</v>
      </c>
      <c r="AV281" s="0" t="s">
        <v>471</v>
      </c>
      <c r="AW281" s="0" t="s">
        <v>286</v>
      </c>
      <c r="AX281" s="0" t="s">
        <v>751</v>
      </c>
      <c r="AY281" s="0" t="s">
        <v>1616</v>
      </c>
      <c r="AZ281" s="0" t="s">
        <v>1617</v>
      </c>
      <c r="BA281" s="0" t="s">
        <v>285</v>
      </c>
      <c r="BB281" s="0" t="str">
        <f t="shared" si="4"/>
        <v>CCCRNebOnicha</v>
      </c>
    </row>
    <row r="282">
      <c r="E282" s="0" t="s">
        <v>462</v>
      </c>
      <c r="AV282" s="0" t="s">
        <v>471</v>
      </c>
      <c r="AW282" s="0" t="s">
        <v>400</v>
      </c>
      <c r="AX282" s="0" t="s">
        <v>447</v>
      </c>
      <c r="AY282" s="0" t="s">
        <v>1618</v>
      </c>
      <c r="AZ282" s="0" t="s">
        <v>1619</v>
      </c>
      <c r="BA282" s="0" t="s">
        <v>285</v>
      </c>
      <c r="BB282" s="0" t="str">
        <f t="shared" si="4"/>
        <v>CCCRNenEnuguEast</v>
      </c>
    </row>
    <row r="283">
      <c r="E283" s="0" t="s">
        <v>661</v>
      </c>
      <c r="AV283" s="0" t="s">
        <v>471</v>
      </c>
      <c r="AW283" s="0" t="s">
        <v>400</v>
      </c>
      <c r="AX283" s="0" t="s">
        <v>447</v>
      </c>
      <c r="AY283" s="0" t="s">
        <v>1620</v>
      </c>
      <c r="AZ283" s="0" t="s">
        <v>1621</v>
      </c>
      <c r="BA283" s="0" t="s">
        <v>285</v>
      </c>
      <c r="BB283" s="0" t="str">
        <f t="shared" si="4"/>
        <v>CCCRNenEnuguEast</v>
      </c>
    </row>
    <row r="284">
      <c r="E284" s="0" t="s">
        <v>697</v>
      </c>
      <c r="AV284" s="0" t="s">
        <v>471</v>
      </c>
      <c r="AW284" s="0" t="s">
        <v>400</v>
      </c>
      <c r="AX284" s="0" t="s">
        <v>447</v>
      </c>
      <c r="AY284" s="0" t="s">
        <v>1622</v>
      </c>
      <c r="AZ284" s="0" t="s">
        <v>1623</v>
      </c>
      <c r="BA284" s="0" t="s">
        <v>285</v>
      </c>
      <c r="BB284" s="0" t="str">
        <f t="shared" si="4"/>
        <v>CCCRNenEnuguEast</v>
      </c>
    </row>
    <row r="285">
      <c r="E285" s="0" t="s">
        <v>545</v>
      </c>
      <c r="AV285" s="0" t="s">
        <v>471</v>
      </c>
      <c r="AW285" s="0" t="s">
        <v>400</v>
      </c>
      <c r="AX285" s="0" t="s">
        <v>447</v>
      </c>
      <c r="AY285" s="0" t="s">
        <v>1624</v>
      </c>
      <c r="AZ285" s="0" t="s">
        <v>1625</v>
      </c>
      <c r="BA285" s="0" t="s">
        <v>285</v>
      </c>
      <c r="BB285" s="0" t="str">
        <f t="shared" si="4"/>
        <v>CCCRNenEnuguEast</v>
      </c>
    </row>
    <row r="286">
      <c r="E286" s="0" t="s">
        <v>584</v>
      </c>
      <c r="AV286" s="0" t="s">
        <v>471</v>
      </c>
      <c r="AW286" s="0" t="s">
        <v>400</v>
      </c>
      <c r="AX286" s="0" t="s">
        <v>447</v>
      </c>
      <c r="AY286" s="0" t="s">
        <v>1626</v>
      </c>
      <c r="AZ286" s="0" t="s">
        <v>1627</v>
      </c>
      <c r="BA286" s="0" t="s">
        <v>285</v>
      </c>
      <c r="BB286" s="0" t="str">
        <f t="shared" si="4"/>
        <v>CCCRNenEnuguEast</v>
      </c>
    </row>
    <row r="287">
      <c r="E287" s="0" t="s">
        <v>585</v>
      </c>
      <c r="AV287" s="0" t="s">
        <v>471</v>
      </c>
      <c r="AW287" s="0" t="s">
        <v>400</v>
      </c>
      <c r="AX287" s="0" t="s">
        <v>447</v>
      </c>
      <c r="AY287" s="0" t="s">
        <v>1628</v>
      </c>
      <c r="AZ287" s="0" t="s">
        <v>1629</v>
      </c>
      <c r="BA287" s="0" t="s">
        <v>285</v>
      </c>
      <c r="BB287" s="0" t="str">
        <f t="shared" si="4"/>
        <v>CCCRNenEnuguEast</v>
      </c>
    </row>
    <row r="288">
      <c r="E288" s="0" t="s">
        <v>624</v>
      </c>
      <c r="AV288" s="0" t="s">
        <v>471</v>
      </c>
      <c r="AW288" s="0" t="s">
        <v>400</v>
      </c>
      <c r="AX288" s="0" t="s">
        <v>447</v>
      </c>
      <c r="AY288" s="0" t="s">
        <v>1630</v>
      </c>
      <c r="AZ288" s="0" t="s">
        <v>1631</v>
      </c>
      <c r="BA288" s="0" t="s">
        <v>285</v>
      </c>
      <c r="BB288" s="0" t="str">
        <f t="shared" si="4"/>
        <v>CCCRNenEnuguEast</v>
      </c>
    </row>
    <row r="289">
      <c r="E289" s="0" t="s">
        <v>662</v>
      </c>
      <c r="AV289" s="0" t="s">
        <v>471</v>
      </c>
      <c r="AW289" s="0" t="s">
        <v>400</v>
      </c>
      <c r="AX289" s="0" t="s">
        <v>447</v>
      </c>
      <c r="AY289" s="0" t="s">
        <v>1632</v>
      </c>
      <c r="AZ289" s="0" t="s">
        <v>1633</v>
      </c>
      <c r="BA289" s="0" t="s">
        <v>285</v>
      </c>
      <c r="BB289" s="0" t="str">
        <f t="shared" si="4"/>
        <v>CCCRNenEnuguEast</v>
      </c>
    </row>
    <row r="290">
      <c r="E290" s="0" t="s">
        <v>698</v>
      </c>
      <c r="AV290" s="0" t="s">
        <v>471</v>
      </c>
      <c r="AW290" s="0" t="s">
        <v>400</v>
      </c>
      <c r="AX290" s="0" t="s">
        <v>447</v>
      </c>
      <c r="AY290" s="0" t="s">
        <v>1634</v>
      </c>
      <c r="AZ290" s="0" t="s">
        <v>1635</v>
      </c>
      <c r="BA290" s="0" t="s">
        <v>285</v>
      </c>
      <c r="BB290" s="0" t="str">
        <f t="shared" si="4"/>
        <v>CCCRNenEnuguEast</v>
      </c>
    </row>
    <row r="291">
      <c r="E291" s="0" t="s">
        <v>732</v>
      </c>
      <c r="AV291" s="0" t="s">
        <v>471</v>
      </c>
      <c r="AW291" s="0" t="s">
        <v>400</v>
      </c>
      <c r="AX291" s="0" t="s">
        <v>447</v>
      </c>
      <c r="AY291" s="0" t="s">
        <v>1636</v>
      </c>
      <c r="AZ291" s="0" t="s">
        <v>1637</v>
      </c>
      <c r="BA291" s="0" t="s">
        <v>285</v>
      </c>
      <c r="BB291" s="0" t="str">
        <f t="shared" si="4"/>
        <v>CCCRNenEnuguEast</v>
      </c>
    </row>
    <row r="292">
      <c r="E292" s="0" t="s">
        <v>546</v>
      </c>
      <c r="AV292" s="0" t="s">
        <v>471</v>
      </c>
      <c r="AW292" s="0" t="s">
        <v>400</v>
      </c>
      <c r="AX292" s="0" t="s">
        <v>490</v>
      </c>
      <c r="AY292" s="0" t="s">
        <v>1638</v>
      </c>
      <c r="AZ292" s="0" t="s">
        <v>1639</v>
      </c>
      <c r="BA292" s="0" t="s">
        <v>285</v>
      </c>
      <c r="BB292" s="0" t="str">
        <f t="shared" si="4"/>
        <v>CCCRNenEnuguNorth</v>
      </c>
    </row>
    <row r="293">
      <c r="E293" s="0" t="s">
        <v>765</v>
      </c>
      <c r="AV293" s="0" t="s">
        <v>471</v>
      </c>
      <c r="AW293" s="0" t="s">
        <v>400</v>
      </c>
      <c r="AX293" s="0" t="s">
        <v>490</v>
      </c>
      <c r="AY293" s="0" t="s">
        <v>1640</v>
      </c>
      <c r="AZ293" s="0" t="s">
        <v>1641</v>
      </c>
      <c r="BA293" s="0" t="s">
        <v>285</v>
      </c>
      <c r="BB293" s="0" t="str">
        <f t="shared" si="4"/>
        <v>CCCRNenEnuguNorth</v>
      </c>
    </row>
    <row r="294">
      <c r="E294" s="0" t="s">
        <v>649</v>
      </c>
      <c r="AV294" s="0" t="s">
        <v>471</v>
      </c>
      <c r="AW294" s="0" t="s">
        <v>400</v>
      </c>
      <c r="AX294" s="0" t="s">
        <v>490</v>
      </c>
      <c r="AY294" s="0" t="s">
        <v>1642</v>
      </c>
      <c r="AZ294" s="0" t="s">
        <v>1643</v>
      </c>
      <c r="BA294" s="0" t="s">
        <v>285</v>
      </c>
      <c r="BB294" s="0" t="str">
        <f t="shared" si="4"/>
        <v>CCCRNenEnuguNorth</v>
      </c>
    </row>
    <row r="295">
      <c r="E295" s="0" t="s">
        <v>459</v>
      </c>
      <c r="AV295" s="0" t="s">
        <v>471</v>
      </c>
      <c r="AW295" s="0" t="s">
        <v>400</v>
      </c>
      <c r="AX295" s="0" t="s">
        <v>490</v>
      </c>
      <c r="AY295" s="0" t="s">
        <v>1644</v>
      </c>
      <c r="AZ295" s="0" t="s">
        <v>1645</v>
      </c>
      <c r="BA295" s="0" t="s">
        <v>285</v>
      </c>
      <c r="BB295" s="0" t="str">
        <f t="shared" si="4"/>
        <v>CCCRNenEnuguNorth</v>
      </c>
    </row>
    <row r="296">
      <c r="E296" s="0" t="s">
        <v>794</v>
      </c>
      <c r="AV296" s="0" t="s">
        <v>471</v>
      </c>
      <c r="AW296" s="0" t="s">
        <v>400</v>
      </c>
      <c r="AX296" s="0" t="s">
        <v>490</v>
      </c>
      <c r="AY296" s="0" t="s">
        <v>1646</v>
      </c>
      <c r="AZ296" s="0" t="s">
        <v>1647</v>
      </c>
      <c r="BA296" s="0" t="s">
        <v>285</v>
      </c>
      <c r="BB296" s="0" t="str">
        <f t="shared" si="4"/>
        <v>CCCRNenEnuguNorth</v>
      </c>
    </row>
    <row r="297">
      <c r="E297" s="0" t="s">
        <v>851</v>
      </c>
      <c r="AV297" s="0" t="s">
        <v>471</v>
      </c>
      <c r="AW297" s="0" t="s">
        <v>400</v>
      </c>
      <c r="AX297" s="0" t="s">
        <v>490</v>
      </c>
      <c r="AY297" s="0" t="s">
        <v>1648</v>
      </c>
      <c r="AZ297" s="0" t="s">
        <v>1649</v>
      </c>
      <c r="BA297" s="0" t="s">
        <v>285</v>
      </c>
      <c r="BB297" s="0" t="str">
        <f t="shared" si="4"/>
        <v>CCCRNenEnuguNorth</v>
      </c>
    </row>
    <row r="298">
      <c r="E298" s="0" t="s">
        <v>854</v>
      </c>
      <c r="AV298" s="0" t="s">
        <v>471</v>
      </c>
      <c r="AW298" s="0" t="s">
        <v>400</v>
      </c>
      <c r="AX298" s="0" t="s">
        <v>531</v>
      </c>
      <c r="AY298" s="0" t="s">
        <v>1650</v>
      </c>
      <c r="AZ298" s="0" t="s">
        <v>1651</v>
      </c>
      <c r="BA298" s="0" t="s">
        <v>285</v>
      </c>
      <c r="BB298" s="0" t="str">
        <f t="shared" si="4"/>
        <v>CCCRNenEnuguSouth</v>
      </c>
    </row>
    <row r="299">
      <c r="E299" s="0" t="s">
        <v>880</v>
      </c>
      <c r="AV299" s="0" t="s">
        <v>471</v>
      </c>
      <c r="AW299" s="0" t="s">
        <v>400</v>
      </c>
      <c r="AX299" s="0" t="s">
        <v>531</v>
      </c>
      <c r="AY299" s="0" t="s">
        <v>1652</v>
      </c>
      <c r="AZ299" s="0" t="s">
        <v>1653</v>
      </c>
      <c r="BA299" s="0" t="s">
        <v>285</v>
      </c>
      <c r="BB299" s="0" t="str">
        <f t="shared" si="4"/>
        <v>CCCRNenEnuguSouth</v>
      </c>
    </row>
    <row r="300">
      <c r="E300" s="0" t="s">
        <v>905</v>
      </c>
      <c r="AV300" s="0" t="s">
        <v>471</v>
      </c>
      <c r="AW300" s="0" t="s">
        <v>400</v>
      </c>
      <c r="AX300" s="0" t="s">
        <v>531</v>
      </c>
      <c r="AY300" s="0" t="s">
        <v>1654</v>
      </c>
      <c r="AZ300" s="0" t="s">
        <v>1655</v>
      </c>
      <c r="BA300" s="0" t="s">
        <v>285</v>
      </c>
      <c r="BB300" s="0" t="str">
        <f t="shared" si="4"/>
        <v>CCCRNenEnuguSouth</v>
      </c>
    </row>
    <row r="301">
      <c r="E301" s="0" t="s">
        <v>930</v>
      </c>
      <c r="AV301" s="0" t="s">
        <v>471</v>
      </c>
      <c r="AW301" s="0" t="s">
        <v>400</v>
      </c>
      <c r="AX301" s="0" t="s">
        <v>531</v>
      </c>
      <c r="AY301" s="0" t="s">
        <v>1656</v>
      </c>
      <c r="AZ301" s="0" t="s">
        <v>1657</v>
      </c>
      <c r="BA301" s="0" t="s">
        <v>285</v>
      </c>
      <c r="BB301" s="0" t="str">
        <f t="shared" si="4"/>
        <v>CCCRNenEnuguSouth</v>
      </c>
    </row>
    <row r="302">
      <c r="AV302" s="0" t="s">
        <v>471</v>
      </c>
      <c r="AW302" s="0" t="s">
        <v>400</v>
      </c>
      <c r="AX302" s="0" t="s">
        <v>531</v>
      </c>
      <c r="AY302" s="0" t="s">
        <v>1658</v>
      </c>
      <c r="AZ302" s="0" t="s">
        <v>1659</v>
      </c>
      <c r="BA302" s="0" t="s">
        <v>285</v>
      </c>
      <c r="BB302" s="0" t="str">
        <f t="shared" si="4"/>
        <v>CCCRNenEnuguSouth</v>
      </c>
    </row>
    <row r="303">
      <c r="AV303" s="0" t="s">
        <v>471</v>
      </c>
      <c r="AW303" s="0" t="s">
        <v>400</v>
      </c>
      <c r="AX303" s="0" t="s">
        <v>531</v>
      </c>
      <c r="AY303" s="0" t="s">
        <v>1660</v>
      </c>
      <c r="AZ303" s="0" t="s">
        <v>1661</v>
      </c>
      <c r="BA303" s="0" t="s">
        <v>285</v>
      </c>
      <c r="BB303" s="0" t="str">
        <f t="shared" si="4"/>
        <v>CCCRNenEnuguSouth</v>
      </c>
    </row>
    <row r="304">
      <c r="AV304" s="0" t="s">
        <v>471</v>
      </c>
      <c r="AW304" s="0" t="s">
        <v>400</v>
      </c>
      <c r="AX304" s="0" t="s">
        <v>571</v>
      </c>
      <c r="AY304" s="0" t="s">
        <v>1662</v>
      </c>
      <c r="AZ304" s="0" t="s">
        <v>1663</v>
      </c>
      <c r="BA304" s="0" t="s">
        <v>285</v>
      </c>
      <c r="BB304" s="0" t="str">
        <f t="shared" si="4"/>
        <v>CCCRNenIgboEtiti</v>
      </c>
    </row>
    <row r="305">
      <c r="AV305" s="0" t="s">
        <v>471</v>
      </c>
      <c r="AW305" s="0" t="s">
        <v>400</v>
      </c>
      <c r="AX305" s="0" t="s">
        <v>571</v>
      </c>
      <c r="AY305" s="0" t="s">
        <v>1664</v>
      </c>
      <c r="AZ305" s="0" t="s">
        <v>1665</v>
      </c>
      <c r="BA305" s="0" t="s">
        <v>285</v>
      </c>
      <c r="BB305" s="0" t="str">
        <f t="shared" si="4"/>
        <v>CCCRNenIgboEtiti</v>
      </c>
    </row>
    <row r="306">
      <c r="AV306" s="0" t="s">
        <v>471</v>
      </c>
      <c r="AW306" s="0" t="s">
        <v>400</v>
      </c>
      <c r="AX306" s="0" t="s">
        <v>571</v>
      </c>
      <c r="AY306" s="0" t="s">
        <v>1666</v>
      </c>
      <c r="AZ306" s="0" t="s">
        <v>1667</v>
      </c>
      <c r="BA306" s="0" t="s">
        <v>285</v>
      </c>
      <c r="BB306" s="0" t="str">
        <f t="shared" si="4"/>
        <v>CCCRNenIgboEtiti</v>
      </c>
    </row>
    <row r="307">
      <c r="AV307" s="0" t="s">
        <v>471</v>
      </c>
      <c r="AW307" s="0" t="s">
        <v>400</v>
      </c>
      <c r="AX307" s="0" t="s">
        <v>571</v>
      </c>
      <c r="AY307" s="0" t="s">
        <v>1668</v>
      </c>
      <c r="AZ307" s="0" t="s">
        <v>1669</v>
      </c>
      <c r="BA307" s="0" t="s">
        <v>285</v>
      </c>
      <c r="BB307" s="0" t="str">
        <f t="shared" si="4"/>
        <v>CCCRNenIgboEtiti</v>
      </c>
    </row>
    <row r="308">
      <c r="AV308" s="0" t="s">
        <v>471</v>
      </c>
      <c r="AW308" s="0" t="s">
        <v>400</v>
      </c>
      <c r="AX308" s="0" t="s">
        <v>571</v>
      </c>
      <c r="AY308" s="0" t="s">
        <v>1670</v>
      </c>
      <c r="AZ308" s="0" t="s">
        <v>1671</v>
      </c>
      <c r="BA308" s="0" t="s">
        <v>285</v>
      </c>
      <c r="BB308" s="0" t="str">
        <f t="shared" si="4"/>
        <v>CCCRNenIgboEtiti</v>
      </c>
    </row>
    <row r="309">
      <c r="AV309" s="0" t="s">
        <v>471</v>
      </c>
      <c r="AW309" s="0" t="s">
        <v>400</v>
      </c>
      <c r="AX309" s="0" t="s">
        <v>609</v>
      </c>
      <c r="AY309" s="0" t="s">
        <v>1672</v>
      </c>
      <c r="AZ309" s="0" t="s">
        <v>1673</v>
      </c>
      <c r="BA309" s="0" t="s">
        <v>285</v>
      </c>
      <c r="BB309" s="0" t="str">
        <f t="shared" si="4"/>
        <v>CCCRNenIgboEzeNorth</v>
      </c>
    </row>
    <row r="310">
      <c r="AV310" s="0" t="s">
        <v>471</v>
      </c>
      <c r="AW310" s="0" t="s">
        <v>400</v>
      </c>
      <c r="AX310" s="0" t="s">
        <v>609</v>
      </c>
      <c r="AY310" s="0" t="s">
        <v>1674</v>
      </c>
      <c r="AZ310" s="0" t="s">
        <v>1675</v>
      </c>
      <c r="BA310" s="0" t="s">
        <v>285</v>
      </c>
      <c r="BB310" s="0" t="str">
        <f t="shared" si="4"/>
        <v>CCCRNenIgboEzeNorth</v>
      </c>
    </row>
    <row r="311">
      <c r="AV311" s="0" t="s">
        <v>471</v>
      </c>
      <c r="AW311" s="0" t="s">
        <v>400</v>
      </c>
      <c r="AX311" s="0" t="s">
        <v>609</v>
      </c>
      <c r="AY311" s="0" t="s">
        <v>1676</v>
      </c>
      <c r="AZ311" s="0" t="s">
        <v>1677</v>
      </c>
      <c r="BA311" s="0" t="s">
        <v>285</v>
      </c>
      <c r="BB311" s="0" t="str">
        <f t="shared" si="4"/>
        <v>CCCRNenIgboEzeNorth</v>
      </c>
    </row>
    <row r="312">
      <c r="AV312" s="0" t="s">
        <v>471</v>
      </c>
      <c r="AW312" s="0" t="s">
        <v>400</v>
      </c>
      <c r="AX312" s="0" t="s">
        <v>609</v>
      </c>
      <c r="AY312" s="0" t="s">
        <v>1678</v>
      </c>
      <c r="AZ312" s="0" t="s">
        <v>1679</v>
      </c>
      <c r="BA312" s="0" t="s">
        <v>285</v>
      </c>
      <c r="BB312" s="0" t="str">
        <f t="shared" si="4"/>
        <v>CCCRNenIgboEzeNorth</v>
      </c>
    </row>
    <row r="313">
      <c r="AV313" s="0" t="s">
        <v>471</v>
      </c>
      <c r="AW313" s="0" t="s">
        <v>400</v>
      </c>
      <c r="AX313" s="0" t="s">
        <v>609</v>
      </c>
      <c r="AY313" s="0" t="s">
        <v>1680</v>
      </c>
      <c r="AZ313" s="0" t="s">
        <v>1681</v>
      </c>
      <c r="BA313" s="0" t="s">
        <v>285</v>
      </c>
      <c r="BB313" s="0" t="str">
        <f t="shared" si="4"/>
        <v>CCCRNenIgboEzeNorth</v>
      </c>
    </row>
    <row r="314">
      <c r="AV314" s="0" t="s">
        <v>471</v>
      </c>
      <c r="AW314" s="0" t="s">
        <v>400</v>
      </c>
      <c r="AX314" s="0" t="s">
        <v>609</v>
      </c>
      <c r="AY314" s="0" t="s">
        <v>1682</v>
      </c>
      <c r="AZ314" s="0" t="s">
        <v>1683</v>
      </c>
      <c r="BA314" s="0" t="s">
        <v>285</v>
      </c>
      <c r="BB314" s="0" t="str">
        <f t="shared" si="4"/>
        <v>CCCRNenIgboEzeNorth</v>
      </c>
    </row>
    <row r="315">
      <c r="AV315" s="0" t="s">
        <v>471</v>
      </c>
      <c r="AW315" s="0" t="s">
        <v>400</v>
      </c>
      <c r="AX315" s="0" t="s">
        <v>609</v>
      </c>
      <c r="AY315" s="0" t="s">
        <v>1684</v>
      </c>
      <c r="AZ315" s="0" t="s">
        <v>1685</v>
      </c>
      <c r="BA315" s="0" t="s">
        <v>285</v>
      </c>
      <c r="BB315" s="0" t="str">
        <f t="shared" si="4"/>
        <v>CCCRNenIgboEzeNorth</v>
      </c>
    </row>
    <row r="316">
      <c r="AV316" s="0" t="s">
        <v>471</v>
      </c>
      <c r="AW316" s="0" t="s">
        <v>400</v>
      </c>
      <c r="AX316" s="0" t="s">
        <v>648</v>
      </c>
      <c r="AY316" s="0" t="s">
        <v>1686</v>
      </c>
      <c r="AZ316" s="0" t="s">
        <v>1687</v>
      </c>
      <c r="BA316" s="0" t="s">
        <v>285</v>
      </c>
      <c r="BB316" s="0" t="str">
        <f t="shared" si="4"/>
        <v>CCCRNenIgboEzeSouth</v>
      </c>
    </row>
    <row r="317">
      <c r="AV317" s="0" t="s">
        <v>471</v>
      </c>
      <c r="AW317" s="0" t="s">
        <v>400</v>
      </c>
      <c r="AX317" s="0" t="s">
        <v>648</v>
      </c>
      <c r="AY317" s="0" t="s">
        <v>1688</v>
      </c>
      <c r="AZ317" s="0" t="s">
        <v>1689</v>
      </c>
      <c r="BA317" s="0" t="s">
        <v>285</v>
      </c>
      <c r="BB317" s="0" t="str">
        <f t="shared" si="4"/>
        <v>CCCRNenIgboEzeSouth</v>
      </c>
    </row>
    <row r="318">
      <c r="AV318" s="0" t="s">
        <v>471</v>
      </c>
      <c r="AW318" s="0" t="s">
        <v>400</v>
      </c>
      <c r="AX318" s="0" t="s">
        <v>648</v>
      </c>
      <c r="AY318" s="0" t="s">
        <v>1690</v>
      </c>
      <c r="AZ318" s="0" t="s">
        <v>1691</v>
      </c>
      <c r="BA318" s="0" t="s">
        <v>285</v>
      </c>
      <c r="BB318" s="0" t="str">
        <f t="shared" si="4"/>
        <v>CCCRNenIgboEzeSouth</v>
      </c>
    </row>
    <row r="319">
      <c r="AV319" s="0" t="s">
        <v>471</v>
      </c>
      <c r="AW319" s="0" t="s">
        <v>400</v>
      </c>
      <c r="AX319" s="0" t="s">
        <v>685</v>
      </c>
      <c r="AY319" s="0" t="s">
        <v>1692</v>
      </c>
      <c r="AZ319" s="0" t="s">
        <v>1693</v>
      </c>
      <c r="BA319" s="0" t="s">
        <v>285</v>
      </c>
      <c r="BB319" s="0" t="str">
        <f t="shared" si="4"/>
        <v>CCCRNenIsiuzo</v>
      </c>
    </row>
    <row r="320">
      <c r="AV320" s="0" t="s">
        <v>471</v>
      </c>
      <c r="AW320" s="0" t="s">
        <v>400</v>
      </c>
      <c r="AX320" s="0" t="s">
        <v>685</v>
      </c>
      <c r="AY320" s="0" t="s">
        <v>1694</v>
      </c>
      <c r="AZ320" s="0" t="s">
        <v>1695</v>
      </c>
      <c r="BA320" s="0" t="s">
        <v>285</v>
      </c>
      <c r="BB320" s="0" t="str">
        <f t="shared" si="4"/>
        <v>CCCRNenIsiuzo</v>
      </c>
    </row>
    <row r="321">
      <c r="AV321" s="0" t="s">
        <v>471</v>
      </c>
      <c r="AW321" s="0" t="s">
        <v>400</v>
      </c>
      <c r="AX321" s="0" t="s">
        <v>685</v>
      </c>
      <c r="AY321" s="0" t="s">
        <v>1696</v>
      </c>
      <c r="AZ321" s="0" t="s">
        <v>1697</v>
      </c>
      <c r="BA321" s="0" t="s">
        <v>285</v>
      </c>
      <c r="BB321" s="0" t="str">
        <f t="shared" si="4"/>
        <v>CCCRNenIsiuzo</v>
      </c>
    </row>
    <row r="322">
      <c r="AV322" s="0" t="s">
        <v>471</v>
      </c>
      <c r="AW322" s="0" t="s">
        <v>400</v>
      </c>
      <c r="AX322" s="0" t="s">
        <v>685</v>
      </c>
      <c r="AY322" s="0" t="s">
        <v>1698</v>
      </c>
      <c r="AZ322" s="0" t="s">
        <v>1699</v>
      </c>
      <c r="BA322" s="0" t="s">
        <v>285</v>
      </c>
      <c r="BB322" s="0" t="str">
        <f t="shared" si="4"/>
        <v>CCCRNenIsiuzo</v>
      </c>
    </row>
    <row r="323">
      <c r="AV323" s="0" t="s">
        <v>471</v>
      </c>
      <c r="AW323" s="0" t="s">
        <v>400</v>
      </c>
      <c r="AX323" s="0" t="s">
        <v>685</v>
      </c>
      <c r="AY323" s="0" t="s">
        <v>1700</v>
      </c>
      <c r="AZ323" s="0" t="s">
        <v>1701</v>
      </c>
      <c r="BA323" s="0" t="s">
        <v>285</v>
      </c>
      <c r="BB323" s="0" t="str">
        <f ref="BB323:BB386" t="shared" si="5">SUBSTITUTE(SUBSTITUTE(BA323&amp;AX323," ",""),"-","")</f>
        <v>CCCRNenIsiuzo</v>
      </c>
    </row>
    <row r="324">
      <c r="AV324" s="0" t="s">
        <v>471</v>
      </c>
      <c r="AW324" s="0" t="s">
        <v>400</v>
      </c>
      <c r="AX324" s="0" t="s">
        <v>720</v>
      </c>
      <c r="AY324" s="0" t="s">
        <v>1702</v>
      </c>
      <c r="AZ324" s="0" t="s">
        <v>1703</v>
      </c>
      <c r="BA324" s="0" t="s">
        <v>285</v>
      </c>
      <c r="BB324" s="0" t="str">
        <f t="shared" si="5"/>
        <v>CCCRNenNkanuEast</v>
      </c>
    </row>
    <row r="325">
      <c r="AV325" s="0" t="s">
        <v>471</v>
      </c>
      <c r="AW325" s="0" t="s">
        <v>400</v>
      </c>
      <c r="AX325" s="0" t="s">
        <v>753</v>
      </c>
      <c r="AY325" s="0" t="s">
        <v>1704</v>
      </c>
      <c r="AZ325" s="0" t="s">
        <v>1705</v>
      </c>
      <c r="BA325" s="0" t="s">
        <v>285</v>
      </c>
      <c r="BB325" s="0" t="str">
        <f t="shared" si="5"/>
        <v>CCCRNenNkanuWest</v>
      </c>
    </row>
    <row r="326">
      <c r="AV326" s="0" t="s">
        <v>471</v>
      </c>
      <c r="AW326" s="0" t="s">
        <v>400</v>
      </c>
      <c r="AX326" s="0" t="s">
        <v>753</v>
      </c>
      <c r="AY326" s="0" t="s">
        <v>1706</v>
      </c>
      <c r="AZ326" s="0" t="s">
        <v>1707</v>
      </c>
      <c r="BA326" s="0" t="s">
        <v>285</v>
      </c>
      <c r="BB326" s="0" t="str">
        <f t="shared" si="5"/>
        <v>CCCRNenNkanuWest</v>
      </c>
    </row>
    <row r="327">
      <c r="AV327" s="0" t="s">
        <v>471</v>
      </c>
      <c r="AW327" s="0" t="s">
        <v>400</v>
      </c>
      <c r="AX327" s="0" t="s">
        <v>753</v>
      </c>
      <c r="AY327" s="0" t="s">
        <v>1708</v>
      </c>
      <c r="AZ327" s="0" t="s">
        <v>1709</v>
      </c>
      <c r="BA327" s="0" t="s">
        <v>285</v>
      </c>
      <c r="BB327" s="0" t="str">
        <f t="shared" si="5"/>
        <v>CCCRNenNkanuWest</v>
      </c>
    </row>
    <row r="328">
      <c r="AV328" s="0" t="s">
        <v>471</v>
      </c>
      <c r="AW328" s="0" t="s">
        <v>400</v>
      </c>
      <c r="AX328" s="0" t="s">
        <v>785</v>
      </c>
      <c r="AY328" s="0" t="s">
        <v>1710</v>
      </c>
      <c r="AZ328" s="0" t="s">
        <v>1711</v>
      </c>
      <c r="BA328" s="0" t="s">
        <v>285</v>
      </c>
      <c r="BB328" s="0" t="str">
        <f t="shared" si="5"/>
        <v>CCCRNenNsukka</v>
      </c>
    </row>
    <row r="329">
      <c r="AV329" s="0" t="s">
        <v>471</v>
      </c>
      <c r="AW329" s="0" t="s">
        <v>400</v>
      </c>
      <c r="AX329" s="0" t="s">
        <v>785</v>
      </c>
      <c r="AY329" s="0" t="s">
        <v>1712</v>
      </c>
      <c r="AZ329" s="0" t="s">
        <v>1713</v>
      </c>
      <c r="BA329" s="0" t="s">
        <v>285</v>
      </c>
      <c r="BB329" s="0" t="str">
        <f t="shared" si="5"/>
        <v>CCCRNenNsukka</v>
      </c>
    </row>
    <row r="330">
      <c r="AV330" s="0" t="s">
        <v>471</v>
      </c>
      <c r="AW330" s="0" t="s">
        <v>400</v>
      </c>
      <c r="AX330" s="0" t="s">
        <v>785</v>
      </c>
      <c r="AY330" s="0" t="s">
        <v>1714</v>
      </c>
      <c r="AZ330" s="0" t="s">
        <v>1715</v>
      </c>
      <c r="BA330" s="0" t="s">
        <v>285</v>
      </c>
      <c r="BB330" s="0" t="str">
        <f t="shared" si="5"/>
        <v>CCCRNenNsukka</v>
      </c>
    </row>
    <row r="331">
      <c r="AV331" s="0" t="s">
        <v>471</v>
      </c>
      <c r="AW331" s="0" t="s">
        <v>400</v>
      </c>
      <c r="AX331" s="0" t="s">
        <v>785</v>
      </c>
      <c r="AY331" s="0" t="s">
        <v>1716</v>
      </c>
      <c r="AZ331" s="0" t="s">
        <v>1717</v>
      </c>
      <c r="BA331" s="0" t="s">
        <v>285</v>
      </c>
      <c r="BB331" s="0" t="str">
        <f t="shared" si="5"/>
        <v>CCCRNenNsukka</v>
      </c>
    </row>
    <row r="332">
      <c r="AV332" s="0" t="s">
        <v>471</v>
      </c>
      <c r="AW332" s="0" t="s">
        <v>400</v>
      </c>
      <c r="AX332" s="0" t="s">
        <v>785</v>
      </c>
      <c r="AY332" s="0" t="s">
        <v>1718</v>
      </c>
      <c r="AZ332" s="0" t="s">
        <v>1719</v>
      </c>
      <c r="BA332" s="0" t="s">
        <v>285</v>
      </c>
      <c r="BB332" s="0" t="str">
        <f t="shared" si="5"/>
        <v>CCCRNenNsukka</v>
      </c>
    </row>
    <row r="333">
      <c r="AV333" s="0" t="s">
        <v>471</v>
      </c>
      <c r="AW333" s="0" t="s">
        <v>400</v>
      </c>
      <c r="AX333" s="0" t="s">
        <v>785</v>
      </c>
      <c r="AY333" s="0" t="s">
        <v>1720</v>
      </c>
      <c r="AZ333" s="0" t="s">
        <v>1721</v>
      </c>
      <c r="BA333" s="0" t="s">
        <v>285</v>
      </c>
      <c r="BB333" s="0" t="str">
        <f t="shared" si="5"/>
        <v>CCCRNenNsukka</v>
      </c>
    </row>
    <row r="334">
      <c r="AV334" s="0" t="s">
        <v>471</v>
      </c>
      <c r="AW334" s="0" t="s">
        <v>400</v>
      </c>
      <c r="AX334" s="0" t="s">
        <v>785</v>
      </c>
      <c r="AY334" s="0" t="s">
        <v>1722</v>
      </c>
      <c r="AZ334" s="0" t="s">
        <v>1723</v>
      </c>
      <c r="BA334" s="0" t="s">
        <v>285</v>
      </c>
      <c r="BB334" s="0" t="str">
        <f t="shared" si="5"/>
        <v>CCCRNenNsukka</v>
      </c>
    </row>
    <row r="335">
      <c r="AV335" s="0" t="s">
        <v>471</v>
      </c>
      <c r="AW335" s="0" t="s">
        <v>400</v>
      </c>
      <c r="AX335" s="0" t="s">
        <v>785</v>
      </c>
      <c r="AY335" s="0" t="s">
        <v>1724</v>
      </c>
      <c r="AZ335" s="0" t="s">
        <v>1725</v>
      </c>
      <c r="BA335" s="0" t="s">
        <v>285</v>
      </c>
      <c r="BB335" s="0" t="str">
        <f t="shared" si="5"/>
        <v>CCCRNenNsukka</v>
      </c>
    </row>
    <row r="336">
      <c r="AV336" s="0" t="s">
        <v>471</v>
      </c>
      <c r="AW336" s="0" t="s">
        <v>400</v>
      </c>
      <c r="AX336" s="0" t="s">
        <v>785</v>
      </c>
      <c r="AY336" s="0" t="s">
        <v>1726</v>
      </c>
      <c r="AZ336" s="0" t="s">
        <v>1727</v>
      </c>
      <c r="BA336" s="0" t="s">
        <v>285</v>
      </c>
      <c r="BB336" s="0" t="str">
        <f t="shared" si="5"/>
        <v>CCCRNenNsukka</v>
      </c>
    </row>
    <row r="337">
      <c r="AV337" s="0" t="s">
        <v>471</v>
      </c>
      <c r="AW337" s="0" t="s">
        <v>400</v>
      </c>
      <c r="AX337" s="0" t="s">
        <v>785</v>
      </c>
      <c r="AY337" s="0" t="s">
        <v>1728</v>
      </c>
      <c r="AZ337" s="0" t="s">
        <v>1729</v>
      </c>
      <c r="BA337" s="0" t="s">
        <v>285</v>
      </c>
      <c r="BB337" s="0" t="str">
        <f t="shared" si="5"/>
        <v>CCCRNenNsukka</v>
      </c>
    </row>
    <row r="338">
      <c r="AV338" s="0" t="s">
        <v>471</v>
      </c>
      <c r="AW338" s="0" t="s">
        <v>400</v>
      </c>
      <c r="AX338" s="0" t="s">
        <v>815</v>
      </c>
      <c r="AY338" s="0" t="s">
        <v>1730</v>
      </c>
      <c r="AZ338" s="0" t="s">
        <v>1731</v>
      </c>
      <c r="BA338" s="0" t="s">
        <v>285</v>
      </c>
      <c r="BB338" s="0" t="str">
        <f t="shared" si="5"/>
        <v>CCCRNenUdenu</v>
      </c>
    </row>
    <row r="339">
      <c r="AV339" s="0" t="s">
        <v>471</v>
      </c>
      <c r="AW339" s="0" t="s">
        <v>400</v>
      </c>
      <c r="AX339" s="0" t="s">
        <v>815</v>
      </c>
      <c r="AY339" s="0" t="s">
        <v>1732</v>
      </c>
      <c r="AZ339" s="0" t="s">
        <v>1733</v>
      </c>
      <c r="BA339" s="0" t="s">
        <v>285</v>
      </c>
      <c r="BB339" s="0" t="str">
        <f t="shared" si="5"/>
        <v>CCCRNenUdenu</v>
      </c>
    </row>
    <row r="340">
      <c r="AV340" s="0" t="s">
        <v>471</v>
      </c>
      <c r="AW340" s="0" t="s">
        <v>400</v>
      </c>
      <c r="AX340" s="0" t="s">
        <v>815</v>
      </c>
      <c r="AY340" s="0" t="s">
        <v>1734</v>
      </c>
      <c r="AZ340" s="0" t="s">
        <v>1735</v>
      </c>
      <c r="BA340" s="0" t="s">
        <v>285</v>
      </c>
      <c r="BB340" s="0" t="str">
        <f t="shared" si="5"/>
        <v>CCCRNenUdenu</v>
      </c>
    </row>
    <row r="341">
      <c r="AV341" s="0" t="s">
        <v>471</v>
      </c>
      <c r="AW341" s="0" t="s">
        <v>400</v>
      </c>
      <c r="AX341" s="0" t="s">
        <v>815</v>
      </c>
      <c r="AY341" s="0" t="s">
        <v>1736</v>
      </c>
      <c r="AZ341" s="0" t="s">
        <v>1737</v>
      </c>
      <c r="BA341" s="0" t="s">
        <v>285</v>
      </c>
      <c r="BB341" s="0" t="str">
        <f t="shared" si="5"/>
        <v>CCCRNenUdenu</v>
      </c>
    </row>
    <row r="342">
      <c r="AV342" s="0" t="s">
        <v>471</v>
      </c>
      <c r="AW342" s="0" t="s">
        <v>400</v>
      </c>
      <c r="AX342" s="0" t="s">
        <v>815</v>
      </c>
      <c r="AY342" s="0" t="s">
        <v>1738</v>
      </c>
      <c r="AZ342" s="0" t="s">
        <v>1739</v>
      </c>
      <c r="BA342" s="0" t="s">
        <v>285</v>
      </c>
      <c r="BB342" s="0" t="str">
        <f t="shared" si="5"/>
        <v>CCCRNenUdenu</v>
      </c>
    </row>
    <row r="343">
      <c r="AV343" s="0" t="s">
        <v>471</v>
      </c>
      <c r="AW343" s="0" t="s">
        <v>400</v>
      </c>
      <c r="AX343" s="0" t="s">
        <v>815</v>
      </c>
      <c r="AY343" s="0" t="s">
        <v>1740</v>
      </c>
      <c r="AZ343" s="0" t="s">
        <v>1741</v>
      </c>
      <c r="BA343" s="0" t="s">
        <v>285</v>
      </c>
      <c r="BB343" s="0" t="str">
        <f t="shared" si="5"/>
        <v>CCCRNenUdenu</v>
      </c>
    </row>
    <row r="344">
      <c r="AV344" s="0" t="s">
        <v>471</v>
      </c>
      <c r="AW344" s="0" t="s">
        <v>400</v>
      </c>
      <c r="AX344" s="0" t="s">
        <v>815</v>
      </c>
      <c r="AY344" s="0" t="s">
        <v>1742</v>
      </c>
      <c r="AZ344" s="0" t="s">
        <v>1743</v>
      </c>
      <c r="BA344" s="0" t="s">
        <v>285</v>
      </c>
      <c r="BB344" s="0" t="str">
        <f t="shared" si="5"/>
        <v>CCCRNenUdenu</v>
      </c>
    </row>
    <row r="345">
      <c r="AV345" s="0" t="s">
        <v>471</v>
      </c>
      <c r="AW345" s="0" t="s">
        <v>400</v>
      </c>
      <c r="AX345" s="0" t="s">
        <v>815</v>
      </c>
      <c r="AY345" s="0" t="s">
        <v>1744</v>
      </c>
      <c r="AZ345" s="0" t="s">
        <v>1745</v>
      </c>
      <c r="BA345" s="0" t="s">
        <v>285</v>
      </c>
      <c r="BB345" s="0" t="str">
        <f t="shared" si="5"/>
        <v>CCCRNenUdenu</v>
      </c>
    </row>
    <row r="346">
      <c r="AV346" s="0" t="s">
        <v>471</v>
      </c>
      <c r="AW346" s="0" t="s">
        <v>400</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286</v>
      </c>
      <c r="AX893" s="0" t="s">
        <v>783</v>
      </c>
      <c r="AY893" s="0" t="s">
        <v>2839</v>
      </c>
      <c r="AZ893" s="0" t="s">
        <v>2840</v>
      </c>
      <c r="BA893" s="0" t="s">
        <v>634</v>
      </c>
      <c r="BB893" s="0" t="str">
        <f t="shared" si="13"/>
        <v>ECEWSebEzzaNorth</v>
      </c>
    </row>
    <row r="894">
      <c r="AV894" s="0" t="s">
        <v>471</v>
      </c>
      <c r="AW894" s="0" t="s">
        <v>286</v>
      </c>
      <c r="AX894" s="0" t="s">
        <v>813</v>
      </c>
      <c r="AY894" s="0" t="s">
        <v>2841</v>
      </c>
      <c r="AZ894" s="0" t="s">
        <v>2842</v>
      </c>
      <c r="BA894" s="0" t="s">
        <v>634</v>
      </c>
      <c r="BB894" s="0" t="str">
        <f t="shared" si="13"/>
        <v>ECEWSebEzzaSouth</v>
      </c>
    </row>
    <row r="895">
      <c r="AV895" s="0" t="s">
        <v>471</v>
      </c>
      <c r="AW895" s="0" t="s">
        <v>286</v>
      </c>
      <c r="AX895" s="0" t="s">
        <v>813</v>
      </c>
      <c r="AY895" s="0" t="s">
        <v>2843</v>
      </c>
      <c r="AZ895" s="0" t="s">
        <v>2844</v>
      </c>
      <c r="BA895" s="0" t="s">
        <v>634</v>
      </c>
      <c r="BB895" s="0" t="str">
        <f t="shared" si="13"/>
        <v>ECEWSebEzzaSouth</v>
      </c>
    </row>
    <row r="896">
      <c r="AV896" s="0" t="s">
        <v>471</v>
      </c>
      <c r="AW896" s="0" t="s">
        <v>286</v>
      </c>
      <c r="AX896" s="0" t="s">
        <v>813</v>
      </c>
      <c r="AY896" s="0" t="s">
        <v>2845</v>
      </c>
      <c r="AZ896" s="0" t="s">
        <v>2846</v>
      </c>
      <c r="BA896" s="0" t="s">
        <v>634</v>
      </c>
      <c r="BB896" s="0" t="str">
        <f t="shared" si="13"/>
        <v>ECEWSebEzzaSouth</v>
      </c>
    </row>
    <row r="897">
      <c r="AV897" s="0" t="s">
        <v>471</v>
      </c>
      <c r="AW897" s="0" t="s">
        <v>286</v>
      </c>
      <c r="AX897" s="0" t="s">
        <v>842</v>
      </c>
      <c r="AY897" s="0" t="s">
        <v>2847</v>
      </c>
      <c r="AZ897" s="0" t="s">
        <v>2848</v>
      </c>
      <c r="BA897" s="0" t="s">
        <v>634</v>
      </c>
      <c r="BB897" s="0" t="str">
        <f t="shared" si="13"/>
        <v>ECEWSebIkwo</v>
      </c>
    </row>
    <row r="898">
      <c r="AV898" s="0" t="s">
        <v>471</v>
      </c>
      <c r="AW898" s="0" t="s">
        <v>286</v>
      </c>
      <c r="AX898" s="0" t="s">
        <v>842</v>
      </c>
      <c r="AY898" s="0" t="s">
        <v>2849</v>
      </c>
      <c r="AZ898" s="0" t="s">
        <v>2850</v>
      </c>
      <c r="BA898" s="0" t="s">
        <v>634</v>
      </c>
      <c r="BB898" s="0" t="str">
        <f t="shared" si="13"/>
        <v>ECEWSebIkwo</v>
      </c>
    </row>
    <row r="899">
      <c r="AV899" s="0" t="s">
        <v>471</v>
      </c>
      <c r="AW899" s="0" t="s">
        <v>286</v>
      </c>
      <c r="AX899" s="0" t="s">
        <v>842</v>
      </c>
      <c r="AY899" s="0" t="s">
        <v>2851</v>
      </c>
      <c r="AZ899" s="0" t="s">
        <v>2852</v>
      </c>
      <c r="BA899" s="0" t="s">
        <v>634</v>
      </c>
      <c r="BB899" s="0" t="str">
        <f ref="BB899:BB962" t="shared" si="14">SUBSTITUTE(SUBSTITUTE(BA899&amp;AX899," ",""),"-","")</f>
        <v>ECEWSebIkwo</v>
      </c>
    </row>
    <row r="900">
      <c r="AV900" s="0" t="s">
        <v>471</v>
      </c>
      <c r="AW900" s="0" t="s">
        <v>286</v>
      </c>
      <c r="AX900" s="0" t="s">
        <v>870</v>
      </c>
      <c r="AY900" s="0" t="s">
        <v>2853</v>
      </c>
      <c r="AZ900" s="0" t="s">
        <v>2854</v>
      </c>
      <c r="BA900" s="0" t="s">
        <v>634</v>
      </c>
      <c r="BB900" s="0" t="str">
        <f t="shared" si="14"/>
        <v>ECEWSebIshielu</v>
      </c>
    </row>
    <row r="901">
      <c r="AV901" s="0" t="s">
        <v>471</v>
      </c>
      <c r="AW901" s="0" t="s">
        <v>286</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