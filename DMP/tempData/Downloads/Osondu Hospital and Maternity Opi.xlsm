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<sst xmlns="http://schemas.openxmlformats.org/spreadsheetml/2006/main" count="4056" uniqueCount="4056">
  <si>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</si>
  <si>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</si>
  <si>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</si>
  <si>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</si>
  <si>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</si>
  <si>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</si>
  <si>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</si>
  <si>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</si>
  <si>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</si>
  <si>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</si>
  <si>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</si>
  <si>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</si>
  <si>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</si>
  <si>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</si>
  <si>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</si>
  <si>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</si>
  <si>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</si>
  <si>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</si>
  <si>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</si>
  <si>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</si>
  <si>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</si>
  <si>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</si>
  <si>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</si>
  <si>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</si>
  <si>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</si>
  <si>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</si>
  <si>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</si>
  <si>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</si>
  <si>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</si>
  <si>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</si>
  <si>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</si>
  <si>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</si>
  <si>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</si>
  <si>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</si>
  <si>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</si>
  <si>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</si>
  <si>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</si>
  <si>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</si>
  <si>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</si>
  <si>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</si>
  <si>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</si>
  <si>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</si>
  <si>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</si>
  <si>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</si>
  <si>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</si>
  <si>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</si>
  <si>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</si>
  <si>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</si>
  <si>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</si>
  <si>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</si>
  <si>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</si>
  <si>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</si>
  <si>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</si>
  <si>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</si>
  <si>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</si>
  <si>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</si>
  <si>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</si>
  <si>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</si>
  <si>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</si>
  <si>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</si>
  <si>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</si>
  <si>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</si>
  <si>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</si>
  <si>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</si>
  <si>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</si>
  <si>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</si>
  <si>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</si>
  <si>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</si>
  <si>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</si>
  <si>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</si>
  <si>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</si>
  <si>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</si>
  <si>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</si>
  <si>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</si>
  <si>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</si>
  <si>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</si>
  <si>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</si>
  <si>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</si>
  <si>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</si>
  <si>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</si>
  <si>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</si>
  <si>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</si>
  <si>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</si>
  <si>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</si>
  <si>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</si>
  <si>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</si>
  <si>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</si>
  <si>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</si>
  <si>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</si>
  <si>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</si>
  <si>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</si>
  <si>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</si>
  <si>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</si>
  <si>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</si>
  <si>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</si>
  <si>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</si>
  <si>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</si>
  <si>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</si>
  <si>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</si>
  <si>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</si>
  <si>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</si>
  <si>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</si>
  <si>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</si>
  <si>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</si>
  <si>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</si>
  <si>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</si>
  <si>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</si>
  <si>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</si>
  <si>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</si>
  <si>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</si>
  <si>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</si>
  <si>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</si>
  <si>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</si>
  <si>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</si>
  <si>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</si>
  <si>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</si>
  <si>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</si>
  <si>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</si>
  <si>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</si>
  <si>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</si>
  <si>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</si>
  <si>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</si>
  <si>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</si>
  <si>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</si>
  <si>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</si>
  <si>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</si>
  <si>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</si>
  <si>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</si>
  <si>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</si>
  <si>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</si>
  <si>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</si>
  <si>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</si>
  <si>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</si>
  <si>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</si>
  <si>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</si>
  <si>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</si>
  <si>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</si>
  <si>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</si>
  <si>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</si>
  <si>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</si>
  <si>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</si>
  <si>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</si>
  <si>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</si>
  <si>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</si>
  <si>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</si>
  <si>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</si>
  <si>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</si>
  <si>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</si>
  <si>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</si>
  <si>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</si>
  <si>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</si>
  <si>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</si>
  <si>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</si>
  <si>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</si>
  <si>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</si>
  <si>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</si>
  <si>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</si>
  <si>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</si>
  <si>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</si>
  <si>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</si>
  <si>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</si>
  <si>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</si>
  <si>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</si>
  <si>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</si>
  <si>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</si>
  <si>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</si>
  <si>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</si>
  <si>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</si>
  <si>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</si>
  <si>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</si>
  <si>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</si>
  <si>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</si>
  <si>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</si>
  <si>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</si>
  <si>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</si>
  <si>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</si>
  <si>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</si>
  <si>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</si>
  <si>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</si>
  <si>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</si>
  <si>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</si>
  <si>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</si>
  <si>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</si>
  <si>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</si>
  <si>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</si>
  <si>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</si>
  <si>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</si>
  <si>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</si>
  <si>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</si>
  <si>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</si>
  <si>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</si>
  <si>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</si>
  <si>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</si>
  <si>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</si>
  <si>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</si>
  <si>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</si>
  <si>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</si>
  <si>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</si>
  <si>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</si>
  <si>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</si>
  <si>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</si>
  <si>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</si>
  <si>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</si>
  <si>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</si>
  <si>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</si>
  <si>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</si>
  <si>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</si>
  <si>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</si>
  <si>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</si>
  <si>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</si>
  <si>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</si>
  <si>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</si>
  <si>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</si>
  <si>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</si>
  <si>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</si>
  <si>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</si>
  <si>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</si>
  <si>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</si>
  <si>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</si>
  <si>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</si>
  <si>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</si>
  <si>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</si>
  <si>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</si>
  <si>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</si>
  <si>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</si>
  <si>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</si>
  <si>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</si>
  <si>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</si>
  <si>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</si>
  <si>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</si>
  <si>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</si>
  <si>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</si>
  <si>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</si>
  <si>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</si>
  <si>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</si>
  <si>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</si>
  <si>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</si>
  <si>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</si>
  <si>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</si>
  <si>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</si>
  <si>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</si>
  <si>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</si>
  <si>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</si>
  <si>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</si>
  <si>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</si>
  <si>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</si>
  <si>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</si>
  <si>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</si>
  <si>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</si>
  <si>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</si>
  <si>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</si>
  <si>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</si>
  <si>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</si>
  <si>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</si>
  <si>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</si>
  <si>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</si>
  <si>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</si>
  <si>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</si>
  <si>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</si>
  <si>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</si>
  <si>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</si>
  <si>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</si>
  <si>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</si>
  <si>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</si>
  <si>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</si>
  <si>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</si>
  <si>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</si>
  <si>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</si>
  <si>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</si>
  <si>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</si>
  <si>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</si>
  <si>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</si>
  <si>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</si>
  <si>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</si>
  <si>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</si>
  <si>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</si>
  <si>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</si>
  <si>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</si>
  <si>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</si>
  <si>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</si>
  <si>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</si>
  <si>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</si>
  <si>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</si>
  <si>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</si>
  <si>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</si>
  <si>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</si>
  <si>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</si>
  <si>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</si>
  <si>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</si>
  <si>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Osondu Hospital and Maternity Opi</t>
  </si>
  <si>
    <t>Reporting Period:</t>
  </si>
  <si>
    <t>Q1(Oct - Dec)</t>
  </si>
  <si>
    <t>Facility Code:</t>
  </si>
  <si>
    <t>DKqnAax9nm6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</si>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</sst>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17</v>
      </c>
      <c r="H8" s="156">
        <f>ROUND(SUM('All Questions'!D37,'All Questions'!D40)/2+'All Questions'!D26+H12,0)</f>
        <v>39</v>
      </c>
      <c r="I8" s="157">
        <f>ROUND((SUM('All Questions'!E11:E14)/4)+I12,0)</f>
        <v>0</v>
      </c>
      <c r="J8" s="155">
        <f>ROUND(SUM('All Questions'!E15:E21)/7+J12,0)</f>
        <v>0</v>
      </c>
      <c r="K8" s="155">
        <f>ROUND(SUM('All Questions'!E23:E30)/4+K12,0)</f>
        <v>13</v>
      </c>
      <c r="L8" s="155">
        <f>ROUND(SUM('All Questions'!E31:E35)/5+L12,0)</f>
        <v>16</v>
      </c>
      <c r="M8" s="156">
        <f>ROUND(('All Questions'!E37+'All Questions'!E40)/2+'All Questions'!E26+M12,0)</f>
        <v>28</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0</v>
      </c>
      <c r="T8" s="142" t="e">
        <f>(AVERAGE(F8:H8)+AVERAGE(K8:M8)+AVERAGE(P8:R8))/S8</f>
        <v>#DIV/0!</v>
      </c>
      <c r="V8" s="309">
        <f>AVERAGE(F8:H8)+AVERAGE(K8:M8)+AVERAGE(P8:R8)</f>
        <v>41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v>
      </c>
      <c r="G10" s="159">
        <f>ROUND(SUM('All Questions'!D31:D35)/5,0)</f>
        <v>13</v>
      </c>
      <c r="H10" s="162">
        <f>ROUND(('All Questions'!D37+'All Questions'!D40)/2+'All Questions'!D26,0)</f>
        <v>32</v>
      </c>
      <c r="I10" s="163">
        <f>ROUND((SUM('All Questions'!E11:E14)/4),0)</f>
        <v>0</v>
      </c>
      <c r="J10" s="164">
        <f>ROUND(SUM('All Questions'!E15:E21)/7,0)</f>
        <v>0</v>
      </c>
      <c r="K10" s="164">
        <f>ROUND(SUM('All Questions'!E23:E30)/4,0)</f>
        <v>10</v>
      </c>
      <c r="L10" s="164">
        <f>ROUND(SUM('All Questions'!E31:E35)/5,0)</f>
        <v>12</v>
      </c>
      <c r="M10" s="165">
        <f>ROUND(('All Questions'!E37+'All Questions'!E40)/2+'All Questions'!E26,0)</f>
        <v>20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31.666666666666668</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v>
      </c>
      <c r="G12" s="173">
        <f>ROUND(SUM('All Questions'!D73:D80)/4,0)</f>
        <v>4</v>
      </c>
      <c r="H12" s="174">
        <f>ROUND(SUM('All Questions'!D82:D83)/2,0)</f>
        <v>7</v>
      </c>
      <c r="I12" s="175">
        <f>ROUND(SUM('All Questions'!E54:E58)+'All Questions'!E71/4,0)</f>
        <v>0</v>
      </c>
      <c r="J12" s="176">
        <f>ROUND(SUM('All Questions'!E60:E63)/4,0)</f>
        <v>0</v>
      </c>
      <c r="K12" s="176">
        <f>ROUND(SUM('All Questions'!E67:E72)/3,0)</f>
        <v>3</v>
      </c>
      <c r="L12" s="176">
        <f>ROUND(SUM('All Questions'!E73:E80)/4,0)</f>
        <v>4</v>
      </c>
      <c r="M12" s="177">
        <f>ROUND(SUM('All Questions'!E82:E83)/2,0)</f>
        <v>8</v>
      </c>
      <c r="N12" s="178">
        <f>ROUND(SUM('All Questions'!F54:F58)+'All Questions'!F71/4,0)</f>
        <v>0</v>
      </c>
      <c r="O12" s="176">
        <f>ROUND(SUM('All Questions'!F60:F63)/4,0)</f>
        <v>0</v>
      </c>
      <c r="P12" s="176">
        <f>ROUND(SUM('All Questions'!F67:F72)/3,0)</f>
        <v>0</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9.3333333333333321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0</v>
      </c>
      <c r="G8" s="207" t="s">
        <v>67</v>
      </c>
    </row>
    <row r="9" hidden="1" ht="45" customHeight="1">
      <c r="A9" s="226"/>
      <c r="B9" s="238">
        <v>1112</v>
      </c>
      <c r="C9" s="242" t="s">
        <v>82</v>
      </c>
      <c r="D9" s="301">
        <v>1</v>
      </c>
      <c r="E9" s="301">
        <v>1</v>
      </c>
      <c r="F9" s="301">
        <v>0</v>
      </c>
      <c r="G9" s="207" t="s">
        <v>67</v>
      </c>
    </row>
    <row r="10" hidden="1" ht="45" customHeight="1">
      <c r="A10" s="226"/>
      <c r="B10" s="238">
        <v>1113</v>
      </c>
      <c r="C10" s="242" t="s">
        <v>83</v>
      </c>
      <c r="D10" s="301">
        <v>32</v>
      </c>
      <c r="E10" s="301">
        <v>20</v>
      </c>
      <c r="F10" s="301">
        <v>0</v>
      </c>
      <c r="G10" s="207" t="s">
        <v>67</v>
      </c>
    </row>
    <row r="11" hidden="1" ht="45" customHeight="1">
      <c r="A11" s="226"/>
      <c r="B11" s="238">
        <v>1114</v>
      </c>
      <c r="C11" s="243" t="s">
        <v>84</v>
      </c>
      <c r="D11" s="301">
        <v>32</v>
      </c>
      <c r="E11" s="301">
        <v>20</v>
      </c>
      <c r="F11" s="301">
        <v>0</v>
      </c>
      <c r="G11" s="207" t="s">
        <v>67</v>
      </c>
    </row>
    <row r="12" hidden="1" ht="45" customHeight="1">
      <c r="A12" s="226"/>
      <c r="B12" s="238">
        <v>1115</v>
      </c>
      <c r="C12" s="242" t="s">
        <v>85</v>
      </c>
      <c r="D12" s="301">
        <v>32</v>
      </c>
      <c r="E12" s="301">
        <v>20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28</v>
      </c>
      <c r="E25" s="301">
        <v>19</v>
      </c>
      <c r="F25" s="301">
        <v>0</v>
      </c>
      <c r="G25" s="207" t="s">
        <v>67</v>
      </c>
    </row>
    <row r="26" hidden="1" ht="45" customHeight="1">
      <c r="A26" s="226"/>
      <c r="B26" s="238">
        <v>1134</v>
      </c>
      <c r="C26" s="242" t="s">
        <v>99</v>
      </c>
      <c r="D26" s="301">
        <v>4</v>
      </c>
      <c r="E26" s="301">
        <v>1</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20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32</v>
      </c>
      <c r="E33" s="301">
        <v>20</v>
      </c>
      <c r="F33" s="301">
        <v>0</v>
      </c>
      <c r="G33" s="207" t="s">
        <v>67</v>
      </c>
    </row>
    <row r="34" hidden="1" ht="45" customHeight="1">
      <c r="A34" s="226"/>
      <c r="B34" s="238">
        <v>1144</v>
      </c>
      <c r="C34" s="242" t="s">
        <v>107</v>
      </c>
      <c r="D34" s="301">
        <v>0</v>
      </c>
      <c r="E34" s="301">
        <v>20</v>
      </c>
      <c r="F34" s="301">
        <v>0</v>
      </c>
      <c r="G34" s="207" t="s">
        <v>67</v>
      </c>
    </row>
    <row r="35" hidden="1" ht="45" customHeight="1">
      <c r="A35" s="226"/>
      <c r="B35" s="238">
        <v>1145</v>
      </c>
      <c r="C35" s="242" t="s">
        <v>108</v>
      </c>
      <c r="D35" s="301">
        <v>32</v>
      </c>
      <c r="E35" s="301">
        <v>20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28</v>
      </c>
      <c r="E37" s="301">
        <v>19</v>
      </c>
      <c r="F37" s="301">
        <v>0</v>
      </c>
      <c r="G37" s="207" t="s">
        <v>67</v>
      </c>
    </row>
    <row r="38" hidden="1" ht="45" customHeight="1">
      <c r="A38" s="226"/>
      <c r="B38" s="238">
        <v>1153</v>
      </c>
      <c r="C38" s="242" t="s">
        <v>111</v>
      </c>
      <c r="D38" s="301">
        <v>28</v>
      </c>
      <c r="E38" s="301">
        <v>19</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28</v>
      </c>
      <c r="E40" s="301">
        <v>19</v>
      </c>
      <c r="F40" s="301">
        <v>0</v>
      </c>
      <c r="G40" s="207" t="s">
        <v>67</v>
      </c>
    </row>
    <row r="41" hidden="1" ht="45" customHeight="1">
      <c r="A41" s="226"/>
      <c r="B41" s="238">
        <v>1156</v>
      </c>
      <c r="C41" s="242" t="s">
        <v>113</v>
      </c>
      <c r="D41" s="301">
        <v>28</v>
      </c>
      <c r="E41" s="301">
        <v>19</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0</v>
      </c>
      <c r="F43" s="301">
        <v>0</v>
      </c>
      <c r="G43" s="207" t="s">
        <v>67</v>
      </c>
    </row>
    <row r="44" hidden="1" ht="45" customHeight="1" s="250" customFormat="1">
      <c r="A44" s="226"/>
      <c r="B44" s="238">
        <v>1159</v>
      </c>
      <c r="C44" s="242" t="s">
        <v>116</v>
      </c>
      <c r="D44" s="301">
        <v>1</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0</v>
      </c>
      <c r="G51" s="207" t="s">
        <v>117</v>
      </c>
    </row>
    <row r="52" hidden="1" ht="45" customHeight="1">
      <c r="A52" s="263" t="s">
        <v>129</v>
      </c>
      <c r="B52" s="238">
        <v>1212</v>
      </c>
      <c r="C52" s="242" t="s">
        <v>130</v>
      </c>
      <c r="D52" s="301">
        <v>1</v>
      </c>
      <c r="E52" s="301">
        <v>1</v>
      </c>
      <c r="F52" s="301">
        <v>0</v>
      </c>
      <c r="G52" s="207" t="s">
        <v>117</v>
      </c>
    </row>
    <row r="53" hidden="1" ht="45" customHeight="1">
      <c r="A53" s="226"/>
      <c r="B53" s="238">
        <v>1213</v>
      </c>
      <c r="C53" s="242" t="s">
        <v>131</v>
      </c>
      <c r="D53" s="301">
        <v>7</v>
      </c>
      <c r="E53" s="301">
        <v>8</v>
      </c>
      <c r="F53" s="301">
        <v>0</v>
      </c>
      <c r="G53" s="207" t="s">
        <v>117</v>
      </c>
    </row>
    <row r="54" hidden="1" ht="45" customHeight="1">
      <c r="A54" s="226"/>
      <c r="B54" s="238">
        <v>1214</v>
      </c>
      <c r="C54" s="264" t="s">
        <v>132</v>
      </c>
      <c r="D54" s="301">
        <v>7</v>
      </c>
      <c r="E54" s="301">
        <v>8</v>
      </c>
      <c r="F54" s="301">
        <v>0</v>
      </c>
      <c r="G54" s="207" t="s">
        <v>117</v>
      </c>
    </row>
    <row r="55" hidden="1" ht="45" customHeight="1">
      <c r="A55" s="226"/>
      <c r="B55" s="238">
        <v>1215</v>
      </c>
      <c r="C55" s="242" t="s">
        <v>133</v>
      </c>
      <c r="D55" s="301">
        <v>7</v>
      </c>
      <c r="E55" s="301">
        <v>8</v>
      </c>
      <c r="F55" s="301">
        <v>0</v>
      </c>
      <c r="G55" s="207" t="s">
        <v>117</v>
      </c>
    </row>
    <row r="56" hidden="1" ht="45" customHeight="1">
      <c r="A56" s="226"/>
      <c r="B56" s="238">
        <v>1216</v>
      </c>
      <c r="C56" s="243" t="s">
        <v>134</v>
      </c>
      <c r="D56" s="301">
        <v>7</v>
      </c>
      <c r="E56" s="301">
        <v>8</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7</v>
      </c>
      <c r="E59" s="301">
        <v>8</v>
      </c>
      <c r="F59" s="301">
        <v>0</v>
      </c>
      <c r="G59" s="207" t="s">
        <v>117</v>
      </c>
    </row>
    <row r="60" hidden="1" ht="45" customHeight="1">
      <c r="A60" s="226"/>
      <c r="B60" s="238">
        <v>1222</v>
      </c>
      <c r="C60" s="264" t="s">
        <v>138</v>
      </c>
      <c r="D60" s="301">
        <v>7</v>
      </c>
      <c r="E60" s="301">
        <v>8</v>
      </c>
      <c r="F60" s="301">
        <v>0</v>
      </c>
      <c r="G60" s="207" t="s">
        <v>117</v>
      </c>
    </row>
    <row r="61" hidden="1" ht="45" customHeight="1">
      <c r="A61" s="226"/>
      <c r="B61" s="238">
        <v>1223</v>
      </c>
      <c r="C61" s="264" t="s">
        <v>139</v>
      </c>
      <c r="D61" s="301">
        <v>7</v>
      </c>
      <c r="E61" s="301">
        <v>8</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7</v>
      </c>
      <c r="E67" s="301">
        <v>8</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7</v>
      </c>
      <c r="E73" s="301">
        <v>8</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7</v>
      </c>
      <c r="E79" s="301">
        <v>8</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7</v>
      </c>
      <c r="E82" s="301">
        <v>8</v>
      </c>
      <c r="F82" s="301">
        <v>0</v>
      </c>
      <c r="G82" s="207" t="s">
        <v>117</v>
      </c>
    </row>
    <row r="83" hidden="1" ht="45" customHeight="1">
      <c r="A83" s="226"/>
      <c r="B83" s="238">
        <v>1253</v>
      </c>
      <c r="C83" s="242" t="s">
        <v>161</v>
      </c>
      <c r="D83" s="301">
        <v>7</v>
      </c>
      <c r="E83" s="301">
        <v>8</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1706</v>
      </c>
      <c r="AZ325" s="0" t="s">
        <v>1707</v>
      </c>
      <c r="BA325" s="0" t="s">
        <v>285</v>
      </c>
      <c r="BB325" s="0" t="str">
        <f t="shared" si="5"/>
        <v>CCCRNenNkanuWest</v>
      </c>
    </row>
    <row r="326">
      <c r="AV326" s="0" t="s">
        <v>471</v>
      </c>
      <c r="AW326" s="0" t="s">
        <v>286</v>
      </c>
      <c r="AX326" s="0" t="s">
        <v>753</v>
      </c>
      <c r="AY326" s="0" t="s">
        <v>1708</v>
      </c>
      <c r="AZ326" s="0" t="s">
        <v>1709</v>
      </c>
      <c r="BA326" s="0" t="s">
        <v>285</v>
      </c>
      <c r="BB326" s="0" t="str">
        <f t="shared" si="5"/>
        <v>CCCRNenNkanuWest</v>
      </c>
    </row>
    <row r="327">
      <c r="AV327" s="0" t="s">
        <v>471</v>
      </c>
      <c r="AW327" s="0" t="s">
        <v>286</v>
      </c>
      <c r="AX327" s="0" t="s">
        <v>753</v>
      </c>
      <c r="AY327" s="0" t="s">
        <v>1710</v>
      </c>
      <c r="AZ327" s="0" t="s">
        <v>1711</v>
      </c>
      <c r="BA327" s="0" t="s">
        <v>285</v>
      </c>
      <c r="BB327" s="0" t="str">
        <f t="shared" si="5"/>
        <v>CCCRNenNkanuWest</v>
      </c>
    </row>
    <row r="328">
      <c r="AV328" s="0" t="s">
        <v>471</v>
      </c>
      <c r="AW328" s="0" t="s">
        <v>286</v>
      </c>
      <c r="AX328" s="0" t="s">
        <v>785</v>
      </c>
      <c r="AY328" s="0" t="s">
        <v>1712</v>
      </c>
      <c r="AZ328" s="0" t="s">
        <v>1713</v>
      </c>
      <c r="BA328" s="0" t="s">
        <v>285</v>
      </c>
      <c r="BB328" s="0" t="str">
        <f t="shared" si="5"/>
        <v>CCCRNenNsukka</v>
      </c>
    </row>
    <row r="329">
      <c r="AV329" s="0" t="s">
        <v>471</v>
      </c>
      <c r="AW329" s="0" t="s">
        <v>286</v>
      </c>
      <c r="AX329" s="0" t="s">
        <v>785</v>
      </c>
      <c r="AY329" s="0" t="s">
        <v>1714</v>
      </c>
      <c r="AZ329" s="0" t="s">
        <v>1715</v>
      </c>
      <c r="BA329" s="0" t="s">
        <v>285</v>
      </c>
      <c r="BB329" s="0" t="str">
        <f t="shared" si="5"/>
        <v>CCCRNenNsukka</v>
      </c>
    </row>
    <row r="330">
      <c r="AV330" s="0" t="s">
        <v>471</v>
      </c>
      <c r="AW330" s="0" t="s">
        <v>286</v>
      </c>
      <c r="AX330" s="0" t="s">
        <v>785</v>
      </c>
      <c r="AY330" s="0" t="s">
        <v>1716</v>
      </c>
      <c r="AZ330" s="0" t="s">
        <v>1717</v>
      </c>
      <c r="BA330" s="0" t="s">
        <v>285</v>
      </c>
      <c r="BB330" s="0" t="str">
        <f t="shared" si="5"/>
        <v>CCCRNenNsukka</v>
      </c>
    </row>
    <row r="331">
      <c r="AV331" s="0" t="s">
        <v>471</v>
      </c>
      <c r="AW331" s="0" t="s">
        <v>286</v>
      </c>
      <c r="AX331" s="0" t="s">
        <v>785</v>
      </c>
      <c r="AY331" s="0" t="s">
        <v>1718</v>
      </c>
      <c r="AZ331" s="0" t="s">
        <v>1719</v>
      </c>
      <c r="BA331" s="0" t="s">
        <v>285</v>
      </c>
      <c r="BB331" s="0" t="str">
        <f t="shared" si="5"/>
        <v>CCCRNenNsukka</v>
      </c>
    </row>
    <row r="332">
      <c r="AV332" s="0" t="s">
        <v>471</v>
      </c>
      <c r="AW332" s="0" t="s">
        <v>286</v>
      </c>
      <c r="AX332" s="0" t="s">
        <v>785</v>
      </c>
      <c r="AY332" s="0" t="s">
        <v>1720</v>
      </c>
      <c r="AZ332" s="0" t="s">
        <v>1721</v>
      </c>
      <c r="BA332" s="0" t="s">
        <v>285</v>
      </c>
      <c r="BB332" s="0" t="str">
        <f t="shared" si="5"/>
        <v>CCCRNenNsukka</v>
      </c>
    </row>
    <row r="333">
      <c r="AV333" s="0" t="s">
        <v>471</v>
      </c>
      <c r="AW333" s="0" t="s">
        <v>286</v>
      </c>
      <c r="AX333" s="0" t="s">
        <v>785</v>
      </c>
      <c r="AY333" s="0" t="s">
        <v>1722</v>
      </c>
      <c r="AZ333" s="0" t="s">
        <v>1723</v>
      </c>
      <c r="BA333" s="0" t="s">
        <v>285</v>
      </c>
      <c r="BB333" s="0" t="str">
        <f t="shared" si="5"/>
        <v>CCCRNenNsukka</v>
      </c>
    </row>
    <row r="334">
      <c r="AV334" s="0" t="s">
        <v>471</v>
      </c>
      <c r="AW334" s="0" t="s">
        <v>286</v>
      </c>
      <c r="AX334" s="0" t="s">
        <v>785</v>
      </c>
      <c r="AY334" s="0" t="s">
        <v>1724</v>
      </c>
      <c r="AZ334" s="0" t="s">
        <v>1725</v>
      </c>
      <c r="BA334" s="0" t="s">
        <v>285</v>
      </c>
      <c r="BB334" s="0" t="str">
        <f t="shared" si="5"/>
        <v>CCCRNenNsukka</v>
      </c>
    </row>
    <row r="335">
      <c r="AV335" s="0" t="s">
        <v>471</v>
      </c>
      <c r="AW335" s="0" t="s">
        <v>286</v>
      </c>
      <c r="AX335" s="0" t="s">
        <v>785</v>
      </c>
      <c r="AY335" s="0" t="s">
        <v>1726</v>
      </c>
      <c r="AZ335" s="0" t="s">
        <v>1727</v>
      </c>
      <c r="BA335" s="0" t="s">
        <v>285</v>
      </c>
      <c r="BB335" s="0" t="str">
        <f t="shared" si="5"/>
        <v>CCCRNenNsukka</v>
      </c>
    </row>
    <row r="336">
      <c r="AV336" s="0" t="s">
        <v>471</v>
      </c>
      <c r="AW336" s="0" t="s">
        <v>286</v>
      </c>
      <c r="AX336" s="0" t="s">
        <v>785</v>
      </c>
      <c r="AY336" s="0" t="s">
        <v>289</v>
      </c>
      <c r="AZ336" s="0" t="s">
        <v>293</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