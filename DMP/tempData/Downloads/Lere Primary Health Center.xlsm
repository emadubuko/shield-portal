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<sst xmlns="http://schemas.openxmlformats.org/spreadsheetml/2006/main" count="4057" uniqueCount="4057">
  <si>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</si>
  <si>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</si>
  <si>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</si>
  <si>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</si>
  <si>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</si>
  <si>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</si>
  <si>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</si>
  <si>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</si>
  <si>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</si>
  <si>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</si>
  <si>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</si>
  <si>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</si>
  <si>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</si>
  <si>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</si>
  <si>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</si>
  <si>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</si>
  <si>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</si>
  <si>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</si>
  <si>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</si>
  <si>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</si>
  <si>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</si>
  <si>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</si>
  <si>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</si>
  <si>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</si>
  <si>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</si>
  <si>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</si>
  <si>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</si>
  <si>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</si>
  <si>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</si>
  <si>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</si>
  <si>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</si>
  <si>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</si>
  <si>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</si>
  <si>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</si>
  <si>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</si>
  <si>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</si>
  <si>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</si>
  <si>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</si>
  <si>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</si>
  <si>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</si>
  <si>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</si>
  <si>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</si>
  <si>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</si>
  <si>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</si>
  <si>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</si>
  <si>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</si>
  <si>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</si>
  <si>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</si>
  <si>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</si>
  <si>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</si>
  <si>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</si>
  <si>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</si>
  <si>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</si>
  <si>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</si>
  <si>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</si>
  <si>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</si>
  <si>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</si>
  <si>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</si>
  <si>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</si>
  <si>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</si>
  <si>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</si>
  <si>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</si>
  <si>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</si>
  <si>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</si>
  <si>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</si>
  <si>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</si>
  <si>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</si>
  <si>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</si>
  <si>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</si>
  <si>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</si>
  <si>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</si>
  <si>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</si>
  <si>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</si>
  <si>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</si>
  <si>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</si>
  <si>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</si>
  <si>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</si>
  <si>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</si>
  <si>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</si>
  <si>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</si>
  <si>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</si>
  <si>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</si>
  <si>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</si>
  <si>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</si>
  <si>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</si>
  <si>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</si>
  <si>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</si>
  <si>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</si>
  <si>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</si>
  <si>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</si>
  <si>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</si>
  <si>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</si>
  <si>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</si>
  <si>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</si>
  <si>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</si>
  <si>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</si>
  <si>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</si>
  <si>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</si>
  <si>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</si>
  <si>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</si>
  <si>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</si>
  <si>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</si>
  <si>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</si>
  <si>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</si>
  <si>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</si>
  <si>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</si>
  <si>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</si>
  <si>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</si>
  <si>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</si>
  <si>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</si>
  <si>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</si>
  <si>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</si>
  <si>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</si>
  <si>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</si>
  <si>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</si>
  <si>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</si>
  <si>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</si>
  <si>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</si>
  <si>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</si>
  <si>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</si>
  <si>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</si>
  <si>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</si>
  <si>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</si>
  <si>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</si>
  <si>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</si>
  <si>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</si>
  <si>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</si>
  <si>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</si>
  <si>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</si>
  <si>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</si>
  <si>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</si>
  <si>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</si>
  <si>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</si>
  <si>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</si>
  <si>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</si>
  <si>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</si>
  <si>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</si>
  <si>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</si>
  <si>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</si>
  <si>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</si>
  <si>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</si>
  <si>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</si>
  <si>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</si>
  <si>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</si>
  <si>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</si>
  <si>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</si>
  <si>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</si>
  <si>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</si>
  <si>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</si>
  <si>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</si>
  <si>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</si>
  <si>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</si>
  <si>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</si>
  <si>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</si>
  <si>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</si>
  <si>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</si>
  <si>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</si>
  <si>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</si>
  <si>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</si>
  <si>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</si>
  <si>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</si>
  <si>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</si>
  <si>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</si>
  <si>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</si>
  <si>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</si>
  <si>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</si>
  <si>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</si>
  <si>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</si>
  <si>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</si>
  <si>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</si>
  <si>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</si>
  <si>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</si>
  <si>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</si>
  <si>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</si>
  <si>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</si>
  <si>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</si>
  <si>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</si>
  <si>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</si>
  <si>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</si>
  <si>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</si>
  <si>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</si>
  <si>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</si>
  <si>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</si>
  <si>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</si>
  <si>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</si>
  <si>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</si>
  <si>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</si>
  <si>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</si>
  <si>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</si>
  <si>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</si>
  <si>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</si>
  <si>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</si>
  <si>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</si>
  <si>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</si>
  <si>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</si>
  <si>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</si>
  <si>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</si>
  <si>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</si>
  <si>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</si>
  <si>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</si>
  <si>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</si>
  <si>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</si>
  <si>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</si>
  <si>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</si>
  <si>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</si>
  <si>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</si>
  <si>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</si>
  <si>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</si>
  <si>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</si>
  <si>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</si>
  <si>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</si>
  <si>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</si>
  <si>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</si>
  <si>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</si>
  <si>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</si>
  <si>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</si>
  <si>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</si>
  <si>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</si>
  <si>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</si>
  <si>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</si>
  <si>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</si>
  <si>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</si>
  <si>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</si>
  <si>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</si>
  <si>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</si>
  <si>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</si>
  <si>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</si>
  <si>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</si>
  <si>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</si>
  <si>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</si>
  <si>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</si>
  <si>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</si>
  <si>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</si>
  <si>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</si>
  <si>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</si>
  <si>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</si>
  <si>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</si>
  <si>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</si>
  <si>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</si>
  <si>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</si>
  <si>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</si>
  <si>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</si>
  <si>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</si>
  <si>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</si>
  <si>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</si>
  <si>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</si>
  <si>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</si>
  <si>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</si>
  <si>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</si>
  <si>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</si>
  <si>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</si>
  <si>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</si>
  <si>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</si>
  <si>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</si>
  <si>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</si>
  <si>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</si>
  <si>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</si>
  <si>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</si>
  <si>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</si>
  <si>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</si>
  <si>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</si>
  <si>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</si>
  <si>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</si>
  <si>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</si>
  <si>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</si>
  <si>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</si>
  <si>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</si>
  <si>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</si>
  <si>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</si>
  <si>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</si>
  <si>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</si>
  <si>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</si>
  <si>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</si>
  <si>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</si>
  <si>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</si>
  <si>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</si>
  <si>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</si>
  <si>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</si>
  <si>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</si>
  <si>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</si>
  <si>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</si>
  <si>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</si>
  <si>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</si>
  <si>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</si>
  <si>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</si>
  <si>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</si>
  <si>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</si>
  <si>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Lere</t>
  </si>
  <si>
    <t>Facility Name:</t>
  </si>
  <si>
    <t>Lere Primary Health Center</t>
  </si>
  <si>
    <t>Reporting Period:</t>
  </si>
  <si>
    <t>Q1(Oct - Dec)</t>
  </si>
  <si>
    <t>Facility Code:</t>
  </si>
  <si>
    <t>Eq0SMoSZuRc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</si>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</sst>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95</v>
      </c>
      <c r="G8" s="155">
        <f>ROUND(SUM('All Questions'!D31:D35)/5+G12,0)</f>
        <v>123</v>
      </c>
      <c r="H8" s="156">
        <f>ROUND(SUM('All Questions'!D37,'All Questions'!D40)/2+'All Questions'!D26+H12,0)</f>
        <v>143</v>
      </c>
      <c r="I8" s="157">
        <f>ROUND((SUM('All Questions'!E11:E14)/4)+I12,0)</f>
        <v>0</v>
      </c>
      <c r="J8" s="155">
        <f>ROUND(SUM('All Questions'!E15:E21)/7+J12,0)</f>
        <v>0</v>
      </c>
      <c r="K8" s="155">
        <f>ROUND(SUM('All Questions'!E23:E30)/4+K12,0)</f>
        <v>131</v>
      </c>
      <c r="L8" s="155">
        <f>ROUND(SUM('All Questions'!E31:E35)/5+L12,0)</f>
        <v>163</v>
      </c>
      <c r="M8" s="156">
        <f>ROUND(('All Questions'!E37+'All Questions'!E40)/2+'All Questions'!E26+M12,0)</f>
        <v>196</v>
      </c>
      <c r="N8" s="157">
        <f>ROUND((SUM('All Questions'!F11:F14)/4)+N12,0)</f>
        <v>0</v>
      </c>
      <c r="O8" s="155">
        <f>ROUND(SUM('All Questions'!F15:F21)/7+O12,0)</f>
        <v>0</v>
      </c>
      <c r="P8" s="155">
        <f>ROUND(SUM('All Questions'!F23:F30)/4+P12,0)</f>
        <v>80</v>
      </c>
      <c r="Q8" s="155">
        <f>ROUND(SUM('All Questions'!F31:F35)/5+Q12,0)</f>
        <v>120</v>
      </c>
      <c r="R8" s="156">
        <f>ROUND(('All Questions'!F37+'All Questions'!F40)/2+'All Questions'!F26+R12,0)</f>
        <v>172</v>
      </c>
      <c r="S8" s="141">
        <f>'All Questions'!F2</f>
        <v>0</v>
      </c>
      <c r="T8" s="142" t="e">
        <f>(AVERAGE(F8:H8)+AVERAGE(K8:M8)+AVERAGE(P8:R8))/S8</f>
        <v>#DIV/0!</v>
      </c>
      <c r="V8" s="309">
        <f>AVERAGE(F8:H8)+AVERAGE(K8:M8)+AVERAGE(P8:R8)</f>
        <v>407.66666666666669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20</v>
      </c>
      <c r="Q10" s="164">
        <f>ROUND(SUM('All Questions'!F31:F35)/5,0)</f>
        <v>33</v>
      </c>
      <c r="R10" s="165">
        <f>ROUND(('All Questions'!F37+'All Questions'!F40)/2+'All Questions'!F26,0)</f>
        <v>82</v>
      </c>
      <c r="S10" s="141">
        <f>'All Questions'!F4</f>
        <v>0</v>
      </c>
      <c r="T10" s="143" t="e">
        <f>(AVERAGE(F10:H10)+AVERAGE(K10:M10)+AVERAGE(P10:R10))/S10</f>
        <v>#DIV/0!</v>
      </c>
      <c r="V10" s="309">
        <f>AVERAGE(F10:H10)+AVERAGE(K10:M10)+AVERAGE(P10:R10)</f>
        <v>45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95</v>
      </c>
      <c r="G12" s="173">
        <f>ROUND(SUM('All Questions'!D73:D80)/4,0)</f>
        <v>123</v>
      </c>
      <c r="H12" s="174">
        <f>ROUND(SUM('All Questions'!D82:D83)/2,0)</f>
        <v>143</v>
      </c>
      <c r="I12" s="175">
        <f>ROUND(SUM('All Questions'!E54:E58)+'All Questions'!E71/4,0)</f>
        <v>0</v>
      </c>
      <c r="J12" s="176">
        <f>ROUND(SUM('All Questions'!E60:E63)/4,0)</f>
        <v>0</v>
      </c>
      <c r="K12" s="176">
        <f>ROUND(SUM('All Questions'!E67:E72)/3,0)</f>
        <v>131</v>
      </c>
      <c r="L12" s="176">
        <f>ROUND(SUM('All Questions'!E73:E80)/4,0)</f>
        <v>163</v>
      </c>
      <c r="M12" s="177">
        <f>ROUND(SUM('All Questions'!E82:E83)/2,0)</f>
        <v>196</v>
      </c>
      <c r="N12" s="178">
        <f>ROUND(SUM('All Questions'!F54:F58)+'All Questions'!F71/4,0)</f>
        <v>0</v>
      </c>
      <c r="O12" s="176">
        <f>ROUND(SUM('All Questions'!F60:F63)/4,0)</f>
        <v>0</v>
      </c>
      <c r="P12" s="176">
        <f>ROUND(SUM('All Questions'!F67:F72)/3,0)</f>
        <v>60</v>
      </c>
      <c r="Q12" s="176">
        <f>ROUND(SUM('All Questions'!F73:F80)/4,0)</f>
        <v>87</v>
      </c>
      <c r="R12" s="177">
        <f>ROUND(SUM('All Questions'!F82:F83)/2,0)</f>
        <v>90</v>
      </c>
      <c r="S12" s="145">
        <f>'All Questions'!F46</f>
        <v>0</v>
      </c>
      <c r="T12" s="146" t="e">
        <f ref="T12:T15" t="shared" si="1">(AVERAGE(F12:H12)+AVERAGE(K12:M12)+AVERAGE(P12:R12))/S12</f>
        <v>#DIV/0!</v>
      </c>
      <c r="V12" s="309">
        <f>AVERAGE(F12:H12)+AVERAGE(K12:M12)+AVERAGE(P12:R12)</f>
        <v>362.66666666666669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36</v>
      </c>
      <c r="H14" s="180">
        <f>ROUND(SUM('All Questions'!D88:D89)/2,0)</f>
        <v>0</v>
      </c>
      <c r="I14" s="187">
        <f>ROUND('All Questions'!E57,0)</f>
        <v>0</v>
      </c>
      <c r="J14" s="183">
        <f>ROUND('All Questions'!E64,0)</f>
        <v>0</v>
      </c>
      <c r="K14" s="183">
        <f>ROUND(SUM('All Questions'!E69:E70),0)</f>
        <v>0</v>
      </c>
      <c r="L14" s="183">
        <f>ROUND(SUM('All Questions'!E74,'All Questions'!E76,'All Questions'!E78,'All Questions'!E80)/4,0)</f>
        <v>49</v>
      </c>
      <c r="M14" s="184">
        <f>ROUND(SUM('All Questions'!E88:E89)/2,0)</f>
        <v>0</v>
      </c>
      <c r="N14" s="188">
        <f>ROUND('All Questions'!F57,0)</f>
        <v>0</v>
      </c>
      <c r="O14" s="183">
        <f>ROUND('All Questions'!F64,0)</f>
        <v>0</v>
      </c>
      <c r="P14" s="183">
        <f>ROUND(SUM('All Questions'!F69:F70),0)</f>
        <v>0</v>
      </c>
      <c r="Q14" s="183">
        <f>ROUND(SUM('All Questions'!F74,'All Questions'!F76,'All Questions'!F78,'All Questions'!F80)/4,0)</f>
        <v>22</v>
      </c>
      <c r="R14" s="184">
        <f>ROUND(SUM('All Questions'!F88:F89)/2,0)</f>
        <v>0</v>
      </c>
      <c r="S14" s="145">
        <f>'All Questions'!F48</f>
        <v>0</v>
      </c>
      <c r="T14" s="147" t="e">
        <f>(AVERAGE(F14:H14)+AVERAGE(K14:M14)+AVERAGE(P14:R14))/S14</f>
        <v>#DIV/0!</v>
      </c>
      <c r="V14" s="309">
        <f>AVERAGE(F14:H14)+AVERAGE(K14:M14)+AVERAGE(P14:R14)</f>
        <v>35.666666666666664</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91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82</v>
      </c>
      <c r="G10" s="207" t="s">
        <v>67</v>
      </c>
    </row>
    <row r="11" hidden="1" ht="45" customHeight="1">
      <c r="A11" s="226"/>
      <c r="B11" s="238">
        <v>1114</v>
      </c>
      <c r="C11" s="243" t="s">
        <v>84</v>
      </c>
      <c r="D11" s="301">
        <v>0</v>
      </c>
      <c r="E11" s="301">
        <v>0</v>
      </c>
      <c r="F11" s="301">
        <v>82</v>
      </c>
      <c r="G11" s="207" t="s">
        <v>67</v>
      </c>
    </row>
    <row r="12" hidden="1" ht="45" customHeight="1">
      <c r="A12" s="226"/>
      <c r="B12" s="238">
        <v>1115</v>
      </c>
      <c r="C12" s="242" t="s">
        <v>85</v>
      </c>
      <c r="D12" s="301">
        <v>0</v>
      </c>
      <c r="E12" s="301">
        <v>0</v>
      </c>
      <c r="F12" s="301">
        <v>82</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58</v>
      </c>
      <c r="G25" s="207" t="s">
        <v>67</v>
      </c>
    </row>
    <row r="26" hidden="1" ht="45" customHeight="1">
      <c r="A26" s="226"/>
      <c r="B26" s="238">
        <v>1134</v>
      </c>
      <c r="C26" s="242" t="s">
        <v>99</v>
      </c>
      <c r="D26" s="301">
        <v>0</v>
      </c>
      <c r="E26" s="301">
        <v>0</v>
      </c>
      <c r="F26" s="301">
        <v>24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82</v>
      </c>
      <c r="G33" s="207" t="s">
        <v>67</v>
      </c>
    </row>
    <row r="34" hidden="1" ht="45" customHeight="1">
      <c r="A34" s="226"/>
      <c r="B34" s="238">
        <v>1144</v>
      </c>
      <c r="C34" s="242" t="s">
        <v>107</v>
      </c>
      <c r="D34" s="301">
        <v>0</v>
      </c>
      <c r="E34" s="301">
        <v>0</v>
      </c>
      <c r="F34" s="301">
        <v>82</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58</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58</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1</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347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63</v>
      </c>
      <c r="E53" s="301">
        <v>65</v>
      </c>
      <c r="F53" s="301">
        <v>79</v>
      </c>
      <c r="G53" s="207" t="s">
        <v>117</v>
      </c>
    </row>
    <row r="54" hidden="1" ht="45" customHeight="1">
      <c r="A54" s="226"/>
      <c r="B54" s="238">
        <v>1214</v>
      </c>
      <c r="C54" s="264" t="s">
        <v>132</v>
      </c>
      <c r="D54" s="301">
        <v>63</v>
      </c>
      <c r="E54" s="301">
        <v>65</v>
      </c>
      <c r="F54" s="301">
        <v>79</v>
      </c>
      <c r="G54" s="207" t="s">
        <v>117</v>
      </c>
    </row>
    <row r="55" hidden="1" ht="45" customHeight="1">
      <c r="A55" s="226"/>
      <c r="B55" s="238">
        <v>1215</v>
      </c>
      <c r="C55" s="242" t="s">
        <v>133</v>
      </c>
      <c r="D55" s="301">
        <v>143</v>
      </c>
      <c r="E55" s="301">
        <v>196</v>
      </c>
      <c r="F55" s="301">
        <v>90</v>
      </c>
      <c r="G55" s="207" t="s">
        <v>117</v>
      </c>
    </row>
    <row r="56" hidden="1" ht="45" customHeight="1">
      <c r="A56" s="226"/>
      <c r="B56" s="238">
        <v>1216</v>
      </c>
      <c r="C56" s="243" t="s">
        <v>134</v>
      </c>
      <c r="D56" s="301">
        <v>50</v>
      </c>
      <c r="E56" s="301">
        <v>62</v>
      </c>
      <c r="F56" s="301">
        <v>63</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63</v>
      </c>
      <c r="E59" s="301">
        <v>65</v>
      </c>
      <c r="F59" s="301">
        <v>79</v>
      </c>
      <c r="G59" s="207" t="s">
        <v>117</v>
      </c>
    </row>
    <row r="60" hidden="1" ht="45" customHeight="1">
      <c r="A60" s="226"/>
      <c r="B60" s="238">
        <v>1222</v>
      </c>
      <c r="C60" s="264" t="s">
        <v>138</v>
      </c>
      <c r="D60" s="301">
        <v>50</v>
      </c>
      <c r="E60" s="301">
        <v>62</v>
      </c>
      <c r="F60" s="301">
        <v>63</v>
      </c>
      <c r="G60" s="207" t="s">
        <v>117</v>
      </c>
    </row>
    <row r="61" hidden="1" ht="45" customHeight="1">
      <c r="A61" s="226"/>
      <c r="B61" s="238">
        <v>1223</v>
      </c>
      <c r="C61" s="264" t="s">
        <v>139</v>
      </c>
      <c r="D61" s="301">
        <v>50</v>
      </c>
      <c r="E61" s="301">
        <v>62</v>
      </c>
      <c r="F61" s="301">
        <v>63</v>
      </c>
      <c r="G61" s="207" t="s">
        <v>117</v>
      </c>
    </row>
    <row r="62" hidden="1" ht="54.65" customHeight="1">
      <c r="A62" s="226"/>
      <c r="B62" s="238">
        <v>1224</v>
      </c>
      <c r="C62" s="264" t="s">
        <v>140</v>
      </c>
      <c r="D62" s="301">
        <v>50</v>
      </c>
      <c r="E62" s="301">
        <v>62</v>
      </c>
      <c r="F62" s="301">
        <v>63</v>
      </c>
      <c r="G62" s="207" t="s">
        <v>117</v>
      </c>
    </row>
    <row r="63" hidden="1" ht="66.65" customHeight="1">
      <c r="A63" s="226"/>
      <c r="B63" s="238">
        <v>1225</v>
      </c>
      <c r="C63" s="264" t="s">
        <v>141</v>
      </c>
      <c r="D63" s="301">
        <v>50</v>
      </c>
      <c r="E63" s="301">
        <v>62</v>
      </c>
      <c r="F63" s="301">
        <v>63</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143</v>
      </c>
      <c r="E67" s="301">
        <v>196</v>
      </c>
      <c r="F67" s="301">
        <v>90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143</v>
      </c>
      <c r="E71" s="301">
        <v>196</v>
      </c>
      <c r="F71" s="301">
        <v>90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63</v>
      </c>
      <c r="E73" s="301">
        <v>65</v>
      </c>
      <c r="F73" s="301">
        <v>79</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143</v>
      </c>
      <c r="E75" s="301">
        <v>196</v>
      </c>
      <c r="F75" s="301">
        <v>90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143</v>
      </c>
      <c r="E78" s="301">
        <v>196</v>
      </c>
      <c r="F78" s="301">
        <v>90</v>
      </c>
      <c r="G78" s="207" t="s">
        <v>117</v>
      </c>
    </row>
    <row r="79" hidden="1" ht="45" customHeight="1">
      <c r="A79" s="226"/>
      <c r="B79" s="238">
        <v>1247</v>
      </c>
      <c r="C79" s="242" t="s">
        <v>157</v>
      </c>
      <c r="D79" s="301">
        <v>143</v>
      </c>
      <c r="E79" s="301">
        <v>196</v>
      </c>
      <c r="F79" s="301">
        <v>90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143</v>
      </c>
      <c r="E82" s="301">
        <v>196</v>
      </c>
      <c r="F82" s="301">
        <v>90</v>
      </c>
      <c r="G82" s="207" t="s">
        <v>117</v>
      </c>
    </row>
    <row r="83" hidden="1" ht="45" customHeight="1">
      <c r="A83" s="226"/>
      <c r="B83" s="238">
        <v>1253</v>
      </c>
      <c r="C83" s="242" t="s">
        <v>161</v>
      </c>
      <c r="D83" s="301">
        <v>143</v>
      </c>
      <c r="E83" s="301">
        <v>196</v>
      </c>
      <c r="F83" s="301">
        <v>90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286</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286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286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286</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286</v>
      </c>
      <c r="AX485" s="0" t="s">
        <v>452</v>
      </c>
      <c r="AY485" s="0" t="s">
        <v>2027</v>
      </c>
      <c r="AZ485" s="0" t="s">
        <v>2028</v>
      </c>
      <c r="BA485" s="0" t="s">
        <v>515</v>
      </c>
      <c r="BB485" s="0" t="str">
        <f t="shared" si="7"/>
        <v>CCFNkdChikun</v>
      </c>
    </row>
    <row r="486">
      <c r="AV486" s="0" t="s">
        <v>471</v>
      </c>
      <c r="AW486" s="0" t="s">
        <v>286</v>
      </c>
      <c r="AX486" s="0" t="s">
        <v>452</v>
      </c>
      <c r="AY486" s="0" t="s">
        <v>2029</v>
      </c>
      <c r="AZ486" s="0" t="s">
        <v>2030</v>
      </c>
      <c r="BA486" s="0" t="s">
        <v>515</v>
      </c>
      <c r="BB486" s="0" t="str">
        <f t="shared" si="7"/>
        <v>CCFNkdChikun</v>
      </c>
    </row>
    <row r="487">
      <c r="AV487" s="0" t="s">
        <v>471</v>
      </c>
      <c r="AW487" s="0" t="s">
        <v>286</v>
      </c>
      <c r="AX487" s="0" t="s">
        <v>2031</v>
      </c>
      <c r="AY487" s="0" t="s">
        <v>2032</v>
      </c>
      <c r="AZ487" s="0" t="s">
        <v>2033</v>
      </c>
      <c r="BA487" s="0" t="s">
        <v>515</v>
      </c>
      <c r="BB487" s="0" t="str">
        <f t="shared" si="7"/>
        <v>CCFNkdJemaa</v>
      </c>
    </row>
    <row r="488">
      <c r="AV488" s="0" t="s">
        <v>471</v>
      </c>
      <c r="AW488" s="0" t="s">
        <v>286</v>
      </c>
      <c r="AX488" s="0" t="s">
        <v>536</v>
      </c>
      <c r="AY488" s="0" t="s">
        <v>2034</v>
      </c>
      <c r="AZ488" s="0" t="s">
        <v>2035</v>
      </c>
      <c r="BA488" s="0" t="s">
        <v>515</v>
      </c>
      <c r="BB488" s="0" t="str">
        <f t="shared" si="7"/>
        <v>CCFNkdKadunaSouth</v>
      </c>
    </row>
    <row r="489">
      <c r="AV489" s="0" t="s">
        <v>471</v>
      </c>
      <c r="AW489" s="0" t="s">
        <v>286</v>
      </c>
      <c r="AX489" s="0" t="s">
        <v>577</v>
      </c>
      <c r="AY489" s="0" t="s">
        <v>2036</v>
      </c>
      <c r="AZ489" s="0" t="s">
        <v>2037</v>
      </c>
      <c r="BA489" s="0" t="s">
        <v>515</v>
      </c>
      <c r="BB489" s="0" t="str">
        <f t="shared" si="7"/>
        <v>CCFNkdKubau</v>
      </c>
    </row>
    <row r="490">
      <c r="AV490" s="0" t="s">
        <v>471</v>
      </c>
      <c r="AW490" s="0" t="s">
        <v>286</v>
      </c>
      <c r="AX490" s="0" t="s">
        <v>615</v>
      </c>
      <c r="AY490" s="0" t="s">
        <v>2038</v>
      </c>
      <c r="AZ490" s="0" t="s">
        <v>2039</v>
      </c>
      <c r="BA490" s="0" t="s">
        <v>515</v>
      </c>
      <c r="BB490" s="0" t="str">
        <f t="shared" si="7"/>
        <v>CCFNkdLere</v>
      </c>
    </row>
    <row r="491">
      <c r="AV491" s="0" t="s">
        <v>471</v>
      </c>
      <c r="AW491" s="0" t="s">
        <v>286</v>
      </c>
      <c r="AX491" s="0" t="s">
        <v>615</v>
      </c>
      <c r="AY491" s="0" t="s">
        <v>2040</v>
      </c>
      <c r="AZ491" s="0" t="s">
        <v>2041</v>
      </c>
      <c r="BA491" s="0" t="s">
        <v>515</v>
      </c>
      <c r="BB491" s="0" t="str">
        <f t="shared" si="7"/>
        <v>CCFNkdLere</v>
      </c>
    </row>
    <row r="492">
      <c r="AV492" s="0" t="s">
        <v>471</v>
      </c>
      <c r="AW492" s="0" t="s">
        <v>286</v>
      </c>
      <c r="AX492" s="0" t="s">
        <v>654</v>
      </c>
      <c r="AY492" s="0" t="s">
        <v>2042</v>
      </c>
      <c r="AZ492" s="0" t="s">
        <v>2043</v>
      </c>
      <c r="BA492" s="0" t="s">
        <v>515</v>
      </c>
      <c r="BB492" s="0" t="str">
        <f t="shared" si="7"/>
        <v>CCFNkdSanga</v>
      </c>
    </row>
    <row r="493">
      <c r="AV493" s="0" t="s">
        <v>471</v>
      </c>
      <c r="AW493" s="0" t="s">
        <v>286</v>
      </c>
      <c r="AX493" s="0" t="s">
        <v>690</v>
      </c>
      <c r="AY493" s="0" t="s">
        <v>2044</v>
      </c>
      <c r="AZ493" s="0" t="s">
        <v>2045</v>
      </c>
      <c r="BA493" s="0" t="s">
        <v>515</v>
      </c>
      <c r="BB493" s="0" t="str">
        <f t="shared" si="7"/>
        <v>CCFNkdZangoKataf</v>
      </c>
    </row>
    <row r="494">
      <c r="AV494" s="0" t="s">
        <v>471</v>
      </c>
      <c r="AW494" s="0" t="s">
        <v>286</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286</v>
      </c>
      <c r="AX791" s="0" t="s">
        <v>452</v>
      </c>
      <c r="AY791" s="0" t="s">
        <v>2638</v>
      </c>
      <c r="AZ791" s="0" t="s">
        <v>2639</v>
      </c>
      <c r="BA791" s="0" t="s">
        <v>596</v>
      </c>
      <c r="BB791" s="0" t="str">
        <f t="shared" si="12"/>
        <v>CIHPkdChikun</v>
      </c>
    </row>
    <row r="792">
      <c r="AV792" s="0" t="s">
        <v>471</v>
      </c>
      <c r="AW792" s="0" t="s">
        <v>286</v>
      </c>
      <c r="AX792" s="0" t="s">
        <v>452</v>
      </c>
      <c r="AY792" s="0" t="s">
        <v>2640</v>
      </c>
      <c r="AZ792" s="0" t="s">
        <v>2641</v>
      </c>
      <c r="BA792" s="0" t="s">
        <v>596</v>
      </c>
      <c r="BB792" s="0" t="str">
        <f t="shared" si="12"/>
        <v>CIHPkdChikun</v>
      </c>
    </row>
    <row r="793">
      <c r="AV793" s="0" t="s">
        <v>471</v>
      </c>
      <c r="AW793" s="0" t="s">
        <v>286</v>
      </c>
      <c r="AX793" s="0" t="s">
        <v>452</v>
      </c>
      <c r="AY793" s="0" t="s">
        <v>2642</v>
      </c>
      <c r="AZ793" s="0" t="s">
        <v>2643</v>
      </c>
      <c r="BA793" s="0" t="s">
        <v>596</v>
      </c>
      <c r="BB793" s="0" t="str">
        <f t="shared" si="12"/>
        <v>CIHPkdChikun</v>
      </c>
    </row>
    <row r="794">
      <c r="AV794" s="0" t="s">
        <v>471</v>
      </c>
      <c r="AW794" s="0" t="s">
        <v>286</v>
      </c>
      <c r="AX794" s="0" t="s">
        <v>452</v>
      </c>
      <c r="AY794" s="0" t="s">
        <v>2644</v>
      </c>
      <c r="AZ794" s="0" t="s">
        <v>2645</v>
      </c>
      <c r="BA794" s="0" t="s">
        <v>596</v>
      </c>
      <c r="BB794" s="0" t="str">
        <f t="shared" si="12"/>
        <v>CIHPkdChikun</v>
      </c>
    </row>
    <row r="795">
      <c r="AV795" s="0" t="s">
        <v>471</v>
      </c>
      <c r="AW795" s="0" t="s">
        <v>286</v>
      </c>
      <c r="AX795" s="0" t="s">
        <v>452</v>
      </c>
      <c r="AY795" s="0" t="s">
        <v>2646</v>
      </c>
      <c r="AZ795" s="0" t="s">
        <v>2647</v>
      </c>
      <c r="BA795" s="0" t="s">
        <v>596</v>
      </c>
      <c r="BB795" s="0" t="str">
        <f t="shared" si="12"/>
        <v>CIHPkdChikun</v>
      </c>
    </row>
    <row r="796">
      <c r="AV796" s="0" t="s">
        <v>471</v>
      </c>
      <c r="AW796" s="0" t="s">
        <v>286</v>
      </c>
      <c r="AX796" s="0" t="s">
        <v>452</v>
      </c>
      <c r="AY796" s="0" t="s">
        <v>2648</v>
      </c>
      <c r="AZ796" s="0" t="s">
        <v>2649</v>
      </c>
      <c r="BA796" s="0" t="s">
        <v>596</v>
      </c>
      <c r="BB796" s="0" t="str">
        <f t="shared" si="12"/>
        <v>CIHPkdChikun</v>
      </c>
    </row>
    <row r="797">
      <c r="AV797" s="0" t="s">
        <v>471</v>
      </c>
      <c r="AW797" s="0" t="s">
        <v>286</v>
      </c>
      <c r="AX797" s="0" t="s">
        <v>725</v>
      </c>
      <c r="AY797" s="0" t="s">
        <v>2650</v>
      </c>
      <c r="AZ797" s="0" t="s">
        <v>2651</v>
      </c>
      <c r="BA797" s="0" t="s">
        <v>596</v>
      </c>
      <c r="BB797" s="0" t="str">
        <f t="shared" si="12"/>
        <v>CIHPkdIgabi</v>
      </c>
    </row>
    <row r="798">
      <c r="AV798" s="0" t="s">
        <v>471</v>
      </c>
      <c r="AW798" s="0" t="s">
        <v>286</v>
      </c>
      <c r="AX798" s="0" t="s">
        <v>758</v>
      </c>
      <c r="AY798" s="0" t="s">
        <v>2652</v>
      </c>
      <c r="AZ798" s="0" t="s">
        <v>2653</v>
      </c>
      <c r="BA798" s="0" t="s">
        <v>596</v>
      </c>
      <c r="BB798" s="0" t="str">
        <f t="shared" si="12"/>
        <v>CIHPkdJaba</v>
      </c>
    </row>
    <row r="799">
      <c r="AV799" s="0" t="s">
        <v>471</v>
      </c>
      <c r="AW799" s="0" t="s">
        <v>286</v>
      </c>
      <c r="AX799" s="0" t="s">
        <v>758</v>
      </c>
      <c r="AY799" s="0" t="s">
        <v>2654</v>
      </c>
      <c r="AZ799" s="0" t="s">
        <v>2655</v>
      </c>
      <c r="BA799" s="0" t="s">
        <v>596</v>
      </c>
      <c r="BB799" s="0" t="str">
        <f t="shared" si="12"/>
        <v>CIHPkdJaba</v>
      </c>
    </row>
    <row r="800">
      <c r="AV800" s="0" t="s">
        <v>471</v>
      </c>
      <c r="AW800" s="0" t="s">
        <v>286</v>
      </c>
      <c r="AX800" s="0" t="s">
        <v>758</v>
      </c>
      <c r="AY800" s="0" t="s">
        <v>2656</v>
      </c>
      <c r="AZ800" s="0" t="s">
        <v>2657</v>
      </c>
      <c r="BA800" s="0" t="s">
        <v>596</v>
      </c>
      <c r="BB800" s="0" t="str">
        <f t="shared" si="12"/>
        <v>CIHPkdJaba</v>
      </c>
    </row>
    <row r="801">
      <c r="AV801" s="0" t="s">
        <v>471</v>
      </c>
      <c r="AW801" s="0" t="s">
        <v>286</v>
      </c>
      <c r="AX801" s="0" t="s">
        <v>758</v>
      </c>
      <c r="AY801" s="0" t="s">
        <v>2658</v>
      </c>
      <c r="AZ801" s="0" t="s">
        <v>2659</v>
      </c>
      <c r="BA801" s="0" t="s">
        <v>596</v>
      </c>
      <c r="BB801" s="0" t="str">
        <f t="shared" si="12"/>
        <v>CIHPkdJaba</v>
      </c>
    </row>
    <row r="802">
      <c r="AV802" s="0" t="s">
        <v>471</v>
      </c>
      <c r="AW802" s="0" t="s">
        <v>286</v>
      </c>
      <c r="AX802" s="0" t="s">
        <v>758</v>
      </c>
      <c r="AY802" s="0" t="s">
        <v>2660</v>
      </c>
      <c r="AZ802" s="0" t="s">
        <v>2661</v>
      </c>
      <c r="BA802" s="0" t="s">
        <v>596</v>
      </c>
      <c r="BB802" s="0" t="str">
        <f t="shared" si="12"/>
        <v>CIHPkdJaba</v>
      </c>
    </row>
    <row r="803">
      <c r="AV803" s="0" t="s">
        <v>471</v>
      </c>
      <c r="AW803" s="0" t="s">
        <v>286</v>
      </c>
      <c r="AX803" s="0" t="s">
        <v>2031</v>
      </c>
      <c r="AY803" s="0" t="s">
        <v>2662</v>
      </c>
      <c r="AZ803" s="0" t="s">
        <v>2663</v>
      </c>
      <c r="BA803" s="0" t="s">
        <v>596</v>
      </c>
      <c r="BB803" s="0" t="str">
        <f t="shared" si="12"/>
        <v>CIHPkdJemaa</v>
      </c>
    </row>
    <row r="804">
      <c r="AV804" s="0" t="s">
        <v>471</v>
      </c>
      <c r="AW804" s="0" t="s">
        <v>286</v>
      </c>
      <c r="AX804" s="0" t="s">
        <v>2031</v>
      </c>
      <c r="AY804" s="0" t="s">
        <v>2664</v>
      </c>
      <c r="AZ804" s="0" t="s">
        <v>2665</v>
      </c>
      <c r="BA804" s="0" t="s">
        <v>596</v>
      </c>
      <c r="BB804" s="0" t="str">
        <f t="shared" si="12"/>
        <v>CIHPkdJemaa</v>
      </c>
    </row>
    <row r="805">
      <c r="AV805" s="0" t="s">
        <v>471</v>
      </c>
      <c r="AW805" s="0" t="s">
        <v>286</v>
      </c>
      <c r="AX805" s="0" t="s">
        <v>2031</v>
      </c>
      <c r="AY805" s="0" t="s">
        <v>2666</v>
      </c>
      <c r="AZ805" s="0" t="s">
        <v>2667</v>
      </c>
      <c r="BA805" s="0" t="s">
        <v>596</v>
      </c>
      <c r="BB805" s="0" t="str">
        <f t="shared" si="12"/>
        <v>CIHPkdJemaa</v>
      </c>
    </row>
    <row r="806">
      <c r="AV806" s="0" t="s">
        <v>471</v>
      </c>
      <c r="AW806" s="0" t="s">
        <v>286</v>
      </c>
      <c r="AX806" s="0" t="s">
        <v>2031</v>
      </c>
      <c r="AY806" s="0" t="s">
        <v>2668</v>
      </c>
      <c r="AZ806" s="0" t="s">
        <v>2669</v>
      </c>
      <c r="BA806" s="0" t="s">
        <v>596</v>
      </c>
      <c r="BB806" s="0" t="str">
        <f t="shared" si="12"/>
        <v>CIHPkdJemaa</v>
      </c>
    </row>
    <row r="807">
      <c r="AV807" s="0" t="s">
        <v>471</v>
      </c>
      <c r="AW807" s="0" t="s">
        <v>286</v>
      </c>
      <c r="AX807" s="0" t="s">
        <v>2031</v>
      </c>
      <c r="AY807" s="0" t="s">
        <v>2670</v>
      </c>
      <c r="AZ807" s="0" t="s">
        <v>2671</v>
      </c>
      <c r="BA807" s="0" t="s">
        <v>596</v>
      </c>
      <c r="BB807" s="0" t="str">
        <f t="shared" si="12"/>
        <v>CIHPkdJemaa</v>
      </c>
    </row>
    <row r="808">
      <c r="AV808" s="0" t="s">
        <v>471</v>
      </c>
      <c r="AW808" s="0" t="s">
        <v>286</v>
      </c>
      <c r="AX808" s="0" t="s">
        <v>2031</v>
      </c>
      <c r="AY808" s="0" t="s">
        <v>2672</v>
      </c>
      <c r="AZ808" s="0" t="s">
        <v>2673</v>
      </c>
      <c r="BA808" s="0" t="s">
        <v>596</v>
      </c>
      <c r="BB808" s="0" t="str">
        <f t="shared" si="12"/>
        <v>CIHPkdJemaa</v>
      </c>
    </row>
    <row r="809">
      <c r="AV809" s="0" t="s">
        <v>471</v>
      </c>
      <c r="AW809" s="0" t="s">
        <v>286</v>
      </c>
      <c r="AX809" s="0" t="s">
        <v>2031</v>
      </c>
      <c r="AY809" s="0" t="s">
        <v>2674</v>
      </c>
      <c r="AZ809" s="0" t="s">
        <v>2675</v>
      </c>
      <c r="BA809" s="0" t="s">
        <v>596</v>
      </c>
      <c r="BB809" s="0" t="str">
        <f t="shared" si="12"/>
        <v>CIHPkdJemaa</v>
      </c>
    </row>
    <row r="810">
      <c r="AV810" s="0" t="s">
        <v>471</v>
      </c>
      <c r="AW810" s="0" t="s">
        <v>286</v>
      </c>
      <c r="AX810" s="0" t="s">
        <v>2031</v>
      </c>
      <c r="AY810" s="0" t="s">
        <v>2676</v>
      </c>
      <c r="AZ810" s="0" t="s">
        <v>2677</v>
      </c>
      <c r="BA810" s="0" t="s">
        <v>596</v>
      </c>
      <c r="BB810" s="0" t="str">
        <f t="shared" si="12"/>
        <v>CIHPkdJemaa</v>
      </c>
    </row>
    <row r="811">
      <c r="AV811" s="0" t="s">
        <v>471</v>
      </c>
      <c r="AW811" s="0" t="s">
        <v>286</v>
      </c>
      <c r="AX811" s="0" t="s">
        <v>2031</v>
      </c>
      <c r="AY811" s="0" t="s">
        <v>2678</v>
      </c>
      <c r="AZ811" s="0" t="s">
        <v>2679</v>
      </c>
      <c r="BA811" s="0" t="s">
        <v>596</v>
      </c>
      <c r="BB811" s="0" t="str">
        <f t="shared" si="12"/>
        <v>CIHPkdJemaa</v>
      </c>
    </row>
    <row r="812">
      <c r="AV812" s="0" t="s">
        <v>471</v>
      </c>
      <c r="AW812" s="0" t="s">
        <v>286</v>
      </c>
      <c r="AX812" s="0" t="s">
        <v>2031</v>
      </c>
      <c r="AY812" s="0" t="s">
        <v>2680</v>
      </c>
      <c r="AZ812" s="0" t="s">
        <v>2681</v>
      </c>
      <c r="BA812" s="0" t="s">
        <v>596</v>
      </c>
      <c r="BB812" s="0" t="str">
        <f t="shared" si="12"/>
        <v>CIHPkdJemaa</v>
      </c>
    </row>
    <row r="813">
      <c r="AV813" s="0" t="s">
        <v>471</v>
      </c>
      <c r="AW813" s="0" t="s">
        <v>286</v>
      </c>
      <c r="AX813" s="0" t="s">
        <v>790</v>
      </c>
      <c r="AY813" s="0" t="s">
        <v>2682</v>
      </c>
      <c r="AZ813" s="0" t="s">
        <v>2683</v>
      </c>
      <c r="BA813" s="0" t="s">
        <v>596</v>
      </c>
      <c r="BB813" s="0" t="str">
        <f t="shared" si="12"/>
        <v>CIHPkdKachia</v>
      </c>
    </row>
    <row r="814">
      <c r="AV814" s="0" t="s">
        <v>471</v>
      </c>
      <c r="AW814" s="0" t="s">
        <v>286</v>
      </c>
      <c r="AX814" s="0" t="s">
        <v>790</v>
      </c>
      <c r="AY814" s="0" t="s">
        <v>2684</v>
      </c>
      <c r="AZ814" s="0" t="s">
        <v>2685</v>
      </c>
      <c r="BA814" s="0" t="s">
        <v>596</v>
      </c>
      <c r="BB814" s="0" t="str">
        <f t="shared" si="12"/>
        <v>CIHPkdKachia</v>
      </c>
    </row>
    <row r="815">
      <c r="AV815" s="0" t="s">
        <v>471</v>
      </c>
      <c r="AW815" s="0" t="s">
        <v>286</v>
      </c>
      <c r="AX815" s="0" t="s">
        <v>790</v>
      </c>
      <c r="AY815" s="0" t="s">
        <v>2686</v>
      </c>
      <c r="AZ815" s="0" t="s">
        <v>2687</v>
      </c>
      <c r="BA815" s="0" t="s">
        <v>596</v>
      </c>
      <c r="BB815" s="0" t="str">
        <f t="shared" si="12"/>
        <v>CIHPkdKachia</v>
      </c>
    </row>
    <row r="816">
      <c r="AV816" s="0" t="s">
        <v>471</v>
      </c>
      <c r="AW816" s="0" t="s">
        <v>286</v>
      </c>
      <c r="AX816" s="0" t="s">
        <v>820</v>
      </c>
      <c r="AY816" s="0" t="s">
        <v>2688</v>
      </c>
      <c r="AZ816" s="0" t="s">
        <v>2689</v>
      </c>
      <c r="BA816" s="0" t="s">
        <v>596</v>
      </c>
      <c r="BB816" s="0" t="str">
        <f t="shared" si="12"/>
        <v>CIHPkdKadunaNorth</v>
      </c>
    </row>
    <row r="817">
      <c r="AV817" s="0" t="s">
        <v>471</v>
      </c>
      <c r="AW817" s="0" t="s">
        <v>286</v>
      </c>
      <c r="AX817" s="0" t="s">
        <v>820</v>
      </c>
      <c r="AY817" s="0" t="s">
        <v>2690</v>
      </c>
      <c r="AZ817" s="0" t="s">
        <v>2691</v>
      </c>
      <c r="BA817" s="0" t="s">
        <v>596</v>
      </c>
      <c r="BB817" s="0" t="str">
        <f t="shared" si="12"/>
        <v>CIHPkdKadunaNorth</v>
      </c>
    </row>
    <row r="818">
      <c r="AV818" s="0" t="s">
        <v>471</v>
      </c>
      <c r="AW818" s="0" t="s">
        <v>286</v>
      </c>
      <c r="AX818" s="0" t="s">
        <v>820</v>
      </c>
      <c r="AY818" s="0" t="s">
        <v>2692</v>
      </c>
      <c r="AZ818" s="0" t="s">
        <v>2693</v>
      </c>
      <c r="BA818" s="0" t="s">
        <v>596</v>
      </c>
      <c r="BB818" s="0" t="str">
        <f t="shared" si="12"/>
        <v>CIHPkdKadunaNorth</v>
      </c>
    </row>
    <row r="819">
      <c r="AV819" s="0" t="s">
        <v>471</v>
      </c>
      <c r="AW819" s="0" t="s">
        <v>286</v>
      </c>
      <c r="AX819" s="0" t="s">
        <v>820</v>
      </c>
      <c r="AY819" s="0" t="s">
        <v>2694</v>
      </c>
      <c r="AZ819" s="0" t="s">
        <v>2695</v>
      </c>
      <c r="BA819" s="0" t="s">
        <v>596</v>
      </c>
      <c r="BB819" s="0" t="str">
        <f t="shared" si="12"/>
        <v>CIHPkdKadunaNorth</v>
      </c>
    </row>
    <row r="820">
      <c r="AV820" s="0" t="s">
        <v>471</v>
      </c>
      <c r="AW820" s="0" t="s">
        <v>286</v>
      </c>
      <c r="AX820" s="0" t="s">
        <v>820</v>
      </c>
      <c r="AY820" s="0" t="s">
        <v>2696</v>
      </c>
      <c r="AZ820" s="0" t="s">
        <v>2697</v>
      </c>
      <c r="BA820" s="0" t="s">
        <v>596</v>
      </c>
      <c r="BB820" s="0" t="str">
        <f t="shared" si="12"/>
        <v>CIHPkdKadunaNorth</v>
      </c>
    </row>
    <row r="821">
      <c r="AV821" s="0" t="s">
        <v>471</v>
      </c>
      <c r="AW821" s="0" t="s">
        <v>286</v>
      </c>
      <c r="AX821" s="0" t="s">
        <v>820</v>
      </c>
      <c r="AY821" s="0" t="s">
        <v>2698</v>
      </c>
      <c r="AZ821" s="0" t="s">
        <v>2699</v>
      </c>
      <c r="BA821" s="0" t="s">
        <v>596</v>
      </c>
      <c r="BB821" s="0" t="str">
        <f t="shared" si="12"/>
        <v>CIHPkdKadunaNorth</v>
      </c>
    </row>
    <row r="822">
      <c r="AV822" s="0" t="s">
        <v>471</v>
      </c>
      <c r="AW822" s="0" t="s">
        <v>286</v>
      </c>
      <c r="AX822" s="0" t="s">
        <v>820</v>
      </c>
      <c r="AY822" s="0" t="s">
        <v>2700</v>
      </c>
      <c r="AZ822" s="0" t="s">
        <v>2701</v>
      </c>
      <c r="BA822" s="0" t="s">
        <v>596</v>
      </c>
      <c r="BB822" s="0" t="str">
        <f t="shared" si="12"/>
        <v>CIHPkdKadunaNorth</v>
      </c>
    </row>
    <row r="823">
      <c r="AV823" s="0" t="s">
        <v>471</v>
      </c>
      <c r="AW823" s="0" t="s">
        <v>286</v>
      </c>
      <c r="AX823" s="0" t="s">
        <v>820</v>
      </c>
      <c r="AY823" s="0" t="s">
        <v>2702</v>
      </c>
      <c r="AZ823" s="0" t="s">
        <v>2703</v>
      </c>
      <c r="BA823" s="0" t="s">
        <v>596</v>
      </c>
      <c r="BB823" s="0" t="str">
        <f t="shared" si="12"/>
        <v>CIHPkdKadunaNorth</v>
      </c>
    </row>
    <row r="824">
      <c r="AV824" s="0" t="s">
        <v>471</v>
      </c>
      <c r="AW824" s="0" t="s">
        <v>286</v>
      </c>
      <c r="AX824" s="0" t="s">
        <v>536</v>
      </c>
      <c r="AY824" s="0" t="s">
        <v>2704</v>
      </c>
      <c r="AZ824" s="0" t="s">
        <v>2705</v>
      </c>
      <c r="BA824" s="0" t="s">
        <v>596</v>
      </c>
      <c r="BB824" s="0" t="str">
        <f t="shared" si="12"/>
        <v>CIHPkdKadunaSouth</v>
      </c>
    </row>
    <row r="825">
      <c r="AV825" s="0" t="s">
        <v>471</v>
      </c>
      <c r="AW825" s="0" t="s">
        <v>286</v>
      </c>
      <c r="AX825" s="0" t="s">
        <v>536</v>
      </c>
      <c r="AY825" s="0" t="s">
        <v>2706</v>
      </c>
      <c r="AZ825" s="0" t="s">
        <v>2707</v>
      </c>
      <c r="BA825" s="0" t="s">
        <v>596</v>
      </c>
      <c r="BB825" s="0" t="str">
        <f t="shared" si="12"/>
        <v>CIHPkdKadunaSouth</v>
      </c>
    </row>
    <row r="826">
      <c r="AV826" s="0" t="s">
        <v>471</v>
      </c>
      <c r="AW826" s="0" t="s">
        <v>286</v>
      </c>
      <c r="AX826" s="0" t="s">
        <v>536</v>
      </c>
      <c r="AY826" s="0" t="s">
        <v>2708</v>
      </c>
      <c r="AZ826" s="0" t="s">
        <v>2709</v>
      </c>
      <c r="BA826" s="0" t="s">
        <v>596</v>
      </c>
      <c r="BB826" s="0" t="str">
        <f t="shared" si="12"/>
        <v>CIHPkdKadunaSouth</v>
      </c>
    </row>
    <row r="827">
      <c r="AV827" s="0" t="s">
        <v>471</v>
      </c>
      <c r="AW827" s="0" t="s">
        <v>286</v>
      </c>
      <c r="AX827" s="0" t="s">
        <v>536</v>
      </c>
      <c r="AY827" s="0" t="s">
        <v>2710</v>
      </c>
      <c r="AZ827" s="0" t="s">
        <v>2711</v>
      </c>
      <c r="BA827" s="0" t="s">
        <v>596</v>
      </c>
      <c r="BB827" s="0" t="str">
        <f t="shared" si="12"/>
        <v>CIHPkdKadunaSouth</v>
      </c>
    </row>
    <row r="828">
      <c r="AV828" s="0" t="s">
        <v>471</v>
      </c>
      <c r="AW828" s="0" t="s">
        <v>286</v>
      </c>
      <c r="AX828" s="0" t="s">
        <v>536</v>
      </c>
      <c r="AY828" s="0" t="s">
        <v>2712</v>
      </c>
      <c r="AZ828" s="0" t="s">
        <v>2713</v>
      </c>
      <c r="BA828" s="0" t="s">
        <v>596</v>
      </c>
      <c r="BB828" s="0" t="str">
        <f t="shared" si="12"/>
        <v>CIHPkdKadunaSouth</v>
      </c>
    </row>
    <row r="829">
      <c r="AV829" s="0" t="s">
        <v>471</v>
      </c>
      <c r="AW829" s="0" t="s">
        <v>286</v>
      </c>
      <c r="AX829" s="0" t="s">
        <v>536</v>
      </c>
      <c r="AY829" s="0" t="s">
        <v>2714</v>
      </c>
      <c r="AZ829" s="0" t="s">
        <v>2715</v>
      </c>
      <c r="BA829" s="0" t="s">
        <v>596</v>
      </c>
      <c r="BB829" s="0" t="str">
        <f t="shared" si="12"/>
        <v>CIHPkdKadunaSouth</v>
      </c>
    </row>
    <row r="830">
      <c r="AV830" s="0" t="s">
        <v>471</v>
      </c>
      <c r="AW830" s="0" t="s">
        <v>286</v>
      </c>
      <c r="AX830" s="0" t="s">
        <v>536</v>
      </c>
      <c r="AY830" s="0" t="s">
        <v>2716</v>
      </c>
      <c r="AZ830" s="0" t="s">
        <v>2717</v>
      </c>
      <c r="BA830" s="0" t="s">
        <v>596</v>
      </c>
      <c r="BB830" s="0" t="str">
        <f t="shared" si="12"/>
        <v>CIHPkdKadunaSouth</v>
      </c>
    </row>
    <row r="831">
      <c r="AV831" s="0" t="s">
        <v>471</v>
      </c>
      <c r="AW831" s="0" t="s">
        <v>286</v>
      </c>
      <c r="AX831" s="0" t="s">
        <v>536</v>
      </c>
      <c r="AY831" s="0" t="s">
        <v>2718</v>
      </c>
      <c r="AZ831" s="0" t="s">
        <v>2719</v>
      </c>
      <c r="BA831" s="0" t="s">
        <v>596</v>
      </c>
      <c r="BB831" s="0" t="str">
        <f t="shared" si="12"/>
        <v>CIHPkdKadunaSouth</v>
      </c>
    </row>
    <row r="832">
      <c r="AV832" s="0" t="s">
        <v>471</v>
      </c>
      <c r="AW832" s="0" t="s">
        <v>286</v>
      </c>
      <c r="AX832" s="0" t="s">
        <v>536</v>
      </c>
      <c r="AY832" s="0" t="s">
        <v>2720</v>
      </c>
      <c r="AZ832" s="0" t="s">
        <v>2721</v>
      </c>
      <c r="BA832" s="0" t="s">
        <v>596</v>
      </c>
      <c r="BB832" s="0" t="str">
        <f t="shared" si="12"/>
        <v>CIHPkdKadunaSouth</v>
      </c>
    </row>
    <row r="833">
      <c r="AV833" s="0" t="s">
        <v>471</v>
      </c>
      <c r="AW833" s="0" t="s">
        <v>286</v>
      </c>
      <c r="AX833" s="0" t="s">
        <v>536</v>
      </c>
      <c r="AY833" s="0" t="s">
        <v>2722</v>
      </c>
      <c r="AZ833" s="0" t="s">
        <v>2723</v>
      </c>
      <c r="BA833" s="0" t="s">
        <v>596</v>
      </c>
      <c r="BB833" s="0" t="str">
        <f t="shared" si="12"/>
        <v>CIHPkdKadunaSouth</v>
      </c>
    </row>
    <row r="834">
      <c r="AV834" s="0" t="s">
        <v>471</v>
      </c>
      <c r="AW834" s="0" t="s">
        <v>286</v>
      </c>
      <c r="AX834" s="0" t="s">
        <v>536</v>
      </c>
      <c r="AY834" s="0" t="s">
        <v>2724</v>
      </c>
      <c r="AZ834" s="0" t="s">
        <v>2725</v>
      </c>
      <c r="BA834" s="0" t="s">
        <v>596</v>
      </c>
      <c r="BB834" s="0" t="str">
        <f t="shared" si="12"/>
        <v>CIHPkdKadunaSouth</v>
      </c>
    </row>
    <row r="835">
      <c r="AV835" s="0" t="s">
        <v>471</v>
      </c>
      <c r="AW835" s="0" t="s">
        <v>286</v>
      </c>
      <c r="AX835" s="0" t="s">
        <v>536</v>
      </c>
      <c r="AY835" s="0" t="s">
        <v>2726</v>
      </c>
      <c r="AZ835" s="0" t="s">
        <v>2727</v>
      </c>
      <c r="BA835" s="0" t="s">
        <v>596</v>
      </c>
      <c r="BB835" s="0" t="str">
        <f ref="BB835:BB898" t="shared" si="13">SUBSTITUTE(SUBSTITUTE(BA835&amp;AX835," ",""),"-","")</f>
        <v>CIHPkdKadunaSouth</v>
      </c>
    </row>
    <row r="836">
      <c r="AV836" s="0" t="s">
        <v>471</v>
      </c>
      <c r="AW836" s="0" t="s">
        <v>286</v>
      </c>
      <c r="AX836" s="0" t="s">
        <v>536</v>
      </c>
      <c r="AY836" s="0" t="s">
        <v>2728</v>
      </c>
      <c r="AZ836" s="0" t="s">
        <v>2729</v>
      </c>
      <c r="BA836" s="0" t="s">
        <v>596</v>
      </c>
      <c r="BB836" s="0" t="str">
        <f t="shared" si="13"/>
        <v>CIHPkdKadunaSouth</v>
      </c>
    </row>
    <row r="837">
      <c r="AV837" s="0" t="s">
        <v>471</v>
      </c>
      <c r="AW837" s="0" t="s">
        <v>286</v>
      </c>
      <c r="AX837" s="0" t="s">
        <v>848</v>
      </c>
      <c r="AY837" s="0" t="s">
        <v>2730</v>
      </c>
      <c r="AZ837" s="0" t="s">
        <v>2731</v>
      </c>
      <c r="BA837" s="0" t="s">
        <v>596</v>
      </c>
      <c r="BB837" s="0" t="str">
        <f t="shared" si="13"/>
        <v>CIHPkdKagarko</v>
      </c>
    </row>
    <row r="838">
      <c r="AV838" s="0" t="s">
        <v>471</v>
      </c>
      <c r="AW838" s="0" t="s">
        <v>286</v>
      </c>
      <c r="AX838" s="0" t="s">
        <v>848</v>
      </c>
      <c r="AY838" s="0" t="s">
        <v>2732</v>
      </c>
      <c r="AZ838" s="0" t="s">
        <v>2733</v>
      </c>
      <c r="BA838" s="0" t="s">
        <v>596</v>
      </c>
      <c r="BB838" s="0" t="str">
        <f t="shared" si="13"/>
        <v>CIHPkdKagarko</v>
      </c>
    </row>
    <row r="839">
      <c r="AV839" s="0" t="s">
        <v>471</v>
      </c>
      <c r="AW839" s="0" t="s">
        <v>286</v>
      </c>
      <c r="AX839" s="0" t="s">
        <v>876</v>
      </c>
      <c r="AY839" s="0" t="s">
        <v>2734</v>
      </c>
      <c r="AZ839" s="0" t="s">
        <v>2735</v>
      </c>
      <c r="BA839" s="0" t="s">
        <v>596</v>
      </c>
      <c r="BB839" s="0" t="str">
        <f t="shared" si="13"/>
        <v>CIHPkdKajuru</v>
      </c>
    </row>
    <row r="840">
      <c r="AV840" s="0" t="s">
        <v>471</v>
      </c>
      <c r="AW840" s="0" t="s">
        <v>286</v>
      </c>
      <c r="AX840" s="0" t="s">
        <v>901</v>
      </c>
      <c r="AY840" s="0" t="s">
        <v>2736</v>
      </c>
      <c r="AZ840" s="0" t="s">
        <v>2737</v>
      </c>
      <c r="BA840" s="0" t="s">
        <v>596</v>
      </c>
      <c r="BB840" s="0" t="str">
        <f t="shared" si="13"/>
        <v>CIHPkdKaura</v>
      </c>
    </row>
    <row r="841">
      <c r="AV841" s="0" t="s">
        <v>471</v>
      </c>
      <c r="AW841" s="0" t="s">
        <v>286</v>
      </c>
      <c r="AX841" s="0" t="s">
        <v>901</v>
      </c>
      <c r="AY841" s="0" t="s">
        <v>2738</v>
      </c>
      <c r="AZ841" s="0" t="s">
        <v>2739</v>
      </c>
      <c r="BA841" s="0" t="s">
        <v>596</v>
      </c>
      <c r="BB841" s="0" t="str">
        <f t="shared" si="13"/>
        <v>CIHPkdKaura</v>
      </c>
    </row>
    <row r="842">
      <c r="AV842" s="0" t="s">
        <v>471</v>
      </c>
      <c r="AW842" s="0" t="s">
        <v>286</v>
      </c>
      <c r="AX842" s="0" t="s">
        <v>901</v>
      </c>
      <c r="AY842" s="0" t="s">
        <v>2740</v>
      </c>
      <c r="AZ842" s="0" t="s">
        <v>2741</v>
      </c>
      <c r="BA842" s="0" t="s">
        <v>596</v>
      </c>
      <c r="BB842" s="0" t="str">
        <f t="shared" si="13"/>
        <v>CIHPkdKaura</v>
      </c>
    </row>
    <row r="843">
      <c r="AV843" s="0" t="s">
        <v>471</v>
      </c>
      <c r="AW843" s="0" t="s">
        <v>286</v>
      </c>
      <c r="AX843" s="0" t="s">
        <v>901</v>
      </c>
      <c r="AY843" s="0" t="s">
        <v>2742</v>
      </c>
      <c r="AZ843" s="0" t="s">
        <v>2743</v>
      </c>
      <c r="BA843" s="0" t="s">
        <v>596</v>
      </c>
      <c r="BB843" s="0" t="str">
        <f t="shared" si="13"/>
        <v>CIHPkdKaura</v>
      </c>
    </row>
    <row r="844">
      <c r="AV844" s="0" t="s">
        <v>471</v>
      </c>
      <c r="AW844" s="0" t="s">
        <v>286</v>
      </c>
      <c r="AX844" s="0" t="s">
        <v>901</v>
      </c>
      <c r="AY844" s="0" t="s">
        <v>2744</v>
      </c>
      <c r="AZ844" s="0" t="s">
        <v>2745</v>
      </c>
      <c r="BA844" s="0" t="s">
        <v>596</v>
      </c>
      <c r="BB844" s="0" t="str">
        <f t="shared" si="13"/>
        <v>CIHPkdKaura</v>
      </c>
    </row>
    <row r="845">
      <c r="AV845" s="0" t="s">
        <v>471</v>
      </c>
      <c r="AW845" s="0" t="s">
        <v>286</v>
      </c>
      <c r="AX845" s="0" t="s">
        <v>577</v>
      </c>
      <c r="AY845" s="0" t="s">
        <v>2746</v>
      </c>
      <c r="AZ845" s="0" t="s">
        <v>2747</v>
      </c>
      <c r="BA845" s="0" t="s">
        <v>596</v>
      </c>
      <c r="BB845" s="0" t="str">
        <f t="shared" si="13"/>
        <v>CIHPkdKubau</v>
      </c>
    </row>
    <row r="846">
      <c r="AV846" s="0" t="s">
        <v>471</v>
      </c>
      <c r="AW846" s="0" t="s">
        <v>286</v>
      </c>
      <c r="AX846" s="0" t="s">
        <v>654</v>
      </c>
      <c r="AY846" s="0" t="s">
        <v>2748</v>
      </c>
      <c r="AZ846" s="0" t="s">
        <v>2749</v>
      </c>
      <c r="BA846" s="0" t="s">
        <v>596</v>
      </c>
      <c r="BB846" s="0" t="str">
        <f t="shared" si="13"/>
        <v>CIHPkdSanga</v>
      </c>
    </row>
    <row r="847">
      <c r="AV847" s="0" t="s">
        <v>471</v>
      </c>
      <c r="AW847" s="0" t="s">
        <v>286</v>
      </c>
      <c r="AX847" s="0" t="s">
        <v>654</v>
      </c>
      <c r="AY847" s="0" t="s">
        <v>2750</v>
      </c>
      <c r="AZ847" s="0" t="s">
        <v>2751</v>
      </c>
      <c r="BA847" s="0" t="s">
        <v>596</v>
      </c>
      <c r="BB847" s="0" t="str">
        <f t="shared" si="13"/>
        <v>CIHPkdSanga</v>
      </c>
    </row>
    <row r="848">
      <c r="AV848" s="0" t="s">
        <v>471</v>
      </c>
      <c r="AW848" s="0" t="s">
        <v>286</v>
      </c>
      <c r="AX848" s="0" t="s">
        <v>654</v>
      </c>
      <c r="AY848" s="0" t="s">
        <v>2752</v>
      </c>
      <c r="AZ848" s="0" t="s">
        <v>2753</v>
      </c>
      <c r="BA848" s="0" t="s">
        <v>596</v>
      </c>
      <c r="BB848" s="0" t="str">
        <f t="shared" si="13"/>
        <v>CIHPkdSanga</v>
      </c>
    </row>
    <row r="849">
      <c r="AV849" s="0" t="s">
        <v>471</v>
      </c>
      <c r="AW849" s="0" t="s">
        <v>286</v>
      </c>
      <c r="AX849" s="0" t="s">
        <v>654</v>
      </c>
      <c r="AY849" s="0" t="s">
        <v>2754</v>
      </c>
      <c r="AZ849" s="0" t="s">
        <v>2755</v>
      </c>
      <c r="BA849" s="0" t="s">
        <v>596</v>
      </c>
      <c r="BB849" s="0" t="str">
        <f t="shared" si="13"/>
        <v>CIHPkdSanga</v>
      </c>
    </row>
    <row r="850">
      <c r="AV850" s="0" t="s">
        <v>471</v>
      </c>
      <c r="AW850" s="0" t="s">
        <v>286</v>
      </c>
      <c r="AX850" s="0" t="s">
        <v>654</v>
      </c>
      <c r="AY850" s="0" t="s">
        <v>2756</v>
      </c>
      <c r="AZ850" s="0" t="s">
        <v>2757</v>
      </c>
      <c r="BA850" s="0" t="s">
        <v>596</v>
      </c>
      <c r="BB850" s="0" t="str">
        <f t="shared" si="13"/>
        <v>CIHPkdSanga</v>
      </c>
    </row>
    <row r="851">
      <c r="AV851" s="0" t="s">
        <v>471</v>
      </c>
      <c r="AW851" s="0" t="s">
        <v>286</v>
      </c>
      <c r="AX851" s="0" t="s">
        <v>654</v>
      </c>
      <c r="AY851" s="0" t="s">
        <v>2758</v>
      </c>
      <c r="AZ851" s="0" t="s">
        <v>2759</v>
      </c>
      <c r="BA851" s="0" t="s">
        <v>596</v>
      </c>
      <c r="BB851" s="0" t="str">
        <f t="shared" si="13"/>
        <v>CIHPkdSanga</v>
      </c>
    </row>
    <row r="852">
      <c r="AV852" s="0" t="s">
        <v>471</v>
      </c>
      <c r="AW852" s="0" t="s">
        <v>286</v>
      </c>
      <c r="AX852" s="0" t="s">
        <v>654</v>
      </c>
      <c r="AY852" s="0" t="s">
        <v>2760</v>
      </c>
      <c r="AZ852" s="0" t="s">
        <v>2761</v>
      </c>
      <c r="BA852" s="0" t="s">
        <v>596</v>
      </c>
      <c r="BB852" s="0" t="str">
        <f t="shared" si="13"/>
        <v>CIHPkdSanga</v>
      </c>
    </row>
    <row r="853">
      <c r="AV853" s="0" t="s">
        <v>471</v>
      </c>
      <c r="AW853" s="0" t="s">
        <v>286</v>
      </c>
      <c r="AX853" s="0" t="s">
        <v>654</v>
      </c>
      <c r="AY853" s="0" t="s">
        <v>2762</v>
      </c>
      <c r="AZ853" s="0" t="s">
        <v>2763</v>
      </c>
      <c r="BA853" s="0" t="s">
        <v>596</v>
      </c>
      <c r="BB853" s="0" t="str">
        <f t="shared" si="13"/>
        <v>CIHPkdSanga</v>
      </c>
    </row>
    <row r="854">
      <c r="AV854" s="0" t="s">
        <v>471</v>
      </c>
      <c r="AW854" s="0" t="s">
        <v>286</v>
      </c>
      <c r="AX854" s="0" t="s">
        <v>926</v>
      </c>
      <c r="AY854" s="0" t="s">
        <v>2764</v>
      </c>
      <c r="AZ854" s="0" t="s">
        <v>2765</v>
      </c>
      <c r="BA854" s="0" t="s">
        <v>596</v>
      </c>
      <c r="BB854" s="0" t="str">
        <f t="shared" si="13"/>
        <v>CIHPkdSoba</v>
      </c>
    </row>
    <row r="855">
      <c r="AV855" s="0" t="s">
        <v>471</v>
      </c>
      <c r="AW855" s="0" t="s">
        <v>286</v>
      </c>
      <c r="AX855" s="0" t="s">
        <v>690</v>
      </c>
      <c r="AY855" s="0" t="s">
        <v>2766</v>
      </c>
      <c r="AZ855" s="0" t="s">
        <v>2767</v>
      </c>
      <c r="BA855" s="0" t="s">
        <v>596</v>
      </c>
      <c r="BB855" s="0" t="str">
        <f t="shared" si="13"/>
        <v>CIHPkdZangoKataf</v>
      </c>
    </row>
    <row r="856">
      <c r="AV856" s="0" t="s">
        <v>471</v>
      </c>
      <c r="AW856" s="0" t="s">
        <v>286</v>
      </c>
      <c r="AX856" s="0" t="s">
        <v>950</v>
      </c>
      <c r="AY856" s="0" t="s">
        <v>2768</v>
      </c>
      <c r="AZ856" s="0" t="s">
        <v>2769</v>
      </c>
      <c r="BA856" s="0" t="s">
        <v>596</v>
      </c>
      <c r="BB856" s="0" t="str">
        <f t="shared" si="13"/>
        <v>CIHPkdZaria</v>
      </c>
    </row>
    <row r="857">
      <c r="AV857" s="0" t="s">
        <v>471</v>
      </c>
      <c r="AW857" s="0" t="s">
        <v>286</v>
      </c>
      <c r="AX857" s="0" t="s">
        <v>950</v>
      </c>
      <c r="AY857" s="0" t="s">
        <v>2770</v>
      </c>
      <c r="AZ857" s="0" t="s">
        <v>2771</v>
      </c>
      <c r="BA857" s="0" t="s">
        <v>596</v>
      </c>
      <c r="BB857" s="0" t="str">
        <f t="shared" si="13"/>
        <v>CIHPkdZaria</v>
      </c>
    </row>
    <row r="858">
      <c r="AV858" s="0" t="s">
        <v>471</v>
      </c>
      <c r="AW858" s="0" t="s">
        <v>286</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286</v>
      </c>
      <c r="AX967" s="0" t="s">
        <v>972</v>
      </c>
      <c r="AY967" s="0" t="s">
        <v>2989</v>
      </c>
      <c r="AZ967" s="0" t="s">
        <v>2990</v>
      </c>
      <c r="BA967" s="0" t="s">
        <v>673</v>
      </c>
      <c r="BB967" s="0" t="str">
        <f t="shared" si="15"/>
        <v>FGHINkdBirninGwari</v>
      </c>
    </row>
    <row r="968">
      <c r="AV968" s="0" t="s">
        <v>471</v>
      </c>
      <c r="AW968" s="0" t="s">
        <v>286</v>
      </c>
      <c r="AX968" s="0" t="s">
        <v>972</v>
      </c>
      <c r="AY968" s="0" t="s">
        <v>2991</v>
      </c>
      <c r="AZ968" s="0" t="s">
        <v>2992</v>
      </c>
      <c r="BA968" s="0" t="s">
        <v>673</v>
      </c>
      <c r="BB968" s="0" t="str">
        <f t="shared" si="15"/>
        <v>FGHINkdBirninGwari</v>
      </c>
    </row>
    <row r="969">
      <c r="AV969" s="0" t="s">
        <v>471</v>
      </c>
      <c r="AW969" s="0" t="s">
        <v>286</v>
      </c>
      <c r="AX969" s="0" t="s">
        <v>972</v>
      </c>
      <c r="AY969" s="0" t="s">
        <v>2993</v>
      </c>
      <c r="AZ969" s="0" t="s">
        <v>2994</v>
      </c>
      <c r="BA969" s="0" t="s">
        <v>673</v>
      </c>
      <c r="BB969" s="0" t="str">
        <f t="shared" si="15"/>
        <v>FGHINkdBirninGwari</v>
      </c>
    </row>
    <row r="970">
      <c r="AV970" s="0" t="s">
        <v>471</v>
      </c>
      <c r="AW970" s="0" t="s">
        <v>286</v>
      </c>
      <c r="AX970" s="0" t="s">
        <v>972</v>
      </c>
      <c r="AY970" s="0" t="s">
        <v>2995</v>
      </c>
      <c r="AZ970" s="0" t="s">
        <v>2996</v>
      </c>
      <c r="BA970" s="0" t="s">
        <v>673</v>
      </c>
      <c r="BB970" s="0" t="str">
        <f t="shared" si="15"/>
        <v>FGHINkdBirninGwari</v>
      </c>
    </row>
    <row r="971">
      <c r="AV971" s="0" t="s">
        <v>471</v>
      </c>
      <c r="AW971" s="0" t="s">
        <v>286</v>
      </c>
      <c r="AX971" s="0" t="s">
        <v>972</v>
      </c>
      <c r="AY971" s="0" t="s">
        <v>2997</v>
      </c>
      <c r="AZ971" s="0" t="s">
        <v>2998</v>
      </c>
      <c r="BA971" s="0" t="s">
        <v>673</v>
      </c>
      <c r="BB971" s="0" t="str">
        <f t="shared" si="15"/>
        <v>FGHINkdBirninGwari</v>
      </c>
    </row>
    <row r="972">
      <c r="AV972" s="0" t="s">
        <v>471</v>
      </c>
      <c r="AW972" s="0" t="s">
        <v>286</v>
      </c>
      <c r="AX972" s="0" t="s">
        <v>972</v>
      </c>
      <c r="AY972" s="0" t="s">
        <v>2999</v>
      </c>
      <c r="AZ972" s="0" t="s">
        <v>3000</v>
      </c>
      <c r="BA972" s="0" t="s">
        <v>673</v>
      </c>
      <c r="BB972" s="0" t="str">
        <f t="shared" si="15"/>
        <v>FGHINkdBirninGwari</v>
      </c>
    </row>
    <row r="973">
      <c r="AV973" s="0" t="s">
        <v>471</v>
      </c>
      <c r="AW973" s="0" t="s">
        <v>286</v>
      </c>
      <c r="AX973" s="0" t="s">
        <v>972</v>
      </c>
      <c r="AY973" s="0" t="s">
        <v>3001</v>
      </c>
      <c r="AZ973" s="0" t="s">
        <v>3002</v>
      </c>
      <c r="BA973" s="0" t="s">
        <v>673</v>
      </c>
      <c r="BB973" s="0" t="str">
        <f t="shared" si="15"/>
        <v>FGHINkdBirninGwari</v>
      </c>
    </row>
    <row r="974">
      <c r="AV974" s="0" t="s">
        <v>471</v>
      </c>
      <c r="AW974" s="0" t="s">
        <v>286</v>
      </c>
      <c r="AX974" s="0" t="s">
        <v>972</v>
      </c>
      <c r="AY974" s="0" t="s">
        <v>3003</v>
      </c>
      <c r="AZ974" s="0" t="s">
        <v>3004</v>
      </c>
      <c r="BA974" s="0" t="s">
        <v>673</v>
      </c>
      <c r="BB974" s="0" t="str">
        <f t="shared" si="15"/>
        <v>FGHINkdBirninGwari</v>
      </c>
    </row>
    <row r="975">
      <c r="AV975" s="0" t="s">
        <v>471</v>
      </c>
      <c r="AW975" s="0" t="s">
        <v>286</v>
      </c>
      <c r="AX975" s="0" t="s">
        <v>972</v>
      </c>
      <c r="AY975" s="0" t="s">
        <v>3005</v>
      </c>
      <c r="AZ975" s="0" t="s">
        <v>3006</v>
      </c>
      <c r="BA975" s="0" t="s">
        <v>673</v>
      </c>
      <c r="BB975" s="0" t="str">
        <f t="shared" si="15"/>
        <v>FGHINkdBirninGwari</v>
      </c>
    </row>
    <row r="976">
      <c r="AV976" s="0" t="s">
        <v>471</v>
      </c>
      <c r="AW976" s="0" t="s">
        <v>286</v>
      </c>
      <c r="AX976" s="0" t="s">
        <v>972</v>
      </c>
      <c r="AY976" s="0" t="s">
        <v>3007</v>
      </c>
      <c r="AZ976" s="0" t="s">
        <v>3008</v>
      </c>
      <c r="BA976" s="0" t="s">
        <v>673</v>
      </c>
      <c r="BB976" s="0" t="str">
        <f t="shared" si="15"/>
        <v>FGHINkdBirninGwari</v>
      </c>
    </row>
    <row r="977">
      <c r="AV977" s="0" t="s">
        <v>471</v>
      </c>
      <c r="AW977" s="0" t="s">
        <v>286</v>
      </c>
      <c r="AX977" s="0" t="s">
        <v>991</v>
      </c>
      <c r="AY977" s="0" t="s">
        <v>3009</v>
      </c>
      <c r="AZ977" s="0" t="s">
        <v>3010</v>
      </c>
      <c r="BA977" s="0" t="s">
        <v>673</v>
      </c>
      <c r="BB977" s="0" t="str">
        <f t="shared" si="15"/>
        <v>FGHINkdGiwa</v>
      </c>
    </row>
    <row r="978">
      <c r="AV978" s="0" t="s">
        <v>471</v>
      </c>
      <c r="AW978" s="0" t="s">
        <v>286</v>
      </c>
      <c r="AX978" s="0" t="s">
        <v>991</v>
      </c>
      <c r="AY978" s="0" t="s">
        <v>3011</v>
      </c>
      <c r="AZ978" s="0" t="s">
        <v>3012</v>
      </c>
      <c r="BA978" s="0" t="s">
        <v>673</v>
      </c>
      <c r="BB978" s="0" t="str">
        <f t="shared" si="15"/>
        <v>FGHINkdGiwa</v>
      </c>
    </row>
    <row r="979">
      <c r="AV979" s="0" t="s">
        <v>471</v>
      </c>
      <c r="AW979" s="0" t="s">
        <v>286</v>
      </c>
      <c r="AX979" s="0" t="s">
        <v>1008</v>
      </c>
      <c r="AY979" s="0" t="s">
        <v>3013</v>
      </c>
      <c r="AZ979" s="0" t="s">
        <v>3014</v>
      </c>
      <c r="BA979" s="0" t="s">
        <v>673</v>
      </c>
      <c r="BB979" s="0" t="str">
        <f t="shared" si="15"/>
        <v>FGHINkdKauru</v>
      </c>
    </row>
    <row r="980">
      <c r="AV980" s="0" t="s">
        <v>471</v>
      </c>
      <c r="AW980" s="0" t="s">
        <v>286</v>
      </c>
      <c r="AX980" s="0" t="s">
        <v>1008</v>
      </c>
      <c r="AY980" s="0" t="s">
        <v>3015</v>
      </c>
      <c r="AZ980" s="0" t="s">
        <v>3016</v>
      </c>
      <c r="BA980" s="0" t="s">
        <v>673</v>
      </c>
      <c r="BB980" s="0" t="str">
        <f t="shared" si="15"/>
        <v>FGHINkdKauru</v>
      </c>
    </row>
    <row r="981">
      <c r="AV981" s="0" t="s">
        <v>471</v>
      </c>
      <c r="AW981" s="0" t="s">
        <v>286</v>
      </c>
      <c r="AX981" s="0" t="s">
        <v>1008</v>
      </c>
      <c r="AY981" s="0" t="s">
        <v>3017</v>
      </c>
      <c r="AZ981" s="0" t="s">
        <v>3018</v>
      </c>
      <c r="BA981" s="0" t="s">
        <v>673</v>
      </c>
      <c r="BB981" s="0" t="str">
        <f t="shared" si="15"/>
        <v>FGHINkdKauru</v>
      </c>
    </row>
    <row r="982">
      <c r="AV982" s="0" t="s">
        <v>471</v>
      </c>
      <c r="AW982" s="0" t="s">
        <v>286</v>
      </c>
      <c r="AX982" s="0" t="s">
        <v>1008</v>
      </c>
      <c r="AY982" s="0" t="s">
        <v>3019</v>
      </c>
      <c r="AZ982" s="0" t="s">
        <v>3020</v>
      </c>
      <c r="BA982" s="0" t="s">
        <v>673</v>
      </c>
      <c r="BB982" s="0" t="str">
        <f t="shared" si="15"/>
        <v>FGHINkdKauru</v>
      </c>
    </row>
    <row r="983">
      <c r="AV983" s="0" t="s">
        <v>471</v>
      </c>
      <c r="AW983" s="0" t="s">
        <v>286</v>
      </c>
      <c r="AX983" s="0" t="s">
        <v>1008</v>
      </c>
      <c r="AY983" s="0" t="s">
        <v>3021</v>
      </c>
      <c r="AZ983" s="0" t="s">
        <v>3022</v>
      </c>
      <c r="BA983" s="0" t="s">
        <v>673</v>
      </c>
      <c r="BB983" s="0" t="str">
        <f t="shared" si="15"/>
        <v>FGHINkdKauru</v>
      </c>
    </row>
    <row r="984">
      <c r="AV984" s="0" t="s">
        <v>471</v>
      </c>
      <c r="AW984" s="0" t="s">
        <v>286</v>
      </c>
      <c r="AX984" s="0" t="s">
        <v>1008</v>
      </c>
      <c r="AY984" s="0" t="s">
        <v>3023</v>
      </c>
      <c r="AZ984" s="0" t="s">
        <v>3024</v>
      </c>
      <c r="BA984" s="0" t="s">
        <v>673</v>
      </c>
      <c r="BB984" s="0" t="str">
        <f t="shared" si="15"/>
        <v>FGHINkdKauru</v>
      </c>
    </row>
    <row r="985">
      <c r="AV985" s="0" t="s">
        <v>471</v>
      </c>
      <c r="AW985" s="0" t="s">
        <v>286</v>
      </c>
      <c r="AX985" s="0" t="s">
        <v>615</v>
      </c>
      <c r="AY985" s="0" t="s">
        <v>3025</v>
      </c>
      <c r="AZ985" s="0" t="s">
        <v>3026</v>
      </c>
      <c r="BA985" s="0" t="s">
        <v>673</v>
      </c>
      <c r="BB985" s="0" t="str">
        <f t="shared" si="15"/>
        <v>FGHINkdLere</v>
      </c>
    </row>
    <row r="986">
      <c r="AV986" s="0" t="s">
        <v>471</v>
      </c>
      <c r="AW986" s="0" t="s">
        <v>286</v>
      </c>
      <c r="AX986" s="0" t="s">
        <v>615</v>
      </c>
      <c r="AY986" s="0" t="s">
        <v>3027</v>
      </c>
      <c r="AZ986" s="0" t="s">
        <v>3028</v>
      </c>
      <c r="BA986" s="0" t="s">
        <v>673</v>
      </c>
      <c r="BB986" s="0" t="str">
        <f t="shared" si="15"/>
        <v>FGHINkdLere</v>
      </c>
    </row>
    <row r="987">
      <c r="AV987" s="0" t="s">
        <v>471</v>
      </c>
      <c r="AW987" s="0" t="s">
        <v>286</v>
      </c>
      <c r="AX987" s="0" t="s">
        <v>615</v>
      </c>
      <c r="AY987" s="0" t="s">
        <v>3029</v>
      </c>
      <c r="AZ987" s="0" t="s">
        <v>3030</v>
      </c>
      <c r="BA987" s="0" t="s">
        <v>673</v>
      </c>
      <c r="BB987" s="0" t="str">
        <f t="shared" si="15"/>
        <v>FGHINkdLere</v>
      </c>
    </row>
    <row r="988">
      <c r="AV988" s="0" t="s">
        <v>471</v>
      </c>
      <c r="AW988" s="0" t="s">
        <v>286</v>
      </c>
      <c r="AX988" s="0" t="s">
        <v>615</v>
      </c>
      <c r="AY988" s="0" t="s">
        <v>2160</v>
      </c>
      <c r="AZ988" s="0" t="s">
        <v>3031</v>
      </c>
      <c r="BA988" s="0" t="s">
        <v>673</v>
      </c>
      <c r="BB988" s="0" t="str">
        <f t="shared" si="15"/>
        <v>FGHINkdLere</v>
      </c>
    </row>
    <row r="989">
      <c r="AV989" s="0" t="s">
        <v>471</v>
      </c>
      <c r="AW989" s="0" t="s">
        <v>286</v>
      </c>
      <c r="AX989" s="0" t="s">
        <v>615</v>
      </c>
      <c r="AY989" s="0" t="s">
        <v>3032</v>
      </c>
      <c r="AZ989" s="0" t="s">
        <v>3033</v>
      </c>
      <c r="BA989" s="0" t="s">
        <v>673</v>
      </c>
      <c r="BB989" s="0" t="str">
        <f t="shared" si="15"/>
        <v>FGHINkdLere</v>
      </c>
    </row>
    <row r="990">
      <c r="AV990" s="0" t="s">
        <v>471</v>
      </c>
      <c r="AW990" s="0" t="s">
        <v>286</v>
      </c>
      <c r="AX990" s="0" t="s">
        <v>615</v>
      </c>
      <c r="AY990" s="0" t="s">
        <v>3034</v>
      </c>
      <c r="AZ990" s="0" t="s">
        <v>3035</v>
      </c>
      <c r="BA990" s="0" t="s">
        <v>673</v>
      </c>
      <c r="BB990" s="0" t="str">
        <f t="shared" si="15"/>
        <v>FGHINkdLere</v>
      </c>
    </row>
    <row r="991">
      <c r="AV991" s="0" t="s">
        <v>471</v>
      </c>
      <c r="AW991" s="0" t="s">
        <v>286</v>
      </c>
      <c r="AX991" s="0" t="s">
        <v>615</v>
      </c>
      <c r="AY991" s="0" t="s">
        <v>289</v>
      </c>
      <c r="AZ991" s="0" t="s">
        <v>293</v>
      </c>
      <c r="BA991" s="0" t="s">
        <v>673</v>
      </c>
      <c r="BB991" s="0" t="str">
        <f t="shared" si="15"/>
        <v>FGHINkdLere</v>
      </c>
    </row>
    <row r="992">
      <c r="AV992" s="0" t="s">
        <v>471</v>
      </c>
      <c r="AW992" s="0" t="s">
        <v>286</v>
      </c>
      <c r="AX992" s="0" t="s">
        <v>615</v>
      </c>
      <c r="AY992" s="0" t="s">
        <v>3036</v>
      </c>
      <c r="AZ992" s="0" t="s">
        <v>3037</v>
      </c>
      <c r="BA992" s="0" t="s">
        <v>673</v>
      </c>
      <c r="BB992" s="0" t="str">
        <f t="shared" si="15"/>
        <v>FGHINkdLere</v>
      </c>
    </row>
    <row r="993">
      <c r="AV993" s="0" t="s">
        <v>471</v>
      </c>
      <c r="AW993" s="0" t="s">
        <v>286</v>
      </c>
      <c r="AX993" s="0" t="s">
        <v>615</v>
      </c>
      <c r="AY993" s="0" t="s">
        <v>3038</v>
      </c>
      <c r="AZ993" s="0" t="s">
        <v>3039</v>
      </c>
      <c r="BA993" s="0" t="s">
        <v>673</v>
      </c>
      <c r="BB993" s="0" t="str">
        <f t="shared" si="15"/>
        <v>FGHINkdLere</v>
      </c>
    </row>
    <row r="994">
      <c r="AV994" s="0" t="s">
        <v>471</v>
      </c>
      <c r="AW994" s="0" t="s">
        <v>286</v>
      </c>
      <c r="AX994" s="0" t="s">
        <v>615</v>
      </c>
      <c r="AY994" s="0" t="s">
        <v>3040</v>
      </c>
      <c r="AZ994" s="0" t="s">
        <v>3041</v>
      </c>
      <c r="BA994" s="0" t="s">
        <v>673</v>
      </c>
      <c r="BB994" s="0" t="str">
        <f t="shared" si="15"/>
        <v>FGHINkdLere</v>
      </c>
    </row>
    <row r="995">
      <c r="AV995" s="0" t="s">
        <v>471</v>
      </c>
      <c r="AW995" s="0" t="s">
        <v>286</v>
      </c>
      <c r="AX995" s="0" t="s">
        <v>615</v>
      </c>
      <c r="AY995" s="0" t="s">
        <v>3042</v>
      </c>
      <c r="AZ995" s="0" t="s">
        <v>3043</v>
      </c>
      <c r="BA995" s="0" t="s">
        <v>673</v>
      </c>
      <c r="BB995" s="0" t="str">
        <f t="shared" si="15"/>
        <v>FGHINkdLere</v>
      </c>
    </row>
    <row r="996">
      <c r="AV996" s="0" t="s">
        <v>471</v>
      </c>
      <c r="AW996" s="0" t="s">
        <v>286</v>
      </c>
      <c r="AX996" s="0" t="s">
        <v>1024</v>
      </c>
      <c r="AY996" s="0" t="s">
        <v>3044</v>
      </c>
      <c r="AZ996" s="0" t="s">
        <v>3045</v>
      </c>
      <c r="BA996" s="0" t="s">
        <v>673</v>
      </c>
      <c r="BB996" s="0" t="str">
        <f t="shared" si="15"/>
        <v>FGHINkdMakarfi</v>
      </c>
    </row>
    <row r="997">
      <c r="AV997" s="0" t="s">
        <v>471</v>
      </c>
      <c r="AW997" s="0" t="s">
        <v>286</v>
      </c>
      <c r="AX997" s="0" t="s">
        <v>1024</v>
      </c>
      <c r="AY997" s="0" t="s">
        <v>3046</v>
      </c>
      <c r="AZ997" s="0" t="s">
        <v>3047</v>
      </c>
      <c r="BA997" s="0" t="s">
        <v>673</v>
      </c>
      <c r="BB997" s="0" t="str">
        <f t="shared" si="15"/>
        <v>FGHINkdMakarfi</v>
      </c>
    </row>
    <row r="998">
      <c r="AV998" s="0" t="s">
        <v>471</v>
      </c>
      <c r="AW998" s="0" t="s">
        <v>286</v>
      </c>
      <c r="AX998" s="0" t="s">
        <v>1024</v>
      </c>
      <c r="AY998" s="0" t="s">
        <v>3048</v>
      </c>
      <c r="AZ998" s="0" t="s">
        <v>3049</v>
      </c>
      <c r="BA998" s="0" t="s">
        <v>673</v>
      </c>
      <c r="BB998" s="0" t="str">
        <f t="shared" si="15"/>
        <v>FGHINkdMakarfi</v>
      </c>
    </row>
    <row r="999">
      <c r="AV999" s="0" t="s">
        <v>471</v>
      </c>
      <c r="AW999" s="0" t="s">
        <v>286</v>
      </c>
      <c r="AX999" s="0" t="s">
        <v>1024</v>
      </c>
      <c r="AY999" s="0" t="s">
        <v>3050</v>
      </c>
      <c r="AZ999" s="0" t="s">
        <v>3051</v>
      </c>
      <c r="BA999" s="0" t="s">
        <v>673</v>
      </c>
      <c r="BB999" s="0" t="str">
        <f t="shared" si="15"/>
        <v>FGHINkdMakarfi</v>
      </c>
    </row>
    <row r="1000">
      <c r="AV1000" s="0" t="s">
        <v>471</v>
      </c>
      <c r="AW1000" s="0" t="s">
        <v>286</v>
      </c>
      <c r="AX1000" s="0" t="s">
        <v>1024</v>
      </c>
      <c r="AY1000" s="0" t="s">
        <v>3052</v>
      </c>
      <c r="AZ1000" s="0" t="s">
        <v>3053</v>
      </c>
      <c r="BA1000" s="0" t="s">
        <v>673</v>
      </c>
      <c r="BB1000" s="0" t="str">
        <f t="shared" si="15"/>
        <v>FGHINkdMakarfi</v>
      </c>
    </row>
    <row r="1001">
      <c r="AV1001" s="0" t="s">
        <v>471</v>
      </c>
      <c r="AW1001" s="0" t="s">
        <v>286</v>
      </c>
      <c r="AX1001" s="0" t="s">
        <v>1024</v>
      </c>
      <c r="AY1001" s="0" t="s">
        <v>3054</v>
      </c>
      <c r="AZ1001" s="0" t="s">
        <v>3055</v>
      </c>
      <c r="BA1001" s="0" t="s">
        <v>673</v>
      </c>
      <c r="BB1001" s="0" t="str">
        <f t="shared" si="15"/>
        <v>FGHINkdMakarfi</v>
      </c>
    </row>
    <row r="1002">
      <c r="AV1002" s="0" t="s">
        <v>471</v>
      </c>
      <c r="AW1002" s="0" t="s">
        <v>286</v>
      </c>
      <c r="AX1002" s="0" t="s">
        <v>1024</v>
      </c>
      <c r="AY1002" s="0" t="s">
        <v>3056</v>
      </c>
      <c r="AZ1002" s="0" t="s">
        <v>3057</v>
      </c>
      <c r="BA1002" s="0" t="s">
        <v>673</v>
      </c>
      <c r="BB1002" s="0" t="str">
        <f t="shared" si="15"/>
        <v>FGHINkdMakarfi</v>
      </c>
    </row>
    <row r="1003">
      <c r="AV1003" s="0" t="s">
        <v>471</v>
      </c>
      <c r="AW1003" s="0" t="s">
        <v>286</v>
      </c>
      <c r="AX1003" s="0" t="s">
        <v>1024</v>
      </c>
      <c r="AY1003" s="0" t="s">
        <v>3058</v>
      </c>
      <c r="AZ1003" s="0" t="s">
        <v>3059</v>
      </c>
      <c r="BA1003" s="0" t="s">
        <v>673</v>
      </c>
      <c r="BB1003" s="0" t="str">
        <f t="shared" si="15"/>
        <v>FGHINkdMakarfi</v>
      </c>
    </row>
    <row r="1004">
      <c r="AV1004" s="0" t="s">
        <v>471</v>
      </c>
      <c r="AW1004" s="0" t="s">
        <v>286</v>
      </c>
      <c r="AX1004" s="0" t="s">
        <v>1039</v>
      </c>
      <c r="AY1004" s="0" t="s">
        <v>3060</v>
      </c>
      <c r="AZ1004" s="0" t="s">
        <v>3061</v>
      </c>
      <c r="BA1004" s="0" t="s">
        <v>673</v>
      </c>
      <c r="BB1004" s="0" t="str">
        <f t="shared" si="15"/>
        <v>FGHINkdSabonGari</v>
      </c>
    </row>
    <row r="1005">
      <c r="AV1005" s="0" t="s">
        <v>471</v>
      </c>
      <c r="AW1005" s="0" t="s">
        <v>406</v>
      </c>
      <c r="AX1005" s="0" t="s">
        <v>453</v>
      </c>
      <c r="AY1005" s="0" t="s">
        <v>3062</v>
      </c>
      <c r="AZ1005" s="0" t="s">
        <v>3063</v>
      </c>
      <c r="BA1005" s="0" t="s">
        <v>673</v>
      </c>
      <c r="BB1005" s="0" t="str">
        <f t="shared" si="15"/>
        <v>FGHINknGezawa</v>
      </c>
    </row>
    <row r="1006">
      <c r="AV1006" s="0" t="s">
        <v>471</v>
      </c>
      <c r="AW1006" s="0" t="s">
        <v>406</v>
      </c>
      <c r="AX1006" s="0" t="s">
        <v>496</v>
      </c>
      <c r="AY1006" s="0" t="s">
        <v>3064</v>
      </c>
      <c r="AZ1006" s="0" t="s">
        <v>3065</v>
      </c>
      <c r="BA1006" s="0" t="s">
        <v>673</v>
      </c>
      <c r="BB1006" s="0" t="str">
        <f t="shared" si="15"/>
        <v>FGHINknNassarawa</v>
      </c>
    </row>
    <row r="1007">
      <c r="AV1007" s="0" t="s">
        <v>471</v>
      </c>
      <c r="AW1007" s="0" t="s">
        <v>406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286</v>
      </c>
      <c r="AX1280" s="0" t="s">
        <v>950</v>
      </c>
      <c r="AY1280" s="0" t="s">
        <v>3610</v>
      </c>
      <c r="AZ1280" s="0" t="s">
        <v>3611</v>
      </c>
      <c r="BA1280" s="0" t="s">
        <v>709</v>
      </c>
      <c r="BB1280" s="0" t="str">
        <f t="shared" si="19"/>
        <v>IHVNkdZaria</v>
      </c>
    </row>
    <row r="1281">
      <c r="AV1281" s="0" t="s">
        <v>471</v>
      </c>
      <c r="AW1281" s="0" t="s">
        <v>406</v>
      </c>
      <c r="AX1281" s="0" t="s">
        <v>496</v>
      </c>
      <c r="AY1281" s="0" t="s">
        <v>3612</v>
      </c>
      <c r="AZ1281" s="0" t="s">
        <v>3613</v>
      </c>
      <c r="BA1281" s="0" t="s">
        <v>709</v>
      </c>
      <c r="BB1281" s="0" t="str">
        <f t="shared" si="19"/>
        <v>IHVNknNassarawa</v>
      </c>
    </row>
    <row r="1282">
      <c r="AV1282" s="0" t="s">
        <v>471</v>
      </c>
      <c r="AW1282" s="0" t="s">
        <v>406</v>
      </c>
      <c r="AX1282" s="0" t="s">
        <v>496</v>
      </c>
      <c r="AY1282" s="0" t="s">
        <v>3614</v>
      </c>
      <c r="AZ1282" s="0" t="s">
        <v>3615</v>
      </c>
      <c r="BA1282" s="0" t="s">
        <v>709</v>
      </c>
      <c r="BB1282" s="0" t="str">
        <f t="shared" si="19"/>
        <v>IHVNknNassarawa</v>
      </c>
    </row>
    <row r="1283">
      <c r="AV1283" s="0" t="s">
        <v>471</v>
      </c>
      <c r="AW1283" s="0" t="s">
        <v>406</v>
      </c>
      <c r="AX1283" s="0" t="s">
        <v>537</v>
      </c>
      <c r="AY1283" s="0" t="s">
        <v>3616</v>
      </c>
      <c r="AZ1283" s="0" t="s">
        <v>3617</v>
      </c>
      <c r="BA1283" s="0" t="s">
        <v>709</v>
      </c>
      <c r="BB1283" s="0" t="str">
        <f ref="BB1283:BB1346" t="shared" si="20">SUBSTITUTE(SUBSTITUTE(BA1283&amp;AX1283," ",""),"-","")</f>
        <v>IHVNknTarauni</v>
      </c>
    </row>
    <row r="1284">
      <c r="AV1284" s="0" t="s">
        <v>471</v>
      </c>
      <c r="AW1284" s="0" t="s">
        <v>406</v>
      </c>
      <c r="AX1284" s="0" t="s">
        <v>578</v>
      </c>
      <c r="AY1284" s="0" t="s">
        <v>3618</v>
      </c>
      <c r="AZ1284" s="0" t="s">
        <v>3619</v>
      </c>
      <c r="BA1284" s="0" t="s">
        <v>709</v>
      </c>
      <c r="BB1284" s="0" t="str">
        <f t="shared" si="20"/>
        <v>IHVNknTudunWada</v>
      </c>
    </row>
    <row r="1285">
      <c r="AV1285" s="0" t="s">
        <v>471</v>
      </c>
      <c r="AW1285" s="0" t="s">
        <v>406</v>
      </c>
      <c r="AX1285" s="0" t="s">
        <v>616</v>
      </c>
      <c r="AY1285" s="0" t="s">
        <v>3620</v>
      </c>
      <c r="AZ1285" s="0" t="s">
        <v>3621</v>
      </c>
      <c r="BA1285" s="0" t="s">
        <v>709</v>
      </c>
      <c r="BB1285" s="0" t="str">
        <f t="shared" si="20"/>
        <v>IHVNknUngogo</v>
      </c>
    </row>
    <row r="1286">
      <c r="AV1286" s="0" t="s">
        <v>471</v>
      </c>
      <c r="AW1286" s="0" t="s">
        <v>406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