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<sst xmlns="http://schemas.openxmlformats.org/spreadsheetml/2006/main" count="4056" uniqueCount="4056">
  <si>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</si>
  <si>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</si>
  <si>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</si>
  <si>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</si>
  <si>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</si>
  <si>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</si>
  <si>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</si>
  <si>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</si>
  <si>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</si>
  <si>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</si>
  <si>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</si>
  <si>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</si>
  <si>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</si>
  <si>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</si>
  <si>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</si>
  <si>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</si>
  <si>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</si>
  <si>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</si>
  <si>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</si>
  <si>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</si>
  <si>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</si>
  <si>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</si>
  <si>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</si>
  <si>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</si>
  <si>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</si>
  <si>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</si>
  <si>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</si>
  <si>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</si>
  <si>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</si>
  <si>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</si>
  <si>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</si>
  <si>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</si>
  <si>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</si>
  <si>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</si>
  <si>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</si>
  <si>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</si>
  <si>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</si>
  <si>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</si>
  <si>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</si>
  <si>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</si>
  <si>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</si>
  <si>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</si>
  <si>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</si>
  <si>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</si>
  <si>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</si>
  <si>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</si>
  <si>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</si>
  <si>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</si>
  <si>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</si>
  <si>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</si>
  <si>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</si>
  <si>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</si>
  <si>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</si>
  <si>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</si>
  <si>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</si>
  <si>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</si>
  <si>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</si>
  <si>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</si>
  <si>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</si>
  <si>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</si>
  <si>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</si>
  <si>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</si>
  <si>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</si>
  <si>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</si>
  <si>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</si>
  <si>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</si>
  <si>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</si>
  <si>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</si>
  <si>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</si>
  <si>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</si>
  <si>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</si>
  <si>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</si>
  <si>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</si>
  <si>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</si>
  <si>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</si>
  <si>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</si>
  <si>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</si>
  <si>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</si>
  <si>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</si>
  <si>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</si>
  <si>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</si>
  <si>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</si>
  <si>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</si>
  <si>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</si>
  <si>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</si>
  <si>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</si>
  <si>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</si>
  <si>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</si>
  <si>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</si>
  <si>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</si>
  <si>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</si>
  <si>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</si>
  <si>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</si>
  <si>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</si>
  <si>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</si>
  <si>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</si>
  <si>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</si>
  <si>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</si>
  <si>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</si>
  <si>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</si>
  <si>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</si>
  <si>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</si>
  <si>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</si>
  <si>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</si>
  <si>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</si>
  <si>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</si>
  <si>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</si>
  <si>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</si>
  <si>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</si>
  <si>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</si>
  <si>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</si>
  <si>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</si>
  <si>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</si>
  <si>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</si>
  <si>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</si>
  <si>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</si>
  <si>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</si>
  <si>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</si>
  <si>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</si>
  <si>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</si>
  <si>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</si>
  <si>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</si>
  <si>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</si>
  <si>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</si>
  <si>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</si>
  <si>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</si>
  <si>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</si>
  <si>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</si>
  <si>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</si>
  <si>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</si>
  <si>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</si>
  <si>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</si>
  <si>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</si>
  <si>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</si>
  <si>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</si>
  <si>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</si>
  <si>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</si>
  <si>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</si>
  <si>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</si>
  <si>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</si>
  <si>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</si>
  <si>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</si>
  <si>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</si>
  <si>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</si>
  <si>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</si>
  <si>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</si>
  <si>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</si>
  <si>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</si>
  <si>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</si>
  <si>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</si>
  <si>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</si>
  <si>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</si>
  <si>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</si>
  <si>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</si>
  <si>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</si>
  <si>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</si>
  <si>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</si>
  <si>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</si>
  <si>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</si>
  <si>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</si>
  <si>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</si>
  <si>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</si>
  <si>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</si>
  <si>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</si>
  <si>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</si>
  <si>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</si>
  <si>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</si>
  <si>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</si>
  <si>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</si>
  <si>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</si>
  <si>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</si>
  <si>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</si>
  <si>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</si>
  <si>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</si>
  <si>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</si>
  <si>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</si>
  <si>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</si>
  <si>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</si>
  <si>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</si>
  <si>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</si>
  <si>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</si>
  <si>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</si>
  <si>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</si>
  <si>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</si>
  <si>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</si>
  <si>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</si>
  <si>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</si>
  <si>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</si>
  <si>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</si>
  <si>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</si>
  <si>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</si>
  <si>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</si>
  <si>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</si>
  <si>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</si>
  <si>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</si>
  <si>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</si>
  <si>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</si>
  <si>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</si>
  <si>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</si>
  <si>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</si>
  <si>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</si>
  <si>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</si>
  <si>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</si>
  <si>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</si>
  <si>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</si>
  <si>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</si>
  <si>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</si>
  <si>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</si>
  <si>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</si>
  <si>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</si>
  <si>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</si>
  <si>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</si>
  <si>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</si>
  <si>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</si>
  <si>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</si>
  <si>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</si>
  <si>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</si>
  <si>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</si>
  <si>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</si>
  <si>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</si>
  <si>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</si>
  <si>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</si>
  <si>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</si>
  <si>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</si>
  <si>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</si>
  <si>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</si>
  <si>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</si>
  <si>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</si>
  <si>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</si>
  <si>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</si>
  <si>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</si>
  <si>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</si>
  <si>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</si>
  <si>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</si>
  <si>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</si>
  <si>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</si>
  <si>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</si>
  <si>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</si>
  <si>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</si>
  <si>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</si>
  <si>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</si>
  <si>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</si>
  <si>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</si>
  <si>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</si>
  <si>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</si>
  <si>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</si>
  <si>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</si>
  <si>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</si>
  <si>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</si>
  <si>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</si>
  <si>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</si>
  <si>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</si>
  <si>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</si>
  <si>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</si>
  <si>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</si>
  <si>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</si>
  <si>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</si>
  <si>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</si>
  <si>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</si>
  <si>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</si>
  <si>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</si>
  <si>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</si>
  <si>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</si>
  <si>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</si>
  <si>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</si>
  <si>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</si>
  <si>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</si>
  <si>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</si>
  <si>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</si>
  <si>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</si>
  <si>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</si>
  <si>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</si>
  <si>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</si>
  <si>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</si>
  <si>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</si>
  <si>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</si>
  <si>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</si>
  <si>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</si>
  <si>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</si>
  <si>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</si>
  <si>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</si>
  <si>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</si>
  <si>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</si>
  <si>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</si>
  <si>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</si>
  <si>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</si>
  <si>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</si>
  <si>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</si>
  <si>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</si>
  <si>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Charles' Hospital</t>
  </si>
  <si>
    <t>Reporting Period:</t>
  </si>
  <si>
    <t>Q1(Oct - Dec)</t>
  </si>
  <si>
    <t>Facility Code:</t>
  </si>
  <si>
    <t>jwRjWD3wLjp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</si>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</sst>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220</v>
      </c>
      <c r="G8" s="155">
        <f>ROUND(SUM('All Questions'!D31:D35)/5+G12,0)</f>
        <v>301</v>
      </c>
      <c r="H8" s="156">
        <f>ROUND(SUM('All Questions'!D37,'All Questions'!D40)/2+'All Questions'!D26+H12,0)</f>
        <v>459</v>
      </c>
      <c r="I8" s="157">
        <f>ROUND((SUM('All Questions'!E11:E14)/4)+I12,0)</f>
        <v>0</v>
      </c>
      <c r="J8" s="155">
        <f>ROUND(SUM('All Questions'!E15:E21)/7+J12,0)</f>
        <v>0</v>
      </c>
      <c r="K8" s="155">
        <f>ROUND(SUM('All Questions'!E23:E30)/4+K12,0)</f>
        <v>263</v>
      </c>
      <c r="L8" s="155">
        <f>ROUND(SUM('All Questions'!E31:E35)/5+L12,0)</f>
        <v>361</v>
      </c>
      <c r="M8" s="156">
        <f>ROUND(('All Questions'!E37+'All Questions'!E40)/2+'All Questions'!E26+M12,0)</f>
        <v>532</v>
      </c>
      <c r="N8" s="157">
        <f>ROUND((SUM('All Questions'!F11:F14)/4)+N12,0)</f>
        <v>0</v>
      </c>
      <c r="O8" s="155">
        <f>ROUND(SUM('All Questions'!F15:F21)/7+O12,0)</f>
        <v>0</v>
      </c>
      <c r="P8" s="155">
        <f>ROUND(SUM('All Questions'!F23:F30)/4+P12,0)</f>
        <v>257</v>
      </c>
      <c r="Q8" s="155">
        <f>ROUND(SUM('All Questions'!F31:F35)/5+Q12,0)</f>
        <v>340</v>
      </c>
      <c r="R8" s="156">
        <f>ROUND(('All Questions'!F37+'All Questions'!F40)/2+'All Questions'!F26+R12,0)</f>
        <v>528</v>
      </c>
      <c r="S8" s="141">
        <f>'All Questions'!F2</f>
        <v>0</v>
      </c>
      <c r="T8" s="142" t="e">
        <f>(AVERAGE(F8:H8)+AVERAGE(K8:M8)+AVERAGE(P8:R8))/S8</f>
        <v>#DIV/0!</v>
      </c>
      <c r="V8" s="309">
        <f>AVERAGE(F8:H8)+AVERAGE(K8:M8)+AVERAGE(P8:R8)</f>
        <v>1087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5</v>
      </c>
      <c r="L9" s="158"/>
      <c r="M9" s="160"/>
      <c r="N9" s="161"/>
      <c r="O9" s="158"/>
      <c r="P9" s="159">
        <f>ROUND('All Questions'!F29+P13,0)</f>
        <v>2</v>
      </c>
      <c r="Q9" s="158"/>
      <c r="R9" s="160"/>
      <c r="S9" s="141">
        <f>'All Questions'!F3</f>
        <v>0</v>
      </c>
      <c r="T9" s="143" t="e">
        <f>SUM(F9,K9,P9)/S9</f>
        <v>#DIV/0!</v>
      </c>
      <c r="V9" s="309">
        <f>SUM(F9+K9+P9)</f>
        <v>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144</v>
      </c>
      <c r="G10" s="159">
        <f>ROUND(SUM('All Questions'!D31:D35)/5,0)</f>
        <v>215</v>
      </c>
      <c r="H10" s="162">
        <f>ROUND(('All Questions'!D37+'All Questions'!D40)/2+'All Questions'!D26,0)</f>
        <v>345</v>
      </c>
      <c r="I10" s="163">
        <f>ROUND((SUM('All Questions'!E11:E14)/4),0)</f>
        <v>0</v>
      </c>
      <c r="J10" s="164">
        <f>ROUND(SUM('All Questions'!E15:E21)/7,0)</f>
        <v>0</v>
      </c>
      <c r="K10" s="164">
        <f>ROUND(SUM('All Questions'!E23:E30)/4,0)</f>
        <v>189</v>
      </c>
      <c r="L10" s="164">
        <f>ROUND(SUM('All Questions'!E31:E35)/5,0)</f>
        <v>277</v>
      </c>
      <c r="M10" s="165">
        <f>ROUND(('All Questions'!E37+'All Questions'!E40)/2+'All Questions'!E26,0)</f>
        <v>422</v>
      </c>
      <c r="N10" s="166">
        <f>ROUND((SUM('All Questions'!F11:F14)/4),0)</f>
        <v>0</v>
      </c>
      <c r="O10" s="164">
        <f>ROUND(SUM('All Questions'!F15:F21)/7,0)</f>
        <v>0</v>
      </c>
      <c r="P10" s="164">
        <f>ROUND(SUM('All Questions'!F23:F30)/4,0)</f>
        <v>191</v>
      </c>
      <c r="Q10" s="164">
        <f>ROUND(SUM('All Questions'!F31:F35)/5,0)</f>
        <v>266</v>
      </c>
      <c r="R10" s="165">
        <f>ROUND(('All Questions'!F37+'All Questions'!F40)/2+'All Questions'!F26,0)</f>
        <v>434</v>
      </c>
      <c r="S10" s="141">
        <f>'All Questions'!F4</f>
        <v>0</v>
      </c>
      <c r="T10" s="143" t="e">
        <f>(AVERAGE(F10:H10)+AVERAGE(K10:M10)+AVERAGE(P10:R10))/S10</f>
        <v>#DIV/0!</v>
      </c>
      <c r="V10" s="309">
        <f>AVERAGE(F10:H10)+AVERAGE(K10:M10)+AVERAGE(P10:R10)</f>
        <v>827.66666666666663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5</v>
      </c>
      <c r="L11" s="167"/>
      <c r="M11" s="169"/>
      <c r="N11" s="170"/>
      <c r="O11" s="167"/>
      <c r="P11" s="171">
        <f>ROUND('All Questions'!F29,0)</f>
        <v>1</v>
      </c>
      <c r="Q11" s="167"/>
      <c r="R11" s="169"/>
      <c r="S11" s="141">
        <f>'All Questions'!F5</f>
        <v>0</v>
      </c>
      <c r="T11" s="144" t="e">
        <f>SUM(F11,K11,P11)/S11</f>
        <v>#DIV/0!</v>
      </c>
      <c r="V11" s="309">
        <f>SUM(F11+K11+P11)</f>
        <v>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77</v>
      </c>
      <c r="G12" s="173">
        <f>ROUND(SUM('All Questions'!D73:D80)/4,0)</f>
        <v>86</v>
      </c>
      <c r="H12" s="174">
        <f>ROUND(SUM('All Questions'!D82:D83)/2,0)</f>
        <v>114</v>
      </c>
      <c r="I12" s="175">
        <f>ROUND(SUM('All Questions'!E54:E58)+'All Questions'!E71/4,0)</f>
        <v>0</v>
      </c>
      <c r="J12" s="176">
        <f>ROUND(SUM('All Questions'!E60:E63)/4,0)</f>
        <v>0</v>
      </c>
      <c r="K12" s="176">
        <f>ROUND(SUM('All Questions'!E67:E72)/3,0)</f>
        <v>74</v>
      </c>
      <c r="L12" s="176">
        <f>ROUND(SUM('All Questions'!E73:E80)/4,0)</f>
        <v>84</v>
      </c>
      <c r="M12" s="177">
        <f>ROUND(SUM('All Questions'!E82:E83)/2,0)</f>
        <v>110</v>
      </c>
      <c r="N12" s="178">
        <f>ROUND(SUM('All Questions'!F54:F58)+'All Questions'!F71/4,0)</f>
        <v>0</v>
      </c>
      <c r="O12" s="176">
        <f>ROUND(SUM('All Questions'!F60:F63)/4,0)</f>
        <v>0</v>
      </c>
      <c r="P12" s="176">
        <f>ROUND(SUM('All Questions'!F67:F72)/3,0)</f>
        <v>66</v>
      </c>
      <c r="Q12" s="176">
        <f>ROUND(SUM('All Questions'!F73:F80)/4,0)</f>
        <v>74</v>
      </c>
      <c r="R12" s="177">
        <f>ROUND(SUM('All Questions'!F82:F83)/2,0)</f>
        <v>94</v>
      </c>
      <c r="S12" s="145">
        <f>'All Questions'!F46</f>
        <v>0</v>
      </c>
      <c r="T12" s="146" t="e">
        <f ref="T12:T15" t="shared" si="1">(AVERAGE(F12:H12)+AVERAGE(K12:M12)+AVERAGE(P12:R12))/S12</f>
        <v>#DIV/0!</v>
      </c>
      <c r="V12" s="309">
        <f>AVERAGE(F12:H12)+AVERAGE(K12:M12)+AVERAGE(P12:R12)</f>
        <v>259.66666666666663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3</v>
      </c>
      <c r="Q14" s="183">
        <f>ROUND(SUM('All Questions'!F74,'All Questions'!F76,'All Questions'!F78,'All Questions'!F80)/4,0)</f>
        <v>3</v>
      </c>
      <c r="R14" s="184">
        <f>ROUND(SUM('All Questions'!F88:F89)/2,0)</f>
        <v>3</v>
      </c>
      <c r="S14" s="145">
        <f>'All Questions'!F48</f>
        <v>0</v>
      </c>
      <c r="T14" s="147" t="e">
        <f>(AVERAGE(F14:H14)+AVERAGE(K14:M14)+AVERAGE(P14:R14))/S14</f>
        <v>#DIV/0!</v>
      </c>
      <c r="V14" s="309">
        <f>AVERAGE(F14:H14)+AVERAGE(K14:M14)+AVERAGE(P14:R14)</f>
        <v>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2</v>
      </c>
      <c r="H15" s="162">
        <f>ROUND(SUM('All Questions'!D135,'All Questions'!D138),0)</f>
        <v>4</v>
      </c>
      <c r="I15" s="166">
        <f>ROUND(SUM('All Questions'!E119:E120)/2,0)</f>
        <v>0</v>
      </c>
      <c r="J15" s="164">
        <f>ROUND(SUM('All Questions'!E121,'All Questions'!E124)/2,0)</f>
        <v>0</v>
      </c>
      <c r="K15" s="164">
        <f>ROUND(SUM('All Questions'!E126:E129)/2,0)</f>
        <v>2</v>
      </c>
      <c r="L15" s="164">
        <f>ROUND(SUM('All Questions'!E131:E133)/3,0)</f>
        <v>2</v>
      </c>
      <c r="M15" s="165">
        <f>ROUND(SUM('All Questions'!E135,'All Questions'!E138),0)</f>
        <v>4</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5.333333333333333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3</v>
      </c>
      <c r="Q16" s="194">
        <f>ROUND(SUM('All Questions'!F106:F109)/4,0)</f>
        <v>2</v>
      </c>
      <c r="R16" s="195">
        <f>ROUND(SUM('All Questions'!F111,'All Questions'!F112,'All Questions'!F114,'All Questions'!F115)/4,0)</f>
        <v>1</v>
      </c>
      <c r="S16" s="149">
        <f>'All Questions'!F91</f>
        <v>0</v>
      </c>
      <c r="T16" s="150" t="e">
        <f>(AVERAGE(F16:H16)+AVERAGE(K16:M16)+AVERAGE(P16:R16))/S16</f>
        <v>#DIV/0!</v>
      </c>
      <c r="V16" s="309">
        <f t="shared" si="2"/>
        <v>2.3333333333333335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4</v>
      </c>
      <c r="H17" s="197">
        <f>ROUND(SUM('All Questions'!D160,'All Questions'!D163)/2,0)</f>
        <v>4</v>
      </c>
      <c r="I17" s="198">
        <f>ROUND(SUM('All Questions'!E145:E146)/2,0)</f>
        <v>0</v>
      </c>
      <c r="J17" s="199">
        <f>ROUND(SUM('All Questions'!E147:E150)/4,0)</f>
        <v>0</v>
      </c>
      <c r="K17" s="199">
        <f>ROUND(SUM('All Questions'!E151:E154)/2,0)</f>
        <v>4</v>
      </c>
      <c r="L17" s="199">
        <f>ROUND(SUM('All Questions'!E155:E158)/4,0)</f>
        <v>4</v>
      </c>
      <c r="M17" s="197">
        <f>ROUND(SUM('All Questions'!E160,'All Questions'!E163)/2,0)</f>
        <v>4</v>
      </c>
      <c r="N17" s="200">
        <f>ROUND(SUM('All Questions'!F145:F146)/2,0)</f>
        <v>0</v>
      </c>
      <c r="O17" s="199">
        <f>ROUND(SUM('All Questions'!F147:F150)/4,0)</f>
        <v>0</v>
      </c>
      <c r="P17" s="199">
        <f>ROUND(SUM('All Questions'!F151:F154)/2,0)</f>
        <v>4</v>
      </c>
      <c r="Q17" s="199">
        <f>ROUND(SUM('All Questions'!F155:F158)/4,0)</f>
        <v>4</v>
      </c>
      <c r="R17" s="199">
        <f>ROUND(SUM('All Questions'!F160,'All Questions'!F163)/2,0)</f>
        <v>4</v>
      </c>
      <c r="S17" s="151">
        <f>'All Questions'!F141</f>
        <v>0</v>
      </c>
      <c r="T17" s="142" t="e">
        <f>(AVERAGE(F17:H17)+AVERAGE(K17:M17)+AVERAGE(P17:R17))/S17</f>
        <v>#DIV/0!</v>
      </c>
      <c r="V17" s="309">
        <f t="shared" si="2"/>
        <v>12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356</v>
      </c>
      <c r="Q18" s="204">
        <f>ROUND(SUM('All Questions'!F186:F189)/4,0)</f>
        <v>162</v>
      </c>
      <c r="R18" s="303">
        <f>ROUND(('All Questions'!F191-('All Questions'!F194+'All Questions'!F197+'All Questions'!F200)),0)</f>
        <v>573</v>
      </c>
      <c r="S18" s="152">
        <f>'All Questions'!F166</f>
        <v>0</v>
      </c>
      <c r="T18" s="144" t="e">
        <f>AVERAGE(P18:R18)/S18</f>
        <v>#DIV/0!</v>
      </c>
      <c r="V18" s="309">
        <f>AVERAGE(P18:R18)</f>
        <v>363.66666666666669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1623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6</v>
      </c>
      <c r="E13" s="301">
        <v>6</v>
      </c>
      <c r="F13" s="301">
        <v>7</v>
      </c>
      <c r="G13" s="207" t="s">
        <v>67</v>
      </c>
    </row>
    <row r="14" hidden="1" ht="45" customHeight="1">
      <c r="A14" s="226"/>
      <c r="B14" s="238">
        <v>1117</v>
      </c>
      <c r="C14" s="242" t="s">
        <v>88</v>
      </c>
      <c r="D14" s="301">
        <v>6</v>
      </c>
      <c r="E14" s="301">
        <v>6</v>
      </c>
      <c r="F14" s="301">
        <v>7</v>
      </c>
      <c r="G14" s="207" t="s">
        <v>67</v>
      </c>
    </row>
    <row r="15" hidden="1" ht="45" customHeight="1">
      <c r="A15" s="226">
        <v>1116</v>
      </c>
      <c r="B15" s="238">
        <v>1121</v>
      </c>
      <c r="C15" s="243" t="str">
        <f>C13</f>
        <v>How many HTC clients have a completed Client intake form </v>
      </c>
      <c r="D15" s="302">
        <v>6</v>
      </c>
      <c r="E15" s="302">
        <v>6</v>
      </c>
      <c r="F15" s="302">
        <v>7</v>
      </c>
      <c r="G15" s="207"/>
    </row>
    <row r="16" hidden="1" ht="45" customHeight="1">
      <c r="A16" s="226"/>
      <c r="B16" s="238">
        <v>1122</v>
      </c>
      <c r="C16" s="243" t="s">
        <v>89</v>
      </c>
      <c r="D16" s="301">
        <v>6</v>
      </c>
      <c r="E16" s="301">
        <v>6</v>
      </c>
      <c r="F16" s="301">
        <v>7</v>
      </c>
      <c r="G16" s="207" t="s">
        <v>67</v>
      </c>
    </row>
    <row r="17" hidden="1" ht="45" customHeight="1">
      <c r="A17" s="226"/>
      <c r="B17" s="238">
        <v>1123</v>
      </c>
      <c r="C17" s="242" t="s">
        <v>90</v>
      </c>
      <c r="D17" s="301">
        <v>6</v>
      </c>
      <c r="E17" s="301">
        <v>6</v>
      </c>
      <c r="F17" s="301">
        <v>7</v>
      </c>
      <c r="G17" s="207" t="s">
        <v>67</v>
      </c>
    </row>
    <row r="18" hidden="1" ht="45" customHeight="1">
      <c r="A18" s="226"/>
      <c r="B18" s="238">
        <v>1124</v>
      </c>
      <c r="C18" s="242" t="s">
        <v>91</v>
      </c>
      <c r="D18" s="301">
        <v>6</v>
      </c>
      <c r="E18" s="301">
        <v>6</v>
      </c>
      <c r="F18" s="301">
        <v>7</v>
      </c>
      <c r="G18" s="207" t="s">
        <v>67</v>
      </c>
    </row>
    <row r="19" hidden="1" ht="45" customHeight="1">
      <c r="A19" s="226"/>
      <c r="B19" s="238">
        <v>1125</v>
      </c>
      <c r="C19" s="242" t="s">
        <v>92</v>
      </c>
      <c r="D19" s="301">
        <v>6</v>
      </c>
      <c r="E19" s="301">
        <v>6</v>
      </c>
      <c r="F19" s="301">
        <v>7</v>
      </c>
      <c r="G19" s="207" t="s">
        <v>67</v>
      </c>
    </row>
    <row r="20" hidden="1" ht="45" customHeight="1">
      <c r="A20" s="226"/>
      <c r="B20" s="238">
        <v>1126</v>
      </c>
      <c r="C20" s="242" t="s">
        <v>93</v>
      </c>
      <c r="D20" s="301">
        <v>6</v>
      </c>
      <c r="E20" s="301">
        <v>6</v>
      </c>
      <c r="F20" s="301">
        <v>7</v>
      </c>
      <c r="G20" s="207" t="s">
        <v>67</v>
      </c>
    </row>
    <row r="21" hidden="1" ht="45" customHeight="1">
      <c r="A21" s="226"/>
      <c r="B21" s="238">
        <v>1127</v>
      </c>
      <c r="C21" s="242" t="s">
        <v>94</v>
      </c>
      <c r="D21" s="301">
        <v>6</v>
      </c>
      <c r="E21" s="301">
        <v>6</v>
      </c>
      <c r="F21" s="301">
        <v>7</v>
      </c>
      <c r="G21" s="207" t="s">
        <v>67</v>
      </c>
    </row>
    <row r="22" hidden="1" ht="45" customHeight="1">
      <c r="A22" s="226"/>
      <c r="B22" s="238"/>
      <c r="C22" s="245" t="s">
        <v>95</v>
      </c>
      <c r="D22" s="246"/>
      <c r="E22" s="246"/>
      <c r="F22" s="247"/>
      <c r="G22" s="207" t="s">
        <v>67</v>
      </c>
    </row>
    <row r="23" hidden="1" ht="45" customHeight="1">
      <c r="A23" s="226"/>
      <c r="B23" s="238">
        <v>1131</v>
      </c>
      <c r="C23" s="242" t="s">
        <v>96</v>
      </c>
      <c r="D23" s="301">
        <v>2</v>
      </c>
      <c r="E23" s="301">
        <v>3</v>
      </c>
      <c r="F23" s="301">
        <v>3</v>
      </c>
      <c r="G23" s="207" t="s">
        <v>67</v>
      </c>
    </row>
    <row r="24" hidden="1" ht="45" customHeight="1">
      <c r="A24" s="226"/>
      <c r="B24" s="238">
        <v>1132</v>
      </c>
      <c r="C24" s="242" t="s">
        <v>97</v>
      </c>
      <c r="D24" s="301">
        <v>4</v>
      </c>
      <c r="E24" s="301">
        <v>3</v>
      </c>
      <c r="F24" s="301">
        <v>4</v>
      </c>
      <c r="G24" s="207" t="s">
        <v>67</v>
      </c>
    </row>
    <row r="25" hidden="1" ht="45" customHeight="1">
      <c r="A25" s="226"/>
      <c r="B25" s="238">
        <v>1133</v>
      </c>
      <c r="C25" s="242" t="s">
        <v>98</v>
      </c>
      <c r="D25" s="301">
        <v>286</v>
      </c>
      <c r="E25" s="301">
        <v>292</v>
      </c>
      <c r="F25" s="301">
        <v>318</v>
      </c>
      <c r="G25" s="207" t="s">
        <v>67</v>
      </c>
    </row>
    <row r="26" hidden="1" ht="45" customHeight="1">
      <c r="A26" s="226"/>
      <c r="B26" s="238">
        <v>1134</v>
      </c>
      <c r="C26" s="242" t="s">
        <v>99</v>
      </c>
      <c r="D26" s="301">
        <v>59</v>
      </c>
      <c r="E26" s="301">
        <v>130</v>
      </c>
      <c r="F26" s="301">
        <v>116</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v>
      </c>
      <c r="E29" s="301">
        <v>5</v>
      </c>
      <c r="F29" s="301">
        <v>1</v>
      </c>
      <c r="G29" s="207" t="s">
        <v>67</v>
      </c>
    </row>
    <row r="30" hidden="1" ht="45" customHeight="1">
      <c r="A30" s="226"/>
      <c r="B30" s="238">
        <v>1138</v>
      </c>
      <c r="C30" s="242" t="s">
        <v>103</v>
      </c>
      <c r="D30" s="301">
        <v>222</v>
      </c>
      <c r="E30" s="301">
        <v>323</v>
      </c>
      <c r="F30" s="301">
        <v>321</v>
      </c>
      <c r="G30" s="207" t="s">
        <v>67</v>
      </c>
    </row>
    <row r="31" hidden="1" ht="45" customHeight="1">
      <c r="A31" s="226">
        <v>1116</v>
      </c>
      <c r="B31" s="238">
        <v>1141</v>
      </c>
      <c r="C31" s="242" t="s">
        <v>104</v>
      </c>
      <c r="D31" s="302">
        <v>6</v>
      </c>
      <c r="E31" s="302">
        <v>6</v>
      </c>
      <c r="F31" s="302">
        <v>7</v>
      </c>
      <c r="G31" s="207"/>
    </row>
    <row r="32" hidden="1" ht="45" customHeight="1">
      <c r="A32" s="226"/>
      <c r="B32" s="238">
        <v>1142</v>
      </c>
      <c r="C32" s="243" t="s">
        <v>105</v>
      </c>
      <c r="D32" s="302">
        <v>6</v>
      </c>
      <c r="E32" s="302">
        <v>6</v>
      </c>
      <c r="F32" s="302">
        <v>7</v>
      </c>
      <c r="G32" s="207"/>
    </row>
    <row r="33" hidden="1" ht="45" customHeight="1">
      <c r="A33" s="226"/>
      <c r="B33" s="238">
        <v>1143</v>
      </c>
      <c r="C33" s="242" t="s">
        <v>106</v>
      </c>
      <c r="D33" s="301">
        <v>345</v>
      </c>
      <c r="E33" s="301">
        <v>422</v>
      </c>
      <c r="F33" s="301">
        <v>424</v>
      </c>
      <c r="G33" s="207" t="s">
        <v>67</v>
      </c>
    </row>
    <row r="34" hidden="1" ht="45" customHeight="1">
      <c r="A34" s="226"/>
      <c r="B34" s="238">
        <v>1144</v>
      </c>
      <c r="C34" s="242" t="s">
        <v>107</v>
      </c>
      <c r="D34" s="301">
        <v>223</v>
      </c>
      <c r="E34" s="301">
        <v>328</v>
      </c>
      <c r="F34" s="301">
        <v>322</v>
      </c>
      <c r="G34" s="207" t="s">
        <v>67</v>
      </c>
    </row>
    <row r="35" hidden="1" ht="45" customHeight="1">
      <c r="A35" s="226"/>
      <c r="B35" s="238">
        <v>1145</v>
      </c>
      <c r="C35" s="242" t="s">
        <v>108</v>
      </c>
      <c r="D35" s="301">
        <v>496</v>
      </c>
      <c r="E35" s="301">
        <v>621</v>
      </c>
      <c r="F35" s="301">
        <v>568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286</v>
      </c>
      <c r="E37" s="301">
        <v>292</v>
      </c>
      <c r="F37" s="301">
        <v>318</v>
      </c>
      <c r="G37" s="207" t="s">
        <v>67</v>
      </c>
    </row>
    <row r="38" hidden="1" ht="45" customHeight="1">
      <c r="A38" s="226"/>
      <c r="B38" s="238">
        <v>1153</v>
      </c>
      <c r="C38" s="242" t="s">
        <v>111</v>
      </c>
      <c r="D38" s="301">
        <v>437</v>
      </c>
      <c r="E38" s="301">
        <v>495</v>
      </c>
      <c r="F38" s="301">
        <v>450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286</v>
      </c>
      <c r="E40" s="301">
        <v>292</v>
      </c>
      <c r="F40" s="301">
        <v>318</v>
      </c>
      <c r="G40" s="207" t="s">
        <v>67</v>
      </c>
    </row>
    <row r="41" hidden="1" ht="45" customHeight="1">
      <c r="A41" s="226"/>
      <c r="B41" s="238">
        <v>1156</v>
      </c>
      <c r="C41" s="242" t="s">
        <v>113</v>
      </c>
      <c r="D41" s="301">
        <v>437</v>
      </c>
      <c r="E41" s="301">
        <v>495</v>
      </c>
      <c r="F41" s="301">
        <v>450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8</v>
      </c>
      <c r="F43" s="301">
        <v>2</v>
      </c>
      <c r="G43" s="207" t="s">
        <v>67</v>
      </c>
    </row>
    <row r="44" hidden="1" ht="45" customHeight="1" s="250" customFormat="1">
      <c r="A44" s="226"/>
      <c r="B44" s="238">
        <v>1159</v>
      </c>
      <c r="C44" s="242" t="s">
        <v>116</v>
      </c>
      <c r="D44" s="301">
        <v>5</v>
      </c>
      <c r="E44" s="301">
        <v>8</v>
      </c>
      <c r="F44" s="301">
        <v>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342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32</v>
      </c>
      <c r="E53" s="301">
        <v>20</v>
      </c>
      <c r="F53" s="301">
        <v>30</v>
      </c>
      <c r="G53" s="207" t="s">
        <v>117</v>
      </c>
    </row>
    <row r="54" hidden="1" ht="45" customHeight="1">
      <c r="A54" s="226"/>
      <c r="B54" s="238">
        <v>1214</v>
      </c>
      <c r="C54" s="264" t="s">
        <v>132</v>
      </c>
      <c r="D54" s="301">
        <v>32</v>
      </c>
      <c r="E54" s="301">
        <v>20</v>
      </c>
      <c r="F54" s="301">
        <v>30</v>
      </c>
      <c r="G54" s="207" t="s">
        <v>117</v>
      </c>
    </row>
    <row r="55" hidden="1" ht="45" customHeight="1">
      <c r="A55" s="226"/>
      <c r="B55" s="238">
        <v>1215</v>
      </c>
      <c r="C55" s="242" t="s">
        <v>133</v>
      </c>
      <c r="D55" s="301">
        <v>32</v>
      </c>
      <c r="E55" s="301">
        <v>20</v>
      </c>
      <c r="F55" s="301">
        <v>30</v>
      </c>
      <c r="G55" s="207" t="s">
        <v>117</v>
      </c>
    </row>
    <row r="56" hidden="1" ht="45" customHeight="1">
      <c r="A56" s="226"/>
      <c r="B56" s="238">
        <v>1216</v>
      </c>
      <c r="C56" s="243" t="s">
        <v>134</v>
      </c>
      <c r="D56" s="301">
        <v>32</v>
      </c>
      <c r="E56" s="301">
        <v>20</v>
      </c>
      <c r="F56" s="301">
        <v>30</v>
      </c>
      <c r="G56" s="207" t="s">
        <v>117</v>
      </c>
    </row>
    <row r="57" hidden="1" ht="45" customHeight="1">
      <c r="A57" s="226"/>
      <c r="B57" s="238">
        <v>1217</v>
      </c>
      <c r="C57" s="243" t="s">
        <v>135</v>
      </c>
      <c r="D57" s="301">
        <v>1</v>
      </c>
      <c r="E57" s="301">
        <v>1</v>
      </c>
      <c r="F57" s="301">
        <v>3</v>
      </c>
      <c r="G57" s="207" t="s">
        <v>117</v>
      </c>
    </row>
    <row r="58" hidden="1" ht="45" customHeight="1">
      <c r="A58" s="226"/>
      <c r="B58" s="238">
        <v>1218</v>
      </c>
      <c r="C58" s="243" t="s">
        <v>136</v>
      </c>
      <c r="D58" s="301">
        <v>0</v>
      </c>
      <c r="E58" s="301">
        <v>0</v>
      </c>
      <c r="F58" s="301">
        <v>1</v>
      </c>
      <c r="G58" s="207" t="s">
        <v>117</v>
      </c>
    </row>
    <row r="59" hidden="1" ht="45" customHeight="1">
      <c r="A59" s="226"/>
      <c r="B59" s="238">
        <v>1221</v>
      </c>
      <c r="C59" s="264" t="s">
        <v>137</v>
      </c>
      <c r="D59" s="301">
        <v>32</v>
      </c>
      <c r="E59" s="301">
        <v>20</v>
      </c>
      <c r="F59" s="301">
        <v>30</v>
      </c>
      <c r="G59" s="207" t="s">
        <v>117</v>
      </c>
    </row>
    <row r="60" hidden="1" ht="45" customHeight="1">
      <c r="A60" s="226"/>
      <c r="B60" s="238">
        <v>1222</v>
      </c>
      <c r="C60" s="264" t="s">
        <v>138</v>
      </c>
      <c r="D60" s="301">
        <v>31</v>
      </c>
      <c r="E60" s="301">
        <v>19</v>
      </c>
      <c r="F60" s="301">
        <v>27</v>
      </c>
      <c r="G60" s="207" t="s">
        <v>117</v>
      </c>
    </row>
    <row r="61" hidden="1" ht="45" customHeight="1">
      <c r="A61" s="226"/>
      <c r="B61" s="238">
        <v>1223</v>
      </c>
      <c r="C61" s="264" t="s">
        <v>139</v>
      </c>
      <c r="D61" s="301">
        <v>31</v>
      </c>
      <c r="E61" s="301">
        <v>19</v>
      </c>
      <c r="F61" s="301">
        <v>27</v>
      </c>
      <c r="G61" s="207" t="s">
        <v>117</v>
      </c>
    </row>
    <row r="62" hidden="1" ht="54.65" customHeight="1">
      <c r="A62" s="226"/>
      <c r="B62" s="238">
        <v>1224</v>
      </c>
      <c r="C62" s="264" t="s">
        <v>140</v>
      </c>
      <c r="D62" s="301">
        <v>31</v>
      </c>
      <c r="E62" s="301">
        <v>19</v>
      </c>
      <c r="F62" s="301">
        <v>27</v>
      </c>
      <c r="G62" s="207" t="s">
        <v>117</v>
      </c>
    </row>
    <row r="63" hidden="1" ht="66.65" customHeight="1">
      <c r="A63" s="226"/>
      <c r="B63" s="238">
        <v>1225</v>
      </c>
      <c r="C63" s="264" t="s">
        <v>141</v>
      </c>
      <c r="D63" s="301">
        <v>31</v>
      </c>
      <c r="E63" s="301">
        <v>19</v>
      </c>
      <c r="F63" s="301">
        <v>27</v>
      </c>
      <c r="G63" s="207" t="s">
        <v>117</v>
      </c>
    </row>
    <row r="64" hidden="1" ht="45" customHeight="1">
      <c r="A64" s="226"/>
      <c r="B64" s="238">
        <v>1226</v>
      </c>
      <c r="C64" s="264" t="s">
        <v>142</v>
      </c>
      <c r="D64" s="301">
        <v>1</v>
      </c>
      <c r="E64" s="301">
        <v>1</v>
      </c>
      <c r="F64" s="301">
        <v>3</v>
      </c>
      <c r="G64" s="207" t="s">
        <v>117</v>
      </c>
    </row>
    <row r="65" hidden="1" ht="45" customHeight="1">
      <c r="A65" s="226"/>
      <c r="B65" s="238">
        <v>1227</v>
      </c>
      <c r="C65" s="264" t="s">
        <v>143</v>
      </c>
      <c r="D65" s="301">
        <v>1</v>
      </c>
      <c r="E65" s="301">
        <v>1</v>
      </c>
      <c r="F65" s="301">
        <v>3</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114</v>
      </c>
      <c r="E67" s="301">
        <v>111</v>
      </c>
      <c r="F67" s="301">
        <v>97</v>
      </c>
      <c r="G67" s="207" t="s">
        <v>117</v>
      </c>
    </row>
    <row r="68" hidden="1" ht="42" customHeight="1">
      <c r="A68" s="226"/>
      <c r="B68" s="238">
        <v>1232</v>
      </c>
      <c r="C68" s="242" t="s">
        <v>146</v>
      </c>
      <c r="D68" s="301">
        <v>1</v>
      </c>
      <c r="E68" s="301">
        <v>0</v>
      </c>
      <c r="F68" s="301">
        <v>0</v>
      </c>
      <c r="G68" s="207" t="s">
        <v>117</v>
      </c>
    </row>
    <row r="69" hidden="1" ht="44.5" customHeight="1">
      <c r="A69" s="226"/>
      <c r="B69" s="238">
        <v>1233</v>
      </c>
      <c r="C69" s="242" t="s">
        <v>147</v>
      </c>
      <c r="D69" s="301">
        <v>1</v>
      </c>
      <c r="E69" s="301">
        <v>1</v>
      </c>
      <c r="F69" s="301">
        <v>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114</v>
      </c>
      <c r="E71" s="301">
        <v>110</v>
      </c>
      <c r="F71" s="301">
        <v>96</v>
      </c>
      <c r="G71" s="207" t="s">
        <v>117</v>
      </c>
    </row>
    <row r="72" hidden="1" ht="45" customHeight="1">
      <c r="A72" s="226"/>
      <c r="B72" s="238">
        <v>1236</v>
      </c>
      <c r="C72" s="242" t="s">
        <v>150</v>
      </c>
      <c r="D72" s="301">
        <v>0</v>
      </c>
      <c r="E72" s="301">
        <v>0</v>
      </c>
      <c r="F72" s="301">
        <v>1</v>
      </c>
      <c r="G72" s="207" t="s">
        <v>117</v>
      </c>
    </row>
    <row r="73" hidden="1" ht="45" customHeight="1">
      <c r="A73" s="226"/>
      <c r="B73" s="238">
        <v>1241</v>
      </c>
      <c r="C73" s="242" t="s">
        <v>151</v>
      </c>
      <c r="D73" s="301">
        <v>0</v>
      </c>
      <c r="E73" s="301">
        <v>0</v>
      </c>
      <c r="F73" s="301">
        <v>1</v>
      </c>
      <c r="G73" s="207" t="s">
        <v>117</v>
      </c>
    </row>
    <row r="74" hidden="1" ht="45" customHeight="1">
      <c r="A74" s="226"/>
      <c r="B74" s="238">
        <v>1242</v>
      </c>
      <c r="C74" s="242" t="s">
        <v>152</v>
      </c>
      <c r="D74" s="301">
        <v>1</v>
      </c>
      <c r="E74" s="301">
        <v>1</v>
      </c>
      <c r="F74" s="301">
        <v>3</v>
      </c>
      <c r="G74" s="207" t="s">
        <v>117</v>
      </c>
    </row>
    <row r="75" hidden="1" ht="45" customHeight="1">
      <c r="A75" s="226"/>
      <c r="B75" s="238">
        <v>1243</v>
      </c>
      <c r="C75" s="243" t="s">
        <v>153</v>
      </c>
      <c r="D75" s="301">
        <v>114</v>
      </c>
      <c r="E75" s="301">
        <v>110</v>
      </c>
      <c r="F75" s="301">
        <v>94</v>
      </c>
      <c r="G75" s="207" t="s">
        <v>117</v>
      </c>
    </row>
    <row r="76" hidden="1" ht="45" customHeight="1">
      <c r="A76" s="226"/>
      <c r="B76" s="238">
        <v>1244</v>
      </c>
      <c r="C76" s="243" t="s">
        <v>154</v>
      </c>
      <c r="D76" s="301">
        <v>1</v>
      </c>
      <c r="E76" s="301">
        <v>1</v>
      </c>
      <c r="F76" s="301">
        <v>3</v>
      </c>
      <c r="G76" s="207" t="s">
        <v>117</v>
      </c>
    </row>
    <row r="77" hidden="1" ht="45" customHeight="1">
      <c r="A77" s="226"/>
      <c r="B77" s="238">
        <v>1245</v>
      </c>
      <c r="C77" s="243" t="s">
        <v>155</v>
      </c>
      <c r="D77" s="301">
        <v>114</v>
      </c>
      <c r="E77" s="301">
        <v>110</v>
      </c>
      <c r="F77" s="301">
        <v>94</v>
      </c>
      <c r="G77" s="207" t="s">
        <v>117</v>
      </c>
    </row>
    <row r="78" hidden="1" ht="45" customHeight="1">
      <c r="A78" s="226"/>
      <c r="B78" s="238">
        <v>1246</v>
      </c>
      <c r="C78" s="243" t="s">
        <v>156</v>
      </c>
      <c r="D78" s="301">
        <v>1</v>
      </c>
      <c r="E78" s="301">
        <v>1</v>
      </c>
      <c r="F78" s="301">
        <v>3</v>
      </c>
      <c r="G78" s="207" t="s">
        <v>117</v>
      </c>
    </row>
    <row r="79" hidden="1" ht="45" customHeight="1">
      <c r="A79" s="226"/>
      <c r="B79" s="238">
        <v>1247</v>
      </c>
      <c r="C79" s="242" t="s">
        <v>157</v>
      </c>
      <c r="D79" s="301">
        <v>114</v>
      </c>
      <c r="E79" s="301">
        <v>110</v>
      </c>
      <c r="F79" s="301">
        <v>94</v>
      </c>
      <c r="G79" s="207" t="s">
        <v>117</v>
      </c>
    </row>
    <row r="80" hidden="1" ht="45" customHeight="1">
      <c r="A80" s="226"/>
      <c r="B80" s="238">
        <v>1248</v>
      </c>
      <c r="C80" s="242" t="s">
        <v>158</v>
      </c>
      <c r="D80" s="301">
        <v>1</v>
      </c>
      <c r="E80" s="301">
        <v>1</v>
      </c>
      <c r="F80" s="301">
        <v>3</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114</v>
      </c>
      <c r="E82" s="301">
        <v>110</v>
      </c>
      <c r="F82" s="301">
        <v>94</v>
      </c>
      <c r="G82" s="207" t="s">
        <v>117</v>
      </c>
    </row>
    <row r="83" hidden="1" ht="45" customHeight="1">
      <c r="A83" s="226"/>
      <c r="B83" s="238">
        <v>1253</v>
      </c>
      <c r="C83" s="242" t="s">
        <v>161</v>
      </c>
      <c r="D83" s="301">
        <v>114</v>
      </c>
      <c r="E83" s="301">
        <v>110</v>
      </c>
      <c r="F83" s="301">
        <v>94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1</v>
      </c>
      <c r="G85" s="207" t="s">
        <v>117</v>
      </c>
    </row>
    <row r="86" hidden="1" ht="45" customHeight="1">
      <c r="A86" s="226"/>
      <c r="B86" s="238">
        <v>1256</v>
      </c>
      <c r="C86" s="242" t="s">
        <v>164</v>
      </c>
      <c r="D86" s="301">
        <v>0</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3</v>
      </c>
      <c r="G88" s="207" t="s">
        <v>117</v>
      </c>
    </row>
    <row r="89" hidden="1" ht="45" customHeight="1">
      <c r="A89" s="226"/>
      <c r="B89" s="238">
        <v>1259</v>
      </c>
      <c r="C89" s="242" t="s">
        <v>167</v>
      </c>
      <c r="D89" s="301">
        <v>1</v>
      </c>
      <c r="E89" s="301">
        <v>1</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9</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4</v>
      </c>
      <c r="G93" s="266" t="s">
        <v>168</v>
      </c>
    </row>
    <row r="94" ht="45" customHeight="1">
      <c r="A94" s="226"/>
      <c r="B94" s="238">
        <v>1314</v>
      </c>
      <c r="C94" s="269" t="s">
        <v>173</v>
      </c>
      <c r="D94" s="301">
        <v>1</v>
      </c>
      <c r="E94" s="301">
        <v>0</v>
      </c>
      <c r="F94" s="301">
        <v>4</v>
      </c>
      <c r="G94" s="266" t="s">
        <v>168</v>
      </c>
    </row>
    <row r="95" ht="45" customHeight="1">
      <c r="A95" s="226"/>
      <c r="B95" s="238">
        <v>1315</v>
      </c>
      <c r="C95" s="243" t="s">
        <v>174</v>
      </c>
      <c r="D95" s="301">
        <v>1</v>
      </c>
      <c r="E95" s="301">
        <v>0</v>
      </c>
      <c r="F95" s="301">
        <v>4</v>
      </c>
      <c r="G95" s="266" t="s">
        <v>168</v>
      </c>
    </row>
    <row r="96" ht="45" customHeight="1" s="270" customFormat="1">
      <c r="A96" s="226"/>
      <c r="B96" s="238">
        <v>1316</v>
      </c>
      <c r="C96" s="243" t="s">
        <v>175</v>
      </c>
      <c r="D96" s="301">
        <v>1</v>
      </c>
      <c r="E96" s="301">
        <v>0</v>
      </c>
      <c r="F96" s="301">
        <v>4</v>
      </c>
      <c r="G96" s="266" t="s">
        <v>168</v>
      </c>
    </row>
    <row r="97" ht="45" customHeight="1" s="270" customFormat="1">
      <c r="A97" s="226"/>
      <c r="B97" s="238">
        <v>1321</v>
      </c>
      <c r="C97" s="242" t="s">
        <v>176</v>
      </c>
      <c r="D97" s="301">
        <v>1</v>
      </c>
      <c r="E97" s="301">
        <v>1</v>
      </c>
      <c r="F97" s="301">
        <v>4</v>
      </c>
      <c r="G97" s="266" t="s">
        <v>168</v>
      </c>
    </row>
    <row r="98" ht="45" customHeight="1" s="270" customFormat="1">
      <c r="A98" s="226"/>
      <c r="B98" s="238">
        <v>1322</v>
      </c>
      <c r="C98" s="242" t="s">
        <v>177</v>
      </c>
      <c r="D98" s="301">
        <v>1</v>
      </c>
      <c r="E98" s="301">
        <v>1</v>
      </c>
      <c r="F98" s="301">
        <v>4</v>
      </c>
      <c r="G98" s="266" t="s">
        <v>168</v>
      </c>
    </row>
    <row r="99" ht="45" customHeight="1" s="270" customFormat="1">
      <c r="A99" s="226"/>
      <c r="B99" s="238">
        <v>1323</v>
      </c>
      <c r="C99" s="242" t="s">
        <v>178</v>
      </c>
      <c r="D99" s="301">
        <v>1</v>
      </c>
      <c r="E99" s="301">
        <v>0</v>
      </c>
      <c r="F99" s="301">
        <v>4</v>
      </c>
      <c r="G99" s="266" t="s">
        <v>168</v>
      </c>
    </row>
    <row r="100" ht="45" customHeight="1" s="270" customFormat="1">
      <c r="A100" s="226"/>
      <c r="B100" s="238">
        <v>1324</v>
      </c>
      <c r="C100" s="242" t="s">
        <v>179</v>
      </c>
      <c r="D100" s="301">
        <v>1</v>
      </c>
      <c r="E100" s="301">
        <v>0</v>
      </c>
      <c r="F100" s="301">
        <v>4</v>
      </c>
      <c r="G100" s="266" t="s">
        <v>168</v>
      </c>
    </row>
    <row r="101" ht="45" customHeight="1" s="270" customFormat="1">
      <c r="A101" s="226"/>
      <c r="B101" s="238">
        <v>1331</v>
      </c>
      <c r="C101" s="242" t="s">
        <v>180</v>
      </c>
      <c r="D101" s="301">
        <v>1</v>
      </c>
      <c r="E101" s="301">
        <v>0</v>
      </c>
      <c r="F101" s="301">
        <v>3</v>
      </c>
      <c r="G101" s="266" t="s">
        <v>168</v>
      </c>
    </row>
    <row r="102" ht="45" customHeight="1" s="270" customFormat="1">
      <c r="A102" s="226"/>
      <c r="B102" s="238">
        <v>1332</v>
      </c>
      <c r="C102" s="242" t="s">
        <v>181</v>
      </c>
      <c r="D102" s="301">
        <v>1</v>
      </c>
      <c r="E102" s="301">
        <v>0</v>
      </c>
      <c r="F102" s="301">
        <v>3</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2</v>
      </c>
      <c r="G106" s="266" t="s">
        <v>168</v>
      </c>
    </row>
    <row r="107" hidden="1" ht="45" customHeight="1" s="270" customFormat="1">
      <c r="A107" s="226"/>
      <c r="B107" s="238">
        <v>1342</v>
      </c>
      <c r="C107" s="242" t="s">
        <v>186</v>
      </c>
      <c r="D107" s="271">
        <f>D94</f>
        <v>1</v>
      </c>
      <c r="E107" s="271">
        <f>E94</f>
        <v>0</v>
      </c>
      <c r="F107" s="271">
        <f>F94</f>
        <v>4</v>
      </c>
      <c r="G107" s="266"/>
    </row>
    <row r="108" ht="45" customHeight="1" s="270" customFormat="1">
      <c r="A108" s="226"/>
      <c r="B108" s="238">
        <v>1343</v>
      </c>
      <c r="C108" s="242" t="s">
        <v>187</v>
      </c>
      <c r="D108" s="301">
        <v>0</v>
      </c>
      <c r="E108" s="301">
        <v>0</v>
      </c>
      <c r="F108" s="301">
        <v>1</v>
      </c>
      <c r="G108" s="266" t="s">
        <v>168</v>
      </c>
    </row>
    <row r="109" ht="45" customHeight="1" s="270" customFormat="1">
      <c r="A109" s="226"/>
      <c r="B109" s="238">
        <v>1344</v>
      </c>
      <c r="C109" s="242" t="s">
        <v>188</v>
      </c>
      <c r="D109" s="301">
        <v>0</v>
      </c>
      <c r="E109" s="301">
        <v>0</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1</v>
      </c>
      <c r="G111" s="266" t="s">
        <v>168</v>
      </c>
    </row>
    <row r="112" ht="45" customHeight="1" s="270" customFormat="1">
      <c r="A112" s="226"/>
      <c r="B112" s="238">
        <v>1353</v>
      </c>
      <c r="C112" s="242" t="s">
        <v>191</v>
      </c>
      <c r="D112" s="301">
        <v>0</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1</v>
      </c>
      <c r="G114" s="266" t="s">
        <v>168</v>
      </c>
    </row>
    <row r="115" ht="45" customHeight="1" s="270" customFormat="1">
      <c r="A115" s="226"/>
      <c r="B115" s="238">
        <v>1356</v>
      </c>
      <c r="C115" s="242" t="s">
        <v>193</v>
      </c>
      <c r="D115" s="301">
        <v>0</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9</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2</v>
      </c>
      <c r="F119" s="301">
        <v>1</v>
      </c>
      <c r="G119" s="207" t="s">
        <v>194</v>
      </c>
    </row>
    <row r="120" hidden="1" ht="45" customHeight="1" s="270" customFormat="1">
      <c r="A120" s="226"/>
      <c r="B120" s="238">
        <v>1414</v>
      </c>
      <c r="C120" s="243" t="s">
        <v>198</v>
      </c>
      <c r="D120" s="301">
        <v>2</v>
      </c>
      <c r="E120" s="301">
        <v>2</v>
      </c>
      <c r="F120" s="301">
        <v>1</v>
      </c>
      <c r="G120" s="207" t="s">
        <v>194</v>
      </c>
    </row>
    <row r="121" hidden="1" ht="45" customHeight="1" s="270" customFormat="1">
      <c r="A121" s="226"/>
      <c r="B121" s="238">
        <v>1422</v>
      </c>
      <c r="C121" s="242" t="s">
        <v>199</v>
      </c>
      <c r="D121" s="301">
        <v>2</v>
      </c>
      <c r="E121" s="301">
        <v>2</v>
      </c>
      <c r="F121" s="301">
        <v>1</v>
      </c>
      <c r="G121" s="207" t="s">
        <v>194</v>
      </c>
    </row>
    <row r="122" hidden="1" ht="45" customHeight="1" s="270" customFormat="1">
      <c r="A122" s="226"/>
      <c r="B122" s="238">
        <v>1423</v>
      </c>
      <c r="C122" s="242" t="s">
        <v>200</v>
      </c>
      <c r="D122" s="301">
        <v>2</v>
      </c>
      <c r="E122" s="301">
        <v>2</v>
      </c>
      <c r="F122" s="301">
        <v>1</v>
      </c>
      <c r="G122" s="207" t="s">
        <v>194</v>
      </c>
    </row>
    <row r="123" hidden="1" ht="45" customHeight="1" s="270" customFormat="1">
      <c r="A123" s="226"/>
      <c r="B123" s="238">
        <v>1424</v>
      </c>
      <c r="C123" s="242" t="s">
        <v>201</v>
      </c>
      <c r="D123" s="301">
        <v>2</v>
      </c>
      <c r="E123" s="301">
        <v>2</v>
      </c>
      <c r="F123" s="301">
        <v>1</v>
      </c>
      <c r="G123" s="207" t="s">
        <v>194</v>
      </c>
    </row>
    <row r="124" hidden="1" ht="45" customHeight="1" s="270" customFormat="1">
      <c r="A124" s="226"/>
      <c r="B124" s="238">
        <v>1425</v>
      </c>
      <c r="C124" s="242" t="s">
        <v>202</v>
      </c>
      <c r="D124" s="301">
        <v>2</v>
      </c>
      <c r="E124" s="301">
        <v>2</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v>
      </c>
      <c r="E126" s="301">
        <v>2</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2</v>
      </c>
      <c r="E129" s="301">
        <v>2</v>
      </c>
      <c r="F129" s="301">
        <v>0</v>
      </c>
      <c r="G129" s="207" t="s">
        <v>194</v>
      </c>
    </row>
    <row r="130" hidden="1" ht="45" customHeight="1" s="270" customFormat="1">
      <c r="A130" s="226"/>
      <c r="B130" s="238">
        <v>1435</v>
      </c>
      <c r="C130" s="242" t="s">
        <v>209</v>
      </c>
      <c r="D130" s="301">
        <v>2</v>
      </c>
      <c r="E130" s="301">
        <v>2</v>
      </c>
      <c r="F130" s="301">
        <v>1</v>
      </c>
      <c r="G130" s="207" t="s">
        <v>194</v>
      </c>
    </row>
    <row r="131" hidden="1" ht="45" customHeight="1" s="270" customFormat="1">
      <c r="A131" s="226"/>
      <c r="B131" s="238">
        <v>1441</v>
      </c>
      <c r="C131" s="242" t="s">
        <v>210</v>
      </c>
      <c r="D131" s="301">
        <v>2</v>
      </c>
      <c r="E131" s="301">
        <v>2</v>
      </c>
      <c r="F131" s="301">
        <v>0</v>
      </c>
      <c r="G131" s="207" t="s">
        <v>194</v>
      </c>
    </row>
    <row r="132" hidden="1" ht="45" customHeight="1" s="270" customFormat="1">
      <c r="A132" s="226"/>
      <c r="B132" s="238">
        <v>1442</v>
      </c>
      <c r="C132" s="242" t="s">
        <v>211</v>
      </c>
      <c r="D132" s="271">
        <f>D120</f>
        <v>2</v>
      </c>
      <c r="E132" s="271">
        <f>E120</f>
        <v>2</v>
      </c>
      <c r="F132" s="271">
        <f>F120</f>
        <v>1</v>
      </c>
      <c r="G132" s="207"/>
    </row>
    <row r="133" hidden="1" ht="45" customHeight="1" s="270" customFormat="1">
      <c r="A133" s="226"/>
      <c r="B133" s="238">
        <v>1443</v>
      </c>
      <c r="C133" s="242" t="s">
        <v>212</v>
      </c>
      <c r="D133" s="301">
        <v>2</v>
      </c>
      <c r="E133" s="301">
        <v>2</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2</v>
      </c>
      <c r="E135" s="301">
        <v>2</v>
      </c>
      <c r="F135" s="301">
        <v>0</v>
      </c>
      <c r="G135" s="207" t="s">
        <v>194</v>
      </c>
    </row>
    <row r="136" hidden="1" ht="45" customHeight="1" s="270" customFormat="1">
      <c r="A136" s="226"/>
      <c r="B136" s="238">
        <v>1453</v>
      </c>
      <c r="C136" s="242" t="s">
        <v>215</v>
      </c>
      <c r="D136" s="301">
        <v>2</v>
      </c>
      <c r="E136" s="301">
        <v>2</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v>
      </c>
      <c r="E138" s="301">
        <v>2</v>
      </c>
      <c r="F138" s="301">
        <v>0</v>
      </c>
      <c r="G138" s="207" t="s">
        <v>194</v>
      </c>
    </row>
    <row r="139" hidden="1" ht="45" customHeight="1">
      <c r="A139" s="226"/>
      <c r="B139" s="238">
        <v>1456</v>
      </c>
      <c r="C139" s="242" t="s">
        <v>218</v>
      </c>
      <c r="D139" s="301">
        <v>2</v>
      </c>
      <c r="E139" s="301">
        <v>2</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4</v>
      </c>
      <c r="F144" s="301">
        <v>4</v>
      </c>
      <c r="G144" s="207" t="s">
        <v>219</v>
      </c>
    </row>
    <row r="145" hidden="1" ht="45" customHeight="1">
      <c r="A145" s="226"/>
      <c r="B145" s="238">
        <v>1514</v>
      </c>
      <c r="C145" s="264" t="s">
        <v>225</v>
      </c>
      <c r="D145" s="301">
        <v>4</v>
      </c>
      <c r="E145" s="301">
        <v>4</v>
      </c>
      <c r="F145" s="301">
        <v>4</v>
      </c>
      <c r="G145" s="207" t="s">
        <v>219</v>
      </c>
    </row>
    <row r="146" hidden="1" ht="45" customHeight="1">
      <c r="A146" s="226">
        <v>1541</v>
      </c>
      <c r="B146" s="238">
        <v>1515</v>
      </c>
      <c r="C146" s="264" t="s">
        <v>226</v>
      </c>
      <c r="D146" s="301">
        <v>4</v>
      </c>
      <c r="E146" s="301">
        <v>4</v>
      </c>
      <c r="F146" s="301">
        <v>4</v>
      </c>
      <c r="G146" s="207" t="s">
        <v>219</v>
      </c>
    </row>
    <row r="147" hidden="1" ht="45" customHeight="1">
      <c r="A147" s="226"/>
      <c r="B147" s="238">
        <v>1521</v>
      </c>
      <c r="C147" s="264" t="s">
        <v>227</v>
      </c>
      <c r="D147" s="301">
        <v>4</v>
      </c>
      <c r="E147" s="301">
        <v>4</v>
      </c>
      <c r="F147" s="301">
        <v>4</v>
      </c>
      <c r="G147" s="207" t="s">
        <v>219</v>
      </c>
    </row>
    <row r="148" hidden="1" ht="45" customHeight="1">
      <c r="A148" s="226"/>
      <c r="B148" s="238">
        <v>1522</v>
      </c>
      <c r="C148" s="264" t="s">
        <v>228</v>
      </c>
      <c r="D148" s="301">
        <v>4</v>
      </c>
      <c r="E148" s="301">
        <v>4</v>
      </c>
      <c r="F148" s="301">
        <v>4</v>
      </c>
      <c r="G148" s="207" t="s">
        <v>219</v>
      </c>
    </row>
    <row r="149" hidden="1" ht="45" customHeight="1">
      <c r="A149" s="226"/>
      <c r="B149" s="238">
        <v>1523</v>
      </c>
      <c r="C149" s="264" t="s">
        <v>229</v>
      </c>
      <c r="D149" s="301">
        <v>4</v>
      </c>
      <c r="E149" s="301">
        <v>4</v>
      </c>
      <c r="F149" s="301">
        <v>4</v>
      </c>
      <c r="G149" s="207" t="s">
        <v>219</v>
      </c>
    </row>
    <row r="150" hidden="1" ht="45" customHeight="1">
      <c r="A150" s="226"/>
      <c r="B150" s="238">
        <v>1524</v>
      </c>
      <c r="C150" s="264" t="s">
        <v>230</v>
      </c>
      <c r="D150" s="301">
        <v>4</v>
      </c>
      <c r="E150" s="301">
        <v>4</v>
      </c>
      <c r="F150" s="301">
        <v>4</v>
      </c>
      <c r="G150" s="207" t="s">
        <v>219</v>
      </c>
    </row>
    <row r="151" hidden="1" ht="45" customHeight="1">
      <c r="A151" s="226"/>
      <c r="B151" s="238">
        <v>1531</v>
      </c>
      <c r="C151" s="242" t="s">
        <v>231</v>
      </c>
      <c r="D151" s="301">
        <v>1</v>
      </c>
      <c r="E151" s="301">
        <v>2</v>
      </c>
      <c r="F151" s="301">
        <v>1</v>
      </c>
      <c r="G151" s="207" t="s">
        <v>219</v>
      </c>
    </row>
    <row r="152" hidden="1" ht="45" customHeight="1">
      <c r="A152" s="226"/>
      <c r="B152" s="238">
        <v>1532</v>
      </c>
      <c r="C152" s="242" t="s">
        <v>232</v>
      </c>
      <c r="D152" s="301">
        <v>3</v>
      </c>
      <c r="E152" s="301">
        <v>2</v>
      </c>
      <c r="F152" s="301">
        <v>3</v>
      </c>
      <c r="G152" s="207" t="s">
        <v>219</v>
      </c>
    </row>
    <row r="153" hidden="1" ht="45" customHeight="1">
      <c r="A153" s="226"/>
      <c r="B153" s="238">
        <v>1533</v>
      </c>
      <c r="C153" s="242" t="s">
        <v>233</v>
      </c>
      <c r="D153" s="301">
        <v>3</v>
      </c>
      <c r="E153" s="301">
        <v>4</v>
      </c>
      <c r="F153" s="301">
        <v>4</v>
      </c>
      <c r="G153" s="207" t="s">
        <v>219</v>
      </c>
    </row>
    <row r="154" hidden="1" ht="45" customHeight="1">
      <c r="A154" s="226"/>
      <c r="B154" s="238">
        <v>1534</v>
      </c>
      <c r="C154" s="242" t="s">
        <v>234</v>
      </c>
      <c r="D154" s="301">
        <v>1</v>
      </c>
      <c r="E154" s="301">
        <v>0</v>
      </c>
      <c r="F154" s="301">
        <v>0</v>
      </c>
      <c r="G154" s="207" t="s">
        <v>219</v>
      </c>
    </row>
    <row r="155" hidden="1" ht="45" customHeight="1">
      <c r="A155" s="226"/>
      <c r="B155" s="238">
        <v>1541</v>
      </c>
      <c r="C155" s="242" t="s">
        <v>235</v>
      </c>
      <c r="D155" s="301">
        <v>4</v>
      </c>
      <c r="E155" s="301">
        <v>4</v>
      </c>
      <c r="F155" s="301">
        <v>4</v>
      </c>
      <c r="G155" s="207" t="s">
        <v>219</v>
      </c>
    </row>
    <row r="156" hidden="1" ht="45" customHeight="1">
      <c r="A156" s="226"/>
      <c r="B156" s="238">
        <v>1542</v>
      </c>
      <c r="C156" s="264" t="s">
        <v>236</v>
      </c>
      <c r="D156" s="301">
        <v>4</v>
      </c>
      <c r="E156" s="301">
        <v>4</v>
      </c>
      <c r="F156" s="301">
        <v>4</v>
      </c>
      <c r="G156" s="207" t="s">
        <v>219</v>
      </c>
    </row>
    <row r="157" hidden="1" ht="45" customHeight="1">
      <c r="A157" s="226"/>
      <c r="B157" s="238">
        <v>1543</v>
      </c>
      <c r="C157" s="264" t="s">
        <v>237</v>
      </c>
      <c r="D157" s="301">
        <v>4</v>
      </c>
      <c r="E157" s="301">
        <v>4</v>
      </c>
      <c r="F157" s="301">
        <v>4</v>
      </c>
      <c r="G157" s="207" t="s">
        <v>219</v>
      </c>
    </row>
    <row r="158" hidden="1" ht="45" customHeight="1">
      <c r="A158" s="226"/>
      <c r="B158" s="238">
        <v>1544</v>
      </c>
      <c r="C158" s="242" t="s">
        <v>238</v>
      </c>
      <c r="D158" s="301">
        <v>4</v>
      </c>
      <c r="E158" s="301">
        <v>4</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4</v>
      </c>
      <c r="E160" s="301">
        <v>4</v>
      </c>
      <c r="F160" s="301">
        <v>4</v>
      </c>
      <c r="G160" s="207" t="s">
        <v>219</v>
      </c>
    </row>
    <row r="161" hidden="1" ht="45" customHeight="1">
      <c r="A161" s="226"/>
      <c r="B161" s="238">
        <v>1553</v>
      </c>
      <c r="C161" s="242" t="s">
        <v>241</v>
      </c>
      <c r="D161" s="301">
        <v>4</v>
      </c>
      <c r="E161" s="301">
        <v>4</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4</v>
      </c>
      <c r="E163" s="301">
        <v>4</v>
      </c>
      <c r="F163" s="301">
        <v>4</v>
      </c>
      <c r="G163" s="207" t="s">
        <v>219</v>
      </c>
    </row>
    <row r="164" hidden="1" ht="45" customHeight="1">
      <c r="A164" s="226"/>
      <c r="B164" s="238">
        <v>1556</v>
      </c>
      <c r="C164" s="242" t="s">
        <v>241</v>
      </c>
      <c r="D164" s="301">
        <v>4</v>
      </c>
      <c r="E164" s="301">
        <v>4</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435</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33</v>
      </c>
      <c r="E171" s="301">
        <v>28</v>
      </c>
      <c r="F171" s="301">
        <v>26</v>
      </c>
      <c r="G171" s="207" t="s">
        <v>244</v>
      </c>
    </row>
    <row r="172" hidden="1" ht="45" customHeight="1">
      <c r="A172" s="226"/>
      <c r="B172" s="238">
        <v>1614</v>
      </c>
      <c r="C172" s="283" t="s">
        <v>251</v>
      </c>
      <c r="D172" s="301">
        <v>4</v>
      </c>
      <c r="E172" s="301">
        <v>4</v>
      </c>
      <c r="F172" s="301">
        <v>4</v>
      </c>
      <c r="G172" s="207" t="s">
        <v>244</v>
      </c>
    </row>
    <row r="173" hidden="1" ht="45" customHeight="1">
      <c r="A173" s="226"/>
      <c r="B173" s="238">
        <v>1615</v>
      </c>
      <c r="C173" s="242" t="s">
        <v>252</v>
      </c>
      <c r="D173" s="301">
        <v>33</v>
      </c>
      <c r="E173" s="301">
        <v>28</v>
      </c>
      <c r="F173" s="301">
        <v>26</v>
      </c>
      <c r="G173" s="207" t="s">
        <v>244</v>
      </c>
    </row>
    <row r="174" hidden="1" ht="45" customHeight="1">
      <c r="A174" s="226"/>
      <c r="B174" s="238">
        <v>1616</v>
      </c>
      <c r="C174" s="242" t="s">
        <v>253</v>
      </c>
      <c r="D174" s="301">
        <v>33</v>
      </c>
      <c r="E174" s="301">
        <v>28</v>
      </c>
      <c r="F174" s="301">
        <v>26</v>
      </c>
      <c r="G174" s="207" t="s">
        <v>244</v>
      </c>
    </row>
    <row r="175" hidden="1" ht="45" customHeight="1">
      <c r="A175" s="226"/>
      <c r="B175" s="238">
        <v>1621</v>
      </c>
      <c r="C175" s="242" t="s">
        <v>254</v>
      </c>
      <c r="D175" s="301">
        <v>33</v>
      </c>
      <c r="E175" s="301">
        <v>28</v>
      </c>
      <c r="F175" s="301">
        <v>26</v>
      </c>
      <c r="G175" s="207" t="s">
        <v>244</v>
      </c>
    </row>
    <row r="176" hidden="1" ht="45" customHeight="1">
      <c r="A176" s="226"/>
      <c r="B176" s="238">
        <v>1622</v>
      </c>
      <c r="C176" s="242" t="s">
        <v>255</v>
      </c>
      <c r="D176" s="301">
        <v>33</v>
      </c>
      <c r="E176" s="301">
        <v>28</v>
      </c>
      <c r="F176" s="301">
        <v>26</v>
      </c>
      <c r="G176" s="207" t="s">
        <v>244</v>
      </c>
    </row>
    <row r="177" hidden="1" ht="45" customHeight="1">
      <c r="A177" s="226"/>
      <c r="B177" s="238">
        <v>1623</v>
      </c>
      <c r="C177" s="242" t="s">
        <v>256</v>
      </c>
      <c r="D177" s="301">
        <v>30</v>
      </c>
      <c r="E177" s="301">
        <v>33</v>
      </c>
      <c r="F177" s="301">
        <v>31</v>
      </c>
      <c r="G177" s="207" t="s">
        <v>244</v>
      </c>
    </row>
    <row r="178" hidden="1" ht="45" customHeight="1">
      <c r="A178" s="226"/>
      <c r="B178" s="238">
        <v>1624</v>
      </c>
      <c r="C178" s="242" t="s">
        <v>257</v>
      </c>
      <c r="D178" s="301">
        <v>4</v>
      </c>
      <c r="E178" s="301">
        <v>4</v>
      </c>
      <c r="F178" s="301">
        <v>4</v>
      </c>
      <c r="G178" s="207" t="s">
        <v>244</v>
      </c>
    </row>
    <row r="179" hidden="1" ht="45" customHeight="1">
      <c r="A179" s="226"/>
      <c r="B179" s="238">
        <v>1625</v>
      </c>
      <c r="C179" s="242" t="s">
        <v>258</v>
      </c>
      <c r="D179" s="301">
        <v>33</v>
      </c>
      <c r="E179" s="301">
        <v>28</v>
      </c>
      <c r="F179" s="301">
        <v>26</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107</v>
      </c>
      <c r="E181" s="301">
        <v>108</v>
      </c>
      <c r="F181" s="301">
        <v>144</v>
      </c>
      <c r="G181" s="207" t="s">
        <v>244</v>
      </c>
    </row>
    <row r="182" hidden="1" ht="45" customHeight="1">
      <c r="A182" s="226"/>
      <c r="B182" s="238">
        <v>1632</v>
      </c>
      <c r="C182" s="242" t="s">
        <v>261</v>
      </c>
      <c r="D182" s="301">
        <v>217</v>
      </c>
      <c r="E182" s="301">
        <v>219</v>
      </c>
      <c r="F182" s="301">
        <v>291</v>
      </c>
      <c r="G182" s="207" t="s">
        <v>244</v>
      </c>
    </row>
    <row r="183" hidden="1" ht="45" customHeight="1">
      <c r="A183" s="226"/>
      <c r="B183" s="238">
        <v>1633</v>
      </c>
      <c r="C183" s="242" t="s">
        <v>262</v>
      </c>
      <c r="D183" s="301">
        <v>301</v>
      </c>
      <c r="E183" s="301">
        <v>304</v>
      </c>
      <c r="F183" s="301">
        <v>408</v>
      </c>
      <c r="G183" s="207" t="s">
        <v>244</v>
      </c>
    </row>
    <row r="184" hidden="1" ht="45" customHeight="1">
      <c r="A184" s="226"/>
      <c r="B184" s="238">
        <v>1634</v>
      </c>
      <c r="C184" s="242" t="s">
        <v>263</v>
      </c>
      <c r="D184" s="301">
        <v>23</v>
      </c>
      <c r="E184" s="301">
        <v>23</v>
      </c>
      <c r="F184" s="301">
        <v>27</v>
      </c>
      <c r="G184" s="207" t="s">
        <v>244</v>
      </c>
    </row>
    <row r="185" hidden="1" ht="45" customHeight="1">
      <c r="A185" s="226"/>
      <c r="B185" s="238">
        <v>1635</v>
      </c>
      <c r="C185" s="242" t="s">
        <v>264</v>
      </c>
      <c r="D185" s="301">
        <v>201</v>
      </c>
      <c r="E185" s="301">
        <v>208</v>
      </c>
      <c r="F185" s="301">
        <v>197</v>
      </c>
      <c r="G185" s="207" t="s">
        <v>244</v>
      </c>
    </row>
    <row r="186" hidden="1" ht="45" customHeight="1">
      <c r="A186" s="226"/>
      <c r="B186" s="238">
        <v>1641</v>
      </c>
      <c r="C186" s="242" t="s">
        <v>265</v>
      </c>
      <c r="D186" s="301">
        <v>4</v>
      </c>
      <c r="E186" s="301">
        <v>4</v>
      </c>
      <c r="F186" s="301">
        <v>5</v>
      </c>
      <c r="G186" s="207" t="s">
        <v>244</v>
      </c>
    </row>
    <row r="187" hidden="1" ht="45" customHeight="1">
      <c r="A187" s="226"/>
      <c r="B187" s="238">
        <v>1642</v>
      </c>
      <c r="C187" s="242" t="s">
        <v>264</v>
      </c>
      <c r="D187" s="301">
        <v>201</v>
      </c>
      <c r="E187" s="301">
        <v>208</v>
      </c>
      <c r="F187" s="301">
        <v>197</v>
      </c>
      <c r="G187" s="207" t="s">
        <v>244</v>
      </c>
    </row>
    <row r="188" hidden="1" ht="45" customHeight="1">
      <c r="A188" s="226"/>
      <c r="B188" s="238">
        <v>1643</v>
      </c>
      <c r="C188" s="242" t="s">
        <v>266</v>
      </c>
      <c r="D188" s="301">
        <v>324</v>
      </c>
      <c r="E188" s="301">
        <v>327</v>
      </c>
      <c r="F188" s="301">
        <v>435</v>
      </c>
      <c r="G188" s="207" t="s">
        <v>244</v>
      </c>
    </row>
    <row r="189" hidden="1" ht="45" customHeight="1">
      <c r="A189" s="226"/>
      <c r="B189" s="238">
        <v>1644</v>
      </c>
      <c r="C189" s="242" t="s">
        <v>267</v>
      </c>
      <c r="D189" s="301">
        <v>4</v>
      </c>
      <c r="E189" s="301">
        <v>6</v>
      </c>
      <c r="F189" s="301">
        <v>10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566</v>
      </c>
      <c r="E191" s="301">
        <v>568</v>
      </c>
      <c r="F191" s="301">
        <v>574</v>
      </c>
      <c r="G191" s="207" t="s">
        <v>244</v>
      </c>
    </row>
    <row r="192" hidden="1" ht="45" customHeight="1">
      <c r="A192" s="226"/>
      <c r="B192" s="238">
        <v>1653</v>
      </c>
      <c r="C192" s="242" t="s">
        <v>270</v>
      </c>
      <c r="D192" s="301">
        <v>324</v>
      </c>
      <c r="E192" s="301">
        <v>327</v>
      </c>
      <c r="F192" s="301">
        <v>435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1</v>
      </c>
      <c r="F194" s="301">
        <v>0</v>
      </c>
      <c r="G194" s="207" t="s">
        <v>244</v>
      </c>
    </row>
    <row r="195" hidden="1" ht="45" customHeight="1">
      <c r="A195" s="226"/>
      <c r="B195" s="238">
        <v>1656</v>
      </c>
      <c r="C195" s="242" t="s">
        <v>273</v>
      </c>
      <c r="D195" s="301">
        <v>1</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1</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289</v>
      </c>
      <c r="AZ453" s="0" t="s">
        <v>293</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