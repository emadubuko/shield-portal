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<sst xmlns="http://schemas.openxmlformats.org/spreadsheetml/2006/main" count="4056" uniqueCount="4056">
  <si>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</si>
  <si>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</si>
  <si>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</si>
  <si>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</si>
  <si>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</si>
  <si>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</si>
  <si>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</si>
  <si>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</si>
  <si>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</si>
  <si>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</si>
  <si>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</si>
  <si>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</si>
  <si>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</si>
  <si>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</si>
  <si>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</si>
  <si>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</si>
  <si>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</si>
  <si>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</si>
  <si>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</si>
  <si>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</si>
  <si>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</si>
  <si>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</si>
  <si>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</si>
  <si>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</si>
  <si>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</si>
  <si>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</si>
  <si>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</si>
  <si>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</si>
  <si>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</si>
  <si>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</si>
  <si>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</si>
  <si>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</si>
  <si>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</si>
  <si>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</si>
  <si>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</si>
  <si>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</si>
  <si>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</si>
  <si>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</si>
  <si>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</si>
  <si>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</si>
  <si>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</si>
  <si>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</si>
  <si>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</si>
  <si>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</si>
  <si>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</si>
  <si>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</si>
  <si>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</si>
  <si>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</si>
  <si>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</si>
  <si>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</si>
  <si>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</si>
  <si>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</si>
  <si>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</si>
  <si>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</si>
  <si>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</si>
  <si>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</si>
  <si>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</si>
  <si>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</si>
  <si>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</si>
  <si>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</si>
  <si>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</si>
  <si>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</si>
  <si>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</si>
  <si>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</si>
  <si>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</si>
  <si>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</si>
  <si>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</si>
  <si>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</si>
  <si>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</si>
  <si>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</si>
  <si>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</si>
  <si>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</si>
  <si>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</si>
  <si>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</si>
  <si>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</si>
  <si>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</si>
  <si>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</si>
  <si>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</si>
  <si>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</si>
  <si>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</si>
  <si>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</si>
  <si>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</si>
  <si>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</si>
  <si>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</si>
  <si>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</si>
  <si>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</si>
  <si>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</si>
  <si>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</si>
  <si>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</si>
  <si>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</si>
  <si>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</si>
  <si>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</si>
  <si>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</si>
  <si>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</si>
  <si>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</si>
  <si>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</si>
  <si>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</si>
  <si>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</si>
  <si>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</si>
  <si>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</si>
  <si>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</si>
  <si>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</si>
  <si>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</si>
  <si>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</si>
  <si>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</si>
  <si>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</si>
  <si>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</si>
  <si>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</si>
  <si>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</si>
  <si>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</si>
  <si>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</si>
  <si>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</si>
  <si>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</si>
  <si>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</si>
  <si>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</si>
  <si>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</si>
  <si>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</si>
  <si>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</si>
  <si>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</si>
  <si>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</si>
  <si>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</si>
  <si>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</si>
  <si>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</si>
  <si>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</si>
  <si>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</si>
  <si>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</si>
  <si>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</si>
  <si>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</si>
  <si>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</si>
  <si>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</si>
  <si>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</si>
  <si>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</si>
  <si>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</si>
  <si>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</si>
  <si>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</si>
  <si>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</si>
  <si>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</si>
  <si>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</si>
  <si>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</si>
  <si>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</si>
  <si>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</si>
  <si>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</si>
  <si>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</si>
  <si>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</si>
  <si>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</si>
  <si>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</si>
  <si>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</si>
  <si>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</si>
  <si>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</si>
  <si>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</si>
  <si>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</si>
  <si>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</si>
  <si>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</si>
  <si>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</si>
  <si>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</si>
  <si>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</si>
  <si>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</si>
  <si>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</si>
  <si>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</si>
  <si>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</si>
  <si>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</si>
  <si>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</si>
  <si>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</si>
  <si>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</si>
  <si>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</si>
  <si>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</si>
  <si>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</si>
  <si>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</si>
  <si>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</si>
  <si>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</si>
  <si>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</si>
  <si>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</si>
  <si>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</si>
  <si>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</si>
  <si>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</si>
  <si>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</si>
  <si>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</si>
  <si>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</si>
  <si>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</si>
  <si>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</si>
  <si>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</si>
  <si>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</si>
  <si>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</si>
  <si>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</si>
  <si>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</si>
  <si>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</si>
  <si>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</si>
  <si>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</si>
  <si>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</si>
  <si>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</si>
  <si>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</si>
  <si>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</si>
  <si>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</si>
  <si>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</si>
  <si>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</si>
  <si>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</si>
  <si>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</si>
  <si>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</si>
  <si>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</si>
  <si>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</si>
  <si>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</si>
  <si>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</si>
  <si>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</si>
  <si>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</si>
  <si>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</si>
  <si>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</si>
  <si>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</si>
  <si>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</si>
  <si>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</si>
  <si>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</si>
  <si>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</si>
  <si>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</si>
  <si>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</si>
  <si>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</si>
  <si>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</si>
  <si>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</si>
  <si>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</si>
  <si>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</si>
  <si>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</si>
  <si>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</si>
  <si>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</si>
  <si>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</si>
  <si>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</si>
  <si>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</si>
  <si>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</si>
  <si>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</si>
  <si>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</si>
  <si>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</si>
  <si>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</si>
  <si>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</si>
  <si>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</si>
  <si>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</si>
  <si>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</si>
  <si>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</si>
  <si>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</si>
  <si>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</si>
  <si>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</si>
  <si>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</si>
  <si>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</si>
  <si>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</si>
  <si>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</si>
  <si>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</si>
  <si>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</si>
  <si>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</si>
  <si>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</si>
  <si>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</si>
  <si>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</si>
  <si>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</si>
  <si>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</si>
  <si>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</si>
  <si>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</si>
  <si>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</si>
  <si>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</si>
  <si>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</si>
  <si>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</si>
  <si>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</si>
  <si>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</si>
  <si>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</si>
  <si>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</si>
  <si>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</si>
  <si>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</si>
  <si>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</si>
  <si>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</si>
  <si>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</si>
  <si>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</si>
  <si>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</si>
  <si>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</si>
  <si>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</si>
  <si>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</si>
  <si>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</si>
  <si>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</si>
  <si>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</si>
  <si>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</si>
  <si>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</si>
  <si>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</si>
  <si>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</si>
  <si>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</si>
  <si>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</si>
  <si>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</si>
  <si>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</si>
  <si>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</si>
  <si>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</si>
  <si>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</si>
  <si>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</si>
  <si>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</si>
  <si>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</si>
  <si>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</si>
  <si>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</si>
  <si>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</si>
  <si>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St. Paul's Primary Health Center - Ashamena</t>
  </si>
  <si>
    <t>Reporting Period:</t>
  </si>
  <si>
    <t>Q1(Oct - Dec)</t>
  </si>
  <si>
    <t>Facility Code:</t>
  </si>
  <si>
    <t>Mb5HQ1iM2ci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</si>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</sst>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13</v>
      </c>
      <c r="G8" s="155">
        <f>ROUND(SUM('All Questions'!D31:D35)/5+G12,0)</f>
        <v>14</v>
      </c>
      <c r="H8" s="156">
        <f>ROUND(SUM('All Questions'!D37,'All Questions'!D40)/2+'All Questions'!D26+H12,0)</f>
        <v>48</v>
      </c>
      <c r="I8" s="157">
        <f>ROUND((SUM('All Questions'!E11:E14)/4)+I12,0)</f>
        <v>0</v>
      </c>
      <c r="J8" s="155">
        <f>ROUND(SUM('All Questions'!E15:E21)/7+J12,0)</f>
        <v>0</v>
      </c>
      <c r="K8" s="155">
        <f>ROUND(SUM('All Questions'!E23:E30)/4+K12,0)</f>
        <v>23</v>
      </c>
      <c r="L8" s="155">
        <f>ROUND(SUM('All Questions'!E31:E35)/5+L12,0)</f>
        <v>21</v>
      </c>
      <c r="M8" s="156">
        <f>ROUND(('All Questions'!E37+'All Questions'!E40)/2+'All Questions'!E26+M12,0)</f>
        <v>90</v>
      </c>
      <c r="N8" s="157">
        <f>ROUND((SUM('All Questions'!F11:F14)/4)+N12,0)</f>
        <v>0</v>
      </c>
      <c r="O8" s="155">
        <f>ROUND(SUM('All Questions'!F15:F21)/7+O12,0)</f>
        <v>0</v>
      </c>
      <c r="P8" s="155">
        <f>ROUND(SUM('All Questions'!F23:F30)/4+P12,0)</f>
        <v>35</v>
      </c>
      <c r="Q8" s="155">
        <f>ROUND(SUM('All Questions'!F31:F35)/5+Q12,0)</f>
        <v>31</v>
      </c>
      <c r="R8" s="156">
        <f>ROUND(('All Questions'!F37+'All Questions'!F40)/2+'All Questions'!F26+R12,0)</f>
        <v>132</v>
      </c>
      <c r="S8" s="141">
        <f>'All Questions'!F2</f>
        <v>0</v>
      </c>
      <c r="T8" s="142" t="e">
        <f>(AVERAGE(F8:H8)+AVERAGE(K8:M8)+AVERAGE(P8:R8))/S8</f>
        <v>#DIV/0!</v>
      </c>
      <c r="V8" s="309">
        <f>AVERAGE(F8:H8)+AVERAGE(K8:M8)+AVERAGE(P8:R8)</f>
        <v>135.66666666666666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v>
      </c>
      <c r="G10" s="159">
        <f>ROUND(SUM('All Questions'!D31:D35)/5,0)</f>
        <v>6</v>
      </c>
      <c r="H10" s="162">
        <f>ROUND(('All Questions'!D37+'All Questions'!D40)/2+'All Questions'!D26,0)</f>
        <v>32</v>
      </c>
      <c r="I10" s="163">
        <f>ROUND((SUM('All Questions'!E11:E14)/4),0)</f>
        <v>0</v>
      </c>
      <c r="J10" s="164">
        <f>ROUND(SUM('All Questions'!E15:E21)/7,0)</f>
        <v>0</v>
      </c>
      <c r="K10" s="164">
        <f>ROUND(SUM('All Questions'!E23:E30)/4,0)</f>
        <v>20</v>
      </c>
      <c r="L10" s="164">
        <f>ROUND(SUM('All Questions'!E31:E35)/5,0)</f>
        <v>16</v>
      </c>
      <c r="M10" s="165">
        <f>ROUND(('All Questions'!E37+'All Questions'!E40)/2+'All Questions'!E26,0)</f>
        <v>80</v>
      </c>
      <c r="N10" s="166">
        <f>ROUND((SUM('All Questions'!F11:F14)/4),0)</f>
        <v>0</v>
      </c>
      <c r="O10" s="164">
        <f>ROUND(SUM('All Questions'!F15:F21)/7,0)</f>
        <v>0</v>
      </c>
      <c r="P10" s="164">
        <f>ROUND(SUM('All Questions'!F23:F30)/4,0)</f>
        <v>30</v>
      </c>
      <c r="Q10" s="164">
        <f>ROUND(SUM('All Questions'!F31:F35)/5,0)</f>
        <v>24</v>
      </c>
      <c r="R10" s="165">
        <f>ROUND(('All Questions'!F37+'All Questions'!F40)/2+'All Questions'!F26,0)</f>
        <v>119</v>
      </c>
      <c r="S10" s="141">
        <f>'All Questions'!F4</f>
        <v>0</v>
      </c>
      <c r="T10" s="143" t="e">
        <f>(AVERAGE(F10:H10)+AVERAGE(K10:M10)+AVERAGE(P10:R10))/S10</f>
        <v>#DIV/0!</v>
      </c>
      <c r="V10" s="309">
        <f>AVERAGE(F10:H10)+AVERAGE(K10:M10)+AVERAGE(P10:R10)</f>
        <v>111.66666666666666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5</v>
      </c>
      <c r="G12" s="173">
        <f>ROUND(SUM('All Questions'!D73:D80)/4,0)</f>
        <v>8</v>
      </c>
      <c r="H12" s="174">
        <f>ROUND(SUM('All Questions'!D82:D83)/2,0)</f>
        <v>16</v>
      </c>
      <c r="I12" s="175">
        <f>ROUND(SUM('All Questions'!E54:E58)+'All Questions'!E71/4,0)</f>
        <v>0</v>
      </c>
      <c r="J12" s="176">
        <f>ROUND(SUM('All Questions'!E60:E63)/4,0)</f>
        <v>0</v>
      </c>
      <c r="K12" s="176">
        <f>ROUND(SUM('All Questions'!E67:E72)/3,0)</f>
        <v>3</v>
      </c>
      <c r="L12" s="176">
        <f>ROUND(SUM('All Questions'!E73:E80)/4,0)</f>
        <v>5</v>
      </c>
      <c r="M12" s="177">
        <f>ROUND(SUM('All Questions'!E82:E83)/2,0)</f>
        <v>10</v>
      </c>
      <c r="N12" s="178">
        <f>ROUND(SUM('All Questions'!F54:F58)+'All Questions'!F71/4,0)</f>
        <v>0</v>
      </c>
      <c r="O12" s="176">
        <f>ROUND(SUM('All Questions'!F60:F63)/4,0)</f>
        <v>0</v>
      </c>
      <c r="P12" s="176">
        <f>ROUND(SUM('All Questions'!F67:F72)/3,0)</f>
        <v>5</v>
      </c>
      <c r="Q12" s="176">
        <f>ROUND(SUM('All Questions'!F73:F80)/4,0)</f>
        <v>7</v>
      </c>
      <c r="R12" s="177">
        <f>ROUND(SUM('All Questions'!F82:F83)/2,0)</f>
        <v>13</v>
      </c>
      <c r="S12" s="145">
        <f>'All Questions'!F46</f>
        <v>0</v>
      </c>
      <c r="T12" s="146" t="e">
        <f ref="T12:T15" t="shared" si="1">(AVERAGE(F12:H12)+AVERAGE(K12:M12)+AVERAGE(P12:R12))/S12</f>
        <v>#DIV/0!</v>
      </c>
      <c r="V12" s="309">
        <f>AVERAGE(F12:H12)+AVERAGE(K12:M12)+AVERAGE(P12:R12)</f>
        <v>24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0.33333333333333331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297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26</v>
      </c>
      <c r="E10" s="301">
        <v>26</v>
      </c>
      <c r="F10" s="301">
        <v>26</v>
      </c>
      <c r="G10" s="207" t="s">
        <v>67</v>
      </c>
    </row>
    <row r="11" hidden="1" ht="45" customHeight="1">
      <c r="A11" s="226"/>
      <c r="B11" s="238">
        <v>1114</v>
      </c>
      <c r="C11" s="243" t="s">
        <v>84</v>
      </c>
      <c r="D11" s="301">
        <v>26</v>
      </c>
      <c r="E11" s="301">
        <v>26</v>
      </c>
      <c r="F11" s="301">
        <v>26</v>
      </c>
      <c r="G11" s="207" t="s">
        <v>67</v>
      </c>
    </row>
    <row r="12" hidden="1" ht="45" customHeight="1">
      <c r="A12" s="226"/>
      <c r="B12" s="238">
        <v>1115</v>
      </c>
      <c r="C12" s="242" t="s">
        <v>85</v>
      </c>
      <c r="D12" s="301">
        <v>26</v>
      </c>
      <c r="E12" s="301">
        <v>26</v>
      </c>
      <c r="F12" s="301">
        <v>26</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24</v>
      </c>
      <c r="E25" s="301">
        <v>69</v>
      </c>
      <c r="F25" s="301">
        <v>97</v>
      </c>
      <c r="G25" s="207" t="s">
        <v>67</v>
      </c>
    </row>
    <row r="26" hidden="1" ht="45" customHeight="1">
      <c r="A26" s="226"/>
      <c r="B26" s="238">
        <v>1134</v>
      </c>
      <c r="C26" s="242" t="s">
        <v>99</v>
      </c>
      <c r="D26" s="301">
        <v>8</v>
      </c>
      <c r="E26" s="301">
        <v>11</v>
      </c>
      <c r="F26" s="301">
        <v>22</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32</v>
      </c>
      <c r="E33" s="301">
        <v>80</v>
      </c>
      <c r="F33" s="301">
        <v>119</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24</v>
      </c>
      <c r="E37" s="301">
        <v>69</v>
      </c>
      <c r="F37" s="301">
        <v>97</v>
      </c>
      <c r="G37" s="207" t="s">
        <v>67</v>
      </c>
    </row>
    <row r="38" hidden="1" ht="45" customHeight="1">
      <c r="A38" s="226"/>
      <c r="B38" s="238">
        <v>1153</v>
      </c>
      <c r="C38" s="242" t="s">
        <v>111</v>
      </c>
      <c r="D38" s="301">
        <v>24</v>
      </c>
      <c r="E38" s="301">
        <v>69</v>
      </c>
      <c r="F38" s="301">
        <v>97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24</v>
      </c>
      <c r="E40" s="301">
        <v>69</v>
      </c>
      <c r="F40" s="301">
        <v>97</v>
      </c>
      <c r="G40" s="207" t="s">
        <v>67</v>
      </c>
    </row>
    <row r="41" hidden="1" ht="45" customHeight="1">
      <c r="A41" s="226"/>
      <c r="B41" s="238">
        <v>1156</v>
      </c>
      <c r="C41" s="242" t="s">
        <v>113</v>
      </c>
      <c r="D41" s="301">
        <v>24</v>
      </c>
      <c r="E41" s="301">
        <v>69</v>
      </c>
      <c r="F41" s="301">
        <v>97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9</v>
      </c>
      <c r="F43" s="301">
        <v>3</v>
      </c>
      <c r="G43" s="207" t="s">
        <v>67</v>
      </c>
    </row>
    <row r="44" hidden="1" ht="45" customHeight="1" s="250" customFormat="1">
      <c r="A44" s="226"/>
      <c r="B44" s="238">
        <v>1159</v>
      </c>
      <c r="C44" s="242" t="s">
        <v>116</v>
      </c>
      <c r="D44" s="301">
        <v>0</v>
      </c>
      <c r="E44" s="301">
        <v>9</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13</v>
      </c>
      <c r="E53" s="301">
        <v>0</v>
      </c>
      <c r="F53" s="301">
        <v>0</v>
      </c>
      <c r="G53" s="207" t="s">
        <v>117</v>
      </c>
    </row>
    <row r="54" hidden="1" ht="45" customHeight="1">
      <c r="A54" s="226"/>
      <c r="B54" s="238">
        <v>1214</v>
      </c>
      <c r="C54" s="264" t="s">
        <v>132</v>
      </c>
      <c r="D54" s="301">
        <v>13</v>
      </c>
      <c r="E54" s="301">
        <v>10</v>
      </c>
      <c r="F54" s="301">
        <v>12</v>
      </c>
      <c r="G54" s="207" t="s">
        <v>117</v>
      </c>
    </row>
    <row r="55" hidden="1" ht="45" customHeight="1">
      <c r="A55" s="226"/>
      <c r="B55" s="238">
        <v>1215</v>
      </c>
      <c r="C55" s="242" t="s">
        <v>133</v>
      </c>
      <c r="D55" s="301">
        <v>13</v>
      </c>
      <c r="E55" s="301">
        <v>10</v>
      </c>
      <c r="F55" s="301">
        <v>12</v>
      </c>
      <c r="G55" s="207" t="s">
        <v>117</v>
      </c>
    </row>
    <row r="56" hidden="1" ht="45" customHeight="1">
      <c r="A56" s="226"/>
      <c r="B56" s="238">
        <v>1216</v>
      </c>
      <c r="C56" s="243" t="s">
        <v>134</v>
      </c>
      <c r="D56" s="301">
        <v>13</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13</v>
      </c>
      <c r="E59" s="301">
        <v>0</v>
      </c>
      <c r="F59" s="301">
        <v>0</v>
      </c>
      <c r="G59" s="207" t="s">
        <v>117</v>
      </c>
    </row>
    <row r="60" hidden="1" ht="45" customHeight="1">
      <c r="A60" s="226"/>
      <c r="B60" s="238">
        <v>1222</v>
      </c>
      <c r="C60" s="264" t="s">
        <v>138</v>
      </c>
      <c r="D60" s="301">
        <v>13</v>
      </c>
      <c r="E60" s="301">
        <v>0</v>
      </c>
      <c r="F60" s="301">
        <v>0</v>
      </c>
      <c r="G60" s="207" t="s">
        <v>117</v>
      </c>
    </row>
    <row r="61" hidden="1" ht="45" customHeight="1">
      <c r="A61" s="226"/>
      <c r="B61" s="238">
        <v>1223</v>
      </c>
      <c r="C61" s="264" t="s">
        <v>139</v>
      </c>
      <c r="D61" s="301">
        <v>13</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16</v>
      </c>
      <c r="E67" s="301">
        <v>10</v>
      </c>
      <c r="F67" s="301">
        <v>14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16</v>
      </c>
      <c r="E73" s="301">
        <v>10</v>
      </c>
      <c r="F73" s="301">
        <v>13</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16</v>
      </c>
      <c r="E75" s="301">
        <v>10</v>
      </c>
      <c r="F75" s="301">
        <v>13</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16</v>
      </c>
      <c r="E82" s="301">
        <v>10</v>
      </c>
      <c r="F82" s="301">
        <v>13</v>
      </c>
      <c r="G82" s="207" t="s">
        <v>117</v>
      </c>
    </row>
    <row r="83" hidden="1" ht="45" customHeight="1">
      <c r="A83" s="226"/>
      <c r="B83" s="238">
        <v>1253</v>
      </c>
      <c r="C83" s="242" t="s">
        <v>161</v>
      </c>
      <c r="D83" s="301">
        <v>16</v>
      </c>
      <c r="E83" s="301">
        <v>10</v>
      </c>
      <c r="F83" s="301">
        <v>13</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1</v>
      </c>
      <c r="G93" s="266" t="s">
        <v>168</v>
      </c>
    </row>
    <row r="94" ht="45" customHeight="1">
      <c r="A94" s="226"/>
      <c r="B94" s="238">
        <v>1314</v>
      </c>
      <c r="C94" s="269" t="s">
        <v>173</v>
      </c>
      <c r="D94" s="301">
        <v>0</v>
      </c>
      <c r="E94" s="301">
        <v>0</v>
      </c>
      <c r="F94" s="301">
        <v>1</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1</v>
      </c>
      <c r="G96" s="266" t="s">
        <v>168</v>
      </c>
    </row>
    <row r="97" ht="45" customHeight="1" s="270" customFormat="1">
      <c r="A97" s="226"/>
      <c r="B97" s="238">
        <v>1321</v>
      </c>
      <c r="C97" s="242" t="s">
        <v>176</v>
      </c>
      <c r="D97" s="301">
        <v>0</v>
      </c>
      <c r="E97" s="301">
        <v>0</v>
      </c>
      <c r="F97" s="301">
        <v>1</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0</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1</v>
      </c>
      <c r="G106" s="266" t="s">
        <v>168</v>
      </c>
    </row>
    <row r="107" hidden="1" ht="45" customHeight="1" s="270" customFormat="1">
      <c r="A107" s="226"/>
      <c r="B107" s="238">
        <v>1342</v>
      </c>
      <c r="C107" s="242" t="s">
        <v>186</v>
      </c>
      <c r="D107" s="271">
        <f>D94</f>
        <v>0</v>
      </c>
      <c r="E107" s="271">
        <f>E94</f>
        <v>0</v>
      </c>
      <c r="F107" s="271">
        <f>F94</f>
        <v>1</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289</v>
      </c>
      <c r="AZ425" s="0" t="s">
        <v>293</v>
      </c>
      <c r="BA425" s="0" t="s">
        <v>515</v>
      </c>
      <c r="BB425" s="0" t="str">
        <f t="shared" si="6"/>
        <v>CCFNbeBuruku</v>
      </c>
    </row>
    <row r="426">
      <c r="AV426" s="0" t="s">
        <v>471</v>
      </c>
      <c r="AW426" s="0" t="s">
        <v>286</v>
      </c>
      <c r="AX426" s="0" t="s">
        <v>524</v>
      </c>
      <c r="AY426" s="0" t="s">
        <v>1906</v>
      </c>
      <c r="AZ426" s="0" t="s">
        <v>1907</v>
      </c>
      <c r="BA426" s="0" t="s">
        <v>515</v>
      </c>
      <c r="BB426" s="0" t="str">
        <f t="shared" si="6"/>
        <v>CCFNbeGboko</v>
      </c>
    </row>
    <row r="427">
      <c r="AV427" s="0" t="s">
        <v>471</v>
      </c>
      <c r="AW427" s="0" t="s">
        <v>286</v>
      </c>
      <c r="AX427" s="0" t="s">
        <v>565</v>
      </c>
      <c r="AY427" s="0" t="s">
        <v>1908</v>
      </c>
      <c r="AZ427" s="0" t="s">
        <v>1909</v>
      </c>
      <c r="BA427" s="0" t="s">
        <v>515</v>
      </c>
      <c r="BB427" s="0" t="str">
        <f t="shared" si="6"/>
        <v>CCFNbeGuma</v>
      </c>
    </row>
    <row r="428">
      <c r="AV428" s="0" t="s">
        <v>471</v>
      </c>
      <c r="AW428" s="0" t="s">
        <v>286</v>
      </c>
      <c r="AX428" s="0" t="s">
        <v>565</v>
      </c>
      <c r="AY428" s="0" t="s">
        <v>1910</v>
      </c>
      <c r="AZ428" s="0" t="s">
        <v>1911</v>
      </c>
      <c r="BA428" s="0" t="s">
        <v>515</v>
      </c>
      <c r="BB428" s="0" t="str">
        <f t="shared" si="6"/>
        <v>CCFNbeGuma</v>
      </c>
    </row>
    <row r="429">
      <c r="AV429" s="0" t="s">
        <v>471</v>
      </c>
      <c r="AW429" s="0" t="s">
        <v>286</v>
      </c>
      <c r="AX429" s="0" t="s">
        <v>602</v>
      </c>
      <c r="AY429" s="0" t="s">
        <v>1912</v>
      </c>
      <c r="AZ429" s="0" t="s">
        <v>1913</v>
      </c>
      <c r="BA429" s="0" t="s">
        <v>515</v>
      </c>
      <c r="BB429" s="0" t="str">
        <f t="shared" si="6"/>
        <v>CCFNbeGwerEast</v>
      </c>
    </row>
    <row r="430">
      <c r="AV430" s="0" t="s">
        <v>471</v>
      </c>
      <c r="AW430" s="0" t="s">
        <v>286</v>
      </c>
      <c r="AX430" s="0" t="s">
        <v>641</v>
      </c>
      <c r="AY430" s="0" t="s">
        <v>1914</v>
      </c>
      <c r="AZ430" s="0" t="s">
        <v>1915</v>
      </c>
      <c r="BA430" s="0" t="s">
        <v>515</v>
      </c>
      <c r="BB430" s="0" t="str">
        <f t="shared" si="6"/>
        <v>CCFNbeGwerWest</v>
      </c>
    </row>
    <row r="431">
      <c r="AV431" s="0" t="s">
        <v>471</v>
      </c>
      <c r="AW431" s="0" t="s">
        <v>286</v>
      </c>
      <c r="AX431" s="0" t="s">
        <v>641</v>
      </c>
      <c r="AY431" s="0" t="s">
        <v>1916</v>
      </c>
      <c r="AZ431" s="0" t="s">
        <v>1917</v>
      </c>
      <c r="BA431" s="0" t="s">
        <v>515</v>
      </c>
      <c r="BB431" s="0" t="str">
        <f t="shared" si="6"/>
        <v>CCFNbeGwerWest</v>
      </c>
    </row>
    <row r="432">
      <c r="AV432" s="0" t="s">
        <v>471</v>
      </c>
      <c r="AW432" s="0" t="s">
        <v>286</v>
      </c>
      <c r="AX432" s="0" t="s">
        <v>641</v>
      </c>
      <c r="AY432" s="0" t="s">
        <v>1918</v>
      </c>
      <c r="AZ432" s="0" t="s">
        <v>1919</v>
      </c>
      <c r="BA432" s="0" t="s">
        <v>515</v>
      </c>
      <c r="BB432" s="0" t="str">
        <f t="shared" si="6"/>
        <v>CCFNbeGwerWest</v>
      </c>
    </row>
    <row r="433">
      <c r="AV433" s="0" t="s">
        <v>471</v>
      </c>
      <c r="AW433" s="0" t="s">
        <v>286</v>
      </c>
      <c r="AX433" s="0" t="s">
        <v>679</v>
      </c>
      <c r="AY433" s="0" t="s">
        <v>1920</v>
      </c>
      <c r="AZ433" s="0" t="s">
        <v>1921</v>
      </c>
      <c r="BA433" s="0" t="s">
        <v>515</v>
      </c>
      <c r="BB433" s="0" t="str">
        <f t="shared" si="6"/>
        <v>CCFNbeKatsinaAla</v>
      </c>
    </row>
    <row r="434">
      <c r="AV434" s="0" t="s">
        <v>471</v>
      </c>
      <c r="AW434" s="0" t="s">
        <v>286</v>
      </c>
      <c r="AX434" s="0" t="s">
        <v>679</v>
      </c>
      <c r="AY434" s="0" t="s">
        <v>1922</v>
      </c>
      <c r="AZ434" s="0" t="s">
        <v>1923</v>
      </c>
      <c r="BA434" s="0" t="s">
        <v>515</v>
      </c>
      <c r="BB434" s="0" t="str">
        <f t="shared" si="6"/>
        <v>CCFNbeKatsinaAla</v>
      </c>
    </row>
    <row r="435">
      <c r="AV435" s="0" t="s">
        <v>471</v>
      </c>
      <c r="AW435" s="0" t="s">
        <v>286</v>
      </c>
      <c r="AX435" s="0" t="s">
        <v>679</v>
      </c>
      <c r="AY435" s="0" t="s">
        <v>1924</v>
      </c>
      <c r="AZ435" s="0" t="s">
        <v>1925</v>
      </c>
      <c r="BA435" s="0" t="s">
        <v>515</v>
      </c>
      <c r="BB435" s="0" t="str">
        <f t="shared" si="6"/>
        <v>CCFNbeKatsinaAla</v>
      </c>
    </row>
    <row r="436">
      <c r="AV436" s="0" t="s">
        <v>471</v>
      </c>
      <c r="AW436" s="0" t="s">
        <v>286</v>
      </c>
      <c r="AX436" s="0" t="s">
        <v>679</v>
      </c>
      <c r="AY436" s="0" t="s">
        <v>1926</v>
      </c>
      <c r="AZ436" s="0" t="s">
        <v>1927</v>
      </c>
      <c r="BA436" s="0" t="s">
        <v>515</v>
      </c>
      <c r="BB436" s="0" t="str">
        <f t="shared" si="6"/>
        <v>CCFNbeKatsinaAla</v>
      </c>
    </row>
    <row r="437">
      <c r="AV437" s="0" t="s">
        <v>471</v>
      </c>
      <c r="AW437" s="0" t="s">
        <v>286</v>
      </c>
      <c r="AX437" s="0" t="s">
        <v>715</v>
      </c>
      <c r="AY437" s="0" t="s">
        <v>1928</v>
      </c>
      <c r="AZ437" s="0" t="s">
        <v>1929</v>
      </c>
      <c r="BA437" s="0" t="s">
        <v>515</v>
      </c>
      <c r="BB437" s="0" t="str">
        <f t="shared" si="6"/>
        <v>CCFNbeKonshisha</v>
      </c>
    </row>
    <row r="438">
      <c r="AV438" s="0" t="s">
        <v>471</v>
      </c>
      <c r="AW438" s="0" t="s">
        <v>286</v>
      </c>
      <c r="AX438" s="0" t="s">
        <v>715</v>
      </c>
      <c r="AY438" s="0" t="s">
        <v>1930</v>
      </c>
      <c r="AZ438" s="0" t="s">
        <v>1931</v>
      </c>
      <c r="BA438" s="0" t="s">
        <v>515</v>
      </c>
      <c r="BB438" s="0" t="str">
        <f t="shared" si="6"/>
        <v>CCFNbeKonshisha</v>
      </c>
    </row>
    <row r="439">
      <c r="AV439" s="0" t="s">
        <v>471</v>
      </c>
      <c r="AW439" s="0" t="s">
        <v>286</v>
      </c>
      <c r="AX439" s="0" t="s">
        <v>715</v>
      </c>
      <c r="AY439" s="0" t="s">
        <v>1932</v>
      </c>
      <c r="AZ439" s="0" t="s">
        <v>1933</v>
      </c>
      <c r="BA439" s="0" t="s">
        <v>515</v>
      </c>
      <c r="BB439" s="0" t="str">
        <f t="shared" si="6"/>
        <v>CCFNbeKonshisha</v>
      </c>
    </row>
    <row r="440">
      <c r="AV440" s="0" t="s">
        <v>471</v>
      </c>
      <c r="AW440" s="0" t="s">
        <v>286</v>
      </c>
      <c r="AX440" s="0" t="s">
        <v>715</v>
      </c>
      <c r="AY440" s="0" t="s">
        <v>1934</v>
      </c>
      <c r="AZ440" s="0" t="s">
        <v>1935</v>
      </c>
      <c r="BA440" s="0" t="s">
        <v>515</v>
      </c>
      <c r="BB440" s="0" t="str">
        <f t="shared" si="6"/>
        <v>CCFNbeKonshisha</v>
      </c>
    </row>
    <row r="441">
      <c r="AV441" s="0" t="s">
        <v>471</v>
      </c>
      <c r="AW441" s="0" t="s">
        <v>286</v>
      </c>
      <c r="AX441" s="0" t="s">
        <v>715</v>
      </c>
      <c r="AY441" s="0" t="s">
        <v>1936</v>
      </c>
      <c r="AZ441" s="0" t="s">
        <v>1937</v>
      </c>
      <c r="BA441" s="0" t="s">
        <v>515</v>
      </c>
      <c r="BB441" s="0" t="str">
        <f t="shared" si="6"/>
        <v>CCFNbeKonshisha</v>
      </c>
    </row>
    <row r="442">
      <c r="AV442" s="0" t="s">
        <v>471</v>
      </c>
      <c r="AW442" s="0" t="s">
        <v>286</v>
      </c>
      <c r="AX442" s="0" t="s">
        <v>748</v>
      </c>
      <c r="AY442" s="0" t="s">
        <v>1938</v>
      </c>
      <c r="AZ442" s="0" t="s">
        <v>1939</v>
      </c>
      <c r="BA442" s="0" t="s">
        <v>515</v>
      </c>
      <c r="BB442" s="0" t="str">
        <f t="shared" si="6"/>
        <v>CCFNbeKwande</v>
      </c>
    </row>
    <row r="443">
      <c r="AV443" s="0" t="s">
        <v>471</v>
      </c>
      <c r="AW443" s="0" t="s">
        <v>286</v>
      </c>
      <c r="AX443" s="0" t="s">
        <v>748</v>
      </c>
      <c r="AY443" s="0" t="s">
        <v>1940</v>
      </c>
      <c r="AZ443" s="0" t="s">
        <v>1941</v>
      </c>
      <c r="BA443" s="0" t="s">
        <v>515</v>
      </c>
      <c r="BB443" s="0" t="str">
        <f t="shared" si="6"/>
        <v>CCFNbeKwande</v>
      </c>
    </row>
    <row r="444">
      <c r="AV444" s="0" t="s">
        <v>471</v>
      </c>
      <c r="AW444" s="0" t="s">
        <v>286</v>
      </c>
      <c r="AX444" s="0" t="s">
        <v>748</v>
      </c>
      <c r="AY444" s="0" t="s">
        <v>1942</v>
      </c>
      <c r="AZ444" s="0" t="s">
        <v>1943</v>
      </c>
      <c r="BA444" s="0" t="s">
        <v>515</v>
      </c>
      <c r="BB444" s="0" t="str">
        <f t="shared" si="6"/>
        <v>CCFNbeKwande</v>
      </c>
    </row>
    <row r="445">
      <c r="AV445" s="0" t="s">
        <v>471</v>
      </c>
      <c r="AW445" s="0" t="s">
        <v>286</v>
      </c>
      <c r="AX445" s="0" t="s">
        <v>748</v>
      </c>
      <c r="AY445" s="0" t="s">
        <v>1944</v>
      </c>
      <c r="AZ445" s="0" t="s">
        <v>1945</v>
      </c>
      <c r="BA445" s="0" t="s">
        <v>515</v>
      </c>
      <c r="BB445" s="0" t="str">
        <f t="shared" si="6"/>
        <v>CCFNbeKwande</v>
      </c>
    </row>
    <row r="446">
      <c r="AV446" s="0" t="s">
        <v>471</v>
      </c>
      <c r="AW446" s="0" t="s">
        <v>286</v>
      </c>
      <c r="AX446" s="0" t="s">
        <v>780</v>
      </c>
      <c r="AY446" s="0" t="s">
        <v>1946</v>
      </c>
      <c r="AZ446" s="0" t="s">
        <v>1947</v>
      </c>
      <c r="BA446" s="0" t="s">
        <v>515</v>
      </c>
      <c r="BB446" s="0" t="str">
        <f t="shared" si="6"/>
        <v>CCFNbeLogo</v>
      </c>
    </row>
    <row r="447">
      <c r="AV447" s="0" t="s">
        <v>471</v>
      </c>
      <c r="AW447" s="0" t="s">
        <v>286</v>
      </c>
      <c r="AX447" s="0" t="s">
        <v>780</v>
      </c>
      <c r="AY447" s="0" t="s">
        <v>1948</v>
      </c>
      <c r="AZ447" s="0" t="s">
        <v>1949</v>
      </c>
      <c r="BA447" s="0" t="s">
        <v>515</v>
      </c>
      <c r="BB447" s="0" t="str">
        <f t="shared" si="6"/>
        <v>CCFNbeLogo</v>
      </c>
    </row>
    <row r="448">
      <c r="AV448" s="0" t="s">
        <v>471</v>
      </c>
      <c r="AW448" s="0" t="s">
        <v>286</v>
      </c>
      <c r="AX448" s="0" t="s">
        <v>810</v>
      </c>
      <c r="AY448" s="0" t="s">
        <v>1950</v>
      </c>
      <c r="AZ448" s="0" t="s">
        <v>1951</v>
      </c>
      <c r="BA448" s="0" t="s">
        <v>515</v>
      </c>
      <c r="BB448" s="0" t="str">
        <f t="shared" si="6"/>
        <v>CCFNbeMakurdi</v>
      </c>
    </row>
    <row r="449">
      <c r="AV449" s="0" t="s">
        <v>471</v>
      </c>
      <c r="AW449" s="0" t="s">
        <v>286</v>
      </c>
      <c r="AX449" s="0" t="s">
        <v>839</v>
      </c>
      <c r="AY449" s="0" t="s">
        <v>1952</v>
      </c>
      <c r="AZ449" s="0" t="s">
        <v>1953</v>
      </c>
      <c r="BA449" s="0" t="s">
        <v>515</v>
      </c>
      <c r="BB449" s="0" t="str">
        <f t="shared" si="6"/>
        <v>CCFNbeOkpokwu</v>
      </c>
    </row>
    <row r="450">
      <c r="AV450" s="0" t="s">
        <v>471</v>
      </c>
      <c r="AW450" s="0" t="s">
        <v>286</v>
      </c>
      <c r="AX450" s="0" t="s">
        <v>839</v>
      </c>
      <c r="AY450" s="0" t="s">
        <v>1954</v>
      </c>
      <c r="AZ450" s="0" t="s">
        <v>1955</v>
      </c>
      <c r="BA450" s="0" t="s">
        <v>515</v>
      </c>
      <c r="BB450" s="0" t="str">
        <f t="shared" si="6"/>
        <v>CCFNbeOkpokwu</v>
      </c>
    </row>
    <row r="451">
      <c r="AV451" s="0" t="s">
        <v>471</v>
      </c>
      <c r="AW451" s="0" t="s">
        <v>286</v>
      </c>
      <c r="AX451" s="0" t="s">
        <v>839</v>
      </c>
      <c r="AY451" s="0" t="s">
        <v>1956</v>
      </c>
      <c r="AZ451" s="0" t="s">
        <v>1957</v>
      </c>
      <c r="BA451" s="0" t="s">
        <v>515</v>
      </c>
      <c r="BB451" s="0" t="str">
        <f ref="BB451:BB514" t="shared" si="7">SUBSTITUTE(SUBSTITUTE(BA451&amp;AX451," ",""),"-","")</f>
        <v>CCFNbeOkpokwu</v>
      </c>
    </row>
    <row r="452">
      <c r="AV452" s="0" t="s">
        <v>471</v>
      </c>
      <c r="AW452" s="0" t="s">
        <v>286</v>
      </c>
      <c r="AX452" s="0" t="s">
        <v>867</v>
      </c>
      <c r="AY452" s="0" t="s">
        <v>1958</v>
      </c>
      <c r="AZ452" s="0" t="s">
        <v>1959</v>
      </c>
      <c r="BA452" s="0" t="s">
        <v>515</v>
      </c>
      <c r="BB452" s="0" t="str">
        <f t="shared" si="7"/>
        <v>CCFNbeOtukpo</v>
      </c>
    </row>
    <row r="453">
      <c r="AV453" s="0" t="s">
        <v>471</v>
      </c>
      <c r="AW453" s="0" t="s">
        <v>286</v>
      </c>
      <c r="AX453" s="0" t="s">
        <v>867</v>
      </c>
      <c r="AY453" s="0" t="s">
        <v>1960</v>
      </c>
      <c r="AZ453" s="0" t="s">
        <v>1961</v>
      </c>
      <c r="BA453" s="0" t="s">
        <v>515</v>
      </c>
      <c r="BB453" s="0" t="str">
        <f t="shared" si="7"/>
        <v>CCFNbeOtukpo</v>
      </c>
    </row>
    <row r="454">
      <c r="AV454" s="0" t="s">
        <v>471</v>
      </c>
      <c r="AW454" s="0" t="s">
        <v>286</v>
      </c>
      <c r="AX454" s="0" t="s">
        <v>867</v>
      </c>
      <c r="AY454" s="0" t="s">
        <v>1962</v>
      </c>
      <c r="AZ454" s="0" t="s">
        <v>1963</v>
      </c>
      <c r="BA454" s="0" t="s">
        <v>515</v>
      </c>
      <c r="BB454" s="0" t="str">
        <f t="shared" si="7"/>
        <v>CCFNbeOtukpo</v>
      </c>
    </row>
    <row r="455">
      <c r="AV455" s="0" t="s">
        <v>471</v>
      </c>
      <c r="AW455" s="0" t="s">
        <v>286</v>
      </c>
      <c r="AX455" s="0" t="s">
        <v>893</v>
      </c>
      <c r="AY455" s="0" t="s">
        <v>1964</v>
      </c>
      <c r="AZ455" s="0" t="s">
        <v>1965</v>
      </c>
      <c r="BA455" s="0" t="s">
        <v>515</v>
      </c>
      <c r="BB455" s="0" t="str">
        <f t="shared" si="7"/>
        <v>CCFNbeTarka</v>
      </c>
    </row>
    <row r="456">
      <c r="AV456" s="0" t="s">
        <v>471</v>
      </c>
      <c r="AW456" s="0" t="s">
        <v>286</v>
      </c>
      <c r="AX456" s="0" t="s">
        <v>893</v>
      </c>
      <c r="AY456" s="0" t="s">
        <v>1966</v>
      </c>
      <c r="AZ456" s="0" t="s">
        <v>1967</v>
      </c>
      <c r="BA456" s="0" t="s">
        <v>515</v>
      </c>
      <c r="BB456" s="0" t="str">
        <f t="shared" si="7"/>
        <v>CCFNbeTarka</v>
      </c>
    </row>
    <row r="457">
      <c r="AV457" s="0" t="s">
        <v>471</v>
      </c>
      <c r="AW457" s="0" t="s">
        <v>286</v>
      </c>
      <c r="AX457" s="0" t="s">
        <v>918</v>
      </c>
      <c r="AY457" s="0" t="s">
        <v>1968</v>
      </c>
      <c r="AZ457" s="0" t="s">
        <v>1969</v>
      </c>
      <c r="BA457" s="0" t="s">
        <v>515</v>
      </c>
      <c r="BB457" s="0" t="str">
        <f t="shared" si="7"/>
        <v>CCFNbeUkum</v>
      </c>
    </row>
    <row r="458">
      <c r="AV458" s="0" t="s">
        <v>471</v>
      </c>
      <c r="AW458" s="0" t="s">
        <v>286</v>
      </c>
      <c r="AX458" s="0" t="s">
        <v>918</v>
      </c>
      <c r="AY458" s="0" t="s">
        <v>1970</v>
      </c>
      <c r="AZ458" s="0" t="s">
        <v>1971</v>
      </c>
      <c r="BA458" s="0" t="s">
        <v>515</v>
      </c>
      <c r="BB458" s="0" t="str">
        <f t="shared" si="7"/>
        <v>CCFNbeUkum</v>
      </c>
    </row>
    <row r="459">
      <c r="AV459" s="0" t="s">
        <v>471</v>
      </c>
      <c r="AW459" s="0" t="s">
        <v>286</v>
      </c>
      <c r="AX459" s="0" t="s">
        <v>918</v>
      </c>
      <c r="AY459" s="0" t="s">
        <v>1972</v>
      </c>
      <c r="AZ459" s="0" t="s">
        <v>1973</v>
      </c>
      <c r="BA459" s="0" t="s">
        <v>515</v>
      </c>
      <c r="BB459" s="0" t="str">
        <f t="shared" si="7"/>
        <v>CCFNbeUkum</v>
      </c>
    </row>
    <row r="460">
      <c r="AV460" s="0" t="s">
        <v>471</v>
      </c>
      <c r="AW460" s="0" t="s">
        <v>286</v>
      </c>
      <c r="AX460" s="0" t="s">
        <v>942</v>
      </c>
      <c r="AY460" s="0" t="s">
        <v>1974</v>
      </c>
      <c r="AZ460" s="0" t="s">
        <v>1975</v>
      </c>
      <c r="BA460" s="0" t="s">
        <v>515</v>
      </c>
      <c r="BB460" s="0" t="str">
        <f t="shared" si="7"/>
        <v>CCFNbeUshongo</v>
      </c>
    </row>
    <row r="461">
      <c r="AV461" s="0" t="s">
        <v>471</v>
      </c>
      <c r="AW461" s="0" t="s">
        <v>286</v>
      </c>
      <c r="AX461" s="0" t="s">
        <v>942</v>
      </c>
      <c r="AY461" s="0" t="s">
        <v>1976</v>
      </c>
      <c r="AZ461" s="0" t="s">
        <v>1977</v>
      </c>
      <c r="BA461" s="0" t="s">
        <v>515</v>
      </c>
      <c r="BB461" s="0" t="str">
        <f t="shared" si="7"/>
        <v>CCFNbeUshongo</v>
      </c>
    </row>
    <row r="462">
      <c r="AV462" s="0" t="s">
        <v>471</v>
      </c>
      <c r="AW462" s="0" t="s">
        <v>286</v>
      </c>
      <c r="AX462" s="0" t="s">
        <v>942</v>
      </c>
      <c r="AY462" s="0" t="s">
        <v>1978</v>
      </c>
      <c r="AZ462" s="0" t="s">
        <v>1979</v>
      </c>
      <c r="BA462" s="0" t="s">
        <v>515</v>
      </c>
      <c r="BB462" s="0" t="str">
        <f t="shared" si="7"/>
        <v>CCFNbeUshongo</v>
      </c>
    </row>
    <row r="463">
      <c r="AV463" s="0" t="s">
        <v>471</v>
      </c>
      <c r="AW463" s="0" t="s">
        <v>286</v>
      </c>
      <c r="AX463" s="0" t="s">
        <v>942</v>
      </c>
      <c r="AY463" s="0" t="s">
        <v>1980</v>
      </c>
      <c r="AZ463" s="0" t="s">
        <v>1981</v>
      </c>
      <c r="BA463" s="0" t="s">
        <v>515</v>
      </c>
      <c r="BB463" s="0" t="str">
        <f t="shared" si="7"/>
        <v>CCFNbeUshongo</v>
      </c>
    </row>
    <row r="464">
      <c r="AV464" s="0" t="s">
        <v>471</v>
      </c>
      <c r="AW464" s="0" t="s">
        <v>286</v>
      </c>
      <c r="AX464" s="0" t="s">
        <v>942</v>
      </c>
      <c r="AY464" s="0" t="s">
        <v>1982</v>
      </c>
      <c r="AZ464" s="0" t="s">
        <v>1983</v>
      </c>
      <c r="BA464" s="0" t="s">
        <v>515</v>
      </c>
      <c r="BB464" s="0" t="str">
        <f t="shared" si="7"/>
        <v>CCFNbeUshongo</v>
      </c>
    </row>
    <row r="465">
      <c r="AV465" s="0" t="s">
        <v>471</v>
      </c>
      <c r="AW465" s="0" t="s">
        <v>286</v>
      </c>
      <c r="AX465" s="0" t="s">
        <v>942</v>
      </c>
      <c r="AY465" s="0" t="s">
        <v>1984</v>
      </c>
      <c r="AZ465" s="0" t="s">
        <v>1985</v>
      </c>
      <c r="BA465" s="0" t="s">
        <v>515</v>
      </c>
      <c r="BB465" s="0" t="str">
        <f t="shared" si="7"/>
        <v>CCFNbeUshongo</v>
      </c>
    </row>
    <row r="466">
      <c r="AV466" s="0" t="s">
        <v>471</v>
      </c>
      <c r="AW466" s="0" t="s">
        <v>286</v>
      </c>
      <c r="AX466" s="0" t="s">
        <v>942</v>
      </c>
      <c r="AY466" s="0" t="s">
        <v>1986</v>
      </c>
      <c r="AZ466" s="0" t="s">
        <v>1987</v>
      </c>
      <c r="BA466" s="0" t="s">
        <v>515</v>
      </c>
      <c r="BB466" s="0" t="str">
        <f t="shared" si="7"/>
        <v>CCFNbeUshongo</v>
      </c>
    </row>
    <row r="467">
      <c r="AV467" s="0" t="s">
        <v>471</v>
      </c>
      <c r="AW467" s="0" t="s">
        <v>286</v>
      </c>
      <c r="AX467" s="0" t="s">
        <v>965</v>
      </c>
      <c r="AY467" s="0" t="s">
        <v>1988</v>
      </c>
      <c r="AZ467" s="0" t="s">
        <v>1989</v>
      </c>
      <c r="BA467" s="0" t="s">
        <v>515</v>
      </c>
      <c r="BB467" s="0" t="str">
        <f t="shared" si="7"/>
        <v>CCFNbeVandeikya</v>
      </c>
    </row>
    <row r="468">
      <c r="AV468" s="0" t="s">
        <v>471</v>
      </c>
      <c r="AW468" s="0" t="s">
        <v>286</v>
      </c>
      <c r="AX468" s="0" t="s">
        <v>965</v>
      </c>
      <c r="AY468" s="0" t="s">
        <v>1990</v>
      </c>
      <c r="AZ468" s="0" t="s">
        <v>1991</v>
      </c>
      <c r="BA468" s="0" t="s">
        <v>515</v>
      </c>
      <c r="BB468" s="0" t="str">
        <f t="shared" si="7"/>
        <v>CCFNbeVandeikya</v>
      </c>
    </row>
    <row r="469">
      <c r="AV469" s="0" t="s">
        <v>471</v>
      </c>
      <c r="AW469" s="0" t="s">
        <v>286</v>
      </c>
      <c r="AX469" s="0" t="s">
        <v>965</v>
      </c>
      <c r="AY469" s="0" t="s">
        <v>1992</v>
      </c>
      <c r="AZ469" s="0" t="s">
        <v>1993</v>
      </c>
      <c r="BA469" s="0" t="s">
        <v>515</v>
      </c>
      <c r="BB469" s="0" t="str">
        <f t="shared" si="7"/>
        <v>CCFNbeVandeikya</v>
      </c>
    </row>
    <row r="470">
      <c r="AV470" s="0" t="s">
        <v>471</v>
      </c>
      <c r="AW470" s="0" t="s">
        <v>286</v>
      </c>
      <c r="AX470" s="0" t="s">
        <v>965</v>
      </c>
      <c r="AY470" s="0" t="s">
        <v>1994</v>
      </c>
      <c r="AZ470" s="0" t="s">
        <v>1995</v>
      </c>
      <c r="BA470" s="0" t="s">
        <v>515</v>
      </c>
      <c r="BB470" s="0" t="str">
        <f t="shared" si="7"/>
        <v>CCFNbeVandeikya</v>
      </c>
    </row>
    <row r="471">
      <c r="AV471" s="0" t="s">
        <v>471</v>
      </c>
      <c r="AW471" s="0" t="s">
        <v>286</v>
      </c>
      <c r="AX471" s="0" t="s">
        <v>965</v>
      </c>
      <c r="AY471" s="0" t="s">
        <v>1996</v>
      </c>
      <c r="AZ471" s="0" t="s">
        <v>1997</v>
      </c>
      <c r="BA471" s="0" t="s">
        <v>515</v>
      </c>
      <c r="BB471" s="0" t="str">
        <f t="shared" si="7"/>
        <v>CCFNbeVandeikya</v>
      </c>
    </row>
    <row r="472">
      <c r="AV472" s="0" t="s">
        <v>471</v>
      </c>
      <c r="AW472" s="0" t="s">
        <v>286</v>
      </c>
      <c r="AX472" s="0" t="s">
        <v>965</v>
      </c>
      <c r="AY472" s="0" t="s">
        <v>1998</v>
      </c>
      <c r="AZ472" s="0" t="s">
        <v>1999</v>
      </c>
      <c r="BA472" s="0" t="s">
        <v>515</v>
      </c>
      <c r="BB472" s="0" t="str">
        <f t="shared" si="7"/>
        <v>CCFNbeVandeikya</v>
      </c>
    </row>
    <row r="473">
      <c r="AV473" s="0" t="s">
        <v>471</v>
      </c>
      <c r="AW473" s="0" t="s">
        <v>396</v>
      </c>
      <c r="AX473" s="0" t="s">
        <v>443</v>
      </c>
      <c r="AY473" s="0" t="s">
        <v>2000</v>
      </c>
      <c r="AZ473" s="0" t="s">
        <v>2001</v>
      </c>
      <c r="BA473" s="0" t="s">
        <v>515</v>
      </c>
      <c r="BB473" s="0" t="str">
        <f t="shared" si="7"/>
        <v>CCFNdeAniochaNorth</v>
      </c>
    </row>
    <row r="474">
      <c r="AV474" s="0" t="s">
        <v>471</v>
      </c>
      <c r="AW474" s="0" t="s">
        <v>396</v>
      </c>
      <c r="AX474" s="0" t="s">
        <v>486</v>
      </c>
      <c r="AY474" s="0" t="s">
        <v>2002</v>
      </c>
      <c r="AZ474" s="0" t="s">
        <v>2003</v>
      </c>
      <c r="BA474" s="0" t="s">
        <v>515</v>
      </c>
      <c r="BB474" s="0" t="str">
        <f t="shared" si="7"/>
        <v>CCFNdeEthiopeEast</v>
      </c>
    </row>
    <row r="475">
      <c r="AV475" s="0" t="s">
        <v>471</v>
      </c>
      <c r="AW475" s="0" t="s">
        <v>396</v>
      </c>
      <c r="AX475" s="0" t="s">
        <v>486</v>
      </c>
      <c r="AY475" s="0" t="s">
        <v>2004</v>
      </c>
      <c r="AZ475" s="0" t="s">
        <v>2005</v>
      </c>
      <c r="BA475" s="0" t="s">
        <v>515</v>
      </c>
      <c r="BB475" s="0" t="str">
        <f t="shared" si="7"/>
        <v>CCFNdeEthiopeEast</v>
      </c>
    </row>
    <row r="476">
      <c r="AV476" s="0" t="s">
        <v>471</v>
      </c>
      <c r="AW476" s="0" t="s">
        <v>396</v>
      </c>
      <c r="AX476" s="0" t="s">
        <v>527</v>
      </c>
      <c r="AY476" s="0" t="s">
        <v>2006</v>
      </c>
      <c r="AZ476" s="0" t="s">
        <v>2007</v>
      </c>
      <c r="BA476" s="0" t="s">
        <v>515</v>
      </c>
      <c r="BB476" s="0" t="str">
        <f t="shared" si="7"/>
        <v>CCFNdeSapele</v>
      </c>
    </row>
    <row r="477">
      <c r="AV477" s="0" t="s">
        <v>471</v>
      </c>
      <c r="AW477" s="0" t="s">
        <v>396</v>
      </c>
      <c r="AX477" s="0" t="s">
        <v>568</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577</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583</v>
      </c>
      <c r="AY511" s="0" t="s">
        <v>2077</v>
      </c>
      <c r="AZ511" s="0" t="s">
        <v>2078</v>
      </c>
      <c r="BA511" s="0" t="s">
        <v>515</v>
      </c>
      <c r="BB511" s="0" t="str">
        <f t="shared" si="7"/>
        <v>CCFNnaLafia</v>
      </c>
    </row>
    <row r="512">
      <c r="AV512" s="0" t="s">
        <v>471</v>
      </c>
      <c r="AW512" s="0" t="s">
        <v>412</v>
      </c>
      <c r="AX512" s="0" t="s">
        <v>583</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585</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588</v>
      </c>
      <c r="AY531" s="0" t="s">
        <v>2117</v>
      </c>
      <c r="AZ531" s="0" t="s">
        <v>2118</v>
      </c>
      <c r="BA531" s="0" t="s">
        <v>515</v>
      </c>
      <c r="BB531" s="0" t="str">
        <f t="shared" si="8"/>
        <v>CCFNplJosNorth</v>
      </c>
    </row>
    <row r="532">
      <c r="AV532" s="0" t="s">
        <v>471</v>
      </c>
      <c r="AW532" s="0" t="s">
        <v>418</v>
      </c>
      <c r="AX532" s="0" t="s">
        <v>588</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286</v>
      </c>
      <c r="AX537" s="0" t="s">
        <v>984</v>
      </c>
      <c r="AY537" s="0" t="s">
        <v>2129</v>
      </c>
      <c r="AZ537" s="0" t="s">
        <v>2130</v>
      </c>
      <c r="BA537" s="0" t="s">
        <v>285</v>
      </c>
      <c r="BB537" s="0" t="str">
        <f t="shared" si="8"/>
        <v>CIHPbeAdo</v>
      </c>
    </row>
    <row r="538">
      <c r="AV538" s="0" t="s">
        <v>471</v>
      </c>
      <c r="AW538" s="0" t="s">
        <v>286</v>
      </c>
      <c r="AX538" s="0" t="s">
        <v>984</v>
      </c>
      <c r="AY538" s="0" t="s">
        <v>2131</v>
      </c>
      <c r="AZ538" s="0" t="s">
        <v>2132</v>
      </c>
      <c r="BA538" s="0" t="s">
        <v>285</v>
      </c>
      <c r="BB538" s="0" t="str">
        <f t="shared" si="8"/>
        <v>CIHPbeAdo</v>
      </c>
    </row>
    <row r="539">
      <c r="AV539" s="0" t="s">
        <v>471</v>
      </c>
      <c r="AW539" s="0" t="s">
        <v>286</v>
      </c>
      <c r="AX539" s="0" t="s">
        <v>440</v>
      </c>
      <c r="AY539" s="0" t="s">
        <v>2133</v>
      </c>
      <c r="AZ539" s="0" t="s">
        <v>2134</v>
      </c>
      <c r="BA539" s="0" t="s">
        <v>285</v>
      </c>
      <c r="BB539" s="0" t="str">
        <f t="shared" si="8"/>
        <v>CIHPbeAgatu</v>
      </c>
    </row>
    <row r="540">
      <c r="AV540" s="0" t="s">
        <v>471</v>
      </c>
      <c r="AW540" s="0" t="s">
        <v>286</v>
      </c>
      <c r="AX540" s="0" t="s">
        <v>1003</v>
      </c>
      <c r="AY540" s="0" t="s">
        <v>2135</v>
      </c>
      <c r="AZ540" s="0" t="s">
        <v>2136</v>
      </c>
      <c r="BA540" s="0" t="s">
        <v>285</v>
      </c>
      <c r="BB540" s="0" t="str">
        <f t="shared" si="8"/>
        <v>CIHPbeApa</v>
      </c>
    </row>
    <row r="541">
      <c r="AV541" s="0" t="s">
        <v>471</v>
      </c>
      <c r="AW541" s="0" t="s">
        <v>286</v>
      </c>
      <c r="AX541" s="0" t="s">
        <v>1003</v>
      </c>
      <c r="AY541" s="0" t="s">
        <v>2137</v>
      </c>
      <c r="AZ541" s="0" t="s">
        <v>2138</v>
      </c>
      <c r="BA541" s="0" t="s">
        <v>285</v>
      </c>
      <c r="BB541" s="0" t="str">
        <f t="shared" si="8"/>
        <v>CIHPbeApa</v>
      </c>
    </row>
    <row r="542">
      <c r="AV542" s="0" t="s">
        <v>471</v>
      </c>
      <c r="AW542" s="0" t="s">
        <v>286</v>
      </c>
      <c r="AX542" s="0" t="s">
        <v>483</v>
      </c>
      <c r="AY542" s="0" t="s">
        <v>2139</v>
      </c>
      <c r="AZ542" s="0" t="s">
        <v>2140</v>
      </c>
      <c r="BA542" s="0" t="s">
        <v>285</v>
      </c>
      <c r="BB542" s="0" t="str">
        <f t="shared" si="8"/>
        <v>CIHPbeBuruku</v>
      </c>
    </row>
    <row r="543">
      <c r="AV543" s="0" t="s">
        <v>471</v>
      </c>
      <c r="AW543" s="0" t="s">
        <v>286</v>
      </c>
      <c r="AX543" s="0" t="s">
        <v>483</v>
      </c>
      <c r="AY543" s="0" t="s">
        <v>2141</v>
      </c>
      <c r="AZ543" s="0" t="s">
        <v>2142</v>
      </c>
      <c r="BA543" s="0" t="s">
        <v>285</v>
      </c>
      <c r="BB543" s="0" t="str">
        <f t="shared" si="8"/>
        <v>CIHPbeBuruku</v>
      </c>
    </row>
    <row r="544">
      <c r="AV544" s="0" t="s">
        <v>471</v>
      </c>
      <c r="AW544" s="0" t="s">
        <v>286</v>
      </c>
      <c r="AX544" s="0" t="s">
        <v>483</v>
      </c>
      <c r="AY544" s="0" t="s">
        <v>2143</v>
      </c>
      <c r="AZ544" s="0" t="s">
        <v>2144</v>
      </c>
      <c r="BA544" s="0" t="s">
        <v>285</v>
      </c>
      <c r="BB544" s="0" t="str">
        <f t="shared" si="8"/>
        <v>CIHPbeBuruku</v>
      </c>
    </row>
    <row r="545">
      <c r="AV545" s="0" t="s">
        <v>471</v>
      </c>
      <c r="AW545" s="0" t="s">
        <v>286</v>
      </c>
      <c r="AX545" s="0" t="s">
        <v>483</v>
      </c>
      <c r="AY545" s="0" t="s">
        <v>2145</v>
      </c>
      <c r="AZ545" s="0" t="s">
        <v>2146</v>
      </c>
      <c r="BA545" s="0" t="s">
        <v>285</v>
      </c>
      <c r="BB545" s="0" t="str">
        <f t="shared" si="8"/>
        <v>CIHPbeBuruku</v>
      </c>
    </row>
    <row r="546">
      <c r="AV546" s="0" t="s">
        <v>471</v>
      </c>
      <c r="AW546" s="0" t="s">
        <v>286</v>
      </c>
      <c r="AX546" s="0" t="s">
        <v>483</v>
      </c>
      <c r="AY546" s="0" t="s">
        <v>2147</v>
      </c>
      <c r="AZ546" s="0" t="s">
        <v>2148</v>
      </c>
      <c r="BA546" s="0" t="s">
        <v>285</v>
      </c>
      <c r="BB546" s="0" t="str">
        <f t="shared" si="8"/>
        <v>CIHPbeBuruku</v>
      </c>
    </row>
    <row r="547">
      <c r="AV547" s="0" t="s">
        <v>471</v>
      </c>
      <c r="AW547" s="0" t="s">
        <v>286</v>
      </c>
      <c r="AX547" s="0" t="s">
        <v>483</v>
      </c>
      <c r="AY547" s="0" t="s">
        <v>2149</v>
      </c>
      <c r="AZ547" s="0" t="s">
        <v>2150</v>
      </c>
      <c r="BA547" s="0" t="s">
        <v>285</v>
      </c>
      <c r="BB547" s="0" t="str">
        <f t="shared" si="8"/>
        <v>CIHPbeBuruku</v>
      </c>
    </row>
    <row r="548">
      <c r="AV548" s="0" t="s">
        <v>471</v>
      </c>
      <c r="AW548" s="0" t="s">
        <v>286</v>
      </c>
      <c r="AX548" s="0" t="s">
        <v>483</v>
      </c>
      <c r="AY548" s="0" t="s">
        <v>2151</v>
      </c>
      <c r="AZ548" s="0" t="s">
        <v>2152</v>
      </c>
      <c r="BA548" s="0" t="s">
        <v>285</v>
      </c>
      <c r="BB548" s="0" t="str">
        <f t="shared" si="8"/>
        <v>CIHPbeBuruku</v>
      </c>
    </row>
    <row r="549">
      <c r="AV549" s="0" t="s">
        <v>471</v>
      </c>
      <c r="AW549" s="0" t="s">
        <v>286</v>
      </c>
      <c r="AX549" s="0" t="s">
        <v>483</v>
      </c>
      <c r="AY549" s="0" t="s">
        <v>2153</v>
      </c>
      <c r="AZ549" s="0" t="s">
        <v>2154</v>
      </c>
      <c r="BA549" s="0" t="s">
        <v>285</v>
      </c>
      <c r="BB549" s="0" t="str">
        <f t="shared" si="8"/>
        <v>CIHPbeBuruku</v>
      </c>
    </row>
    <row r="550">
      <c r="AV550" s="0" t="s">
        <v>471</v>
      </c>
      <c r="AW550" s="0" t="s">
        <v>286</v>
      </c>
      <c r="AX550" s="0" t="s">
        <v>483</v>
      </c>
      <c r="AY550" s="0" t="s">
        <v>2155</v>
      </c>
      <c r="AZ550" s="0" t="s">
        <v>2156</v>
      </c>
      <c r="BA550" s="0" t="s">
        <v>285</v>
      </c>
      <c r="BB550" s="0" t="str">
        <f t="shared" si="8"/>
        <v>CIHPbeBuruku</v>
      </c>
    </row>
    <row r="551">
      <c r="AV551" s="0" t="s">
        <v>471</v>
      </c>
      <c r="AW551" s="0" t="s">
        <v>286</v>
      </c>
      <c r="AX551" s="0" t="s">
        <v>483</v>
      </c>
      <c r="AY551" s="0" t="s">
        <v>2157</v>
      </c>
      <c r="AZ551" s="0" t="s">
        <v>2158</v>
      </c>
      <c r="BA551" s="0" t="s">
        <v>285</v>
      </c>
      <c r="BB551" s="0" t="str">
        <f t="shared" si="8"/>
        <v>CIHPbeBuruku</v>
      </c>
    </row>
    <row r="552">
      <c r="AV552" s="0" t="s">
        <v>471</v>
      </c>
      <c r="AW552" s="0" t="s">
        <v>286</v>
      </c>
      <c r="AX552" s="0" t="s">
        <v>483</v>
      </c>
      <c r="AY552" s="0" t="s">
        <v>2159</v>
      </c>
      <c r="AZ552" s="0" t="s">
        <v>2160</v>
      </c>
      <c r="BA552" s="0" t="s">
        <v>285</v>
      </c>
      <c r="BB552" s="0" t="str">
        <f t="shared" si="8"/>
        <v>CIHPbeBuruku</v>
      </c>
    </row>
    <row r="553">
      <c r="AV553" s="0" t="s">
        <v>471</v>
      </c>
      <c r="AW553" s="0" t="s">
        <v>286</v>
      </c>
      <c r="AX553" s="0" t="s">
        <v>483</v>
      </c>
      <c r="AY553" s="0" t="s">
        <v>2161</v>
      </c>
      <c r="AZ553" s="0" t="s">
        <v>2162</v>
      </c>
      <c r="BA553" s="0" t="s">
        <v>285</v>
      </c>
      <c r="BB553" s="0" t="str">
        <f t="shared" si="8"/>
        <v>CIHPbeBuruku</v>
      </c>
    </row>
    <row r="554">
      <c r="AV554" s="0" t="s">
        <v>471</v>
      </c>
      <c r="AW554" s="0" t="s">
        <v>286</v>
      </c>
      <c r="AX554" s="0" t="s">
        <v>483</v>
      </c>
      <c r="AY554" s="0" t="s">
        <v>2163</v>
      </c>
      <c r="AZ554" s="0" t="s">
        <v>2164</v>
      </c>
      <c r="BA554" s="0" t="s">
        <v>285</v>
      </c>
      <c r="BB554" s="0" t="str">
        <f t="shared" si="8"/>
        <v>CIHPbeBuruku</v>
      </c>
    </row>
    <row r="555">
      <c r="AV555" s="0" t="s">
        <v>471</v>
      </c>
      <c r="AW555" s="0" t="s">
        <v>286</v>
      </c>
      <c r="AX555" s="0" t="s">
        <v>483</v>
      </c>
      <c r="AY555" s="0" t="s">
        <v>2165</v>
      </c>
      <c r="AZ555" s="0" t="s">
        <v>2166</v>
      </c>
      <c r="BA555" s="0" t="s">
        <v>285</v>
      </c>
      <c r="BB555" s="0" t="str">
        <f t="shared" si="8"/>
        <v>CIHPbeBuruku</v>
      </c>
    </row>
    <row r="556">
      <c r="AV556" s="0" t="s">
        <v>471</v>
      </c>
      <c r="AW556" s="0" t="s">
        <v>286</v>
      </c>
      <c r="AX556" s="0" t="s">
        <v>483</v>
      </c>
      <c r="AY556" s="0" t="s">
        <v>2167</v>
      </c>
      <c r="AZ556" s="0" t="s">
        <v>2168</v>
      </c>
      <c r="BA556" s="0" t="s">
        <v>285</v>
      </c>
      <c r="BB556" s="0" t="str">
        <f t="shared" si="8"/>
        <v>CIHPbeBuruku</v>
      </c>
    </row>
    <row r="557">
      <c r="AV557" s="0" t="s">
        <v>471</v>
      </c>
      <c r="AW557" s="0" t="s">
        <v>286</v>
      </c>
      <c r="AX557" s="0" t="s">
        <v>483</v>
      </c>
      <c r="AY557" s="0" t="s">
        <v>2169</v>
      </c>
      <c r="AZ557" s="0" t="s">
        <v>2170</v>
      </c>
      <c r="BA557" s="0" t="s">
        <v>285</v>
      </c>
      <c r="BB557" s="0" t="str">
        <f t="shared" si="8"/>
        <v>CIHPbeBuruku</v>
      </c>
    </row>
    <row r="558">
      <c r="AV558" s="0" t="s">
        <v>471</v>
      </c>
      <c r="AW558" s="0" t="s">
        <v>286</v>
      </c>
      <c r="AX558" s="0" t="s">
        <v>483</v>
      </c>
      <c r="AY558" s="0" t="s">
        <v>2171</v>
      </c>
      <c r="AZ558" s="0" t="s">
        <v>2172</v>
      </c>
      <c r="BA558" s="0" t="s">
        <v>285</v>
      </c>
      <c r="BB558" s="0" t="str">
        <f t="shared" si="8"/>
        <v>CIHPbeBuruku</v>
      </c>
    </row>
    <row r="559">
      <c r="AV559" s="0" t="s">
        <v>471</v>
      </c>
      <c r="AW559" s="0" t="s">
        <v>286</v>
      </c>
      <c r="AX559" s="0" t="s">
        <v>483</v>
      </c>
      <c r="AY559" s="0" t="s">
        <v>2173</v>
      </c>
      <c r="AZ559" s="0" t="s">
        <v>2174</v>
      </c>
      <c r="BA559" s="0" t="s">
        <v>285</v>
      </c>
      <c r="BB559" s="0" t="str">
        <f t="shared" si="8"/>
        <v>CIHPbeBuruku</v>
      </c>
    </row>
    <row r="560">
      <c r="AV560" s="0" t="s">
        <v>471</v>
      </c>
      <c r="AW560" s="0" t="s">
        <v>286</v>
      </c>
      <c r="AX560" s="0" t="s">
        <v>483</v>
      </c>
      <c r="AY560" s="0" t="s">
        <v>2175</v>
      </c>
      <c r="AZ560" s="0" t="s">
        <v>2176</v>
      </c>
      <c r="BA560" s="0" t="s">
        <v>285</v>
      </c>
      <c r="BB560" s="0" t="str">
        <f t="shared" si="8"/>
        <v>CIHPbeBuruku</v>
      </c>
    </row>
    <row r="561">
      <c r="AV561" s="0" t="s">
        <v>471</v>
      </c>
      <c r="AW561" s="0" t="s">
        <v>286</v>
      </c>
      <c r="AX561" s="0" t="s">
        <v>483</v>
      </c>
      <c r="AY561" s="0" t="s">
        <v>2177</v>
      </c>
      <c r="AZ561" s="0" t="s">
        <v>2178</v>
      </c>
      <c r="BA561" s="0" t="s">
        <v>285</v>
      </c>
      <c r="BB561" s="0" t="str">
        <f t="shared" si="8"/>
        <v>CIHPbeBuruku</v>
      </c>
    </row>
    <row r="562">
      <c r="AV562" s="0" t="s">
        <v>471</v>
      </c>
      <c r="AW562" s="0" t="s">
        <v>286</v>
      </c>
      <c r="AX562" s="0" t="s">
        <v>483</v>
      </c>
      <c r="AY562" s="0" t="s">
        <v>2179</v>
      </c>
      <c r="AZ562" s="0" t="s">
        <v>2180</v>
      </c>
      <c r="BA562" s="0" t="s">
        <v>285</v>
      </c>
      <c r="BB562" s="0" t="str">
        <f t="shared" si="8"/>
        <v>CIHPbeBuruku</v>
      </c>
    </row>
    <row r="563">
      <c r="AV563" s="0" t="s">
        <v>471</v>
      </c>
      <c r="AW563" s="0" t="s">
        <v>286</v>
      </c>
      <c r="AX563" s="0" t="s">
        <v>483</v>
      </c>
      <c r="AY563" s="0" t="s">
        <v>2181</v>
      </c>
      <c r="AZ563" s="0" t="s">
        <v>2182</v>
      </c>
      <c r="BA563" s="0" t="s">
        <v>285</v>
      </c>
      <c r="BB563" s="0" t="str">
        <f t="shared" si="8"/>
        <v>CIHPbeBuruku</v>
      </c>
    </row>
    <row r="564">
      <c r="AV564" s="0" t="s">
        <v>471</v>
      </c>
      <c r="AW564" s="0" t="s">
        <v>286</v>
      </c>
      <c r="AX564" s="0" t="s">
        <v>483</v>
      </c>
      <c r="AY564" s="0" t="s">
        <v>2183</v>
      </c>
      <c r="AZ564" s="0" t="s">
        <v>2184</v>
      </c>
      <c r="BA564" s="0" t="s">
        <v>285</v>
      </c>
      <c r="BB564" s="0" t="str">
        <f t="shared" si="8"/>
        <v>CIHPbeBuruku</v>
      </c>
    </row>
    <row r="565">
      <c r="AV565" s="0" t="s">
        <v>471</v>
      </c>
      <c r="AW565" s="0" t="s">
        <v>286</v>
      </c>
      <c r="AX565" s="0" t="s">
        <v>483</v>
      </c>
      <c r="AY565" s="0" t="s">
        <v>2185</v>
      </c>
      <c r="AZ565" s="0" t="s">
        <v>2186</v>
      </c>
      <c r="BA565" s="0" t="s">
        <v>285</v>
      </c>
      <c r="BB565" s="0" t="str">
        <f t="shared" si="8"/>
        <v>CIHPbeBuruku</v>
      </c>
    </row>
    <row r="566">
      <c r="AV566" s="0" t="s">
        <v>471</v>
      </c>
      <c r="AW566" s="0" t="s">
        <v>286</v>
      </c>
      <c r="AX566" s="0" t="s">
        <v>483</v>
      </c>
      <c r="AY566" s="0" t="s">
        <v>289</v>
      </c>
      <c r="AZ566" s="0" t="s">
        <v>293</v>
      </c>
      <c r="BA566" s="0" t="s">
        <v>285</v>
      </c>
      <c r="BB566" s="0" t="str">
        <f t="shared" si="8"/>
        <v>CIHPbeBuruku</v>
      </c>
    </row>
    <row r="567">
      <c r="AV567" s="0" t="s">
        <v>471</v>
      </c>
      <c r="AW567" s="0" t="s">
        <v>286</v>
      </c>
      <c r="AX567" s="0" t="s">
        <v>483</v>
      </c>
      <c r="AY567" s="0" t="s">
        <v>2187</v>
      </c>
      <c r="AZ567" s="0" t="s">
        <v>2188</v>
      </c>
      <c r="BA567" s="0" t="s">
        <v>285</v>
      </c>
      <c r="BB567" s="0" t="str">
        <f t="shared" si="8"/>
        <v>CIHPbeBuruku</v>
      </c>
    </row>
    <row r="568">
      <c r="AV568" s="0" t="s">
        <v>471</v>
      </c>
      <c r="AW568" s="0" t="s">
        <v>286</v>
      </c>
      <c r="AX568" s="0" t="s">
        <v>483</v>
      </c>
      <c r="AY568" s="0" t="s">
        <v>2189</v>
      </c>
      <c r="AZ568" s="0" t="s">
        <v>2190</v>
      </c>
      <c r="BA568" s="0" t="s">
        <v>285</v>
      </c>
      <c r="BB568" s="0" t="str">
        <f t="shared" si="8"/>
        <v>CIHPbeBuruku</v>
      </c>
    </row>
    <row r="569">
      <c r="AV569" s="0" t="s">
        <v>471</v>
      </c>
      <c r="AW569" s="0" t="s">
        <v>286</v>
      </c>
      <c r="AX569" s="0" t="s">
        <v>483</v>
      </c>
      <c r="AY569" s="0" t="s">
        <v>2191</v>
      </c>
      <c r="AZ569" s="0" t="s">
        <v>2192</v>
      </c>
      <c r="BA569" s="0" t="s">
        <v>285</v>
      </c>
      <c r="BB569" s="0" t="str">
        <f t="shared" si="8"/>
        <v>CIHPbeBuruku</v>
      </c>
    </row>
    <row r="570">
      <c r="AV570" s="0" t="s">
        <v>471</v>
      </c>
      <c r="AW570" s="0" t="s">
        <v>286</v>
      </c>
      <c r="AX570" s="0" t="s">
        <v>483</v>
      </c>
      <c r="AY570" s="0" t="s">
        <v>2193</v>
      </c>
      <c r="AZ570" s="0" t="s">
        <v>2194</v>
      </c>
      <c r="BA570" s="0" t="s">
        <v>285</v>
      </c>
      <c r="BB570" s="0" t="str">
        <f t="shared" si="8"/>
        <v>CIHPbeBuruku</v>
      </c>
    </row>
    <row r="571">
      <c r="AV571" s="0" t="s">
        <v>471</v>
      </c>
      <c r="AW571" s="0" t="s">
        <v>286</v>
      </c>
      <c r="AX571" s="0" t="s">
        <v>483</v>
      </c>
      <c r="AY571" s="0" t="s">
        <v>2195</v>
      </c>
      <c r="AZ571" s="0" t="s">
        <v>2196</v>
      </c>
      <c r="BA571" s="0" t="s">
        <v>285</v>
      </c>
      <c r="BB571" s="0" t="str">
        <f t="shared" si="8"/>
        <v>CIHPbeBuruku</v>
      </c>
    </row>
    <row r="572">
      <c r="AV572" s="0" t="s">
        <v>471</v>
      </c>
      <c r="AW572" s="0" t="s">
        <v>286</v>
      </c>
      <c r="AX572" s="0" t="s">
        <v>483</v>
      </c>
      <c r="AY572" s="0" t="s">
        <v>2197</v>
      </c>
      <c r="AZ572" s="0" t="s">
        <v>2198</v>
      </c>
      <c r="BA572" s="0" t="s">
        <v>285</v>
      </c>
      <c r="BB572" s="0" t="str">
        <f t="shared" si="8"/>
        <v>CIHPbeBuruku</v>
      </c>
    </row>
    <row r="573">
      <c r="AV573" s="0" t="s">
        <v>471</v>
      </c>
      <c r="AW573" s="0" t="s">
        <v>286</v>
      </c>
      <c r="AX573" s="0" t="s">
        <v>483</v>
      </c>
      <c r="AY573" s="0" t="s">
        <v>2199</v>
      </c>
      <c r="AZ573" s="0" t="s">
        <v>2200</v>
      </c>
      <c r="BA573" s="0" t="s">
        <v>285</v>
      </c>
      <c r="BB573" s="0" t="str">
        <f t="shared" si="8"/>
        <v>CIHPbeBuruku</v>
      </c>
    </row>
    <row r="574">
      <c r="AV574" s="0" t="s">
        <v>471</v>
      </c>
      <c r="AW574" s="0" t="s">
        <v>286</v>
      </c>
      <c r="AX574" s="0" t="s">
        <v>483</v>
      </c>
      <c r="AY574" s="0" t="s">
        <v>2201</v>
      </c>
      <c r="AZ574" s="0" t="s">
        <v>2202</v>
      </c>
      <c r="BA574" s="0" t="s">
        <v>285</v>
      </c>
      <c r="BB574" s="0" t="str">
        <f t="shared" si="8"/>
        <v>CIHPbeBuruku</v>
      </c>
    </row>
    <row r="575">
      <c r="AV575" s="0" t="s">
        <v>471</v>
      </c>
      <c r="AW575" s="0" t="s">
        <v>286</v>
      </c>
      <c r="AX575" s="0" t="s">
        <v>524</v>
      </c>
      <c r="AY575" s="0" t="s">
        <v>2203</v>
      </c>
      <c r="AZ575" s="0" t="s">
        <v>2204</v>
      </c>
      <c r="BA575" s="0" t="s">
        <v>285</v>
      </c>
      <c r="BB575" s="0" t="str">
        <f t="shared" si="8"/>
        <v>CIHPbeGboko</v>
      </c>
    </row>
    <row r="576">
      <c r="AV576" s="0" t="s">
        <v>471</v>
      </c>
      <c r="AW576" s="0" t="s">
        <v>286</v>
      </c>
      <c r="AX576" s="0" t="s">
        <v>524</v>
      </c>
      <c r="AY576" s="0" t="s">
        <v>2205</v>
      </c>
      <c r="AZ576" s="0" t="s">
        <v>2206</v>
      </c>
      <c r="BA576" s="0" t="s">
        <v>285</v>
      </c>
      <c r="BB576" s="0" t="str">
        <f t="shared" si="8"/>
        <v>CIHPbeGboko</v>
      </c>
    </row>
    <row r="577">
      <c r="AV577" s="0" t="s">
        <v>471</v>
      </c>
      <c r="AW577" s="0" t="s">
        <v>286</v>
      </c>
      <c r="AX577" s="0" t="s">
        <v>524</v>
      </c>
      <c r="AY577" s="0" t="s">
        <v>2207</v>
      </c>
      <c r="AZ577" s="0" t="s">
        <v>2208</v>
      </c>
      <c r="BA577" s="0" t="s">
        <v>285</v>
      </c>
      <c r="BB577" s="0" t="str">
        <f t="shared" si="8"/>
        <v>CIHPbeGboko</v>
      </c>
    </row>
    <row r="578">
      <c r="AV578" s="0" t="s">
        <v>471</v>
      </c>
      <c r="AW578" s="0" t="s">
        <v>286</v>
      </c>
      <c r="AX578" s="0" t="s">
        <v>524</v>
      </c>
      <c r="AY578" s="0" t="s">
        <v>2209</v>
      </c>
      <c r="AZ578" s="0" t="s">
        <v>2210</v>
      </c>
      <c r="BA578" s="0" t="s">
        <v>285</v>
      </c>
      <c r="BB578" s="0" t="str">
        <f t="shared" si="8"/>
        <v>CIHPbeGboko</v>
      </c>
    </row>
    <row r="579">
      <c r="AV579" s="0" t="s">
        <v>471</v>
      </c>
      <c r="AW579" s="0" t="s">
        <v>286</v>
      </c>
      <c r="AX579" s="0" t="s">
        <v>524</v>
      </c>
      <c r="AY579" s="0" t="s">
        <v>2211</v>
      </c>
      <c r="AZ579" s="0" t="s">
        <v>2212</v>
      </c>
      <c r="BA579" s="0" t="s">
        <v>285</v>
      </c>
      <c r="BB579" s="0" t="str">
        <f ref="BB579:BB642" t="shared" si="9">SUBSTITUTE(SUBSTITUTE(BA579&amp;AX579," ",""),"-","")</f>
        <v>CIHPbeGboko</v>
      </c>
    </row>
    <row r="580">
      <c r="AV580" s="0" t="s">
        <v>471</v>
      </c>
      <c r="AW580" s="0" t="s">
        <v>286</v>
      </c>
      <c r="AX580" s="0" t="s">
        <v>524</v>
      </c>
      <c r="AY580" s="0" t="s">
        <v>2213</v>
      </c>
      <c r="AZ580" s="0" t="s">
        <v>2214</v>
      </c>
      <c r="BA580" s="0" t="s">
        <v>285</v>
      </c>
      <c r="BB580" s="0" t="str">
        <f t="shared" si="9"/>
        <v>CIHPbeGboko</v>
      </c>
    </row>
    <row r="581">
      <c r="AV581" s="0" t="s">
        <v>471</v>
      </c>
      <c r="AW581" s="0" t="s">
        <v>286</v>
      </c>
      <c r="AX581" s="0" t="s">
        <v>524</v>
      </c>
      <c r="AY581" s="0" t="s">
        <v>2215</v>
      </c>
      <c r="AZ581" s="0" t="s">
        <v>2216</v>
      </c>
      <c r="BA581" s="0" t="s">
        <v>285</v>
      </c>
      <c r="BB581" s="0" t="str">
        <f t="shared" si="9"/>
        <v>CIHPbeGboko</v>
      </c>
    </row>
    <row r="582">
      <c r="AV582" s="0" t="s">
        <v>471</v>
      </c>
      <c r="AW582" s="0" t="s">
        <v>286</v>
      </c>
      <c r="AX582" s="0" t="s">
        <v>524</v>
      </c>
      <c r="AY582" s="0" t="s">
        <v>2217</v>
      </c>
      <c r="AZ582" s="0" t="s">
        <v>2218</v>
      </c>
      <c r="BA582" s="0" t="s">
        <v>285</v>
      </c>
      <c r="BB582" s="0" t="str">
        <f t="shared" si="9"/>
        <v>CIHPbeGboko</v>
      </c>
    </row>
    <row r="583">
      <c r="AV583" s="0" t="s">
        <v>471</v>
      </c>
      <c r="AW583" s="0" t="s">
        <v>286</v>
      </c>
      <c r="AX583" s="0" t="s">
        <v>524</v>
      </c>
      <c r="AY583" s="0" t="s">
        <v>2219</v>
      </c>
      <c r="AZ583" s="0" t="s">
        <v>2220</v>
      </c>
      <c r="BA583" s="0" t="s">
        <v>285</v>
      </c>
      <c r="BB583" s="0" t="str">
        <f t="shared" si="9"/>
        <v>CIHPbeGboko</v>
      </c>
    </row>
    <row r="584">
      <c r="AV584" s="0" t="s">
        <v>471</v>
      </c>
      <c r="AW584" s="0" t="s">
        <v>286</v>
      </c>
      <c r="AX584" s="0" t="s">
        <v>524</v>
      </c>
      <c r="AY584" s="0" t="s">
        <v>2221</v>
      </c>
      <c r="AZ584" s="0" t="s">
        <v>2222</v>
      </c>
      <c r="BA584" s="0" t="s">
        <v>285</v>
      </c>
      <c r="BB584" s="0" t="str">
        <f t="shared" si="9"/>
        <v>CIHPbeGboko</v>
      </c>
    </row>
    <row r="585">
      <c r="AV585" s="0" t="s">
        <v>471</v>
      </c>
      <c r="AW585" s="0" t="s">
        <v>286</v>
      </c>
      <c r="AX585" s="0" t="s">
        <v>524</v>
      </c>
      <c r="AY585" s="0" t="s">
        <v>2223</v>
      </c>
      <c r="AZ585" s="0" t="s">
        <v>2224</v>
      </c>
      <c r="BA585" s="0" t="s">
        <v>285</v>
      </c>
      <c r="BB585" s="0" t="str">
        <f t="shared" si="9"/>
        <v>CIHPbeGboko</v>
      </c>
    </row>
    <row r="586">
      <c r="AV586" s="0" t="s">
        <v>471</v>
      </c>
      <c r="AW586" s="0" t="s">
        <v>286</v>
      </c>
      <c r="AX586" s="0" t="s">
        <v>524</v>
      </c>
      <c r="AY586" s="0" t="s">
        <v>2225</v>
      </c>
      <c r="AZ586" s="0" t="s">
        <v>2226</v>
      </c>
      <c r="BA586" s="0" t="s">
        <v>285</v>
      </c>
      <c r="BB586" s="0" t="str">
        <f t="shared" si="9"/>
        <v>CIHPbeGboko</v>
      </c>
    </row>
    <row r="587">
      <c r="AV587" s="0" t="s">
        <v>471</v>
      </c>
      <c r="AW587" s="0" t="s">
        <v>286</v>
      </c>
      <c r="AX587" s="0" t="s">
        <v>524</v>
      </c>
      <c r="AY587" s="0" t="s">
        <v>2227</v>
      </c>
      <c r="AZ587" s="0" t="s">
        <v>2228</v>
      </c>
      <c r="BA587" s="0" t="s">
        <v>285</v>
      </c>
      <c r="BB587" s="0" t="str">
        <f t="shared" si="9"/>
        <v>CIHPbeGboko</v>
      </c>
    </row>
    <row r="588">
      <c r="AV588" s="0" t="s">
        <v>471</v>
      </c>
      <c r="AW588" s="0" t="s">
        <v>286</v>
      </c>
      <c r="AX588" s="0" t="s">
        <v>524</v>
      </c>
      <c r="AY588" s="0" t="s">
        <v>2229</v>
      </c>
      <c r="AZ588" s="0" t="s">
        <v>2230</v>
      </c>
      <c r="BA588" s="0" t="s">
        <v>285</v>
      </c>
      <c r="BB588" s="0" t="str">
        <f t="shared" si="9"/>
        <v>CIHPbeGboko</v>
      </c>
    </row>
    <row r="589">
      <c r="AV589" s="0" t="s">
        <v>471</v>
      </c>
      <c r="AW589" s="0" t="s">
        <v>286</v>
      </c>
      <c r="AX589" s="0" t="s">
        <v>524</v>
      </c>
      <c r="AY589" s="0" t="s">
        <v>2231</v>
      </c>
      <c r="AZ589" s="0" t="s">
        <v>2232</v>
      </c>
      <c r="BA589" s="0" t="s">
        <v>285</v>
      </c>
      <c r="BB589" s="0" t="str">
        <f t="shared" si="9"/>
        <v>CIHPbeGboko</v>
      </c>
    </row>
    <row r="590">
      <c r="AV590" s="0" t="s">
        <v>471</v>
      </c>
      <c r="AW590" s="0" t="s">
        <v>286</v>
      </c>
      <c r="AX590" s="0" t="s">
        <v>524</v>
      </c>
      <c r="AY590" s="0" t="s">
        <v>2233</v>
      </c>
      <c r="AZ590" s="0" t="s">
        <v>2234</v>
      </c>
      <c r="BA590" s="0" t="s">
        <v>285</v>
      </c>
      <c r="BB590" s="0" t="str">
        <f t="shared" si="9"/>
        <v>CIHPbeGboko</v>
      </c>
    </row>
    <row r="591">
      <c r="AV591" s="0" t="s">
        <v>471</v>
      </c>
      <c r="AW591" s="0" t="s">
        <v>286</v>
      </c>
      <c r="AX591" s="0" t="s">
        <v>524</v>
      </c>
      <c r="AY591" s="0" t="s">
        <v>2235</v>
      </c>
      <c r="AZ591" s="0" t="s">
        <v>2236</v>
      </c>
      <c r="BA591" s="0" t="s">
        <v>285</v>
      </c>
      <c r="BB591" s="0" t="str">
        <f t="shared" si="9"/>
        <v>CIHPbeGboko</v>
      </c>
    </row>
    <row r="592">
      <c r="AV592" s="0" t="s">
        <v>471</v>
      </c>
      <c r="AW592" s="0" t="s">
        <v>286</v>
      </c>
      <c r="AX592" s="0" t="s">
        <v>524</v>
      </c>
      <c r="AY592" s="0" t="s">
        <v>2237</v>
      </c>
      <c r="AZ592" s="0" t="s">
        <v>2238</v>
      </c>
      <c r="BA592" s="0" t="s">
        <v>285</v>
      </c>
      <c r="BB592" s="0" t="str">
        <f t="shared" si="9"/>
        <v>CIHPbeGboko</v>
      </c>
    </row>
    <row r="593">
      <c r="AV593" s="0" t="s">
        <v>471</v>
      </c>
      <c r="AW593" s="0" t="s">
        <v>286</v>
      </c>
      <c r="AX593" s="0" t="s">
        <v>524</v>
      </c>
      <c r="AY593" s="0" t="s">
        <v>2239</v>
      </c>
      <c r="AZ593" s="0" t="s">
        <v>2240</v>
      </c>
      <c r="BA593" s="0" t="s">
        <v>285</v>
      </c>
      <c r="BB593" s="0" t="str">
        <f t="shared" si="9"/>
        <v>CIHPbeGboko</v>
      </c>
    </row>
    <row r="594">
      <c r="AV594" s="0" t="s">
        <v>471</v>
      </c>
      <c r="AW594" s="0" t="s">
        <v>286</v>
      </c>
      <c r="AX594" s="0" t="s">
        <v>524</v>
      </c>
      <c r="AY594" s="0" t="s">
        <v>2241</v>
      </c>
      <c r="AZ594" s="0" t="s">
        <v>2242</v>
      </c>
      <c r="BA594" s="0" t="s">
        <v>285</v>
      </c>
      <c r="BB594" s="0" t="str">
        <f t="shared" si="9"/>
        <v>CIHPbeGboko</v>
      </c>
    </row>
    <row r="595">
      <c r="AV595" s="0" t="s">
        <v>471</v>
      </c>
      <c r="AW595" s="0" t="s">
        <v>286</v>
      </c>
      <c r="AX595" s="0" t="s">
        <v>524</v>
      </c>
      <c r="AY595" s="0" t="s">
        <v>2243</v>
      </c>
      <c r="AZ595" s="0" t="s">
        <v>2244</v>
      </c>
      <c r="BA595" s="0" t="s">
        <v>285</v>
      </c>
      <c r="BB595" s="0" t="str">
        <f t="shared" si="9"/>
        <v>CIHPbeGboko</v>
      </c>
    </row>
    <row r="596">
      <c r="AV596" s="0" t="s">
        <v>471</v>
      </c>
      <c r="AW596" s="0" t="s">
        <v>286</v>
      </c>
      <c r="AX596" s="0" t="s">
        <v>524</v>
      </c>
      <c r="AY596" s="0" t="s">
        <v>2245</v>
      </c>
      <c r="AZ596" s="0" t="s">
        <v>2246</v>
      </c>
      <c r="BA596" s="0" t="s">
        <v>285</v>
      </c>
      <c r="BB596" s="0" t="str">
        <f t="shared" si="9"/>
        <v>CIHPbeGboko</v>
      </c>
    </row>
    <row r="597">
      <c r="AV597" s="0" t="s">
        <v>471</v>
      </c>
      <c r="AW597" s="0" t="s">
        <v>286</v>
      </c>
      <c r="AX597" s="0" t="s">
        <v>524</v>
      </c>
      <c r="AY597" s="0" t="s">
        <v>2247</v>
      </c>
      <c r="AZ597" s="0" t="s">
        <v>2248</v>
      </c>
      <c r="BA597" s="0" t="s">
        <v>285</v>
      </c>
      <c r="BB597" s="0" t="str">
        <f t="shared" si="9"/>
        <v>CIHPbeGboko</v>
      </c>
    </row>
    <row r="598">
      <c r="AV598" s="0" t="s">
        <v>471</v>
      </c>
      <c r="AW598" s="0" t="s">
        <v>286</v>
      </c>
      <c r="AX598" s="0" t="s">
        <v>524</v>
      </c>
      <c r="AY598" s="0" t="s">
        <v>2249</v>
      </c>
      <c r="AZ598" s="0" t="s">
        <v>2250</v>
      </c>
      <c r="BA598" s="0" t="s">
        <v>285</v>
      </c>
      <c r="BB598" s="0" t="str">
        <f t="shared" si="9"/>
        <v>CIHPbeGboko</v>
      </c>
    </row>
    <row r="599">
      <c r="AV599" s="0" t="s">
        <v>471</v>
      </c>
      <c r="AW599" s="0" t="s">
        <v>286</v>
      </c>
      <c r="AX599" s="0" t="s">
        <v>524</v>
      </c>
      <c r="AY599" s="0" t="s">
        <v>2251</v>
      </c>
      <c r="AZ599" s="0" t="s">
        <v>2252</v>
      </c>
      <c r="BA599" s="0" t="s">
        <v>285</v>
      </c>
      <c r="BB599" s="0" t="str">
        <f t="shared" si="9"/>
        <v>CIHPbeGboko</v>
      </c>
    </row>
    <row r="600">
      <c r="AV600" s="0" t="s">
        <v>471</v>
      </c>
      <c r="AW600" s="0" t="s">
        <v>286</v>
      </c>
      <c r="AX600" s="0" t="s">
        <v>565</v>
      </c>
      <c r="AY600" s="0" t="s">
        <v>2253</v>
      </c>
      <c r="AZ600" s="0" t="s">
        <v>2254</v>
      </c>
      <c r="BA600" s="0" t="s">
        <v>285</v>
      </c>
      <c r="BB600" s="0" t="str">
        <f t="shared" si="9"/>
        <v>CIHPbeGuma</v>
      </c>
    </row>
    <row r="601">
      <c r="AV601" s="0" t="s">
        <v>471</v>
      </c>
      <c r="AW601" s="0" t="s">
        <v>286</v>
      </c>
      <c r="AX601" s="0" t="s">
        <v>565</v>
      </c>
      <c r="AY601" s="0" t="s">
        <v>2255</v>
      </c>
      <c r="AZ601" s="0" t="s">
        <v>2256</v>
      </c>
      <c r="BA601" s="0" t="s">
        <v>285</v>
      </c>
      <c r="BB601" s="0" t="str">
        <f t="shared" si="9"/>
        <v>CIHPbeGuma</v>
      </c>
    </row>
    <row r="602">
      <c r="AV602" s="0" t="s">
        <v>471</v>
      </c>
      <c r="AW602" s="0" t="s">
        <v>286</v>
      </c>
      <c r="AX602" s="0" t="s">
        <v>565</v>
      </c>
      <c r="AY602" s="0" t="s">
        <v>2257</v>
      </c>
      <c r="AZ602" s="0" t="s">
        <v>2258</v>
      </c>
      <c r="BA602" s="0" t="s">
        <v>285</v>
      </c>
      <c r="BB602" s="0" t="str">
        <f t="shared" si="9"/>
        <v>CIHPbeGuma</v>
      </c>
    </row>
    <row r="603">
      <c r="AV603" s="0" t="s">
        <v>471</v>
      </c>
      <c r="AW603" s="0" t="s">
        <v>286</v>
      </c>
      <c r="AX603" s="0" t="s">
        <v>565</v>
      </c>
      <c r="AY603" s="0" t="s">
        <v>2259</v>
      </c>
      <c r="AZ603" s="0" t="s">
        <v>2260</v>
      </c>
      <c r="BA603" s="0" t="s">
        <v>285</v>
      </c>
      <c r="BB603" s="0" t="str">
        <f t="shared" si="9"/>
        <v>CIHPbeGuma</v>
      </c>
    </row>
    <row r="604">
      <c r="AV604" s="0" t="s">
        <v>471</v>
      </c>
      <c r="AW604" s="0" t="s">
        <v>286</v>
      </c>
      <c r="AX604" s="0" t="s">
        <v>565</v>
      </c>
      <c r="AY604" s="0" t="s">
        <v>2261</v>
      </c>
      <c r="AZ604" s="0" t="s">
        <v>2262</v>
      </c>
      <c r="BA604" s="0" t="s">
        <v>285</v>
      </c>
      <c r="BB604" s="0" t="str">
        <f t="shared" si="9"/>
        <v>CIHPbeGuma</v>
      </c>
    </row>
    <row r="605">
      <c r="AV605" s="0" t="s">
        <v>471</v>
      </c>
      <c r="AW605" s="0" t="s">
        <v>286</v>
      </c>
      <c r="AX605" s="0" t="s">
        <v>565</v>
      </c>
      <c r="AY605" s="0" t="s">
        <v>2263</v>
      </c>
      <c r="AZ605" s="0" t="s">
        <v>2264</v>
      </c>
      <c r="BA605" s="0" t="s">
        <v>285</v>
      </c>
      <c r="BB605" s="0" t="str">
        <f t="shared" si="9"/>
        <v>CIHPbeGuma</v>
      </c>
    </row>
    <row r="606">
      <c r="AV606" s="0" t="s">
        <v>471</v>
      </c>
      <c r="AW606" s="0" t="s">
        <v>286</v>
      </c>
      <c r="AX606" s="0" t="s">
        <v>602</v>
      </c>
      <c r="AY606" s="0" t="s">
        <v>2265</v>
      </c>
      <c r="AZ606" s="0" t="s">
        <v>2266</v>
      </c>
      <c r="BA606" s="0" t="s">
        <v>285</v>
      </c>
      <c r="BB606" s="0" t="str">
        <f t="shared" si="9"/>
        <v>CIHPbeGwerEast</v>
      </c>
    </row>
    <row r="607">
      <c r="AV607" s="0" t="s">
        <v>471</v>
      </c>
      <c r="AW607" s="0" t="s">
        <v>286</v>
      </c>
      <c r="AX607" s="0" t="s">
        <v>602</v>
      </c>
      <c r="AY607" s="0" t="s">
        <v>2267</v>
      </c>
      <c r="AZ607" s="0" t="s">
        <v>2268</v>
      </c>
      <c r="BA607" s="0" t="s">
        <v>285</v>
      </c>
      <c r="BB607" s="0" t="str">
        <f t="shared" si="9"/>
        <v>CIHPbeGwerEast</v>
      </c>
    </row>
    <row r="608">
      <c r="AV608" s="0" t="s">
        <v>471</v>
      </c>
      <c r="AW608" s="0" t="s">
        <v>286</v>
      </c>
      <c r="AX608" s="0" t="s">
        <v>602</v>
      </c>
      <c r="AY608" s="0" t="s">
        <v>2269</v>
      </c>
      <c r="AZ608" s="0" t="s">
        <v>2270</v>
      </c>
      <c r="BA608" s="0" t="s">
        <v>285</v>
      </c>
      <c r="BB608" s="0" t="str">
        <f t="shared" si="9"/>
        <v>CIHPbeGwerEast</v>
      </c>
    </row>
    <row r="609">
      <c r="AV609" s="0" t="s">
        <v>471</v>
      </c>
      <c r="AW609" s="0" t="s">
        <v>286</v>
      </c>
      <c r="AX609" s="0" t="s">
        <v>602</v>
      </c>
      <c r="AY609" s="0" t="s">
        <v>2271</v>
      </c>
      <c r="AZ609" s="0" t="s">
        <v>2272</v>
      </c>
      <c r="BA609" s="0" t="s">
        <v>285</v>
      </c>
      <c r="BB609" s="0" t="str">
        <f t="shared" si="9"/>
        <v>CIHPbeGwerEast</v>
      </c>
    </row>
    <row r="610">
      <c r="AV610" s="0" t="s">
        <v>471</v>
      </c>
      <c r="AW610" s="0" t="s">
        <v>286</v>
      </c>
      <c r="AX610" s="0" t="s">
        <v>602</v>
      </c>
      <c r="AY610" s="0" t="s">
        <v>2273</v>
      </c>
      <c r="AZ610" s="0" t="s">
        <v>2274</v>
      </c>
      <c r="BA610" s="0" t="s">
        <v>285</v>
      </c>
      <c r="BB610" s="0" t="str">
        <f t="shared" si="9"/>
        <v>CIHPbeGwerEast</v>
      </c>
    </row>
    <row r="611">
      <c r="AV611" s="0" t="s">
        <v>471</v>
      </c>
      <c r="AW611" s="0" t="s">
        <v>286</v>
      </c>
      <c r="AX611" s="0" t="s">
        <v>641</v>
      </c>
      <c r="AY611" s="0" t="s">
        <v>2275</v>
      </c>
      <c r="AZ611" s="0" t="s">
        <v>2276</v>
      </c>
      <c r="BA611" s="0" t="s">
        <v>285</v>
      </c>
      <c r="BB611" s="0" t="str">
        <f t="shared" si="9"/>
        <v>CIHPbeGwerWest</v>
      </c>
    </row>
    <row r="612">
      <c r="AV612" s="0" t="s">
        <v>471</v>
      </c>
      <c r="AW612" s="0" t="s">
        <v>286</v>
      </c>
      <c r="AX612" s="0" t="s">
        <v>641</v>
      </c>
      <c r="AY612" s="0" t="s">
        <v>2277</v>
      </c>
      <c r="AZ612" s="0" t="s">
        <v>2278</v>
      </c>
      <c r="BA612" s="0" t="s">
        <v>285</v>
      </c>
      <c r="BB612" s="0" t="str">
        <f t="shared" si="9"/>
        <v>CIHPbeGwerWest</v>
      </c>
    </row>
    <row r="613">
      <c r="AV613" s="0" t="s">
        <v>471</v>
      </c>
      <c r="AW613" s="0" t="s">
        <v>286</v>
      </c>
      <c r="AX613" s="0" t="s">
        <v>641</v>
      </c>
      <c r="AY613" s="0" t="s">
        <v>2279</v>
      </c>
      <c r="AZ613" s="0" t="s">
        <v>2280</v>
      </c>
      <c r="BA613" s="0" t="s">
        <v>285</v>
      </c>
      <c r="BB613" s="0" t="str">
        <f t="shared" si="9"/>
        <v>CIHPbeGwerWest</v>
      </c>
    </row>
    <row r="614">
      <c r="AV614" s="0" t="s">
        <v>471</v>
      </c>
      <c r="AW614" s="0" t="s">
        <v>286</v>
      </c>
      <c r="AX614" s="0" t="s">
        <v>641</v>
      </c>
      <c r="AY614" s="0" t="s">
        <v>2281</v>
      </c>
      <c r="AZ614" s="0" t="s">
        <v>2282</v>
      </c>
      <c r="BA614" s="0" t="s">
        <v>285</v>
      </c>
      <c r="BB614" s="0" t="str">
        <f t="shared" si="9"/>
        <v>CIHPbeGwerWest</v>
      </c>
    </row>
    <row r="615">
      <c r="AV615" s="0" t="s">
        <v>471</v>
      </c>
      <c r="AW615" s="0" t="s">
        <v>286</v>
      </c>
      <c r="AX615" s="0" t="s">
        <v>641</v>
      </c>
      <c r="AY615" s="0" t="s">
        <v>2283</v>
      </c>
      <c r="AZ615" s="0" t="s">
        <v>2284</v>
      </c>
      <c r="BA615" s="0" t="s">
        <v>285</v>
      </c>
      <c r="BB615" s="0" t="str">
        <f t="shared" si="9"/>
        <v>CIHPbeGwerWest</v>
      </c>
    </row>
    <row r="616">
      <c r="AV616" s="0" t="s">
        <v>471</v>
      </c>
      <c r="AW616" s="0" t="s">
        <v>286</v>
      </c>
      <c r="AX616" s="0" t="s">
        <v>641</v>
      </c>
      <c r="AY616" s="0" t="s">
        <v>2285</v>
      </c>
      <c r="AZ616" s="0" t="s">
        <v>2286</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2028</v>
      </c>
      <c r="AY803" s="0" t="s">
        <v>2659</v>
      </c>
      <c r="AZ803" s="0" t="s">
        <v>2660</v>
      </c>
      <c r="BA803" s="0" t="s">
        <v>285</v>
      </c>
      <c r="BB803" s="0" t="str">
        <f t="shared" si="12"/>
        <v>CIHPkdJemaa</v>
      </c>
    </row>
    <row r="804">
      <c r="AV804" s="0" t="s">
        <v>471</v>
      </c>
      <c r="AW804" s="0" t="s">
        <v>405</v>
      </c>
      <c r="AX804" s="0" t="s">
        <v>2028</v>
      </c>
      <c r="AY804" s="0" t="s">
        <v>2661</v>
      </c>
      <c r="AZ804" s="0" t="s">
        <v>2662</v>
      </c>
      <c r="BA804" s="0" t="s">
        <v>285</v>
      </c>
      <c r="BB804" s="0" t="str">
        <f t="shared" si="12"/>
        <v>CIHPkdJemaa</v>
      </c>
    </row>
    <row r="805">
      <c r="AV805" s="0" t="s">
        <v>471</v>
      </c>
      <c r="AW805" s="0" t="s">
        <v>405</v>
      </c>
      <c r="AX805" s="0" t="s">
        <v>2028</v>
      </c>
      <c r="AY805" s="0" t="s">
        <v>2663</v>
      </c>
      <c r="AZ805" s="0" t="s">
        <v>2664</v>
      </c>
      <c r="BA805" s="0" t="s">
        <v>285</v>
      </c>
      <c r="BB805" s="0" t="str">
        <f t="shared" si="12"/>
        <v>CIHPkdJemaa</v>
      </c>
    </row>
    <row r="806">
      <c r="AV806" s="0" t="s">
        <v>471</v>
      </c>
      <c r="AW806" s="0" t="s">
        <v>405</v>
      </c>
      <c r="AX806" s="0" t="s">
        <v>2028</v>
      </c>
      <c r="AY806" s="0" t="s">
        <v>2665</v>
      </c>
      <c r="AZ806" s="0" t="s">
        <v>2666</v>
      </c>
      <c r="BA806" s="0" t="s">
        <v>285</v>
      </c>
      <c r="BB806" s="0" t="str">
        <f t="shared" si="12"/>
        <v>CIHPkdJemaa</v>
      </c>
    </row>
    <row r="807">
      <c r="AV807" s="0" t="s">
        <v>471</v>
      </c>
      <c r="AW807" s="0" t="s">
        <v>405</v>
      </c>
      <c r="AX807" s="0" t="s">
        <v>2028</v>
      </c>
      <c r="AY807" s="0" t="s">
        <v>2667</v>
      </c>
      <c r="AZ807" s="0" t="s">
        <v>2668</v>
      </c>
      <c r="BA807" s="0" t="s">
        <v>285</v>
      </c>
      <c r="BB807" s="0" t="str">
        <f t="shared" si="12"/>
        <v>CIHPkdJemaa</v>
      </c>
    </row>
    <row r="808">
      <c r="AV808" s="0" t="s">
        <v>471</v>
      </c>
      <c r="AW808" s="0" t="s">
        <v>405</v>
      </c>
      <c r="AX808" s="0" t="s">
        <v>2028</v>
      </c>
      <c r="AY808" s="0" t="s">
        <v>2669</v>
      </c>
      <c r="AZ808" s="0" t="s">
        <v>2670</v>
      </c>
      <c r="BA808" s="0" t="s">
        <v>285</v>
      </c>
      <c r="BB808" s="0" t="str">
        <f t="shared" si="12"/>
        <v>CIHPkdJemaa</v>
      </c>
    </row>
    <row r="809">
      <c r="AV809" s="0" t="s">
        <v>471</v>
      </c>
      <c r="AW809" s="0" t="s">
        <v>405</v>
      </c>
      <c r="AX809" s="0" t="s">
        <v>2028</v>
      </c>
      <c r="AY809" s="0" t="s">
        <v>2671</v>
      </c>
      <c r="AZ809" s="0" t="s">
        <v>2672</v>
      </c>
      <c r="BA809" s="0" t="s">
        <v>285</v>
      </c>
      <c r="BB809" s="0" t="str">
        <f t="shared" si="12"/>
        <v>CIHPkdJemaa</v>
      </c>
    </row>
    <row r="810">
      <c r="AV810" s="0" t="s">
        <v>471</v>
      </c>
      <c r="AW810" s="0" t="s">
        <v>405</v>
      </c>
      <c r="AX810" s="0" t="s">
        <v>2028</v>
      </c>
      <c r="AY810" s="0" t="s">
        <v>2673</v>
      </c>
      <c r="AZ810" s="0" t="s">
        <v>2674</v>
      </c>
      <c r="BA810" s="0" t="s">
        <v>285</v>
      </c>
      <c r="BB810" s="0" t="str">
        <f t="shared" si="12"/>
        <v>CIHPkdJemaa</v>
      </c>
    </row>
    <row r="811">
      <c r="AV811" s="0" t="s">
        <v>471</v>
      </c>
      <c r="AW811" s="0" t="s">
        <v>405</v>
      </c>
      <c r="AX811" s="0" t="s">
        <v>2028</v>
      </c>
      <c r="AY811" s="0" t="s">
        <v>2675</v>
      </c>
      <c r="AZ811" s="0" t="s">
        <v>2676</v>
      </c>
      <c r="BA811" s="0" t="s">
        <v>285</v>
      </c>
      <c r="BB811" s="0" t="str">
        <f t="shared" si="12"/>
        <v>CIHPkdJemaa</v>
      </c>
    </row>
    <row r="812">
      <c r="AV812" s="0" t="s">
        <v>471</v>
      </c>
      <c r="AW812" s="0" t="s">
        <v>405</v>
      </c>
      <c r="AX812" s="0" t="s">
        <v>2028</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