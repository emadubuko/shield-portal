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<sst xmlns="http://schemas.openxmlformats.org/spreadsheetml/2006/main" count="4056" uniqueCount="4056">
  <si>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</si>
  <si>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</si>
  <si>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</si>
  <si>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</si>
  <si>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</si>
  <si>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</si>
  <si>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</si>
  <si>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</si>
  <si>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</si>
  <si>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</si>
  <si>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</si>
  <si>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</si>
  <si>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</si>
  <si>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</si>
  <si>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</si>
  <si>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</si>
  <si>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</si>
  <si>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</si>
  <si>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</si>
  <si>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</si>
  <si>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</si>
  <si>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</si>
  <si>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</si>
  <si>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</si>
  <si>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</si>
  <si>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</si>
  <si>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</si>
  <si>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</si>
  <si>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</si>
  <si>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</si>
  <si>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</si>
  <si>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</si>
  <si>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</si>
  <si>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</si>
  <si>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</si>
  <si>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</si>
  <si>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</si>
  <si>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</si>
  <si>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</si>
  <si>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</si>
  <si>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</si>
  <si>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</si>
  <si>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</si>
  <si>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</si>
  <si>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</si>
  <si>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</si>
  <si>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</si>
  <si>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</si>
  <si>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</si>
  <si>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</si>
  <si>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</si>
  <si>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</si>
  <si>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</si>
  <si>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</si>
  <si>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</si>
  <si>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</si>
  <si>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</si>
  <si>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</si>
  <si>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</si>
  <si>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</si>
  <si>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</si>
  <si>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</si>
  <si>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</si>
  <si>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</si>
  <si>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</si>
  <si>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</si>
  <si>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</si>
  <si>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</si>
  <si>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</si>
  <si>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</si>
  <si>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</si>
  <si>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</si>
  <si>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</si>
  <si>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</si>
  <si>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</si>
  <si>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</si>
  <si>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</si>
  <si>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</si>
  <si>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</si>
  <si>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</si>
  <si>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</si>
  <si>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</si>
  <si>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</si>
  <si>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</si>
  <si>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</si>
  <si>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</si>
  <si>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</si>
  <si>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</si>
  <si>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</si>
  <si>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</si>
  <si>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</si>
  <si>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</si>
  <si>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</si>
  <si>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</si>
  <si>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</si>
  <si>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</si>
  <si>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</si>
  <si>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</si>
  <si>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</si>
  <si>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</si>
  <si>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</si>
  <si>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</si>
  <si>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</si>
  <si>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</si>
  <si>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</si>
  <si>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</si>
  <si>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</si>
  <si>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</si>
  <si>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</si>
  <si>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</si>
  <si>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</si>
  <si>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</si>
  <si>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</si>
  <si>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</si>
  <si>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</si>
  <si>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</si>
  <si>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</si>
  <si>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</si>
  <si>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</si>
  <si>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</si>
  <si>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</si>
  <si>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</si>
  <si>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</si>
  <si>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</si>
  <si>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</si>
  <si>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</si>
  <si>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</si>
  <si>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</si>
  <si>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</si>
  <si>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</si>
  <si>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</si>
  <si>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</si>
  <si>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</si>
  <si>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</si>
  <si>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</si>
  <si>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</si>
  <si>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</si>
  <si>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</si>
  <si>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</si>
  <si>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</si>
  <si>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</si>
  <si>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</si>
  <si>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</si>
  <si>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</si>
  <si>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</si>
  <si>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</si>
  <si>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</si>
  <si>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</si>
  <si>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</si>
  <si>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</si>
  <si>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</si>
  <si>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</si>
  <si>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</si>
  <si>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</si>
  <si>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</si>
  <si>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</si>
  <si>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</si>
  <si>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</si>
  <si>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</si>
  <si>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</si>
  <si>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</si>
  <si>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</si>
  <si>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</si>
  <si>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</si>
  <si>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</si>
  <si>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</si>
  <si>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</si>
  <si>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</si>
  <si>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</si>
  <si>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</si>
  <si>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</si>
  <si>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</si>
  <si>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</si>
  <si>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</si>
  <si>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</si>
  <si>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</si>
  <si>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</si>
  <si>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</si>
  <si>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</si>
  <si>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</si>
  <si>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</si>
  <si>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</si>
  <si>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</si>
  <si>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</si>
  <si>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</si>
  <si>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</si>
  <si>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</si>
  <si>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</si>
  <si>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</si>
  <si>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</si>
  <si>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</si>
  <si>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</si>
  <si>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</si>
  <si>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</si>
  <si>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</si>
  <si>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</si>
  <si>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</si>
  <si>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</si>
  <si>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</si>
  <si>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</si>
  <si>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</si>
  <si>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</si>
  <si>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</si>
  <si>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</si>
  <si>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</si>
  <si>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</si>
  <si>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</si>
  <si>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</si>
  <si>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</si>
  <si>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</si>
  <si>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</si>
  <si>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</si>
  <si>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</si>
  <si>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</si>
  <si>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</si>
  <si>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</si>
  <si>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</si>
  <si>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</si>
  <si>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</si>
  <si>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</si>
  <si>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</si>
  <si>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</si>
  <si>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</si>
  <si>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</si>
  <si>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</si>
  <si>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</si>
  <si>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</si>
  <si>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</si>
  <si>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</si>
  <si>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</si>
  <si>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</si>
  <si>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</si>
  <si>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</si>
  <si>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</si>
  <si>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</si>
  <si>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</si>
  <si>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</si>
  <si>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</si>
  <si>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</si>
  <si>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</si>
  <si>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</si>
  <si>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</si>
  <si>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</si>
  <si>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</si>
  <si>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</si>
  <si>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</si>
  <si>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</si>
  <si>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</si>
  <si>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</si>
  <si>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</si>
  <si>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</si>
  <si>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</si>
  <si>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</si>
  <si>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</si>
  <si>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</si>
  <si>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</si>
  <si>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</si>
  <si>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</si>
  <si>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</si>
  <si>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</si>
  <si>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</si>
  <si>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</si>
  <si>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</si>
  <si>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</si>
  <si>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</si>
  <si>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</si>
  <si>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</si>
  <si>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</si>
  <si>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</si>
  <si>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</si>
  <si>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</si>
  <si>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</si>
  <si>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</si>
  <si>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</si>
  <si>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</si>
  <si>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</si>
  <si>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</si>
  <si>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</si>
  <si>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</si>
  <si>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</si>
  <si>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</si>
  <si>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</si>
  <si>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</si>
  <si>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</si>
  <si>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</si>
  <si>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</si>
  <si>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</si>
  <si>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Ohaukwu</t>
  </si>
  <si>
    <t>Facility Name:</t>
  </si>
  <si>
    <t>Charity Maternity</t>
  </si>
  <si>
    <t>Reporting Period:</t>
  </si>
  <si>
    <t>Q1(Oct - Dec)</t>
  </si>
  <si>
    <t>Facility Code:</t>
  </si>
  <si>
    <t>IdZ8YkqgLnR</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</si>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</sst>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86</v>
      </c>
      <c r="G8" s="155">
        <f>ROUND(SUM('All Questions'!D31:D35)/5+G12,0)</f>
        <v>84</v>
      </c>
      <c r="H8" s="156">
        <f>ROUND(SUM('All Questions'!D37,'All Questions'!D40)/2+'All Questions'!D26+H12,0)</f>
        <v>110</v>
      </c>
      <c r="I8" s="157">
        <f>ROUND((SUM('All Questions'!E11:E14)/4)+I12,0)</f>
        <v>0</v>
      </c>
      <c r="J8" s="155">
        <f>ROUND(SUM('All Questions'!E15:E21)/7+J12,0)</f>
        <v>0</v>
      </c>
      <c r="K8" s="155">
        <f>ROUND(SUM('All Questions'!E23:E30)/4+K12,0)</f>
        <v>52</v>
      </c>
      <c r="L8" s="155">
        <f>ROUND(SUM('All Questions'!E31:E35)/5+L12,0)</f>
        <v>51</v>
      </c>
      <c r="M8" s="156">
        <f>ROUND(('All Questions'!E37+'All Questions'!E40)/2+'All Questions'!E26+M12,0)</f>
        <v>91</v>
      </c>
      <c r="N8" s="157">
        <f>ROUND((SUM('All Questions'!F11:F14)/4)+N12,0)</f>
        <v>0</v>
      </c>
      <c r="O8" s="155">
        <f>ROUND(SUM('All Questions'!F15:F21)/7+O12,0)</f>
        <v>0</v>
      </c>
      <c r="P8" s="155">
        <f>ROUND(SUM('All Questions'!F23:F30)/4+P12,0)</f>
        <v>28</v>
      </c>
      <c r="Q8" s="155">
        <f>ROUND(SUM('All Questions'!F31:F35)/5+Q12,0)</f>
        <v>32</v>
      </c>
      <c r="R8" s="156">
        <f>ROUND(('All Questions'!F37+'All Questions'!F40)/2+'All Questions'!F26+R12,0)</f>
        <v>34</v>
      </c>
      <c r="S8" s="141">
        <f>'All Questions'!F2</f>
        <v>0</v>
      </c>
      <c r="T8" s="142" t="e">
        <f>(AVERAGE(F8:H8)+AVERAGE(K8:M8)+AVERAGE(P8:R8))/S8</f>
        <v>#DIV/0!</v>
      </c>
      <c r="V8" s="309">
        <f>AVERAGE(F8:H8)+AVERAGE(K8:M8)+AVERAGE(P8:R8)</f>
        <v>189.33333333333334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3</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76</v>
      </c>
      <c r="G10" s="159">
        <f>ROUND(SUM('All Questions'!D31:D35)/5,0)</f>
        <v>75</v>
      </c>
      <c r="H10" s="162">
        <f>ROUND(('All Questions'!D37+'All Questions'!D40)/2+'All Questions'!D26,0)</f>
        <v>101</v>
      </c>
      <c r="I10" s="163">
        <f>ROUND((SUM('All Questions'!E11:E14)/4),0)</f>
        <v>0</v>
      </c>
      <c r="J10" s="164">
        <f>ROUND(SUM('All Questions'!E15:E21)/7,0)</f>
        <v>0</v>
      </c>
      <c r="K10" s="164">
        <f>ROUND(SUM('All Questions'!E23:E30)/4,0)</f>
        <v>43</v>
      </c>
      <c r="L10" s="164">
        <f>ROUND(SUM('All Questions'!E31:E35)/5,0)</f>
        <v>42</v>
      </c>
      <c r="M10" s="165">
        <f>ROUND(('All Questions'!E37+'All Questions'!E40)/2+'All Questions'!E26,0)</f>
        <v>82</v>
      </c>
      <c r="N10" s="166">
        <f>ROUND((SUM('All Questions'!F11:F14)/4),0)</f>
        <v>0</v>
      </c>
      <c r="O10" s="164">
        <f>ROUND(SUM('All Questions'!F15:F21)/7,0)</f>
        <v>0</v>
      </c>
      <c r="P10" s="164">
        <f>ROUND(SUM('All Questions'!F23:F30)/4,0)</f>
        <v>19</v>
      </c>
      <c r="Q10" s="164">
        <f>ROUND(SUM('All Questions'!F31:F35)/5,0)</f>
        <v>23</v>
      </c>
      <c r="R10" s="165">
        <f>ROUND(('All Questions'!F37+'All Questions'!F40)/2+'All Questions'!F26,0)</f>
        <v>25</v>
      </c>
      <c r="S10" s="141">
        <f>'All Questions'!F4</f>
        <v>0</v>
      </c>
      <c r="T10" s="143" t="e">
        <f>(AVERAGE(F10:H10)+AVERAGE(K10:M10)+AVERAGE(P10:R10))/S10</f>
        <v>#DIV/0!</v>
      </c>
      <c r="V10" s="309">
        <f>AVERAGE(F10:H10)+AVERAGE(K10:M10)+AVERAGE(P10:R10)</f>
        <v>162</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9</v>
      </c>
      <c r="G12" s="173">
        <f>ROUND(SUM('All Questions'!D73:D80)/4,0)</f>
        <v>9</v>
      </c>
      <c r="H12" s="174">
        <f>ROUND(SUM('All Questions'!D82:D83)/2,0)</f>
        <v>9</v>
      </c>
      <c r="I12" s="175">
        <f>ROUND(SUM('All Questions'!E54:E58)+'All Questions'!E71/4,0)</f>
        <v>0</v>
      </c>
      <c r="J12" s="176">
        <f>ROUND(SUM('All Questions'!E60:E63)/4,0)</f>
        <v>0</v>
      </c>
      <c r="K12" s="176">
        <f>ROUND(SUM('All Questions'!E67:E72)/3,0)</f>
        <v>9</v>
      </c>
      <c r="L12" s="176">
        <f>ROUND(SUM('All Questions'!E73:E80)/4,0)</f>
        <v>9</v>
      </c>
      <c r="M12" s="177">
        <f>ROUND(SUM('All Questions'!E82:E83)/2,0)</f>
        <v>9</v>
      </c>
      <c r="N12" s="178">
        <f>ROUND(SUM('All Questions'!F54:F58)+'All Questions'!F71/4,0)</f>
        <v>0</v>
      </c>
      <c r="O12" s="176">
        <f>ROUND(SUM('All Questions'!F60:F63)/4,0)</f>
        <v>0</v>
      </c>
      <c r="P12" s="176">
        <f>ROUND(SUM('All Questions'!F67:F72)/3,0)</f>
        <v>9</v>
      </c>
      <c r="Q12" s="176">
        <f>ROUND(SUM('All Questions'!F73:F80)/4,0)</f>
        <v>9</v>
      </c>
      <c r="R12" s="177">
        <f>ROUND(SUM('All Questions'!F82:F83)/2,0)</f>
        <v>9</v>
      </c>
      <c r="S12" s="145">
        <f>'All Questions'!F46</f>
        <v>0</v>
      </c>
      <c r="T12" s="146" t="e">
        <f ref="T12:T15" t="shared" si="1">(AVERAGE(F12:H12)+AVERAGE(K12:M12)+AVERAGE(P12:R12))/S12</f>
        <v>#DIV/0!</v>
      </c>
      <c r="V12" s="309">
        <f>AVERAGE(F12:H12)+AVERAGE(K12:M12)+AVERAGE(P12:R12)</f>
        <v>27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9</v>
      </c>
      <c r="G14" s="179">
        <f>ROUND(SUM('All Questions'!D74,'All Questions'!D76,'All Questions'!D78,'All Questions'!D80)/4,0)</f>
        <v>0</v>
      </c>
      <c r="H14" s="180">
        <f>ROUND(SUM('All Questions'!D88:D89)/2,0)</f>
        <v>0</v>
      </c>
      <c r="I14" s="187">
        <f>ROUND('All Questions'!E57,0)</f>
        <v>0</v>
      </c>
      <c r="J14" s="183">
        <f>ROUND('All Questions'!E64,0)</f>
        <v>0</v>
      </c>
      <c r="K14" s="183">
        <f>ROUND(SUM('All Questions'!E69:E70),0)</f>
        <v>9</v>
      </c>
      <c r="L14" s="183">
        <f>ROUND(SUM('All Questions'!E74,'All Questions'!E76,'All Questions'!E78,'All Questions'!E80)/4,0)</f>
        <v>0</v>
      </c>
      <c r="M14" s="184">
        <f>ROUND(SUM('All Questions'!E88:E89)/2,0)</f>
        <v>0</v>
      </c>
      <c r="N14" s="188">
        <f>ROUND('All Questions'!F57,0)</f>
        <v>0</v>
      </c>
      <c r="O14" s="183">
        <f>ROUND('All Questions'!F64,0)</f>
        <v>0</v>
      </c>
      <c r="P14" s="183">
        <f>ROUND(SUM('All Questions'!F69:F70),0)</f>
        <v>9</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9</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17</v>
      </c>
      <c r="G17" s="155">
        <f>ROUND(SUM('All Questions'!D155:D158)/4,0)</f>
        <v>17</v>
      </c>
      <c r="H17" s="197">
        <f>ROUND(SUM('All Questions'!D160,'All Questions'!D163)/2,0)</f>
        <v>17</v>
      </c>
      <c r="I17" s="198">
        <f>ROUND(SUM('All Questions'!E145:E146)/2,0)</f>
        <v>0</v>
      </c>
      <c r="J17" s="199">
        <f>ROUND(SUM('All Questions'!E147:E150)/4,0)</f>
        <v>0</v>
      </c>
      <c r="K17" s="199">
        <f>ROUND(SUM('All Questions'!E151:E154)/2,0)</f>
        <v>23</v>
      </c>
      <c r="L17" s="199">
        <f>ROUND(SUM('All Questions'!E155:E158)/4,0)</f>
        <v>23</v>
      </c>
      <c r="M17" s="197">
        <f>ROUND(SUM('All Questions'!E160,'All Questions'!E163)/2,0)</f>
        <v>23</v>
      </c>
      <c r="N17" s="200">
        <f>ROUND(SUM('All Questions'!F145:F146)/2,0)</f>
        <v>0</v>
      </c>
      <c r="O17" s="199">
        <f>ROUND(SUM('All Questions'!F147:F150)/4,0)</f>
        <v>0</v>
      </c>
      <c r="P17" s="199">
        <f>ROUND(SUM('All Questions'!F151:F154)/2,0)</f>
        <v>10</v>
      </c>
      <c r="Q17" s="199">
        <f>ROUND(SUM('All Questions'!F155:F158)/4,0)</f>
        <v>10</v>
      </c>
      <c r="R17" s="199">
        <f>ROUND(SUM('All Questions'!F160,'All Questions'!F163)/2,0)</f>
        <v>10</v>
      </c>
      <c r="S17" s="151">
        <f>'All Questions'!F141</f>
        <v>0</v>
      </c>
      <c r="T17" s="142" t="e">
        <f>(AVERAGE(F17:H17)+AVERAGE(K17:M17)+AVERAGE(P17:R17))/S17</f>
        <v>#DIV/0!</v>
      </c>
      <c r="V17" s="309">
        <f t="shared" si="2"/>
        <v>50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211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35</v>
      </c>
      <c r="E10" s="301">
        <v>20</v>
      </c>
      <c r="F10" s="301">
        <v>20</v>
      </c>
      <c r="G10" s="207" t="s">
        <v>67</v>
      </c>
    </row>
    <row r="11" hidden="1" ht="45" customHeight="1">
      <c r="A11" s="226"/>
      <c r="B11" s="238">
        <v>1114</v>
      </c>
      <c r="C11" s="243" t="s">
        <v>84</v>
      </c>
      <c r="D11" s="301">
        <v>35</v>
      </c>
      <c r="E11" s="301">
        <v>20</v>
      </c>
      <c r="F11" s="301">
        <v>20</v>
      </c>
      <c r="G11" s="207" t="s">
        <v>67</v>
      </c>
    </row>
    <row r="12" hidden="1" ht="45" customHeight="1">
      <c r="A12" s="226"/>
      <c r="B12" s="238">
        <v>1115</v>
      </c>
      <c r="C12" s="242" t="s">
        <v>85</v>
      </c>
      <c r="D12" s="301">
        <v>35</v>
      </c>
      <c r="E12" s="301">
        <v>20</v>
      </c>
      <c r="F12" s="301">
        <v>20</v>
      </c>
      <c r="G12" s="207" t="s">
        <v>67</v>
      </c>
    </row>
    <row r="13" hidden="1" ht="45" customHeight="1">
      <c r="A13" s="226" t="s">
        <v>86</v>
      </c>
      <c r="B13" s="238">
        <v>1116</v>
      </c>
      <c r="C13" s="242" t="s">
        <v>87</v>
      </c>
      <c r="D13" s="301">
        <v>35</v>
      </c>
      <c r="E13" s="301">
        <v>20</v>
      </c>
      <c r="F13" s="301">
        <v>20</v>
      </c>
      <c r="G13" s="207" t="s">
        <v>67</v>
      </c>
    </row>
    <row r="14" hidden="1" ht="45" customHeight="1">
      <c r="A14" s="226"/>
      <c r="B14" s="238">
        <v>1117</v>
      </c>
      <c r="C14" s="242" t="s">
        <v>88</v>
      </c>
      <c r="D14" s="301">
        <v>35</v>
      </c>
      <c r="E14" s="301">
        <v>20</v>
      </c>
      <c r="F14" s="301">
        <v>20</v>
      </c>
      <c r="G14" s="207" t="s">
        <v>67</v>
      </c>
    </row>
    <row r="15" hidden="1" ht="45" customHeight="1">
      <c r="A15" s="226">
        <v>1116</v>
      </c>
      <c r="B15" s="238">
        <v>1121</v>
      </c>
      <c r="C15" s="243" t="str">
        <f>C13</f>
        <v>How many HTC clients have a completed Client intake form </v>
      </c>
      <c r="D15" s="302">
        <v>35</v>
      </c>
      <c r="E15" s="302">
        <v>20</v>
      </c>
      <c r="F15" s="302">
        <v>20</v>
      </c>
      <c r="G15" s="207"/>
    </row>
    <row r="16" hidden="1" ht="45" customHeight="1">
      <c r="A16" s="226"/>
      <c r="B16" s="238">
        <v>1122</v>
      </c>
      <c r="C16" s="243" t="s">
        <v>89</v>
      </c>
      <c r="D16" s="301">
        <v>35</v>
      </c>
      <c r="E16" s="301">
        <v>20</v>
      </c>
      <c r="F16" s="301">
        <v>20</v>
      </c>
      <c r="G16" s="207" t="s">
        <v>67</v>
      </c>
    </row>
    <row r="17" hidden="1" ht="45" customHeight="1">
      <c r="A17" s="226"/>
      <c r="B17" s="238">
        <v>1123</v>
      </c>
      <c r="C17" s="242" t="s">
        <v>90</v>
      </c>
      <c r="D17" s="301">
        <v>35</v>
      </c>
      <c r="E17" s="301">
        <v>20</v>
      </c>
      <c r="F17" s="301">
        <v>20</v>
      </c>
      <c r="G17" s="207" t="s">
        <v>67</v>
      </c>
    </row>
    <row r="18" hidden="1" ht="45" customHeight="1">
      <c r="A18" s="226"/>
      <c r="B18" s="238">
        <v>1124</v>
      </c>
      <c r="C18" s="242" t="s">
        <v>91</v>
      </c>
      <c r="D18" s="301">
        <v>35</v>
      </c>
      <c r="E18" s="301">
        <v>20</v>
      </c>
      <c r="F18" s="301">
        <v>20</v>
      </c>
      <c r="G18" s="207" t="s">
        <v>67</v>
      </c>
    </row>
    <row r="19" hidden="1" ht="45" customHeight="1">
      <c r="A19" s="226"/>
      <c r="B19" s="238">
        <v>1125</v>
      </c>
      <c r="C19" s="242" t="s">
        <v>92</v>
      </c>
      <c r="D19" s="301">
        <v>35</v>
      </c>
      <c r="E19" s="301">
        <v>20</v>
      </c>
      <c r="F19" s="301">
        <v>20</v>
      </c>
      <c r="G19" s="207" t="s">
        <v>67</v>
      </c>
    </row>
    <row r="20" hidden="1" ht="45" customHeight="1">
      <c r="A20" s="226"/>
      <c r="B20" s="238">
        <v>1126</v>
      </c>
      <c r="C20" s="242" t="s">
        <v>93</v>
      </c>
      <c r="D20" s="301">
        <v>35</v>
      </c>
      <c r="E20" s="301">
        <v>20</v>
      </c>
      <c r="F20" s="301">
        <v>20</v>
      </c>
      <c r="G20" s="207" t="s">
        <v>67</v>
      </c>
    </row>
    <row r="21" hidden="1" ht="45" customHeight="1">
      <c r="A21" s="226"/>
      <c r="B21" s="238">
        <v>1127</v>
      </c>
      <c r="C21" s="242" t="s">
        <v>94</v>
      </c>
      <c r="D21" s="301">
        <v>35</v>
      </c>
      <c r="E21" s="301">
        <v>20</v>
      </c>
      <c r="F21" s="301">
        <v>20</v>
      </c>
      <c r="G21" s="207" t="s">
        <v>67</v>
      </c>
    </row>
    <row r="22" hidden="1" ht="45" customHeight="1">
      <c r="A22" s="226"/>
      <c r="B22" s="238"/>
      <c r="C22" s="245" t="s">
        <v>95</v>
      </c>
      <c r="D22" s="246"/>
      <c r="E22" s="246"/>
      <c r="F22" s="247"/>
      <c r="G22" s="207" t="s">
        <v>67</v>
      </c>
    </row>
    <row r="23" hidden="1" ht="45" customHeight="1">
      <c r="A23" s="226"/>
      <c r="B23" s="238">
        <v>1131</v>
      </c>
      <c r="C23" s="242" t="s">
        <v>96</v>
      </c>
      <c r="D23" s="301">
        <v>51</v>
      </c>
      <c r="E23" s="301">
        <v>30</v>
      </c>
      <c r="F23" s="301">
        <v>8</v>
      </c>
      <c r="G23" s="207" t="s">
        <v>67</v>
      </c>
    </row>
    <row r="24" hidden="1" ht="45" customHeight="1">
      <c r="A24" s="226"/>
      <c r="B24" s="238">
        <v>1132</v>
      </c>
      <c r="C24" s="242" t="s">
        <v>97</v>
      </c>
      <c r="D24" s="301">
        <v>51</v>
      </c>
      <c r="E24" s="301">
        <v>27</v>
      </c>
      <c r="F24" s="301">
        <v>17</v>
      </c>
      <c r="G24" s="207" t="s">
        <v>67</v>
      </c>
    </row>
    <row r="25" hidden="1" ht="45" customHeight="1">
      <c r="A25" s="226"/>
      <c r="B25" s="238">
        <v>1133</v>
      </c>
      <c r="C25" s="242" t="s">
        <v>98</v>
      </c>
      <c r="D25" s="301">
        <v>86</v>
      </c>
      <c r="E25" s="301">
        <v>28</v>
      </c>
      <c r="F25" s="301">
        <v>24</v>
      </c>
      <c r="G25" s="207" t="s">
        <v>67</v>
      </c>
    </row>
    <row r="26" hidden="1" ht="45" customHeight="1">
      <c r="A26" s="226"/>
      <c r="B26" s="238">
        <v>1134</v>
      </c>
      <c r="C26" s="242" t="s">
        <v>99</v>
      </c>
      <c r="D26" s="301">
        <v>15</v>
      </c>
      <c r="E26" s="301">
        <v>27</v>
      </c>
      <c r="F26" s="301">
        <v>1</v>
      </c>
      <c r="G26" s="207" t="s">
        <v>67</v>
      </c>
    </row>
    <row r="27" hidden="1" ht="45" customHeight="1">
      <c r="A27" s="226"/>
      <c r="B27" s="238">
        <v>1135</v>
      </c>
      <c r="C27" s="242" t="s">
        <v>100</v>
      </c>
      <c r="D27" s="301">
        <v>1</v>
      </c>
      <c r="E27" s="301">
        <v>2</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v>
      </c>
      <c r="E29" s="301">
        <v>0</v>
      </c>
      <c r="F29" s="301">
        <v>0</v>
      </c>
      <c r="G29" s="207" t="s">
        <v>67</v>
      </c>
    </row>
    <row r="30" hidden="1" ht="45" customHeight="1">
      <c r="A30" s="226"/>
      <c r="B30" s="238">
        <v>1138</v>
      </c>
      <c r="C30" s="242" t="s">
        <v>103</v>
      </c>
      <c r="D30" s="301">
        <v>99</v>
      </c>
      <c r="E30" s="301">
        <v>57</v>
      </c>
      <c r="F30" s="301">
        <v>25</v>
      </c>
      <c r="G30" s="207" t="s">
        <v>67</v>
      </c>
    </row>
    <row r="31" hidden="1" ht="45" customHeight="1">
      <c r="A31" s="226">
        <v>1116</v>
      </c>
      <c r="B31" s="238">
        <v>1141</v>
      </c>
      <c r="C31" s="242" t="s">
        <v>104</v>
      </c>
      <c r="D31" s="302">
        <v>35</v>
      </c>
      <c r="E31" s="302">
        <v>20</v>
      </c>
      <c r="F31" s="302">
        <v>20</v>
      </c>
      <c r="G31" s="207"/>
    </row>
    <row r="32" hidden="1" ht="45" customHeight="1">
      <c r="A32" s="226"/>
      <c r="B32" s="238">
        <v>1142</v>
      </c>
      <c r="C32" s="243" t="s">
        <v>105</v>
      </c>
      <c r="D32" s="302">
        <v>35</v>
      </c>
      <c r="E32" s="302">
        <v>20</v>
      </c>
      <c r="F32" s="302">
        <v>20</v>
      </c>
      <c r="G32" s="207"/>
    </row>
    <row r="33" hidden="1" ht="45" customHeight="1">
      <c r="A33" s="226"/>
      <c r="B33" s="238">
        <v>1143</v>
      </c>
      <c r="C33" s="242" t="s">
        <v>106</v>
      </c>
      <c r="D33" s="301">
        <v>102</v>
      </c>
      <c r="E33" s="301">
        <v>57</v>
      </c>
      <c r="F33" s="301">
        <v>25</v>
      </c>
      <c r="G33" s="207" t="s">
        <v>67</v>
      </c>
    </row>
    <row r="34" hidden="1" ht="45" customHeight="1">
      <c r="A34" s="226"/>
      <c r="B34" s="238">
        <v>1144</v>
      </c>
      <c r="C34" s="242" t="s">
        <v>107</v>
      </c>
      <c r="D34" s="301">
        <v>102</v>
      </c>
      <c r="E34" s="301">
        <v>57</v>
      </c>
      <c r="F34" s="301">
        <v>25</v>
      </c>
      <c r="G34" s="207" t="s">
        <v>67</v>
      </c>
    </row>
    <row r="35" hidden="1" ht="45" customHeight="1">
      <c r="A35" s="226"/>
      <c r="B35" s="238">
        <v>1145</v>
      </c>
      <c r="C35" s="242" t="s">
        <v>108</v>
      </c>
      <c r="D35" s="301">
        <v>102</v>
      </c>
      <c r="E35" s="301">
        <v>57</v>
      </c>
      <c r="F35" s="301">
        <v>25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86</v>
      </c>
      <c r="E37" s="301">
        <v>55</v>
      </c>
      <c r="F37" s="301">
        <v>24</v>
      </c>
      <c r="G37" s="207" t="s">
        <v>67</v>
      </c>
    </row>
    <row r="38" hidden="1" ht="45" customHeight="1">
      <c r="A38" s="226"/>
      <c r="B38" s="238">
        <v>1153</v>
      </c>
      <c r="C38" s="242" t="s">
        <v>111</v>
      </c>
      <c r="D38" s="301">
        <v>86</v>
      </c>
      <c r="E38" s="301">
        <v>55</v>
      </c>
      <c r="F38" s="301">
        <v>24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86</v>
      </c>
      <c r="E40" s="301">
        <v>55</v>
      </c>
      <c r="F40" s="301">
        <v>24</v>
      </c>
      <c r="G40" s="207" t="s">
        <v>67</v>
      </c>
    </row>
    <row r="41" hidden="1" ht="45" customHeight="1">
      <c r="A41" s="226"/>
      <c r="B41" s="238">
        <v>1156</v>
      </c>
      <c r="C41" s="242" t="s">
        <v>113</v>
      </c>
      <c r="D41" s="301">
        <v>86</v>
      </c>
      <c r="E41" s="301">
        <v>55</v>
      </c>
      <c r="F41" s="301">
        <v>24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0</v>
      </c>
      <c r="F43" s="301">
        <v>0</v>
      </c>
      <c r="G43" s="207" t="s">
        <v>67</v>
      </c>
    </row>
    <row r="44" hidden="1" ht="45" customHeight="1" s="250" customFormat="1">
      <c r="A44" s="226"/>
      <c r="B44" s="238">
        <v>1159</v>
      </c>
      <c r="C44" s="242" t="s">
        <v>116</v>
      </c>
      <c r="D44" s="301">
        <v>2</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8</v>
      </c>
      <c r="E53" s="301">
        <v>8</v>
      </c>
      <c r="F53" s="301">
        <v>8</v>
      </c>
      <c r="G53" s="207" t="s">
        <v>117</v>
      </c>
    </row>
    <row r="54" hidden="1" ht="45" customHeight="1">
      <c r="A54" s="226"/>
      <c r="B54" s="238">
        <v>1214</v>
      </c>
      <c r="C54" s="264" t="s">
        <v>132</v>
      </c>
      <c r="D54" s="301">
        <v>8</v>
      </c>
      <c r="E54" s="301">
        <v>8</v>
      </c>
      <c r="F54" s="301">
        <v>8</v>
      </c>
      <c r="G54" s="207" t="s">
        <v>117</v>
      </c>
    </row>
    <row r="55" hidden="1" ht="45" customHeight="1">
      <c r="A55" s="226"/>
      <c r="B55" s="238">
        <v>1215</v>
      </c>
      <c r="C55" s="242" t="s">
        <v>133</v>
      </c>
      <c r="D55" s="301">
        <v>8</v>
      </c>
      <c r="E55" s="301">
        <v>8</v>
      </c>
      <c r="F55" s="301">
        <v>8</v>
      </c>
      <c r="G55" s="207" t="s">
        <v>117</v>
      </c>
    </row>
    <row r="56" hidden="1" ht="45" customHeight="1">
      <c r="A56" s="226"/>
      <c r="B56" s="238">
        <v>1216</v>
      </c>
      <c r="C56" s="243" t="s">
        <v>134</v>
      </c>
      <c r="D56" s="301">
        <v>8</v>
      </c>
      <c r="E56" s="301">
        <v>8</v>
      </c>
      <c r="F56" s="301">
        <v>8</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8</v>
      </c>
      <c r="E59" s="301">
        <v>8</v>
      </c>
      <c r="F59" s="301">
        <v>8</v>
      </c>
      <c r="G59" s="207" t="s">
        <v>117</v>
      </c>
    </row>
    <row r="60" hidden="1" ht="45" customHeight="1">
      <c r="A60" s="226"/>
      <c r="B60" s="238">
        <v>1222</v>
      </c>
      <c r="C60" s="264" t="s">
        <v>138</v>
      </c>
      <c r="D60" s="301">
        <v>8</v>
      </c>
      <c r="E60" s="301">
        <v>8</v>
      </c>
      <c r="F60" s="301">
        <v>8</v>
      </c>
      <c r="G60" s="207" t="s">
        <v>117</v>
      </c>
    </row>
    <row r="61" hidden="1" ht="45" customHeight="1">
      <c r="A61" s="226"/>
      <c r="B61" s="238">
        <v>1223</v>
      </c>
      <c r="C61" s="264" t="s">
        <v>139</v>
      </c>
      <c r="D61" s="301">
        <v>8</v>
      </c>
      <c r="E61" s="301">
        <v>8</v>
      </c>
      <c r="F61" s="301">
        <v>8</v>
      </c>
      <c r="G61" s="207" t="s">
        <v>117</v>
      </c>
    </row>
    <row r="62" hidden="1" ht="54.65" customHeight="1">
      <c r="A62" s="226"/>
      <c r="B62" s="238">
        <v>1224</v>
      </c>
      <c r="C62" s="264" t="s">
        <v>140</v>
      </c>
      <c r="D62" s="301">
        <v>8</v>
      </c>
      <c r="E62" s="301">
        <v>8</v>
      </c>
      <c r="F62" s="301">
        <v>8</v>
      </c>
      <c r="G62" s="207" t="s">
        <v>117</v>
      </c>
    </row>
    <row r="63" hidden="1" ht="66.65" customHeight="1">
      <c r="A63" s="226"/>
      <c r="B63" s="238">
        <v>1225</v>
      </c>
      <c r="C63" s="264" t="s">
        <v>141</v>
      </c>
      <c r="D63" s="301">
        <v>8</v>
      </c>
      <c r="E63" s="301">
        <v>8</v>
      </c>
      <c r="F63" s="301">
        <v>8</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9</v>
      </c>
      <c r="E67" s="301">
        <v>9</v>
      </c>
      <c r="F67" s="301">
        <v>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9</v>
      </c>
      <c r="E69" s="301">
        <v>9</v>
      </c>
      <c r="F69" s="301">
        <v>9</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9</v>
      </c>
      <c r="E71" s="301">
        <v>9</v>
      </c>
      <c r="F71" s="301">
        <v>9</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9</v>
      </c>
      <c r="E73" s="301">
        <v>9</v>
      </c>
      <c r="F73" s="301">
        <v>9</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9</v>
      </c>
      <c r="E75" s="301">
        <v>9</v>
      </c>
      <c r="F75" s="301">
        <v>9</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9</v>
      </c>
      <c r="E77" s="301">
        <v>9</v>
      </c>
      <c r="F77" s="301">
        <v>9</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9</v>
      </c>
      <c r="E79" s="301">
        <v>9</v>
      </c>
      <c r="F79" s="301">
        <v>9</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9</v>
      </c>
      <c r="E82" s="301">
        <v>9</v>
      </c>
      <c r="F82" s="301">
        <v>9</v>
      </c>
      <c r="G82" s="207" t="s">
        <v>117</v>
      </c>
    </row>
    <row r="83" hidden="1" ht="45" customHeight="1">
      <c r="A83" s="226"/>
      <c r="B83" s="238">
        <v>1253</v>
      </c>
      <c r="C83" s="242" t="s">
        <v>161</v>
      </c>
      <c r="D83" s="301">
        <v>9</v>
      </c>
      <c r="E83" s="301">
        <v>9</v>
      </c>
      <c r="F83" s="301">
        <v>9</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17</v>
      </c>
      <c r="E144" s="301">
        <v>23</v>
      </c>
      <c r="F144" s="301">
        <v>10</v>
      </c>
      <c r="G144" s="207" t="s">
        <v>219</v>
      </c>
    </row>
    <row r="145" hidden="1" ht="45" customHeight="1">
      <c r="A145" s="226"/>
      <c r="B145" s="238">
        <v>1514</v>
      </c>
      <c r="C145" s="264" t="s">
        <v>225</v>
      </c>
      <c r="D145" s="301">
        <v>17</v>
      </c>
      <c r="E145" s="301">
        <v>23</v>
      </c>
      <c r="F145" s="301">
        <v>10</v>
      </c>
      <c r="G145" s="207" t="s">
        <v>219</v>
      </c>
    </row>
    <row r="146" hidden="1" ht="45" customHeight="1">
      <c r="A146" s="226">
        <v>1541</v>
      </c>
      <c r="B146" s="238">
        <v>1515</v>
      </c>
      <c r="C146" s="264" t="s">
        <v>226</v>
      </c>
      <c r="D146" s="301">
        <v>17</v>
      </c>
      <c r="E146" s="301">
        <v>23</v>
      </c>
      <c r="F146" s="301">
        <v>10</v>
      </c>
      <c r="G146" s="207" t="s">
        <v>219</v>
      </c>
    </row>
    <row r="147" hidden="1" ht="45" customHeight="1">
      <c r="A147" s="226"/>
      <c r="B147" s="238">
        <v>1521</v>
      </c>
      <c r="C147" s="264" t="s">
        <v>227</v>
      </c>
      <c r="D147" s="301">
        <v>17</v>
      </c>
      <c r="E147" s="301">
        <v>23</v>
      </c>
      <c r="F147" s="301">
        <v>10</v>
      </c>
      <c r="G147" s="207" t="s">
        <v>219</v>
      </c>
    </row>
    <row r="148" hidden="1" ht="45" customHeight="1">
      <c r="A148" s="226"/>
      <c r="B148" s="238">
        <v>1522</v>
      </c>
      <c r="C148" s="264" t="s">
        <v>228</v>
      </c>
      <c r="D148" s="301">
        <v>17</v>
      </c>
      <c r="E148" s="301">
        <v>23</v>
      </c>
      <c r="F148" s="301">
        <v>10</v>
      </c>
      <c r="G148" s="207" t="s">
        <v>219</v>
      </c>
    </row>
    <row r="149" hidden="1" ht="45" customHeight="1">
      <c r="A149" s="226"/>
      <c r="B149" s="238">
        <v>1523</v>
      </c>
      <c r="C149" s="264" t="s">
        <v>229</v>
      </c>
      <c r="D149" s="301">
        <v>17</v>
      </c>
      <c r="E149" s="301">
        <v>23</v>
      </c>
      <c r="F149" s="301">
        <v>10</v>
      </c>
      <c r="G149" s="207" t="s">
        <v>219</v>
      </c>
    </row>
    <row r="150" hidden="1" ht="45" customHeight="1">
      <c r="A150" s="226"/>
      <c r="B150" s="238">
        <v>1524</v>
      </c>
      <c r="C150" s="264" t="s">
        <v>230</v>
      </c>
      <c r="D150" s="301">
        <v>17</v>
      </c>
      <c r="E150" s="301">
        <v>23</v>
      </c>
      <c r="F150" s="301">
        <v>10</v>
      </c>
      <c r="G150" s="207" t="s">
        <v>219</v>
      </c>
    </row>
    <row r="151" hidden="1" ht="45" customHeight="1">
      <c r="A151" s="226"/>
      <c r="B151" s="238">
        <v>1531</v>
      </c>
      <c r="C151" s="242" t="s">
        <v>231</v>
      </c>
      <c r="D151" s="301">
        <v>6</v>
      </c>
      <c r="E151" s="301">
        <v>11</v>
      </c>
      <c r="F151" s="301">
        <v>4</v>
      </c>
      <c r="G151" s="207" t="s">
        <v>219</v>
      </c>
    </row>
    <row r="152" hidden="1" ht="45" customHeight="1">
      <c r="A152" s="226"/>
      <c r="B152" s="238">
        <v>1532</v>
      </c>
      <c r="C152" s="242" t="s">
        <v>232</v>
      </c>
      <c r="D152" s="301">
        <v>11</v>
      </c>
      <c r="E152" s="301">
        <v>12</v>
      </c>
      <c r="F152" s="301">
        <v>6</v>
      </c>
      <c r="G152" s="207" t="s">
        <v>219</v>
      </c>
    </row>
    <row r="153" hidden="1" ht="45" customHeight="1">
      <c r="A153" s="226"/>
      <c r="B153" s="238">
        <v>1533</v>
      </c>
      <c r="C153" s="242" t="s">
        <v>233</v>
      </c>
      <c r="D153" s="301">
        <v>17</v>
      </c>
      <c r="E153" s="301">
        <v>23</v>
      </c>
      <c r="F153" s="301">
        <v>10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17</v>
      </c>
      <c r="E155" s="301">
        <v>23</v>
      </c>
      <c r="F155" s="301">
        <v>10</v>
      </c>
      <c r="G155" s="207" t="s">
        <v>219</v>
      </c>
    </row>
    <row r="156" hidden="1" ht="45" customHeight="1">
      <c r="A156" s="226"/>
      <c r="B156" s="238">
        <v>1542</v>
      </c>
      <c r="C156" s="264" t="s">
        <v>236</v>
      </c>
      <c r="D156" s="301">
        <v>17</v>
      </c>
      <c r="E156" s="301">
        <v>23</v>
      </c>
      <c r="F156" s="301">
        <v>10</v>
      </c>
      <c r="G156" s="207" t="s">
        <v>219</v>
      </c>
    </row>
    <row r="157" hidden="1" ht="45" customHeight="1">
      <c r="A157" s="226"/>
      <c r="B157" s="238">
        <v>1543</v>
      </c>
      <c r="C157" s="264" t="s">
        <v>237</v>
      </c>
      <c r="D157" s="301">
        <v>17</v>
      </c>
      <c r="E157" s="301">
        <v>23</v>
      </c>
      <c r="F157" s="301">
        <v>10</v>
      </c>
      <c r="G157" s="207" t="s">
        <v>219</v>
      </c>
    </row>
    <row r="158" hidden="1" ht="45" customHeight="1">
      <c r="A158" s="226"/>
      <c r="B158" s="238">
        <v>1544</v>
      </c>
      <c r="C158" s="242" t="s">
        <v>238</v>
      </c>
      <c r="D158" s="301">
        <v>17</v>
      </c>
      <c r="E158" s="301">
        <v>23</v>
      </c>
      <c r="F158" s="301">
        <v>10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17</v>
      </c>
      <c r="E160" s="301">
        <v>23</v>
      </c>
      <c r="F160" s="301">
        <v>10</v>
      </c>
      <c r="G160" s="207" t="s">
        <v>219</v>
      </c>
    </row>
    <row r="161" hidden="1" ht="45" customHeight="1">
      <c r="A161" s="226"/>
      <c r="B161" s="238">
        <v>1553</v>
      </c>
      <c r="C161" s="242" t="s">
        <v>241</v>
      </c>
      <c r="D161" s="301">
        <v>17</v>
      </c>
      <c r="E161" s="301">
        <v>23</v>
      </c>
      <c r="F161" s="301">
        <v>10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17</v>
      </c>
      <c r="E163" s="301">
        <v>23</v>
      </c>
      <c r="F163" s="301">
        <v>10</v>
      </c>
      <c r="G163" s="207" t="s">
        <v>219</v>
      </c>
    </row>
    <row r="164" hidden="1" ht="45" customHeight="1">
      <c r="A164" s="226"/>
      <c r="B164" s="238">
        <v>1556</v>
      </c>
      <c r="C164" s="242" t="s">
        <v>241</v>
      </c>
      <c r="D164" s="301">
        <v>17</v>
      </c>
      <c r="E164" s="301">
        <v>23</v>
      </c>
      <c r="F164" s="301">
        <v>10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1538</v>
      </c>
      <c r="AZ241" s="0" t="s">
        <v>1539</v>
      </c>
      <c r="BA241" s="0" t="s">
        <v>285</v>
      </c>
      <c r="BB241" s="0" t="str">
        <f t="shared" si="3"/>
        <v>CCCRNebAbakaliki</v>
      </c>
    </row>
    <row r="242">
      <c r="E242" s="0" t="s">
        <v>942</v>
      </c>
      <c r="AV242" s="0" t="s">
        <v>471</v>
      </c>
      <c r="AW242" s="0" t="s">
        <v>286</v>
      </c>
      <c r="AX242" s="0" t="s">
        <v>444</v>
      </c>
      <c r="AY242" s="0" t="s">
        <v>1540</v>
      </c>
      <c r="AZ242" s="0" t="s">
        <v>1541</v>
      </c>
      <c r="BA242" s="0" t="s">
        <v>285</v>
      </c>
      <c r="BB242" s="0" t="str">
        <f t="shared" si="3"/>
        <v>CCCRNebAbakaliki</v>
      </c>
    </row>
    <row r="243">
      <c r="E243" s="0" t="s">
        <v>486</v>
      </c>
      <c r="AV243" s="0" t="s">
        <v>471</v>
      </c>
      <c r="AW243" s="0" t="s">
        <v>286</v>
      </c>
      <c r="AX243" s="0" t="s">
        <v>487</v>
      </c>
      <c r="AY243" s="0" t="s">
        <v>1542</v>
      </c>
      <c r="AZ243" s="0" t="s">
        <v>1543</v>
      </c>
      <c r="BA243" s="0" t="s">
        <v>285</v>
      </c>
      <c r="BB243" s="0" t="str">
        <f t="shared" si="3"/>
        <v>CCCRNebAfikpoNorth</v>
      </c>
    </row>
    <row r="244">
      <c r="E244" s="0" t="s">
        <v>605</v>
      </c>
      <c r="AV244" s="0" t="s">
        <v>471</v>
      </c>
      <c r="AW244" s="0" t="s">
        <v>286</v>
      </c>
      <c r="AX244" s="0" t="s">
        <v>487</v>
      </c>
      <c r="AY244" s="0" t="s">
        <v>1544</v>
      </c>
      <c r="AZ244" s="0" t="s">
        <v>1545</v>
      </c>
      <c r="BA244" s="0" t="s">
        <v>285</v>
      </c>
      <c r="BB244" s="0" t="str">
        <f t="shared" si="3"/>
        <v>CCCRNebAfikpoNorth</v>
      </c>
    </row>
    <row r="245">
      <c r="E245" s="0" t="s">
        <v>644</v>
      </c>
      <c r="AV245" s="0" t="s">
        <v>471</v>
      </c>
      <c r="AW245" s="0" t="s">
        <v>286</v>
      </c>
      <c r="AX245" s="0" t="s">
        <v>487</v>
      </c>
      <c r="AY245" s="0" t="s">
        <v>1546</v>
      </c>
      <c r="AZ245" s="0" t="s">
        <v>1547</v>
      </c>
      <c r="BA245" s="0" t="s">
        <v>285</v>
      </c>
      <c r="BB245" s="0" t="str">
        <f t="shared" si="3"/>
        <v>CCCRNebAfikpoNorth</v>
      </c>
    </row>
    <row r="246">
      <c r="E246" s="0" t="s">
        <v>682</v>
      </c>
      <c r="AV246" s="0" t="s">
        <v>471</v>
      </c>
      <c r="AW246" s="0" t="s">
        <v>286</v>
      </c>
      <c r="AX246" s="0" t="s">
        <v>487</v>
      </c>
      <c r="AY246" s="0" t="s">
        <v>1548</v>
      </c>
      <c r="AZ246" s="0" t="s">
        <v>1549</v>
      </c>
      <c r="BA246" s="0" t="s">
        <v>285</v>
      </c>
      <c r="BB246" s="0" t="str">
        <f t="shared" si="3"/>
        <v>CCCRNebAfikpoNorth</v>
      </c>
    </row>
    <row r="247">
      <c r="E247" s="0" t="s">
        <v>446</v>
      </c>
      <c r="AV247" s="0" t="s">
        <v>471</v>
      </c>
      <c r="AW247" s="0" t="s">
        <v>286</v>
      </c>
      <c r="AX247" s="0" t="s">
        <v>487</v>
      </c>
      <c r="AY247" s="0" t="s">
        <v>1550</v>
      </c>
      <c r="AZ247" s="0" t="s">
        <v>1551</v>
      </c>
      <c r="BA247" s="0" t="s">
        <v>285</v>
      </c>
      <c r="BB247" s="0" t="str">
        <f t="shared" si="3"/>
        <v>CCCRNebAfikpoNorth</v>
      </c>
    </row>
    <row r="248">
      <c r="E248" s="0" t="s">
        <v>489</v>
      </c>
      <c r="AV248" s="0" t="s">
        <v>471</v>
      </c>
      <c r="AW248" s="0" t="s">
        <v>286</v>
      </c>
      <c r="AX248" s="0" t="s">
        <v>487</v>
      </c>
      <c r="AY248" s="0" t="s">
        <v>1552</v>
      </c>
      <c r="AZ248" s="0" t="s">
        <v>1553</v>
      </c>
      <c r="BA248" s="0" t="s">
        <v>285</v>
      </c>
      <c r="BB248" s="0" t="str">
        <f t="shared" si="3"/>
        <v>CCCRNebAfikpoNorth</v>
      </c>
    </row>
    <row r="249">
      <c r="E249" s="0" t="s">
        <v>530</v>
      </c>
      <c r="AV249" s="0" t="s">
        <v>471</v>
      </c>
      <c r="AW249" s="0" t="s">
        <v>286</v>
      </c>
      <c r="AX249" s="0" t="s">
        <v>487</v>
      </c>
      <c r="AY249" s="0" t="s">
        <v>1554</v>
      </c>
      <c r="AZ249" s="0" t="s">
        <v>1555</v>
      </c>
      <c r="BA249" s="0" t="s">
        <v>285</v>
      </c>
      <c r="BB249" s="0" t="str">
        <f t="shared" si="3"/>
        <v>CCCRNebAfikpoNorth</v>
      </c>
    </row>
    <row r="250">
      <c r="E250" s="0" t="s">
        <v>570</v>
      </c>
      <c r="AV250" s="0" t="s">
        <v>471</v>
      </c>
      <c r="AW250" s="0" t="s">
        <v>286</v>
      </c>
      <c r="AX250" s="0" t="s">
        <v>487</v>
      </c>
      <c r="AY250" s="0" t="s">
        <v>1556</v>
      </c>
      <c r="AZ250" s="0" t="s">
        <v>1557</v>
      </c>
      <c r="BA250" s="0" t="s">
        <v>285</v>
      </c>
      <c r="BB250" s="0" t="str">
        <f t="shared" si="3"/>
        <v>CCCRNebAfikpoNorth</v>
      </c>
    </row>
    <row r="251">
      <c r="E251" s="0" t="s">
        <v>608</v>
      </c>
      <c r="AV251" s="0" t="s">
        <v>471</v>
      </c>
      <c r="AW251" s="0" t="s">
        <v>286</v>
      </c>
      <c r="AX251" s="0" t="s">
        <v>528</v>
      </c>
      <c r="AY251" s="0" t="s">
        <v>1558</v>
      </c>
      <c r="AZ251" s="0" t="s">
        <v>1559</v>
      </c>
      <c r="BA251" s="0" t="s">
        <v>285</v>
      </c>
      <c r="BB251" s="0" t="str">
        <f t="shared" si="3"/>
        <v>CCCRNebAfikpoSouth</v>
      </c>
    </row>
    <row r="252">
      <c r="E252" s="0" t="s">
        <v>647</v>
      </c>
      <c r="AV252" s="0" t="s">
        <v>471</v>
      </c>
      <c r="AW252" s="0" t="s">
        <v>286</v>
      </c>
      <c r="AX252" s="0" t="s">
        <v>528</v>
      </c>
      <c r="AY252" s="0" t="s">
        <v>1560</v>
      </c>
      <c r="AZ252" s="0" t="s">
        <v>1561</v>
      </c>
      <c r="BA252" s="0" t="s">
        <v>285</v>
      </c>
      <c r="BB252" s="0" t="str">
        <f t="shared" si="3"/>
        <v>CCCRNebAfikpoSouth</v>
      </c>
    </row>
    <row r="253">
      <c r="E253" s="0" t="s">
        <v>532</v>
      </c>
      <c r="AV253" s="0" t="s">
        <v>471</v>
      </c>
      <c r="AW253" s="0" t="s">
        <v>286</v>
      </c>
      <c r="AX253" s="0" t="s">
        <v>568</v>
      </c>
      <c r="AY253" s="0" t="s">
        <v>1562</v>
      </c>
      <c r="AZ253" s="0" t="s">
        <v>1563</v>
      </c>
      <c r="BA253" s="0" t="s">
        <v>285</v>
      </c>
      <c r="BB253" s="0" t="str">
        <f t="shared" si="3"/>
        <v>CCCRNebEbonyi</v>
      </c>
    </row>
    <row r="254">
      <c r="E254" s="0" t="s">
        <v>448</v>
      </c>
      <c r="AV254" s="0" t="s">
        <v>471</v>
      </c>
      <c r="AW254" s="0" t="s">
        <v>286</v>
      </c>
      <c r="AX254" s="0" t="s">
        <v>568</v>
      </c>
      <c r="AY254" s="0" t="s">
        <v>1564</v>
      </c>
      <c r="AZ254" s="0" t="s">
        <v>1565</v>
      </c>
      <c r="BA254" s="0" t="s">
        <v>285</v>
      </c>
      <c r="BB254" s="0" t="str">
        <f t="shared" si="3"/>
        <v>CCCRNebEbonyi</v>
      </c>
    </row>
    <row r="255">
      <c r="E255" s="0" t="s">
        <v>491</v>
      </c>
      <c r="AV255" s="0" t="s">
        <v>471</v>
      </c>
      <c r="AW255" s="0" t="s">
        <v>286</v>
      </c>
      <c r="AX255" s="0" t="s">
        <v>568</v>
      </c>
      <c r="AY255" s="0" t="s">
        <v>1566</v>
      </c>
      <c r="AZ255" s="0" t="s">
        <v>1567</v>
      </c>
      <c r="BA255" s="0" t="s">
        <v>285</v>
      </c>
      <c r="BB255" s="0" t="str">
        <f t="shared" si="3"/>
        <v>CCCRNebEbonyi</v>
      </c>
    </row>
    <row r="256">
      <c r="E256" s="0" t="s">
        <v>572</v>
      </c>
      <c r="AV256" s="0" t="s">
        <v>471</v>
      </c>
      <c r="AW256" s="0" t="s">
        <v>286</v>
      </c>
      <c r="AX256" s="0" t="s">
        <v>568</v>
      </c>
      <c r="AY256" s="0" t="s">
        <v>1568</v>
      </c>
      <c r="AZ256" s="0" t="s">
        <v>1569</v>
      </c>
      <c r="BA256" s="0" t="s">
        <v>285</v>
      </c>
      <c r="BB256" s="0" t="str">
        <f t="shared" si="3"/>
        <v>CCCRNebEbonyi</v>
      </c>
    </row>
    <row r="257">
      <c r="E257" s="0" t="s">
        <v>610</v>
      </c>
      <c r="AV257" s="0" t="s">
        <v>471</v>
      </c>
      <c r="AW257" s="0" t="s">
        <v>286</v>
      </c>
      <c r="AX257" s="0" t="s">
        <v>568</v>
      </c>
      <c r="AY257" s="0" t="s">
        <v>1570</v>
      </c>
      <c r="AZ257" s="0" t="s">
        <v>1571</v>
      </c>
      <c r="BA257" s="0" t="s">
        <v>285</v>
      </c>
      <c r="BB257" s="0" t="str">
        <f t="shared" si="3"/>
        <v>CCCRNebEbonyi</v>
      </c>
    </row>
    <row r="258">
      <c r="E258" s="0" t="s">
        <v>949</v>
      </c>
      <c r="AV258" s="0" t="s">
        <v>471</v>
      </c>
      <c r="AW258" s="0" t="s">
        <v>286</v>
      </c>
      <c r="AX258" s="0" t="s">
        <v>568</v>
      </c>
      <c r="AY258" s="0" t="s">
        <v>1572</v>
      </c>
      <c r="AZ258" s="0" t="s">
        <v>1573</v>
      </c>
      <c r="BA258" s="0" t="s">
        <v>285</v>
      </c>
      <c r="BB258" s="0" t="str">
        <f t="shared" si="3"/>
        <v>CCCRNebEbonyi</v>
      </c>
    </row>
    <row r="259">
      <c r="E259" s="0" t="s">
        <v>496</v>
      </c>
      <c r="AV259" s="0" t="s">
        <v>471</v>
      </c>
      <c r="AW259" s="0" t="s">
        <v>286</v>
      </c>
      <c r="AX259" s="0" t="s">
        <v>606</v>
      </c>
      <c r="AY259" s="0" t="s">
        <v>1574</v>
      </c>
      <c r="AZ259" s="0" t="s">
        <v>1575</v>
      </c>
      <c r="BA259" s="0" t="s">
        <v>285</v>
      </c>
      <c r="BB259" s="0" t="str">
        <f ref="BB259:BB322" t="shared" si="4">SUBSTITUTE(SUBSTITUTE(BA259&amp;AX259," ",""),"-","")</f>
        <v>CCCRNebIvo</v>
      </c>
    </row>
    <row r="260">
      <c r="E260" s="0" t="s">
        <v>537</v>
      </c>
      <c r="AV260" s="0" t="s">
        <v>471</v>
      </c>
      <c r="AW260" s="0" t="s">
        <v>286</v>
      </c>
      <c r="AX260" s="0" t="s">
        <v>606</v>
      </c>
      <c r="AY260" s="0" t="s">
        <v>1576</v>
      </c>
      <c r="AZ260" s="0" t="s">
        <v>1577</v>
      </c>
      <c r="BA260" s="0" t="s">
        <v>285</v>
      </c>
      <c r="BB260" s="0" t="str">
        <f t="shared" si="4"/>
        <v>CCCRNebIvo</v>
      </c>
    </row>
    <row r="261">
      <c r="E261" s="0" t="s">
        <v>577</v>
      </c>
      <c r="AV261" s="0" t="s">
        <v>471</v>
      </c>
      <c r="AW261" s="0" t="s">
        <v>286</v>
      </c>
      <c r="AX261" s="0" t="s">
        <v>606</v>
      </c>
      <c r="AY261" s="0" t="s">
        <v>1578</v>
      </c>
      <c r="AZ261" s="0" t="s">
        <v>1579</v>
      </c>
      <c r="BA261" s="0" t="s">
        <v>285</v>
      </c>
      <c r="BB261" s="0" t="str">
        <f t="shared" si="4"/>
        <v>CCCRNebIvo</v>
      </c>
    </row>
    <row r="262">
      <c r="E262" s="0" t="s">
        <v>615</v>
      </c>
      <c r="AV262" s="0" t="s">
        <v>471</v>
      </c>
      <c r="AW262" s="0" t="s">
        <v>286</v>
      </c>
      <c r="AX262" s="0" t="s">
        <v>606</v>
      </c>
      <c r="AY262" s="0" t="s">
        <v>1580</v>
      </c>
      <c r="AZ262" s="0" t="s">
        <v>1581</v>
      </c>
      <c r="BA262" s="0" t="s">
        <v>285</v>
      </c>
      <c r="BB262" s="0" t="str">
        <f t="shared" si="4"/>
        <v>CCCRNebIvo</v>
      </c>
    </row>
    <row r="263">
      <c r="E263" s="0" t="s">
        <v>454</v>
      </c>
      <c r="AV263" s="0" t="s">
        <v>471</v>
      </c>
      <c r="AW263" s="0" t="s">
        <v>286</v>
      </c>
      <c r="AX263" s="0" t="s">
        <v>606</v>
      </c>
      <c r="AY263" s="0" t="s">
        <v>1582</v>
      </c>
      <c r="AZ263" s="0" t="s">
        <v>1583</v>
      </c>
      <c r="BA263" s="0" t="s">
        <v>285</v>
      </c>
      <c r="BB263" s="0" t="str">
        <f t="shared" si="4"/>
        <v>CCCRNebIvo</v>
      </c>
    </row>
    <row r="264">
      <c r="E264" s="0" t="s">
        <v>497</v>
      </c>
      <c r="AV264" s="0" t="s">
        <v>471</v>
      </c>
      <c r="AW264" s="0" t="s">
        <v>286</v>
      </c>
      <c r="AX264" s="0" t="s">
        <v>606</v>
      </c>
      <c r="AY264" s="0" t="s">
        <v>1584</v>
      </c>
      <c r="AZ264" s="0" t="s">
        <v>1585</v>
      </c>
      <c r="BA264" s="0" t="s">
        <v>285</v>
      </c>
      <c r="BB264" s="0" t="str">
        <f t="shared" si="4"/>
        <v>CCCRNebIvo</v>
      </c>
    </row>
    <row r="265">
      <c r="E265" s="0" t="s">
        <v>538</v>
      </c>
      <c r="AV265" s="0" t="s">
        <v>471</v>
      </c>
      <c r="AW265" s="0" t="s">
        <v>286</v>
      </c>
      <c r="AX265" s="0" t="s">
        <v>645</v>
      </c>
      <c r="AY265" s="0" t="s">
        <v>1586</v>
      </c>
      <c r="AZ265" s="0" t="s">
        <v>1587</v>
      </c>
      <c r="BA265" s="0" t="s">
        <v>285</v>
      </c>
      <c r="BB265" s="0" t="str">
        <f t="shared" si="4"/>
        <v>CCCRNebIzzi</v>
      </c>
    </row>
    <row r="266">
      <c r="E266" s="0" t="s">
        <v>502</v>
      </c>
      <c r="AV266" s="0" t="s">
        <v>471</v>
      </c>
      <c r="AW266" s="0" t="s">
        <v>286</v>
      </c>
      <c r="AX266" s="0" t="s">
        <v>645</v>
      </c>
      <c r="AY266" s="0" t="s">
        <v>1588</v>
      </c>
      <c r="AZ266" s="0" t="s">
        <v>1589</v>
      </c>
      <c r="BA266" s="0" t="s">
        <v>285</v>
      </c>
      <c r="BB266" s="0" t="str">
        <f t="shared" si="4"/>
        <v>CCCRNebIzzi</v>
      </c>
    </row>
    <row r="267">
      <c r="E267" s="0" t="s">
        <v>658</v>
      </c>
      <c r="AV267" s="0" t="s">
        <v>471</v>
      </c>
      <c r="AW267" s="0" t="s">
        <v>286</v>
      </c>
      <c r="AX267" s="0" t="s">
        <v>645</v>
      </c>
      <c r="AY267" s="0" t="s">
        <v>1590</v>
      </c>
      <c r="AZ267" s="0" t="s">
        <v>1591</v>
      </c>
      <c r="BA267" s="0" t="s">
        <v>285</v>
      </c>
      <c r="BB267" s="0" t="str">
        <f t="shared" si="4"/>
        <v>CCCRNebIzzi</v>
      </c>
    </row>
    <row r="268">
      <c r="E268" s="0" t="s">
        <v>694</v>
      </c>
      <c r="AV268" s="0" t="s">
        <v>471</v>
      </c>
      <c r="AW268" s="0" t="s">
        <v>286</v>
      </c>
      <c r="AX268" s="0" t="s">
        <v>683</v>
      </c>
      <c r="AY268" s="0" t="s">
        <v>1592</v>
      </c>
      <c r="AZ268" s="0" t="s">
        <v>1593</v>
      </c>
      <c r="BA268" s="0" t="s">
        <v>285</v>
      </c>
      <c r="BB268" s="0" t="str">
        <f t="shared" si="4"/>
        <v>CCCRNebOhaozara</v>
      </c>
    </row>
    <row r="269">
      <c r="E269" s="0" t="s">
        <v>543</v>
      </c>
      <c r="AV269" s="0" t="s">
        <v>471</v>
      </c>
      <c r="AW269" s="0" t="s">
        <v>286</v>
      </c>
      <c r="AX269" s="0" t="s">
        <v>683</v>
      </c>
      <c r="AY269" s="0" t="s">
        <v>1594</v>
      </c>
      <c r="AZ269" s="0" t="s">
        <v>1595</v>
      </c>
      <c r="BA269" s="0" t="s">
        <v>285</v>
      </c>
      <c r="BB269" s="0" t="str">
        <f t="shared" si="4"/>
        <v>CCCRNebOhaozara</v>
      </c>
    </row>
    <row r="270">
      <c r="E270" s="0" t="s">
        <v>729</v>
      </c>
      <c r="AV270" s="0" t="s">
        <v>471</v>
      </c>
      <c r="AW270" s="0" t="s">
        <v>286</v>
      </c>
      <c r="AX270" s="0" t="s">
        <v>683</v>
      </c>
      <c r="AY270" s="0" t="s">
        <v>1596</v>
      </c>
      <c r="AZ270" s="0" t="s">
        <v>1597</v>
      </c>
      <c r="BA270" s="0" t="s">
        <v>285</v>
      </c>
      <c r="BB270" s="0" t="str">
        <f t="shared" si="4"/>
        <v>CCCRNebOhaozara</v>
      </c>
    </row>
    <row r="271">
      <c r="E271" s="0" t="s">
        <v>582</v>
      </c>
      <c r="AV271" s="0" t="s">
        <v>471</v>
      </c>
      <c r="AW271" s="0" t="s">
        <v>286</v>
      </c>
      <c r="AX271" s="0" t="s">
        <v>683</v>
      </c>
      <c r="AY271" s="0" t="s">
        <v>1598</v>
      </c>
      <c r="AZ271" s="0" t="s">
        <v>1599</v>
      </c>
      <c r="BA271" s="0" t="s">
        <v>285</v>
      </c>
      <c r="BB271" s="0" t="str">
        <f t="shared" si="4"/>
        <v>CCCRNebOhaozara</v>
      </c>
    </row>
    <row r="272">
      <c r="E272" s="0" t="s">
        <v>762</v>
      </c>
      <c r="AV272" s="0" t="s">
        <v>471</v>
      </c>
      <c r="AW272" s="0" t="s">
        <v>286</v>
      </c>
      <c r="AX272" s="0" t="s">
        <v>683</v>
      </c>
      <c r="AY272" s="0" t="s">
        <v>1600</v>
      </c>
      <c r="AZ272" s="0" t="s">
        <v>1601</v>
      </c>
      <c r="BA272" s="0" t="s">
        <v>285</v>
      </c>
      <c r="BB272" s="0" t="str">
        <f t="shared" si="4"/>
        <v>CCCRNebOhaozara</v>
      </c>
    </row>
    <row r="273">
      <c r="E273" s="0" t="s">
        <v>794</v>
      </c>
      <c r="AV273" s="0" t="s">
        <v>471</v>
      </c>
      <c r="AW273" s="0" t="s">
        <v>286</v>
      </c>
      <c r="AX273" s="0" t="s">
        <v>718</v>
      </c>
      <c r="AY273" s="0" t="s">
        <v>289</v>
      </c>
      <c r="AZ273" s="0" t="s">
        <v>293</v>
      </c>
      <c r="BA273" s="0" t="s">
        <v>285</v>
      </c>
      <c r="BB273" s="0" t="str">
        <f t="shared" si="4"/>
        <v>CCCRNebOhaukwu</v>
      </c>
    </row>
    <row r="274">
      <c r="E274" s="0" t="s">
        <v>620</v>
      </c>
      <c r="AV274" s="0" t="s">
        <v>471</v>
      </c>
      <c r="AW274" s="0" t="s">
        <v>286</v>
      </c>
      <c r="AX274" s="0" t="s">
        <v>718</v>
      </c>
      <c r="AY274" s="0" t="s">
        <v>1602</v>
      </c>
      <c r="AZ274" s="0" t="s">
        <v>1603</v>
      </c>
      <c r="BA274" s="0" t="s">
        <v>285</v>
      </c>
      <c r="BB274" s="0" t="str">
        <f t="shared" si="4"/>
        <v>CCCRNebOhaukwu</v>
      </c>
    </row>
    <row r="275">
      <c r="E275" s="0" t="s">
        <v>823</v>
      </c>
      <c r="AV275" s="0" t="s">
        <v>471</v>
      </c>
      <c r="AW275" s="0" t="s">
        <v>286</v>
      </c>
      <c r="AX275" s="0" t="s">
        <v>718</v>
      </c>
      <c r="AY275" s="0" t="s">
        <v>1604</v>
      </c>
      <c r="AZ275" s="0" t="s">
        <v>1605</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