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<sst xmlns="http://schemas.openxmlformats.org/spreadsheetml/2006/main" count="4056" uniqueCount="4056">
  <si>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</si>
  <si>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</si>
  <si>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</si>
  <si>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</si>
  <si>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</si>
  <si>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</si>
  <si>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</si>
  <si>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</si>
  <si>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</si>
  <si>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</si>
  <si>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</si>
  <si>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</si>
  <si>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</si>
  <si>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</si>
  <si>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</si>
  <si>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</si>
  <si>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</si>
  <si>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</si>
  <si>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</si>
  <si>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</si>
  <si>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</si>
  <si>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</si>
  <si>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</si>
  <si>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</si>
  <si>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</si>
  <si>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</si>
  <si>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</si>
  <si>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</si>
  <si>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</si>
  <si>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</si>
  <si>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</si>
  <si>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</si>
  <si>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</si>
  <si>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</si>
  <si>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</si>
  <si>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</si>
  <si>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</si>
  <si>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</si>
  <si>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</si>
  <si>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</si>
  <si>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</si>
  <si>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</si>
  <si>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</si>
  <si>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</si>
  <si>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</si>
  <si>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</si>
  <si>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</si>
  <si>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</si>
  <si>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</si>
  <si>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</si>
  <si>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</si>
  <si>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</si>
  <si>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</si>
  <si>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</si>
  <si>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</si>
  <si>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</si>
  <si>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</si>
  <si>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</si>
  <si>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</si>
  <si>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</si>
  <si>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</si>
  <si>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</si>
  <si>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</si>
  <si>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</si>
  <si>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</si>
  <si>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</si>
  <si>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</si>
  <si>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</si>
  <si>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</si>
  <si>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</si>
  <si>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</si>
  <si>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</si>
  <si>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</si>
  <si>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</si>
  <si>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</si>
  <si>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</si>
  <si>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</si>
  <si>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</si>
  <si>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</si>
  <si>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</si>
  <si>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</si>
  <si>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</si>
  <si>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</si>
  <si>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</si>
  <si>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</si>
  <si>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</si>
  <si>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</si>
  <si>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</si>
  <si>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</si>
  <si>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</si>
  <si>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</si>
  <si>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</si>
  <si>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</si>
  <si>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</si>
  <si>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</si>
  <si>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</si>
  <si>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</si>
  <si>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</si>
  <si>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</si>
  <si>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</si>
  <si>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</si>
  <si>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</si>
  <si>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</si>
  <si>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</si>
  <si>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</si>
  <si>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</si>
  <si>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</si>
  <si>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</si>
  <si>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</si>
  <si>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</si>
  <si>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</si>
  <si>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</si>
  <si>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</si>
  <si>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</si>
  <si>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</si>
  <si>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</si>
  <si>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</si>
  <si>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</si>
  <si>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</si>
  <si>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</si>
  <si>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</si>
  <si>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</si>
  <si>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</si>
  <si>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</si>
  <si>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</si>
  <si>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</si>
  <si>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</si>
  <si>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</si>
  <si>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</si>
  <si>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</si>
  <si>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</si>
  <si>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</si>
  <si>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</si>
  <si>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</si>
  <si>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</si>
  <si>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</si>
  <si>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</si>
  <si>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</si>
  <si>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</si>
  <si>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</si>
  <si>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</si>
  <si>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</si>
  <si>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</si>
  <si>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</si>
  <si>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</si>
  <si>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</si>
  <si>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</si>
  <si>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</si>
  <si>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</si>
  <si>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</si>
  <si>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</si>
  <si>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</si>
  <si>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</si>
  <si>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</si>
  <si>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</si>
  <si>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</si>
  <si>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</si>
  <si>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</si>
  <si>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</si>
  <si>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</si>
  <si>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</si>
  <si>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</si>
  <si>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</si>
  <si>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</si>
  <si>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</si>
  <si>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</si>
  <si>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</si>
  <si>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</si>
  <si>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</si>
  <si>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</si>
  <si>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</si>
  <si>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</si>
  <si>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</si>
  <si>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</si>
  <si>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</si>
  <si>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</si>
  <si>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</si>
  <si>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</si>
  <si>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</si>
  <si>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</si>
  <si>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</si>
  <si>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</si>
  <si>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</si>
  <si>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</si>
  <si>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</si>
  <si>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</si>
  <si>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</si>
  <si>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</si>
  <si>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</si>
  <si>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</si>
  <si>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</si>
  <si>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</si>
  <si>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</si>
  <si>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</si>
  <si>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</si>
  <si>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</si>
  <si>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</si>
  <si>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</si>
  <si>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</si>
  <si>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</si>
  <si>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</si>
  <si>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</si>
  <si>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</si>
  <si>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</si>
  <si>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</si>
  <si>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</si>
  <si>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</si>
  <si>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</si>
  <si>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</si>
  <si>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</si>
  <si>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</si>
  <si>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</si>
  <si>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</si>
  <si>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</si>
  <si>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</si>
  <si>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</si>
  <si>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</si>
  <si>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</si>
  <si>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</si>
  <si>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</si>
  <si>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</si>
  <si>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</si>
  <si>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</si>
  <si>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</si>
  <si>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</si>
  <si>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</si>
  <si>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</si>
  <si>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</si>
  <si>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</si>
  <si>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</si>
  <si>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</si>
  <si>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</si>
  <si>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</si>
  <si>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</si>
  <si>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</si>
  <si>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</si>
  <si>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</si>
  <si>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</si>
  <si>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</si>
  <si>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</si>
  <si>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</si>
  <si>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</si>
  <si>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</si>
  <si>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</si>
  <si>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</si>
  <si>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</si>
  <si>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</si>
  <si>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</si>
  <si>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</si>
  <si>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</si>
  <si>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</si>
  <si>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</si>
  <si>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</si>
  <si>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</si>
  <si>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</si>
  <si>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</si>
  <si>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</si>
  <si>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</si>
  <si>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</si>
  <si>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</si>
  <si>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</si>
  <si>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</si>
  <si>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</si>
  <si>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</si>
  <si>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</si>
  <si>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</si>
  <si>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</si>
  <si>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</si>
  <si>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</si>
  <si>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</si>
  <si>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</si>
  <si>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</si>
  <si>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</si>
  <si>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</si>
  <si>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</si>
  <si>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</si>
  <si>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</si>
  <si>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</si>
  <si>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</si>
  <si>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</si>
  <si>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</si>
  <si>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</si>
  <si>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</si>
  <si>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</si>
  <si>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</si>
  <si>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</si>
  <si>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</si>
  <si>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Guma</t>
  </si>
  <si>
    <t>Facility Name:</t>
  </si>
  <si>
    <t>Nongu u Kristu ke Sudan hen Tiv (NKST) Comprehensive Health Center - Isherev</t>
  </si>
  <si>
    <t>Reporting Period:</t>
  </si>
  <si>
    <t>Q1(Oct - Dec)</t>
  </si>
  <si>
    <t>Facility Code:</t>
  </si>
  <si>
    <t>t5kQRj3Oqrp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</si>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</sst>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10</v>
      </c>
      <c r="G8" s="155">
        <f>ROUND(SUM('All Questions'!D31:D35)/5+G12,0)</f>
        <v>15</v>
      </c>
      <c r="H8" s="156">
        <f>ROUND(SUM('All Questions'!D37,'All Questions'!D40)/2+'All Questions'!D26+H12,0)</f>
        <v>32</v>
      </c>
      <c r="I8" s="157">
        <f>ROUND((SUM('All Questions'!E11:E14)/4)+I12,0)</f>
        <v>0</v>
      </c>
      <c r="J8" s="155">
        <f>ROUND(SUM('All Questions'!E15:E21)/7+J12,0)</f>
        <v>0</v>
      </c>
      <c r="K8" s="155">
        <f>ROUND(SUM('All Questions'!E23:E30)/4+K12,0)</f>
        <v>12</v>
      </c>
      <c r="L8" s="155">
        <f>ROUND(SUM('All Questions'!E31:E35)/5+L12,0)</f>
        <v>17</v>
      </c>
      <c r="M8" s="156">
        <f>ROUND(('All Questions'!E37+'All Questions'!E40)/2+'All Questions'!E26+M12,0)</f>
        <v>33</v>
      </c>
      <c r="N8" s="157">
        <f>ROUND((SUM('All Questions'!F11:F14)/4)+N12,0)</f>
        <v>0</v>
      </c>
      <c r="O8" s="155">
        <f>ROUND(SUM('All Questions'!F15:F21)/7+O12,0)</f>
        <v>0</v>
      </c>
      <c r="P8" s="155">
        <f>ROUND(SUM('All Questions'!F23:F30)/4+P12,0)</f>
        <v>6</v>
      </c>
      <c r="Q8" s="155">
        <f>ROUND(SUM('All Questions'!F31:F35)/5+Q12,0)</f>
        <v>10</v>
      </c>
      <c r="R8" s="156">
        <f>ROUND(('All Questions'!F37+'All Questions'!F40)/2+'All Questions'!F26+R12,0)</f>
        <v>17</v>
      </c>
      <c r="S8" s="141">
        <f>'All Questions'!F2</f>
        <v>0</v>
      </c>
      <c r="T8" s="142" t="e">
        <f>(AVERAGE(F8:H8)+AVERAGE(K8:M8)+AVERAGE(P8:R8))/S8</f>
        <v>#DIV/0!</v>
      </c>
      <c r="V8" s="309">
        <f>AVERAGE(F8:H8)+AVERAGE(K8:M8)+AVERAGE(P8:R8)</f>
        <v>50.666666666666671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v>
      </c>
      <c r="G10" s="159">
        <f>ROUND(SUM('All Questions'!D31:D35)/5,0)</f>
        <v>9</v>
      </c>
      <c r="H10" s="162">
        <f>ROUND(('All Questions'!D37+'All Questions'!D40)/2+'All Questions'!D26,0)</f>
        <v>26</v>
      </c>
      <c r="I10" s="163">
        <f>ROUND((SUM('All Questions'!E11:E14)/4),0)</f>
        <v>0</v>
      </c>
      <c r="J10" s="164">
        <f>ROUND(SUM('All Questions'!E15:E21)/7,0)</f>
        <v>0</v>
      </c>
      <c r="K10" s="164">
        <f>ROUND(SUM('All Questions'!E23:E30)/4,0)</f>
        <v>6</v>
      </c>
      <c r="L10" s="164">
        <f>ROUND(SUM('All Questions'!E31:E35)/5,0)</f>
        <v>10</v>
      </c>
      <c r="M10" s="165">
        <f>ROUND(('All Questions'!E37+'All Questions'!E40)/2+'All Questions'!E26,0)</f>
        <v>26</v>
      </c>
      <c r="N10" s="166">
        <f>ROUND((SUM('All Questions'!F11:F14)/4),0)</f>
        <v>0</v>
      </c>
      <c r="O10" s="164">
        <f>ROUND(SUM('All Questions'!F15:F21)/7,0)</f>
        <v>0</v>
      </c>
      <c r="P10" s="164">
        <f>ROUND(SUM('All Questions'!F23:F30)/4,0)</f>
        <v>3</v>
      </c>
      <c r="Q10" s="164">
        <f>ROUND(SUM('All Questions'!F31:F35)/5,0)</f>
        <v>5</v>
      </c>
      <c r="R10" s="165">
        <f>ROUND(('All Questions'!F37+'All Questions'!F40)/2+'All Questions'!F26,0)</f>
        <v>12</v>
      </c>
      <c r="S10" s="141">
        <f>'All Questions'!F4</f>
        <v>0</v>
      </c>
      <c r="T10" s="143" t="e">
        <f>(AVERAGE(F10:H10)+AVERAGE(K10:M10)+AVERAGE(P10:R10))/S10</f>
        <v>#DIV/0!</v>
      </c>
      <c r="V10" s="309">
        <f>AVERAGE(F10:H10)+AVERAGE(K10:M10)+AVERAGE(P10:R10)</f>
        <v>34.333333333333329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4</v>
      </c>
      <c r="G12" s="173">
        <f>ROUND(SUM('All Questions'!D73:D80)/4,0)</f>
        <v>6</v>
      </c>
      <c r="H12" s="174">
        <f>ROUND(SUM('All Questions'!D82:D83)/2,0)</f>
        <v>6</v>
      </c>
      <c r="I12" s="175">
        <f>ROUND(SUM('All Questions'!E54:E58)+'All Questions'!E71/4,0)</f>
        <v>0</v>
      </c>
      <c r="J12" s="176">
        <f>ROUND(SUM('All Questions'!E60:E63)/4,0)</f>
        <v>0</v>
      </c>
      <c r="K12" s="176">
        <f>ROUND(SUM('All Questions'!E67:E72)/3,0)</f>
        <v>5</v>
      </c>
      <c r="L12" s="176">
        <f>ROUND(SUM('All Questions'!E73:E80)/4,0)</f>
        <v>7</v>
      </c>
      <c r="M12" s="177">
        <f>ROUND(SUM('All Questions'!E82:E83)/2,0)</f>
        <v>7</v>
      </c>
      <c r="N12" s="178">
        <f>ROUND(SUM('All Questions'!F54:F58)+'All Questions'!F71/4,0)</f>
        <v>0</v>
      </c>
      <c r="O12" s="176">
        <f>ROUND(SUM('All Questions'!F60:F63)/4,0)</f>
        <v>0</v>
      </c>
      <c r="P12" s="176">
        <f>ROUND(SUM('All Questions'!F67:F72)/3,0)</f>
        <v>3</v>
      </c>
      <c r="Q12" s="176">
        <f>ROUND(SUM('All Questions'!F73:F80)/4,0)</f>
        <v>5</v>
      </c>
      <c r="R12" s="177">
        <f>ROUND(SUM('All Questions'!F82:F83)/2,0)</f>
        <v>5</v>
      </c>
      <c r="S12" s="145">
        <f>'All Questions'!F46</f>
        <v>0</v>
      </c>
      <c r="T12" s="146" t="e">
        <f ref="T12:T15" t="shared" si="1">(AVERAGE(F12:H12)+AVERAGE(K12:M12)+AVERAGE(P12:R12))/S12</f>
        <v>#DIV/0!</v>
      </c>
      <c r="V12" s="309">
        <f>AVERAGE(F12:H12)+AVERAGE(K12:M12)+AVERAGE(P12:R12)</f>
        <v>16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99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20</v>
      </c>
      <c r="E10" s="301">
        <v>20</v>
      </c>
      <c r="F10" s="301">
        <v>12</v>
      </c>
      <c r="G10" s="207" t="s">
        <v>67</v>
      </c>
    </row>
    <row r="11" hidden="1" ht="45" customHeight="1">
      <c r="A11" s="226"/>
      <c r="B11" s="238">
        <v>1114</v>
      </c>
      <c r="C11" s="243" t="s">
        <v>84</v>
      </c>
      <c r="D11" s="301">
        <v>20</v>
      </c>
      <c r="E11" s="301">
        <v>20</v>
      </c>
      <c r="F11" s="301">
        <v>12</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22</v>
      </c>
      <c r="E25" s="301">
        <v>21</v>
      </c>
      <c r="F25" s="301">
        <v>12</v>
      </c>
      <c r="G25" s="207" t="s">
        <v>67</v>
      </c>
    </row>
    <row r="26" hidden="1" ht="45" customHeight="1">
      <c r="A26" s="226"/>
      <c r="B26" s="238">
        <v>1134</v>
      </c>
      <c r="C26" s="242" t="s">
        <v>99</v>
      </c>
      <c r="D26" s="301">
        <v>4</v>
      </c>
      <c r="E26" s="301">
        <v>5</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26</v>
      </c>
      <c r="E33" s="301">
        <v>26</v>
      </c>
      <c r="F33" s="301">
        <v>12</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20</v>
      </c>
      <c r="E35" s="301">
        <v>25</v>
      </c>
      <c r="F35" s="301">
        <v>12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22</v>
      </c>
      <c r="E37" s="301">
        <v>21</v>
      </c>
      <c r="F37" s="301">
        <v>12</v>
      </c>
      <c r="G37" s="207" t="s">
        <v>67</v>
      </c>
    </row>
    <row r="38" hidden="1" ht="45" customHeight="1">
      <c r="A38" s="226"/>
      <c r="B38" s="238">
        <v>1153</v>
      </c>
      <c r="C38" s="242" t="s">
        <v>111</v>
      </c>
      <c r="D38" s="301">
        <v>16</v>
      </c>
      <c r="E38" s="301">
        <v>21</v>
      </c>
      <c r="F38" s="301">
        <v>12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22</v>
      </c>
      <c r="E40" s="301">
        <v>21</v>
      </c>
      <c r="F40" s="301">
        <v>12</v>
      </c>
      <c r="G40" s="207" t="s">
        <v>67</v>
      </c>
    </row>
    <row r="41" hidden="1" ht="45" customHeight="1">
      <c r="A41" s="226"/>
      <c r="B41" s="238">
        <v>1156</v>
      </c>
      <c r="C41" s="242" t="s">
        <v>113</v>
      </c>
      <c r="D41" s="301">
        <v>16</v>
      </c>
      <c r="E41" s="301">
        <v>21</v>
      </c>
      <c r="F41" s="301">
        <v>12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22</v>
      </c>
      <c r="E43" s="301">
        <v>21</v>
      </c>
      <c r="F43" s="301">
        <v>12</v>
      </c>
      <c r="G43" s="207" t="s">
        <v>67</v>
      </c>
    </row>
    <row r="44" hidden="1" ht="45" customHeight="1" s="250" customFormat="1">
      <c r="A44" s="226"/>
      <c r="B44" s="238">
        <v>1159</v>
      </c>
      <c r="C44" s="242" t="s">
        <v>116</v>
      </c>
      <c r="D44" s="301">
        <v>16</v>
      </c>
      <c r="E44" s="301">
        <v>21</v>
      </c>
      <c r="F44" s="301">
        <v>12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21</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6</v>
      </c>
      <c r="E53" s="301">
        <v>7</v>
      </c>
      <c r="F53" s="301">
        <v>5</v>
      </c>
      <c r="G53" s="207" t="s">
        <v>117</v>
      </c>
    </row>
    <row r="54" hidden="1" ht="45" customHeight="1">
      <c r="A54" s="226"/>
      <c r="B54" s="238">
        <v>1214</v>
      </c>
      <c r="C54" s="264" t="s">
        <v>132</v>
      </c>
      <c r="D54" s="301">
        <v>6</v>
      </c>
      <c r="E54" s="301">
        <v>7</v>
      </c>
      <c r="F54" s="301">
        <v>5</v>
      </c>
      <c r="G54" s="207" t="s">
        <v>117</v>
      </c>
    </row>
    <row r="55" hidden="1" ht="45" customHeight="1">
      <c r="A55" s="226"/>
      <c r="B55" s="238">
        <v>1215</v>
      </c>
      <c r="C55" s="242" t="s">
        <v>133</v>
      </c>
      <c r="D55" s="301">
        <v>6</v>
      </c>
      <c r="E55" s="301">
        <v>7</v>
      </c>
      <c r="F55" s="301">
        <v>5</v>
      </c>
      <c r="G55" s="207" t="s">
        <v>117</v>
      </c>
    </row>
    <row r="56" hidden="1" ht="45" customHeight="1">
      <c r="A56" s="226"/>
      <c r="B56" s="238">
        <v>1216</v>
      </c>
      <c r="C56" s="243" t="s">
        <v>134</v>
      </c>
      <c r="D56" s="301">
        <v>6</v>
      </c>
      <c r="E56" s="301">
        <v>7</v>
      </c>
      <c r="F56" s="301">
        <v>5</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6</v>
      </c>
      <c r="E59" s="301">
        <v>7</v>
      </c>
      <c r="F59" s="301">
        <v>5</v>
      </c>
      <c r="G59" s="207" t="s">
        <v>117</v>
      </c>
    </row>
    <row r="60" hidden="1" ht="45" customHeight="1">
      <c r="A60" s="226"/>
      <c r="B60" s="238">
        <v>1222</v>
      </c>
      <c r="C60" s="264" t="s">
        <v>138</v>
      </c>
      <c r="D60" s="301">
        <v>6</v>
      </c>
      <c r="E60" s="301">
        <v>7</v>
      </c>
      <c r="F60" s="301">
        <v>5</v>
      </c>
      <c r="G60" s="207" t="s">
        <v>117</v>
      </c>
    </row>
    <row r="61" hidden="1" ht="45" customHeight="1">
      <c r="A61" s="226"/>
      <c r="B61" s="238">
        <v>1223</v>
      </c>
      <c r="C61" s="264" t="s">
        <v>139</v>
      </c>
      <c r="D61" s="301">
        <v>6</v>
      </c>
      <c r="E61" s="301">
        <v>7</v>
      </c>
      <c r="F61" s="301">
        <v>5</v>
      </c>
      <c r="G61" s="207" t="s">
        <v>117</v>
      </c>
    </row>
    <row r="62" hidden="1" ht="54.65" customHeight="1">
      <c r="A62" s="226"/>
      <c r="B62" s="238">
        <v>1224</v>
      </c>
      <c r="C62" s="264" t="s">
        <v>140</v>
      </c>
      <c r="D62" s="301">
        <v>6</v>
      </c>
      <c r="E62" s="301">
        <v>7</v>
      </c>
      <c r="F62" s="301">
        <v>5</v>
      </c>
      <c r="G62" s="207" t="s">
        <v>117</v>
      </c>
    </row>
    <row r="63" hidden="1" ht="66.65" customHeight="1">
      <c r="A63" s="226"/>
      <c r="B63" s="238">
        <v>1225</v>
      </c>
      <c r="C63" s="264" t="s">
        <v>141</v>
      </c>
      <c r="D63" s="301">
        <v>6</v>
      </c>
      <c r="E63" s="301">
        <v>7</v>
      </c>
      <c r="F63" s="301">
        <v>5</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6</v>
      </c>
      <c r="E67" s="301">
        <v>7</v>
      </c>
      <c r="F67" s="301">
        <v>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6</v>
      </c>
      <c r="E71" s="301">
        <v>7</v>
      </c>
      <c r="F71" s="301">
        <v>5</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6</v>
      </c>
      <c r="E73" s="301">
        <v>7</v>
      </c>
      <c r="F73" s="301">
        <v>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6</v>
      </c>
      <c r="E75" s="301">
        <v>7</v>
      </c>
      <c r="F75" s="301">
        <v>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6</v>
      </c>
      <c r="E77" s="301">
        <v>7</v>
      </c>
      <c r="F77" s="301">
        <v>5</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6</v>
      </c>
      <c r="E79" s="301">
        <v>7</v>
      </c>
      <c r="F79" s="301">
        <v>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6</v>
      </c>
      <c r="E82" s="301">
        <v>7</v>
      </c>
      <c r="F82" s="301">
        <v>5</v>
      </c>
      <c r="G82" s="207" t="s">
        <v>117</v>
      </c>
    </row>
    <row r="83" hidden="1" ht="45" customHeight="1">
      <c r="A83" s="226"/>
      <c r="B83" s="238">
        <v>1253</v>
      </c>
      <c r="C83" s="242" t="s">
        <v>161</v>
      </c>
      <c r="D83" s="301">
        <v>6</v>
      </c>
      <c r="E83" s="301">
        <v>7</v>
      </c>
      <c r="F83" s="301">
        <v>5</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289</v>
      </c>
      <c r="AZ427" s="0" t="s">
        <v>293</v>
      </c>
      <c r="BA427" s="0" t="s">
        <v>285</v>
      </c>
      <c r="BB427" s="0" t="str">
        <f t="shared" si="6"/>
        <v>CCFNbeGuma</v>
      </c>
    </row>
    <row r="428">
      <c r="AV428" s="0" t="s">
        <v>471</v>
      </c>
      <c r="AW428" s="0" t="s">
        <v>286</v>
      </c>
      <c r="AX428" s="0" t="s">
        <v>564</v>
      </c>
      <c r="AY428" s="0" t="s">
        <v>1910</v>
      </c>
      <c r="AZ428" s="0" t="s">
        <v>1911</v>
      </c>
      <c r="BA428" s="0" t="s">
        <v>285</v>
      </c>
      <c r="BB428" s="0" t="str">
        <f t="shared" si="6"/>
        <v>CCFNbeGuma</v>
      </c>
    </row>
    <row r="429">
      <c r="AV429" s="0" t="s">
        <v>471</v>
      </c>
      <c r="AW429" s="0" t="s">
        <v>286</v>
      </c>
      <c r="AX429" s="0" t="s">
        <v>602</v>
      </c>
      <c r="AY429" s="0" t="s">
        <v>1912</v>
      </c>
      <c r="AZ429" s="0" t="s">
        <v>1913</v>
      </c>
      <c r="BA429" s="0" t="s">
        <v>285</v>
      </c>
      <c r="BB429" s="0" t="str">
        <f t="shared" si="6"/>
        <v>CCFNbeGwerEast</v>
      </c>
    </row>
    <row r="430">
      <c r="AV430" s="0" t="s">
        <v>471</v>
      </c>
      <c r="AW430" s="0" t="s">
        <v>286</v>
      </c>
      <c r="AX430" s="0" t="s">
        <v>641</v>
      </c>
      <c r="AY430" s="0" t="s">
        <v>1914</v>
      </c>
      <c r="AZ430" s="0" t="s">
        <v>1915</v>
      </c>
      <c r="BA430" s="0" t="s">
        <v>285</v>
      </c>
      <c r="BB430" s="0" t="str">
        <f t="shared" si="6"/>
        <v>CCFNbeGwerWest</v>
      </c>
    </row>
    <row r="431">
      <c r="AV431" s="0" t="s">
        <v>471</v>
      </c>
      <c r="AW431" s="0" t="s">
        <v>286</v>
      </c>
      <c r="AX431" s="0" t="s">
        <v>641</v>
      </c>
      <c r="AY431" s="0" t="s">
        <v>1916</v>
      </c>
      <c r="AZ431" s="0" t="s">
        <v>1917</v>
      </c>
      <c r="BA431" s="0" t="s">
        <v>285</v>
      </c>
      <c r="BB431" s="0" t="str">
        <f t="shared" si="6"/>
        <v>CCFNbeGwerWest</v>
      </c>
    </row>
    <row r="432">
      <c r="AV432" s="0" t="s">
        <v>471</v>
      </c>
      <c r="AW432" s="0" t="s">
        <v>286</v>
      </c>
      <c r="AX432" s="0" t="s">
        <v>641</v>
      </c>
      <c r="AY432" s="0" t="s">
        <v>1918</v>
      </c>
      <c r="AZ432" s="0" t="s">
        <v>1919</v>
      </c>
      <c r="BA432" s="0" t="s">
        <v>285</v>
      </c>
      <c r="BB432" s="0" t="str">
        <f t="shared" si="6"/>
        <v>CCFNbeGwerWest</v>
      </c>
    </row>
    <row r="433">
      <c r="AV433" s="0" t="s">
        <v>471</v>
      </c>
      <c r="AW433" s="0" t="s">
        <v>286</v>
      </c>
      <c r="AX433" s="0" t="s">
        <v>679</v>
      </c>
      <c r="AY433" s="0" t="s">
        <v>1920</v>
      </c>
      <c r="AZ433" s="0" t="s">
        <v>1921</v>
      </c>
      <c r="BA433" s="0" t="s">
        <v>285</v>
      </c>
      <c r="BB433" s="0" t="str">
        <f t="shared" si="6"/>
        <v>CCFNbeKatsinaAla</v>
      </c>
    </row>
    <row r="434">
      <c r="AV434" s="0" t="s">
        <v>471</v>
      </c>
      <c r="AW434" s="0" t="s">
        <v>286</v>
      </c>
      <c r="AX434" s="0" t="s">
        <v>679</v>
      </c>
      <c r="AY434" s="0" t="s">
        <v>1922</v>
      </c>
      <c r="AZ434" s="0" t="s">
        <v>1923</v>
      </c>
      <c r="BA434" s="0" t="s">
        <v>285</v>
      </c>
      <c r="BB434" s="0" t="str">
        <f t="shared" si="6"/>
        <v>CCFNbeKatsinaAla</v>
      </c>
    </row>
    <row r="435">
      <c r="AV435" s="0" t="s">
        <v>471</v>
      </c>
      <c r="AW435" s="0" t="s">
        <v>286</v>
      </c>
      <c r="AX435" s="0" t="s">
        <v>679</v>
      </c>
      <c r="AY435" s="0" t="s">
        <v>1924</v>
      </c>
      <c r="AZ435" s="0" t="s">
        <v>1925</v>
      </c>
      <c r="BA435" s="0" t="s">
        <v>285</v>
      </c>
      <c r="BB435" s="0" t="str">
        <f t="shared" si="6"/>
        <v>CCFNbeKatsinaAla</v>
      </c>
    </row>
    <row r="436">
      <c r="AV436" s="0" t="s">
        <v>471</v>
      </c>
      <c r="AW436" s="0" t="s">
        <v>286</v>
      </c>
      <c r="AX436" s="0" t="s">
        <v>679</v>
      </c>
      <c r="AY436" s="0" t="s">
        <v>1926</v>
      </c>
      <c r="AZ436" s="0" t="s">
        <v>1927</v>
      </c>
      <c r="BA436" s="0" t="s">
        <v>285</v>
      </c>
      <c r="BB436" s="0" t="str">
        <f t="shared" si="6"/>
        <v>CCFNbeKatsinaAla</v>
      </c>
    </row>
    <row r="437">
      <c r="AV437" s="0" t="s">
        <v>471</v>
      </c>
      <c r="AW437" s="0" t="s">
        <v>286</v>
      </c>
      <c r="AX437" s="0" t="s">
        <v>715</v>
      </c>
      <c r="AY437" s="0" t="s">
        <v>1928</v>
      </c>
      <c r="AZ437" s="0" t="s">
        <v>1929</v>
      </c>
      <c r="BA437" s="0" t="s">
        <v>285</v>
      </c>
      <c r="BB437" s="0" t="str">
        <f t="shared" si="6"/>
        <v>CCFNbeKonshisha</v>
      </c>
    </row>
    <row r="438">
      <c r="AV438" s="0" t="s">
        <v>471</v>
      </c>
      <c r="AW438" s="0" t="s">
        <v>286</v>
      </c>
      <c r="AX438" s="0" t="s">
        <v>715</v>
      </c>
      <c r="AY438" s="0" t="s">
        <v>1930</v>
      </c>
      <c r="AZ438" s="0" t="s">
        <v>1931</v>
      </c>
      <c r="BA438" s="0" t="s">
        <v>285</v>
      </c>
      <c r="BB438" s="0" t="str">
        <f t="shared" si="6"/>
        <v>CCFNbeKonshisha</v>
      </c>
    </row>
    <row r="439">
      <c r="AV439" s="0" t="s">
        <v>471</v>
      </c>
      <c r="AW439" s="0" t="s">
        <v>286</v>
      </c>
      <c r="AX439" s="0" t="s">
        <v>715</v>
      </c>
      <c r="AY439" s="0" t="s">
        <v>1932</v>
      </c>
      <c r="AZ439" s="0" t="s">
        <v>1933</v>
      </c>
      <c r="BA439" s="0" t="s">
        <v>285</v>
      </c>
      <c r="BB439" s="0" t="str">
        <f t="shared" si="6"/>
        <v>CCFNbeKonshisha</v>
      </c>
    </row>
    <row r="440">
      <c r="AV440" s="0" t="s">
        <v>471</v>
      </c>
      <c r="AW440" s="0" t="s">
        <v>286</v>
      </c>
      <c r="AX440" s="0" t="s">
        <v>715</v>
      </c>
      <c r="AY440" s="0" t="s">
        <v>1934</v>
      </c>
      <c r="AZ440" s="0" t="s">
        <v>1935</v>
      </c>
      <c r="BA440" s="0" t="s">
        <v>285</v>
      </c>
      <c r="BB440" s="0" t="str">
        <f t="shared" si="6"/>
        <v>CCFNbeKonshisha</v>
      </c>
    </row>
    <row r="441">
      <c r="AV441" s="0" t="s">
        <v>471</v>
      </c>
      <c r="AW441" s="0" t="s">
        <v>286</v>
      </c>
      <c r="AX441" s="0" t="s">
        <v>715</v>
      </c>
      <c r="AY441" s="0" t="s">
        <v>1936</v>
      </c>
      <c r="AZ441" s="0" t="s">
        <v>1937</v>
      </c>
      <c r="BA441" s="0" t="s">
        <v>285</v>
      </c>
      <c r="BB441" s="0" t="str">
        <f t="shared" si="6"/>
        <v>CCFNbeKonshisha</v>
      </c>
    </row>
    <row r="442">
      <c r="AV442" s="0" t="s">
        <v>471</v>
      </c>
      <c r="AW442" s="0" t="s">
        <v>286</v>
      </c>
      <c r="AX442" s="0" t="s">
        <v>748</v>
      </c>
      <c r="AY442" s="0" t="s">
        <v>1938</v>
      </c>
      <c r="AZ442" s="0" t="s">
        <v>1939</v>
      </c>
      <c r="BA442" s="0" t="s">
        <v>285</v>
      </c>
      <c r="BB442" s="0" t="str">
        <f t="shared" si="6"/>
        <v>CCFNbeKwande</v>
      </c>
    </row>
    <row r="443">
      <c r="AV443" s="0" t="s">
        <v>471</v>
      </c>
      <c r="AW443" s="0" t="s">
        <v>286</v>
      </c>
      <c r="AX443" s="0" t="s">
        <v>748</v>
      </c>
      <c r="AY443" s="0" t="s">
        <v>1940</v>
      </c>
      <c r="AZ443" s="0" t="s">
        <v>1941</v>
      </c>
      <c r="BA443" s="0" t="s">
        <v>285</v>
      </c>
      <c r="BB443" s="0" t="str">
        <f t="shared" si="6"/>
        <v>CCFNbeKwande</v>
      </c>
    </row>
    <row r="444">
      <c r="AV444" s="0" t="s">
        <v>471</v>
      </c>
      <c r="AW444" s="0" t="s">
        <v>286</v>
      </c>
      <c r="AX444" s="0" t="s">
        <v>748</v>
      </c>
      <c r="AY444" s="0" t="s">
        <v>1942</v>
      </c>
      <c r="AZ444" s="0" t="s">
        <v>1943</v>
      </c>
      <c r="BA444" s="0" t="s">
        <v>285</v>
      </c>
      <c r="BB444" s="0" t="str">
        <f t="shared" si="6"/>
        <v>CCFNbeKwande</v>
      </c>
    </row>
    <row r="445">
      <c r="AV445" s="0" t="s">
        <v>471</v>
      </c>
      <c r="AW445" s="0" t="s">
        <v>286</v>
      </c>
      <c r="AX445" s="0" t="s">
        <v>748</v>
      </c>
      <c r="AY445" s="0" t="s">
        <v>1944</v>
      </c>
      <c r="AZ445" s="0" t="s">
        <v>1945</v>
      </c>
      <c r="BA445" s="0" t="s">
        <v>285</v>
      </c>
      <c r="BB445" s="0" t="str">
        <f t="shared" si="6"/>
        <v>CCFNbeKwande</v>
      </c>
    </row>
    <row r="446">
      <c r="AV446" s="0" t="s">
        <v>471</v>
      </c>
      <c r="AW446" s="0" t="s">
        <v>286</v>
      </c>
      <c r="AX446" s="0" t="s">
        <v>780</v>
      </c>
      <c r="AY446" s="0" t="s">
        <v>1946</v>
      </c>
      <c r="AZ446" s="0" t="s">
        <v>1947</v>
      </c>
      <c r="BA446" s="0" t="s">
        <v>285</v>
      </c>
      <c r="BB446" s="0" t="str">
        <f t="shared" si="6"/>
        <v>CCFNbeLogo</v>
      </c>
    </row>
    <row r="447">
      <c r="AV447" s="0" t="s">
        <v>471</v>
      </c>
      <c r="AW447" s="0" t="s">
        <v>286</v>
      </c>
      <c r="AX447" s="0" t="s">
        <v>780</v>
      </c>
      <c r="AY447" s="0" t="s">
        <v>1948</v>
      </c>
      <c r="AZ447" s="0" t="s">
        <v>1949</v>
      </c>
      <c r="BA447" s="0" t="s">
        <v>285</v>
      </c>
      <c r="BB447" s="0" t="str">
        <f t="shared" si="6"/>
        <v>CCFNbeLogo</v>
      </c>
    </row>
    <row r="448">
      <c r="AV448" s="0" t="s">
        <v>471</v>
      </c>
      <c r="AW448" s="0" t="s">
        <v>286</v>
      </c>
      <c r="AX448" s="0" t="s">
        <v>810</v>
      </c>
      <c r="AY448" s="0" t="s">
        <v>1950</v>
      </c>
      <c r="AZ448" s="0" t="s">
        <v>1951</v>
      </c>
      <c r="BA448" s="0" t="s">
        <v>285</v>
      </c>
      <c r="BB448" s="0" t="str">
        <f t="shared" si="6"/>
        <v>CCFNbeMakurdi</v>
      </c>
    </row>
    <row r="449">
      <c r="AV449" s="0" t="s">
        <v>471</v>
      </c>
      <c r="AW449" s="0" t="s">
        <v>286</v>
      </c>
      <c r="AX449" s="0" t="s">
        <v>839</v>
      </c>
      <c r="AY449" s="0" t="s">
        <v>1952</v>
      </c>
      <c r="AZ449" s="0" t="s">
        <v>1953</v>
      </c>
      <c r="BA449" s="0" t="s">
        <v>285</v>
      </c>
      <c r="BB449" s="0" t="str">
        <f t="shared" si="6"/>
        <v>CCFNbeOkpokwu</v>
      </c>
    </row>
    <row r="450">
      <c r="AV450" s="0" t="s">
        <v>471</v>
      </c>
      <c r="AW450" s="0" t="s">
        <v>286</v>
      </c>
      <c r="AX450" s="0" t="s">
        <v>839</v>
      </c>
      <c r="AY450" s="0" t="s">
        <v>1954</v>
      </c>
      <c r="AZ450" s="0" t="s">
        <v>1955</v>
      </c>
      <c r="BA450" s="0" t="s">
        <v>285</v>
      </c>
      <c r="BB450" s="0" t="str">
        <f t="shared" si="6"/>
        <v>CCFNbeOkpokwu</v>
      </c>
    </row>
    <row r="451">
      <c r="AV451" s="0" t="s">
        <v>471</v>
      </c>
      <c r="AW451" s="0" t="s">
        <v>286</v>
      </c>
      <c r="AX451" s="0" t="s">
        <v>839</v>
      </c>
      <c r="AY451" s="0" t="s">
        <v>1956</v>
      </c>
      <c r="AZ451" s="0" t="s">
        <v>1957</v>
      </c>
      <c r="BA451" s="0" t="s">
        <v>285</v>
      </c>
      <c r="BB451" s="0" t="str">
        <f ref="BB451:BB514" t="shared" si="7">SUBSTITUTE(SUBSTITUTE(BA451&amp;AX451," ",""),"-","")</f>
        <v>CCFNbeOkpokwu</v>
      </c>
    </row>
    <row r="452">
      <c r="AV452" s="0" t="s">
        <v>471</v>
      </c>
      <c r="AW452" s="0" t="s">
        <v>286</v>
      </c>
      <c r="AX452" s="0" t="s">
        <v>867</v>
      </c>
      <c r="AY452" s="0" t="s">
        <v>1958</v>
      </c>
      <c r="AZ452" s="0" t="s">
        <v>1959</v>
      </c>
      <c r="BA452" s="0" t="s">
        <v>285</v>
      </c>
      <c r="BB452" s="0" t="str">
        <f t="shared" si="7"/>
        <v>CCFNbeOtukpo</v>
      </c>
    </row>
    <row r="453">
      <c r="AV453" s="0" t="s">
        <v>471</v>
      </c>
      <c r="AW453" s="0" t="s">
        <v>286</v>
      </c>
      <c r="AX453" s="0" t="s">
        <v>867</v>
      </c>
      <c r="AY453" s="0" t="s">
        <v>1960</v>
      </c>
      <c r="AZ453" s="0" t="s">
        <v>1961</v>
      </c>
      <c r="BA453" s="0" t="s">
        <v>285</v>
      </c>
      <c r="BB453" s="0" t="str">
        <f t="shared" si="7"/>
        <v>CCFNbeOtukpo</v>
      </c>
    </row>
    <row r="454">
      <c r="AV454" s="0" t="s">
        <v>471</v>
      </c>
      <c r="AW454" s="0" t="s">
        <v>286</v>
      </c>
      <c r="AX454" s="0" t="s">
        <v>867</v>
      </c>
      <c r="AY454" s="0" t="s">
        <v>1962</v>
      </c>
      <c r="AZ454" s="0" t="s">
        <v>1963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