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<sst xmlns="http://schemas.openxmlformats.org/spreadsheetml/2006/main" count="4056" uniqueCount="4056">
  <si>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</si>
  <si>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</si>
  <si>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</si>
  <si>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</si>
  <si>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</si>
  <si>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</si>
  <si>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</si>
  <si>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</si>
  <si>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</si>
  <si>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</si>
  <si>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</si>
  <si>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</si>
  <si>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</si>
  <si>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</si>
  <si>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</si>
  <si>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</si>
  <si>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</si>
  <si>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</si>
  <si>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</si>
  <si>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</si>
  <si>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</si>
  <si>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</si>
  <si>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</si>
  <si>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</si>
  <si>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</si>
  <si>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</si>
  <si>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</si>
  <si>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</si>
  <si>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</si>
  <si>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</si>
  <si>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</si>
  <si>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</si>
  <si>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</si>
  <si>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</si>
  <si>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</si>
  <si>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</si>
  <si>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</si>
  <si>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</si>
  <si>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</si>
  <si>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</si>
  <si>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</si>
  <si>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</si>
  <si>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</si>
  <si>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</si>
  <si>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</si>
  <si>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</si>
  <si>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</si>
  <si>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</si>
  <si>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</si>
  <si>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</si>
  <si>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</si>
  <si>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</si>
  <si>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</si>
  <si>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</si>
  <si>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</si>
  <si>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</si>
  <si>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</si>
  <si>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</si>
  <si>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</si>
  <si>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</si>
  <si>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</si>
  <si>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</si>
  <si>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</si>
  <si>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</si>
  <si>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</si>
  <si>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</si>
  <si>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</si>
  <si>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</si>
  <si>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</si>
  <si>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</si>
  <si>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</si>
  <si>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</si>
  <si>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</si>
  <si>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</si>
  <si>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</si>
  <si>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</si>
  <si>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</si>
  <si>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</si>
  <si>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</si>
  <si>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</si>
  <si>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</si>
  <si>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</si>
  <si>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</si>
  <si>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</si>
  <si>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</si>
  <si>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</si>
  <si>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</si>
  <si>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</si>
  <si>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</si>
  <si>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</si>
  <si>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</si>
  <si>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</si>
  <si>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</si>
  <si>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</si>
  <si>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</si>
  <si>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</si>
  <si>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</si>
  <si>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</si>
  <si>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</si>
  <si>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</si>
  <si>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</si>
  <si>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</si>
  <si>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</si>
  <si>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</si>
  <si>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</si>
  <si>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</si>
  <si>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</si>
  <si>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</si>
  <si>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</si>
  <si>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</si>
  <si>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</si>
  <si>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</si>
  <si>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</si>
  <si>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</si>
  <si>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</si>
  <si>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</si>
  <si>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</si>
  <si>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</si>
  <si>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</si>
  <si>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</si>
  <si>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</si>
  <si>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</si>
  <si>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</si>
  <si>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</si>
  <si>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</si>
  <si>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</si>
  <si>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</si>
  <si>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</si>
  <si>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</si>
  <si>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</si>
  <si>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</si>
  <si>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</si>
  <si>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</si>
  <si>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</si>
  <si>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</si>
  <si>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</si>
  <si>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</si>
  <si>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</si>
  <si>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</si>
  <si>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</si>
  <si>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</si>
  <si>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</si>
  <si>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</si>
  <si>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</si>
  <si>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</si>
  <si>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</si>
  <si>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</si>
  <si>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</si>
  <si>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</si>
  <si>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</si>
  <si>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</si>
  <si>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</si>
  <si>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</si>
  <si>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</si>
  <si>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</si>
  <si>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</si>
  <si>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</si>
  <si>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</si>
  <si>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</si>
  <si>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</si>
  <si>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</si>
  <si>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</si>
  <si>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</si>
  <si>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</si>
  <si>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</si>
  <si>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</si>
  <si>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</si>
  <si>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</si>
  <si>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</si>
  <si>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</si>
  <si>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</si>
  <si>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</si>
  <si>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</si>
  <si>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</si>
  <si>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</si>
  <si>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</si>
  <si>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</si>
  <si>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</si>
  <si>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</si>
  <si>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</si>
  <si>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</si>
  <si>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</si>
  <si>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</si>
  <si>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</si>
  <si>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</si>
  <si>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</si>
  <si>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</si>
  <si>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</si>
  <si>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</si>
  <si>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</si>
  <si>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</si>
  <si>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</si>
  <si>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</si>
  <si>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</si>
  <si>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</si>
  <si>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</si>
  <si>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</si>
  <si>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</si>
  <si>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</si>
  <si>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</si>
  <si>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</si>
  <si>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</si>
  <si>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</si>
  <si>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</si>
  <si>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</si>
  <si>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</si>
  <si>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</si>
  <si>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</si>
  <si>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</si>
  <si>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</si>
  <si>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</si>
  <si>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</si>
  <si>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</si>
  <si>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</si>
  <si>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</si>
  <si>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</si>
  <si>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</si>
  <si>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</si>
  <si>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</si>
  <si>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</si>
  <si>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</si>
  <si>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</si>
  <si>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</si>
  <si>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</si>
  <si>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</si>
  <si>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</si>
  <si>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</si>
  <si>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</si>
  <si>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</si>
  <si>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</si>
  <si>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</si>
  <si>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</si>
  <si>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</si>
  <si>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</si>
  <si>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</si>
  <si>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</si>
  <si>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</si>
  <si>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</si>
  <si>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</si>
  <si>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</si>
  <si>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</si>
  <si>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</si>
  <si>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</si>
  <si>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</si>
  <si>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</si>
  <si>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</si>
  <si>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</si>
  <si>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</si>
  <si>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</si>
  <si>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</si>
  <si>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</si>
  <si>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</si>
  <si>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</si>
  <si>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</si>
  <si>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</si>
  <si>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</si>
  <si>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</si>
  <si>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</si>
  <si>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</si>
  <si>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</si>
  <si>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</si>
  <si>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</si>
  <si>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</si>
  <si>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</si>
  <si>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</si>
  <si>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</si>
  <si>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</si>
  <si>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</si>
  <si>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</si>
  <si>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</si>
  <si>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</si>
  <si>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</si>
  <si>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</si>
  <si>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</si>
  <si>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</si>
  <si>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</si>
  <si>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</si>
  <si>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</si>
  <si>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</si>
  <si>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</si>
  <si>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</si>
  <si>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</si>
  <si>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</si>
  <si>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</si>
  <si>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</si>
  <si>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</si>
  <si>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</si>
  <si>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North</t>
  </si>
  <si>
    <t>Facility Name:</t>
  </si>
  <si>
    <t>Akwakuma Health Center</t>
  </si>
  <si>
    <t>Reporting Period:</t>
  </si>
  <si>
    <t>Q1(Oct - Dec)</t>
  </si>
  <si>
    <t>Facility Code:</t>
  </si>
  <si>
    <t>iNAUwryamCV</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</si>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</sst>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293</v>
      </c>
      <c r="G8" s="155">
        <f>ROUND(SUM('All Questions'!D31:D35)/5+G12,0)</f>
        <v>173</v>
      </c>
      <c r="H8" s="156">
        <f>ROUND(SUM('All Questions'!D37,'All Questions'!D40)/2+'All Questions'!D26+H12,0)</f>
        <v>360</v>
      </c>
      <c r="I8" s="157">
        <f>ROUND((SUM('All Questions'!E11:E14)/4)+I12,0)</f>
        <v>0</v>
      </c>
      <c r="J8" s="155">
        <f>ROUND(SUM('All Questions'!E15:E21)/7+J12,0)</f>
        <v>0</v>
      </c>
      <c r="K8" s="155">
        <f>ROUND(SUM('All Questions'!E23:E30)/4+K12,0)</f>
        <v>130</v>
      </c>
      <c r="L8" s="155">
        <f>ROUND(SUM('All Questions'!E31:E35)/5+L12,0)</f>
        <v>83</v>
      </c>
      <c r="M8" s="156">
        <f>ROUND(('All Questions'!E37+'All Questions'!E40)/2+'All Questions'!E26+M12,0)</f>
        <v>163</v>
      </c>
      <c r="N8" s="157">
        <f>ROUND((SUM('All Questions'!F11:F14)/4)+N12,0)</f>
        <v>0</v>
      </c>
      <c r="O8" s="155">
        <f>ROUND(SUM('All Questions'!F15:F21)/7+O12,0)</f>
        <v>0</v>
      </c>
      <c r="P8" s="155">
        <f>ROUND(SUM('All Questions'!F23:F30)/4+P12,0)</f>
        <v>420</v>
      </c>
      <c r="Q8" s="155">
        <f>ROUND(SUM('All Questions'!F31:F35)/5+Q12,0)</f>
        <v>250</v>
      </c>
      <c r="R8" s="156">
        <f>ROUND(('All Questions'!F37+'All Questions'!F40)/2+'All Questions'!F26+R12,0)</f>
        <v>520</v>
      </c>
      <c r="S8" s="141">
        <f>'All Questions'!F2</f>
        <v>0</v>
      </c>
      <c r="T8" s="142" t="e">
        <f>(AVERAGE(F8:H8)+AVERAGE(K8:M8)+AVERAGE(P8:R8))/S8</f>
        <v>#DIV/0!</v>
      </c>
      <c r="V8" s="309">
        <f>AVERAGE(F8:H8)+AVERAGE(K8:M8)+AVERAGE(P8:R8)</f>
        <v>797.33333333333326</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2</v>
      </c>
      <c r="G9" s="158"/>
      <c r="H9" s="160"/>
      <c r="I9" s="161"/>
      <c r="J9" s="158"/>
      <c r="K9" s="159">
        <f>ROUND('All Questions'!E29+K13,0)</f>
        <v>0</v>
      </c>
      <c r="L9" s="158"/>
      <c r="M9" s="160"/>
      <c r="N9" s="161"/>
      <c r="O9" s="158"/>
      <c r="P9" s="159">
        <f>ROUND('All Questions'!F29+P13,0)</f>
        <v>2</v>
      </c>
      <c r="Q9" s="158"/>
      <c r="R9" s="160"/>
      <c r="S9" s="141">
        <f>'All Questions'!F3</f>
        <v>0</v>
      </c>
      <c r="T9" s="143" t="e">
        <f>SUM(F9,K9,P9)/S9</f>
        <v>#DIV/0!</v>
      </c>
      <c r="V9" s="309">
        <f>SUM(F9+K9+P9)</f>
        <v>4</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160</v>
      </c>
      <c r="G10" s="159">
        <f>ROUND(SUM('All Questions'!D31:D35)/5,0)</f>
        <v>73</v>
      </c>
      <c r="H10" s="162">
        <f>ROUND(('All Questions'!D37+'All Questions'!D40)/2+'All Questions'!D26,0)</f>
        <v>160</v>
      </c>
      <c r="I10" s="163">
        <f>ROUND((SUM('All Questions'!E11:E14)/4),0)</f>
        <v>0</v>
      </c>
      <c r="J10" s="164">
        <f>ROUND(SUM('All Questions'!E15:E21)/7,0)</f>
        <v>0</v>
      </c>
      <c r="K10" s="164">
        <f>ROUND(SUM('All Questions'!E23:E30)/4,0)</f>
        <v>63</v>
      </c>
      <c r="L10" s="164">
        <f>ROUND(SUM('All Questions'!E31:E35)/5,0)</f>
        <v>33</v>
      </c>
      <c r="M10" s="165">
        <f>ROUND(('All Questions'!E37+'All Questions'!E40)/2+'All Questions'!E26,0)</f>
        <v>63</v>
      </c>
      <c r="N10" s="166">
        <f>ROUND((SUM('All Questions'!F11:F14)/4),0)</f>
        <v>0</v>
      </c>
      <c r="O10" s="164">
        <f>ROUND(SUM('All Questions'!F15:F21)/7,0)</f>
        <v>0</v>
      </c>
      <c r="P10" s="164">
        <f>ROUND(SUM('All Questions'!F23:F30)/4,0)</f>
        <v>220</v>
      </c>
      <c r="Q10" s="164">
        <f>ROUND(SUM('All Questions'!F31:F35)/5,0)</f>
        <v>100</v>
      </c>
      <c r="R10" s="165">
        <f>ROUND(('All Questions'!F37+'All Questions'!F40)/2+'All Questions'!F26,0)</f>
        <v>220</v>
      </c>
      <c r="S10" s="141">
        <f>'All Questions'!F4</f>
        <v>0</v>
      </c>
      <c r="T10" s="143" t="e">
        <f>(AVERAGE(F10:H10)+AVERAGE(K10:M10)+AVERAGE(P10:R10))/S10</f>
        <v>#DIV/0!</v>
      </c>
      <c r="V10" s="309">
        <f>AVERAGE(F10:H10)+AVERAGE(K10:M10)+AVERAGE(P10:R10)</f>
        <v>364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1</v>
      </c>
      <c r="G11" s="167"/>
      <c r="H11" s="169"/>
      <c r="I11" s="170"/>
      <c r="J11" s="167"/>
      <c r="K11" s="171">
        <f>ROUND('All Questions'!E29,0)</f>
        <v>0</v>
      </c>
      <c r="L11" s="167"/>
      <c r="M11" s="169"/>
      <c r="N11" s="170"/>
      <c r="O11" s="167"/>
      <c r="P11" s="171">
        <f>ROUND('All Questions'!F29,0)</f>
        <v>1</v>
      </c>
      <c r="Q11" s="167"/>
      <c r="R11" s="169"/>
      <c r="S11" s="141">
        <f>'All Questions'!F5</f>
        <v>0</v>
      </c>
      <c r="T11" s="144" t="e">
        <f>SUM(F11,K11,P11)/S11</f>
        <v>#DIV/0!</v>
      </c>
      <c r="V11" s="309">
        <f>SUM(F11+K11+P11)</f>
        <v>2</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133</v>
      </c>
      <c r="G12" s="173">
        <f>ROUND(SUM('All Questions'!D73:D80)/4,0)</f>
        <v>100</v>
      </c>
      <c r="H12" s="174">
        <f>ROUND(SUM('All Questions'!D82:D83)/2,0)</f>
        <v>200</v>
      </c>
      <c r="I12" s="175">
        <f>ROUND(SUM('All Questions'!E54:E58)+'All Questions'!E71/4,0)</f>
        <v>0</v>
      </c>
      <c r="J12" s="176">
        <f>ROUND(SUM('All Questions'!E60:E63)/4,0)</f>
        <v>0</v>
      </c>
      <c r="K12" s="176">
        <f>ROUND(SUM('All Questions'!E67:E72)/3,0)</f>
        <v>67</v>
      </c>
      <c r="L12" s="176">
        <f>ROUND(SUM('All Questions'!E73:E80)/4,0)</f>
        <v>50</v>
      </c>
      <c r="M12" s="177">
        <f>ROUND(SUM('All Questions'!E82:E83)/2,0)</f>
        <v>100</v>
      </c>
      <c r="N12" s="178">
        <f>ROUND(SUM('All Questions'!F54:F58)+'All Questions'!F71/4,0)</f>
        <v>0</v>
      </c>
      <c r="O12" s="176">
        <f>ROUND(SUM('All Questions'!F60:F63)/4,0)</f>
        <v>0</v>
      </c>
      <c r="P12" s="176">
        <f>ROUND(SUM('All Questions'!F67:F72)/3,0)</f>
        <v>200</v>
      </c>
      <c r="Q12" s="176">
        <f>ROUND(SUM('All Questions'!F73:F80)/4,0)</f>
        <v>150</v>
      </c>
      <c r="R12" s="177">
        <f>ROUND(SUM('All Questions'!F82:F83)/2,0)</f>
        <v>300</v>
      </c>
      <c r="S12" s="145">
        <f>'All Questions'!F46</f>
        <v>0</v>
      </c>
      <c r="T12" s="146" t="e">
        <f ref="T12:T15" t="shared" si="1">(AVERAGE(F12:H12)+AVERAGE(K12:M12)+AVERAGE(P12:R12))/S12</f>
        <v>#DIV/0!</v>
      </c>
      <c r="V12" s="309">
        <f>AVERAGE(F12:H12)+AVERAGE(K12:M12)+AVERAGE(P12:R12)</f>
        <v>433.33333333333337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1</v>
      </c>
      <c r="I13" s="181"/>
      <c r="J13" s="182"/>
      <c r="K13" s="183">
        <f>ROUND('All Questions'!E72,0)</f>
        <v>0</v>
      </c>
      <c r="L13" s="182"/>
      <c r="M13" s="184">
        <f>ROUND(SUM('All Questions'!E85:E86)/2,0)</f>
        <v>0</v>
      </c>
      <c r="N13" s="185"/>
      <c r="O13" s="182"/>
      <c r="P13" s="183">
        <f>ROUND('All Questions'!F72,0)</f>
        <v>1</v>
      </c>
      <c r="Q13" s="182"/>
      <c r="R13" s="184">
        <f>ROUND(SUM('All Questions'!F85:F86)/2,0)</f>
        <v>1</v>
      </c>
      <c r="S13" s="145">
        <f>'All Questions'!F47</f>
        <v>0</v>
      </c>
      <c r="T13" s="147" t="e">
        <f>(AVERAGE(F13,H13)+AVERAGE(K13,M13)+AVERAGE(P13,R13))/S13</f>
        <v>#DIV/0!</v>
      </c>
      <c r="V13" s="309">
        <f>AVERAGE(F13,H13)+AVERAGE(K13,M13)+AVERAGE(P13,R13)</f>
        <v>2</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1</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1</v>
      </c>
      <c r="Q16" s="194">
        <f>ROUND(SUM('All Questions'!F106:F109)/4,0)</f>
        <v>1</v>
      </c>
      <c r="R16" s="195">
        <f>ROUND(SUM('All Questions'!F111,'All Questions'!F112,'All Questions'!F114,'All Questions'!F115)/4,0)</f>
        <v>1</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1053</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160</v>
      </c>
      <c r="E10" s="301">
        <v>63</v>
      </c>
      <c r="F10" s="301">
        <v>220</v>
      </c>
      <c r="G10" s="207" t="s">
        <v>67</v>
      </c>
    </row>
    <row r="11" hidden="1" ht="45" customHeight="1">
      <c r="A11" s="226"/>
      <c r="B11" s="238">
        <v>1114</v>
      </c>
      <c r="C11" s="243" t="s">
        <v>84</v>
      </c>
      <c r="D11" s="301">
        <v>160</v>
      </c>
      <c r="E11" s="301">
        <v>63</v>
      </c>
      <c r="F11" s="301">
        <v>220</v>
      </c>
      <c r="G11" s="207" t="s">
        <v>67</v>
      </c>
    </row>
    <row r="12" hidden="1" ht="45" customHeight="1">
      <c r="A12" s="226"/>
      <c r="B12" s="238">
        <v>1115</v>
      </c>
      <c r="C12" s="242" t="s">
        <v>85</v>
      </c>
      <c r="D12" s="301">
        <v>160</v>
      </c>
      <c r="E12" s="301">
        <v>63</v>
      </c>
      <c r="F12" s="301">
        <v>220</v>
      </c>
      <c r="G12" s="207" t="s">
        <v>67</v>
      </c>
    </row>
    <row r="13" hidden="1" ht="45" customHeight="1">
      <c r="A13" s="226" t="s">
        <v>86</v>
      </c>
      <c r="B13" s="238">
        <v>1116</v>
      </c>
      <c r="C13" s="242" t="s">
        <v>87</v>
      </c>
      <c r="D13" s="301">
        <v>4</v>
      </c>
      <c r="E13" s="301">
        <v>15</v>
      </c>
      <c r="F13" s="301">
        <v>21</v>
      </c>
      <c r="G13" s="207" t="s">
        <v>67</v>
      </c>
    </row>
    <row r="14" hidden="1" ht="45" customHeight="1">
      <c r="A14" s="226"/>
      <c r="B14" s="238">
        <v>1117</v>
      </c>
      <c r="C14" s="242" t="s">
        <v>88</v>
      </c>
      <c r="D14" s="301">
        <v>4</v>
      </c>
      <c r="E14" s="301">
        <v>15</v>
      </c>
      <c r="F14" s="301">
        <v>21</v>
      </c>
      <c r="G14" s="207" t="s">
        <v>67</v>
      </c>
    </row>
    <row r="15" hidden="1" ht="45" customHeight="1">
      <c r="A15" s="226">
        <v>1116</v>
      </c>
      <c r="B15" s="238">
        <v>1121</v>
      </c>
      <c r="C15" s="243" t="str">
        <f>C13</f>
        <v>How many HTC clients have a completed Client intake form </v>
      </c>
      <c r="D15" s="302">
        <v>4</v>
      </c>
      <c r="E15" s="302">
        <v>15</v>
      </c>
      <c r="F15" s="302">
        <v>21</v>
      </c>
      <c r="G15" s="207"/>
    </row>
    <row r="16" hidden="1" ht="45" customHeight="1">
      <c r="A16" s="226"/>
      <c r="B16" s="238">
        <v>1122</v>
      </c>
      <c r="C16" s="243" t="s">
        <v>89</v>
      </c>
      <c r="D16" s="301">
        <v>4</v>
      </c>
      <c r="E16" s="301">
        <v>15</v>
      </c>
      <c r="F16" s="301">
        <v>21</v>
      </c>
      <c r="G16" s="207" t="s">
        <v>67</v>
      </c>
    </row>
    <row r="17" hidden="1" ht="45" customHeight="1">
      <c r="A17" s="226"/>
      <c r="B17" s="238">
        <v>1123</v>
      </c>
      <c r="C17" s="242" t="s">
        <v>90</v>
      </c>
      <c r="D17" s="301">
        <v>4</v>
      </c>
      <c r="E17" s="301">
        <v>15</v>
      </c>
      <c r="F17" s="301">
        <v>21</v>
      </c>
      <c r="G17" s="207" t="s">
        <v>67</v>
      </c>
    </row>
    <row r="18" hidden="1" ht="45" customHeight="1">
      <c r="A18" s="226"/>
      <c r="B18" s="238">
        <v>1124</v>
      </c>
      <c r="C18" s="242" t="s">
        <v>91</v>
      </c>
      <c r="D18" s="301">
        <v>4</v>
      </c>
      <c r="E18" s="301">
        <v>15</v>
      </c>
      <c r="F18" s="301">
        <v>21</v>
      </c>
      <c r="G18" s="207" t="s">
        <v>67</v>
      </c>
    </row>
    <row r="19" hidden="1" ht="45" customHeight="1">
      <c r="A19" s="226"/>
      <c r="B19" s="238">
        <v>1125</v>
      </c>
      <c r="C19" s="242" t="s">
        <v>92</v>
      </c>
      <c r="D19" s="301">
        <v>9</v>
      </c>
      <c r="E19" s="301">
        <v>10</v>
      </c>
      <c r="F19" s="301">
        <v>20</v>
      </c>
      <c r="G19" s="207" t="s">
        <v>67</v>
      </c>
    </row>
    <row r="20" hidden="1" ht="45" customHeight="1">
      <c r="A20" s="226"/>
      <c r="B20" s="238">
        <v>1126</v>
      </c>
      <c r="C20" s="242" t="s">
        <v>93</v>
      </c>
      <c r="D20" s="301">
        <v>9</v>
      </c>
      <c r="E20" s="301">
        <v>10</v>
      </c>
      <c r="F20" s="301">
        <v>20</v>
      </c>
      <c r="G20" s="207" t="s">
        <v>67</v>
      </c>
    </row>
    <row r="21" hidden="1" ht="45" customHeight="1">
      <c r="A21" s="226"/>
      <c r="B21" s="238">
        <v>1127</v>
      </c>
      <c r="C21" s="242" t="s">
        <v>94</v>
      </c>
      <c r="D21" s="301">
        <v>9</v>
      </c>
      <c r="E21" s="301">
        <v>10</v>
      </c>
      <c r="F21" s="301">
        <v>20</v>
      </c>
      <c r="G21" s="207" t="s">
        <v>67</v>
      </c>
    </row>
    <row r="22" hidden="1" ht="45" customHeight="1">
      <c r="A22" s="226"/>
      <c r="B22" s="238"/>
      <c r="C22" s="245" t="s">
        <v>95</v>
      </c>
      <c r="D22" s="246"/>
      <c r="E22" s="246"/>
      <c r="F22" s="247"/>
      <c r="G22" s="207" t="s">
        <v>67</v>
      </c>
    </row>
    <row r="23" hidden="1" ht="45" customHeight="1">
      <c r="A23" s="226"/>
      <c r="B23" s="238">
        <v>1131</v>
      </c>
      <c r="C23" s="242" t="s">
        <v>96</v>
      </c>
      <c r="D23" s="301">
        <v>71</v>
      </c>
      <c r="E23" s="301">
        <v>24</v>
      </c>
      <c r="F23" s="301">
        <v>68</v>
      </c>
      <c r="G23" s="207" t="s">
        <v>67</v>
      </c>
    </row>
    <row r="24" hidden="1" ht="45" customHeight="1">
      <c r="A24" s="226"/>
      <c r="B24" s="238">
        <v>1132</v>
      </c>
      <c r="C24" s="242" t="s">
        <v>97</v>
      </c>
      <c r="D24" s="301">
        <v>89</v>
      </c>
      <c r="E24" s="301">
        <v>39</v>
      </c>
      <c r="F24" s="301">
        <v>152</v>
      </c>
      <c r="G24" s="207" t="s">
        <v>67</v>
      </c>
    </row>
    <row r="25" hidden="1" ht="45" customHeight="1">
      <c r="A25" s="226"/>
      <c r="B25" s="238">
        <v>1133</v>
      </c>
      <c r="C25" s="242" t="s">
        <v>98</v>
      </c>
      <c r="D25" s="301">
        <v>129</v>
      </c>
      <c r="E25" s="301">
        <v>46</v>
      </c>
      <c r="F25" s="301">
        <v>188</v>
      </c>
      <c r="G25" s="207" t="s">
        <v>67</v>
      </c>
    </row>
    <row r="26" hidden="1" ht="45" customHeight="1">
      <c r="A26" s="226"/>
      <c r="B26" s="238">
        <v>1134</v>
      </c>
      <c r="C26" s="242" t="s">
        <v>99</v>
      </c>
      <c r="D26" s="301">
        <v>31</v>
      </c>
      <c r="E26" s="301">
        <v>17</v>
      </c>
      <c r="F26" s="301">
        <v>32</v>
      </c>
      <c r="G26" s="207" t="s">
        <v>67</v>
      </c>
    </row>
    <row r="27" hidden="1" ht="45" customHeight="1">
      <c r="A27" s="226"/>
      <c r="B27" s="238">
        <v>1135</v>
      </c>
      <c r="C27" s="242" t="s">
        <v>100</v>
      </c>
      <c r="D27" s="301">
        <v>150</v>
      </c>
      <c r="E27" s="301">
        <v>61</v>
      </c>
      <c r="F27" s="301">
        <v>215</v>
      </c>
      <c r="G27" s="207" t="s">
        <v>67</v>
      </c>
    </row>
    <row r="28" hidden="1" ht="45" customHeight="1">
      <c r="A28" s="226"/>
      <c r="B28" s="238">
        <v>1136</v>
      </c>
      <c r="C28" s="242" t="s">
        <v>101</v>
      </c>
      <c r="D28" s="301">
        <v>10</v>
      </c>
      <c r="E28" s="301">
        <v>2</v>
      </c>
      <c r="F28" s="301">
        <v>5</v>
      </c>
      <c r="G28" s="207" t="s">
        <v>67</v>
      </c>
    </row>
    <row r="29" hidden="1" ht="45" customHeight="1">
      <c r="A29" s="226"/>
      <c r="B29" s="238">
        <v>1137</v>
      </c>
      <c r="C29" s="242" t="s">
        <v>102</v>
      </c>
      <c r="D29" s="301">
        <v>1</v>
      </c>
      <c r="E29" s="301">
        <v>0</v>
      </c>
      <c r="F29" s="301">
        <v>1</v>
      </c>
      <c r="G29" s="207" t="s">
        <v>67</v>
      </c>
    </row>
    <row r="30" hidden="1" ht="45" customHeight="1">
      <c r="A30" s="226"/>
      <c r="B30" s="238">
        <v>1138</v>
      </c>
      <c r="C30" s="242" t="s">
        <v>103</v>
      </c>
      <c r="D30" s="301">
        <v>159</v>
      </c>
      <c r="E30" s="301">
        <v>63</v>
      </c>
      <c r="F30" s="301">
        <v>219</v>
      </c>
      <c r="G30" s="207" t="s">
        <v>67</v>
      </c>
    </row>
    <row r="31" hidden="1" ht="45" customHeight="1">
      <c r="A31" s="226">
        <v>1116</v>
      </c>
      <c r="B31" s="238">
        <v>1141</v>
      </c>
      <c r="C31" s="242" t="s">
        <v>104</v>
      </c>
      <c r="D31" s="302">
        <v>4</v>
      </c>
      <c r="E31" s="302">
        <v>15</v>
      </c>
      <c r="F31" s="302">
        <v>21</v>
      </c>
      <c r="G31" s="207"/>
    </row>
    <row r="32" hidden="1" ht="45" customHeight="1">
      <c r="A32" s="226"/>
      <c r="B32" s="238">
        <v>1142</v>
      </c>
      <c r="C32" s="243" t="s">
        <v>105</v>
      </c>
      <c r="D32" s="302">
        <v>4</v>
      </c>
      <c r="E32" s="302">
        <v>15</v>
      </c>
      <c r="F32" s="302">
        <v>21</v>
      </c>
      <c r="G32" s="207"/>
    </row>
    <row r="33" hidden="1" ht="45" customHeight="1">
      <c r="A33" s="226"/>
      <c r="B33" s="238">
        <v>1143</v>
      </c>
      <c r="C33" s="242" t="s">
        <v>106</v>
      </c>
      <c r="D33" s="301">
        <v>190</v>
      </c>
      <c r="E33" s="301">
        <v>63</v>
      </c>
      <c r="F33" s="301">
        <v>220</v>
      </c>
      <c r="G33" s="207" t="s">
        <v>67</v>
      </c>
    </row>
    <row r="34" hidden="1" ht="45" customHeight="1">
      <c r="A34" s="226"/>
      <c r="B34" s="238">
        <v>1144</v>
      </c>
      <c r="C34" s="242" t="s">
        <v>107</v>
      </c>
      <c r="D34" s="301">
        <v>9</v>
      </c>
      <c r="E34" s="301">
        <v>10</v>
      </c>
      <c r="F34" s="301">
        <v>20</v>
      </c>
      <c r="G34" s="207" t="s">
        <v>67</v>
      </c>
    </row>
    <row r="35" hidden="1" ht="45" customHeight="1">
      <c r="A35" s="226"/>
      <c r="B35" s="238">
        <v>1145</v>
      </c>
      <c r="C35" s="242" t="s">
        <v>108</v>
      </c>
      <c r="D35" s="301">
        <v>160</v>
      </c>
      <c r="E35" s="301">
        <v>63</v>
      </c>
      <c r="F35" s="301">
        <v>220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129</v>
      </c>
      <c r="E37" s="301">
        <v>46</v>
      </c>
      <c r="F37" s="301">
        <v>188</v>
      </c>
      <c r="G37" s="207" t="s">
        <v>67</v>
      </c>
    </row>
    <row r="38" hidden="1" ht="45" customHeight="1">
      <c r="A38" s="226"/>
      <c r="B38" s="238">
        <v>1153</v>
      </c>
      <c r="C38" s="242" t="s">
        <v>111</v>
      </c>
      <c r="D38" s="301">
        <v>129</v>
      </c>
      <c r="E38" s="301">
        <v>46</v>
      </c>
      <c r="F38" s="301">
        <v>188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129</v>
      </c>
      <c r="E40" s="301">
        <v>46</v>
      </c>
      <c r="F40" s="301">
        <v>188</v>
      </c>
      <c r="G40" s="207" t="s">
        <v>67</v>
      </c>
    </row>
    <row r="41" hidden="1" ht="45" customHeight="1">
      <c r="A41" s="226"/>
      <c r="B41" s="238">
        <v>1156</v>
      </c>
      <c r="C41" s="242" t="s">
        <v>113</v>
      </c>
      <c r="D41" s="301">
        <v>129</v>
      </c>
      <c r="E41" s="301">
        <v>49</v>
      </c>
      <c r="F41" s="301">
        <v>188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v>
      </c>
      <c r="E43" s="301">
        <v>0</v>
      </c>
      <c r="F43" s="301">
        <v>1</v>
      </c>
      <c r="G43" s="207" t="s">
        <v>67</v>
      </c>
    </row>
    <row r="44" hidden="1" ht="45" customHeight="1" s="250" customFormat="1">
      <c r="A44" s="226"/>
      <c r="B44" s="238">
        <v>1159</v>
      </c>
      <c r="C44" s="242" t="s">
        <v>116</v>
      </c>
      <c r="D44" s="301">
        <v>1</v>
      </c>
      <c r="E44" s="301">
        <v>0</v>
      </c>
      <c r="F44" s="301">
        <v>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615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200</v>
      </c>
      <c r="E53" s="301">
        <v>100</v>
      </c>
      <c r="F53" s="301">
        <v>300</v>
      </c>
      <c r="G53" s="207" t="s">
        <v>117</v>
      </c>
    </row>
    <row r="54" hidden="1" ht="45" customHeight="1">
      <c r="A54" s="226"/>
      <c r="B54" s="238">
        <v>1214</v>
      </c>
      <c r="C54" s="264" t="s">
        <v>132</v>
      </c>
      <c r="D54" s="301">
        <v>31</v>
      </c>
      <c r="E54" s="301">
        <v>31</v>
      </c>
      <c r="F54" s="301">
        <v>32</v>
      </c>
      <c r="G54" s="207" t="s">
        <v>117</v>
      </c>
    </row>
    <row r="55" hidden="1" ht="45" customHeight="1">
      <c r="A55" s="226"/>
      <c r="B55" s="238">
        <v>1215</v>
      </c>
      <c r="C55" s="242" t="s">
        <v>133</v>
      </c>
      <c r="D55" s="301">
        <v>31</v>
      </c>
      <c r="E55" s="301">
        <v>31</v>
      </c>
      <c r="F55" s="301">
        <v>32</v>
      </c>
      <c r="G55" s="207" t="s">
        <v>117</v>
      </c>
    </row>
    <row r="56" hidden="1" ht="45" customHeight="1">
      <c r="A56" s="226"/>
      <c r="B56" s="238">
        <v>1216</v>
      </c>
      <c r="C56" s="243" t="s">
        <v>134</v>
      </c>
      <c r="D56" s="301">
        <v>31</v>
      </c>
      <c r="E56" s="301">
        <v>31</v>
      </c>
      <c r="F56" s="301">
        <v>32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1</v>
      </c>
      <c r="E58" s="301">
        <v>0</v>
      </c>
      <c r="F58" s="301">
        <v>1</v>
      </c>
      <c r="G58" s="207" t="s">
        <v>117</v>
      </c>
    </row>
    <row r="59" hidden="1" ht="45" customHeight="1">
      <c r="A59" s="226"/>
      <c r="B59" s="238">
        <v>1221</v>
      </c>
      <c r="C59" s="264" t="s">
        <v>137</v>
      </c>
      <c r="D59" s="301">
        <v>31</v>
      </c>
      <c r="E59" s="301">
        <v>31</v>
      </c>
      <c r="F59" s="301">
        <v>32</v>
      </c>
      <c r="G59" s="207" t="s">
        <v>117</v>
      </c>
    </row>
    <row r="60" hidden="1" ht="45" customHeight="1">
      <c r="A60" s="226"/>
      <c r="B60" s="238">
        <v>1222</v>
      </c>
      <c r="C60" s="264" t="s">
        <v>138</v>
      </c>
      <c r="D60" s="301">
        <v>31</v>
      </c>
      <c r="E60" s="301">
        <v>31</v>
      </c>
      <c r="F60" s="301">
        <v>32</v>
      </c>
      <c r="G60" s="207" t="s">
        <v>117</v>
      </c>
    </row>
    <row r="61" hidden="1" ht="45" customHeight="1">
      <c r="A61" s="226"/>
      <c r="B61" s="238">
        <v>1223</v>
      </c>
      <c r="C61" s="264" t="s">
        <v>139</v>
      </c>
      <c r="D61" s="301">
        <v>31</v>
      </c>
      <c r="E61" s="301">
        <v>31</v>
      </c>
      <c r="F61" s="301">
        <v>32</v>
      </c>
      <c r="G61" s="207" t="s">
        <v>117</v>
      </c>
    </row>
    <row r="62" hidden="1" ht="54.65" customHeight="1">
      <c r="A62" s="226"/>
      <c r="B62" s="238">
        <v>1224</v>
      </c>
      <c r="C62" s="264" t="s">
        <v>140</v>
      </c>
      <c r="D62" s="301">
        <v>31</v>
      </c>
      <c r="E62" s="301">
        <v>31</v>
      </c>
      <c r="F62" s="301">
        <v>32</v>
      </c>
      <c r="G62" s="207" t="s">
        <v>117</v>
      </c>
    </row>
    <row r="63" hidden="1" ht="66.65" customHeight="1">
      <c r="A63" s="226"/>
      <c r="B63" s="238">
        <v>1225</v>
      </c>
      <c r="C63" s="264" t="s">
        <v>141</v>
      </c>
      <c r="D63" s="301">
        <v>31</v>
      </c>
      <c r="E63" s="301">
        <v>31</v>
      </c>
      <c r="F63" s="301">
        <v>32</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200</v>
      </c>
      <c r="E67" s="301">
        <v>100</v>
      </c>
      <c r="F67" s="301">
        <v>300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199</v>
      </c>
      <c r="E71" s="301">
        <v>100</v>
      </c>
      <c r="F71" s="301">
        <v>299</v>
      </c>
      <c r="G71" s="207" t="s">
        <v>117</v>
      </c>
    </row>
    <row r="72" hidden="1" ht="45" customHeight="1">
      <c r="A72" s="226"/>
      <c r="B72" s="238">
        <v>1236</v>
      </c>
      <c r="C72" s="242" t="s">
        <v>150</v>
      </c>
      <c r="D72" s="301">
        <v>1</v>
      </c>
      <c r="E72" s="301">
        <v>0</v>
      </c>
      <c r="F72" s="301">
        <v>1</v>
      </c>
      <c r="G72" s="207" t="s">
        <v>117</v>
      </c>
    </row>
    <row r="73" hidden="1" ht="45" customHeight="1">
      <c r="A73" s="226"/>
      <c r="B73" s="238">
        <v>1241</v>
      </c>
      <c r="C73" s="242" t="s">
        <v>151</v>
      </c>
      <c r="D73" s="301">
        <v>200</v>
      </c>
      <c r="E73" s="301">
        <v>100</v>
      </c>
      <c r="F73" s="301">
        <v>300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v>
      </c>
      <c r="E75" s="301">
        <v>0</v>
      </c>
      <c r="F75" s="301">
        <v>1</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v>
      </c>
      <c r="E77" s="301">
        <v>0</v>
      </c>
      <c r="F77" s="301">
        <v>1</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200</v>
      </c>
      <c r="E79" s="301">
        <v>100</v>
      </c>
      <c r="F79" s="301">
        <v>300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200</v>
      </c>
      <c r="E82" s="301">
        <v>100</v>
      </c>
      <c r="F82" s="301">
        <v>300</v>
      </c>
      <c r="G82" s="207" t="s">
        <v>117</v>
      </c>
    </row>
    <row r="83" hidden="1" ht="45" customHeight="1">
      <c r="A83" s="226"/>
      <c r="B83" s="238">
        <v>1253</v>
      </c>
      <c r="C83" s="242" t="s">
        <v>161</v>
      </c>
      <c r="D83" s="301">
        <v>200</v>
      </c>
      <c r="E83" s="301">
        <v>100</v>
      </c>
      <c r="F83" s="301">
        <v>300</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1</v>
      </c>
      <c r="G85" s="207" t="s">
        <v>117</v>
      </c>
    </row>
    <row r="86" hidden="1" ht="45" customHeight="1">
      <c r="A86" s="226"/>
      <c r="B86" s="238">
        <v>1256</v>
      </c>
      <c r="C86" s="242" t="s">
        <v>164</v>
      </c>
      <c r="D86" s="301">
        <v>1</v>
      </c>
      <c r="E86" s="301">
        <v>0</v>
      </c>
      <c r="F86" s="301">
        <v>1</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1</v>
      </c>
      <c r="G93" s="266" t="s">
        <v>168</v>
      </c>
    </row>
    <row r="94" ht="45" customHeight="1">
      <c r="A94" s="226"/>
      <c r="B94" s="238">
        <v>1314</v>
      </c>
      <c r="C94" s="269" t="s">
        <v>173</v>
      </c>
      <c r="D94" s="301">
        <v>1</v>
      </c>
      <c r="E94" s="301">
        <v>0</v>
      </c>
      <c r="F94" s="301">
        <v>1</v>
      </c>
      <c r="G94" s="266" t="s">
        <v>168</v>
      </c>
    </row>
    <row r="95" ht="45" customHeight="1">
      <c r="A95" s="226"/>
      <c r="B95" s="238">
        <v>1315</v>
      </c>
      <c r="C95" s="243" t="s">
        <v>174</v>
      </c>
      <c r="D95" s="301">
        <v>1</v>
      </c>
      <c r="E95" s="301">
        <v>0</v>
      </c>
      <c r="F95" s="301">
        <v>1</v>
      </c>
      <c r="G95" s="266" t="s">
        <v>168</v>
      </c>
    </row>
    <row r="96" ht="45" customHeight="1" s="270" customFormat="1">
      <c r="A96" s="226"/>
      <c r="B96" s="238">
        <v>1316</v>
      </c>
      <c r="C96" s="243" t="s">
        <v>175</v>
      </c>
      <c r="D96" s="301">
        <v>1</v>
      </c>
      <c r="E96" s="301">
        <v>0</v>
      </c>
      <c r="F96" s="301">
        <v>1</v>
      </c>
      <c r="G96" s="266" t="s">
        <v>168</v>
      </c>
    </row>
    <row r="97" ht="45" customHeight="1" s="270" customFormat="1">
      <c r="A97" s="226"/>
      <c r="B97" s="238">
        <v>1321</v>
      </c>
      <c r="C97" s="242" t="s">
        <v>176</v>
      </c>
      <c r="D97" s="301">
        <v>1</v>
      </c>
      <c r="E97" s="301">
        <v>0</v>
      </c>
      <c r="F97" s="301">
        <v>1</v>
      </c>
      <c r="G97" s="266" t="s">
        <v>168</v>
      </c>
    </row>
    <row r="98" ht="45" customHeight="1" s="270" customFormat="1">
      <c r="A98" s="226"/>
      <c r="B98" s="238">
        <v>1322</v>
      </c>
      <c r="C98" s="242" t="s">
        <v>177</v>
      </c>
      <c r="D98" s="301">
        <v>1</v>
      </c>
      <c r="E98" s="301">
        <v>0</v>
      </c>
      <c r="F98" s="301">
        <v>1</v>
      </c>
      <c r="G98" s="266" t="s">
        <v>168</v>
      </c>
    </row>
    <row r="99" ht="45" customHeight="1" s="270" customFormat="1">
      <c r="A99" s="226"/>
      <c r="B99" s="238">
        <v>1323</v>
      </c>
      <c r="C99" s="242" t="s">
        <v>178</v>
      </c>
      <c r="D99" s="301">
        <v>1</v>
      </c>
      <c r="E99" s="301">
        <v>0</v>
      </c>
      <c r="F99" s="301">
        <v>1</v>
      </c>
      <c r="G99" s="266" t="s">
        <v>168</v>
      </c>
    </row>
    <row r="100" ht="45" customHeight="1" s="270" customFormat="1">
      <c r="A100" s="226"/>
      <c r="B100" s="238">
        <v>1324</v>
      </c>
      <c r="C100" s="242" t="s">
        <v>179</v>
      </c>
      <c r="D100" s="301">
        <v>1</v>
      </c>
      <c r="E100" s="301">
        <v>0</v>
      </c>
      <c r="F100" s="301">
        <v>1</v>
      </c>
      <c r="G100" s="266" t="s">
        <v>168</v>
      </c>
    </row>
    <row r="101" ht="45" customHeight="1" s="270" customFormat="1">
      <c r="A101" s="226"/>
      <c r="B101" s="238">
        <v>1331</v>
      </c>
      <c r="C101" s="242" t="s">
        <v>180</v>
      </c>
      <c r="D101" s="301">
        <v>1</v>
      </c>
      <c r="E101" s="301">
        <v>0</v>
      </c>
      <c r="F101" s="301">
        <v>1</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1</v>
      </c>
      <c r="E103" s="301">
        <v>0</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1</v>
      </c>
      <c r="G106" s="266" t="s">
        <v>168</v>
      </c>
    </row>
    <row r="107" hidden="1" ht="45" customHeight="1" s="270" customFormat="1">
      <c r="A107" s="226"/>
      <c r="B107" s="238">
        <v>1342</v>
      </c>
      <c r="C107" s="242" t="s">
        <v>186</v>
      </c>
      <c r="D107" s="271">
        <f>D94</f>
        <v>1</v>
      </c>
      <c r="E107" s="271">
        <f>E94</f>
        <v>0</v>
      </c>
      <c r="F107" s="271">
        <f>F94</f>
        <v>1</v>
      </c>
      <c r="G107" s="266"/>
    </row>
    <row r="108" ht="45" customHeight="1" s="270" customFormat="1">
      <c r="A108" s="226"/>
      <c r="B108" s="238">
        <v>1343</v>
      </c>
      <c r="C108" s="242" t="s">
        <v>187</v>
      </c>
      <c r="D108" s="301">
        <v>1</v>
      </c>
      <c r="E108" s="301">
        <v>0</v>
      </c>
      <c r="F108" s="301">
        <v>1</v>
      </c>
      <c r="G108" s="266" t="s">
        <v>168</v>
      </c>
    </row>
    <row r="109" ht="45" customHeight="1" s="270" customFormat="1">
      <c r="A109" s="226"/>
      <c r="B109" s="238">
        <v>1344</v>
      </c>
      <c r="C109" s="242" t="s">
        <v>188</v>
      </c>
      <c r="D109" s="301">
        <v>1</v>
      </c>
      <c r="E109" s="301">
        <v>0</v>
      </c>
      <c r="F109" s="301">
        <v>1</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1</v>
      </c>
      <c r="G111" s="266" t="s">
        <v>168</v>
      </c>
    </row>
    <row r="112" ht="45" customHeight="1" s="270" customFormat="1">
      <c r="A112" s="226"/>
      <c r="B112" s="238">
        <v>1353</v>
      </c>
      <c r="C112" s="242" t="s">
        <v>191</v>
      </c>
      <c r="D112" s="301">
        <v>1</v>
      </c>
      <c r="E112" s="301">
        <v>0</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1</v>
      </c>
      <c r="E114" s="301">
        <v>0</v>
      </c>
      <c r="F114" s="301">
        <v>1</v>
      </c>
      <c r="G114" s="266" t="s">
        <v>168</v>
      </c>
    </row>
    <row r="115" ht="45" customHeight="1" s="270" customFormat="1">
      <c r="A115" s="226"/>
      <c r="B115" s="238">
        <v>1356</v>
      </c>
      <c r="C115" s="242" t="s">
        <v>193</v>
      </c>
      <c r="D115" s="301">
        <v>1</v>
      </c>
      <c r="E115" s="301">
        <v>0</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1842</v>
      </c>
      <c r="AZ393" s="0" t="s">
        <v>1843</v>
      </c>
      <c r="BA393" s="0" t="s">
        <v>285</v>
      </c>
      <c r="BB393" s="0" t="str">
        <f t="shared" si="6"/>
        <v>CCCRNimOhajiEgbema</v>
      </c>
    </row>
    <row r="394">
      <c r="AV394" s="0" t="s">
        <v>471</v>
      </c>
      <c r="AW394" s="0" t="s">
        <v>286</v>
      </c>
      <c r="AX394" s="0" t="s">
        <v>1226</v>
      </c>
      <c r="AY394" s="304" t="s">
        <v>1844</v>
      </c>
      <c r="AZ394" s="0" t="s">
        <v>1845</v>
      </c>
      <c r="BA394" s="0" t="s">
        <v>285</v>
      </c>
      <c r="BB394" s="0" t="str">
        <f t="shared" si="6"/>
        <v>CCCRNimOhajiEgbema</v>
      </c>
    </row>
    <row r="395">
      <c r="AV395" s="0" t="s">
        <v>471</v>
      </c>
      <c r="AW395" s="0" t="s">
        <v>286</v>
      </c>
      <c r="AX395" s="0" t="s">
        <v>1226</v>
      </c>
      <c r="AY395" s="304" t="s">
        <v>1846</v>
      </c>
      <c r="AZ395" s="0" t="s">
        <v>1847</v>
      </c>
      <c r="BA395" s="0" t="s">
        <v>285</v>
      </c>
      <c r="BB395" s="0" t="str">
        <f t="shared" si="6"/>
        <v>CCCRNimOhajiEgbema</v>
      </c>
    </row>
    <row r="396">
      <c r="AV396" s="0" t="s">
        <v>471</v>
      </c>
      <c r="AW396" s="0" t="s">
        <v>286</v>
      </c>
      <c r="AX396" s="0" t="s">
        <v>1226</v>
      </c>
      <c r="AY396" s="304" t="s">
        <v>1848</v>
      </c>
      <c r="AZ396" s="0" t="s">
        <v>1849</v>
      </c>
      <c r="BA396" s="0" t="s">
        <v>285</v>
      </c>
      <c r="BB396" s="0" t="str">
        <f t="shared" si="6"/>
        <v>CCCRNimOhajiEgbema</v>
      </c>
    </row>
    <row r="397">
      <c r="AV397" s="0" t="s">
        <v>471</v>
      </c>
      <c r="AW397" s="0" t="s">
        <v>286</v>
      </c>
      <c r="AX397" s="0" t="s">
        <v>1226</v>
      </c>
      <c r="AY397" s="304" t="s">
        <v>1850</v>
      </c>
      <c r="AZ397" s="0" t="s">
        <v>1851</v>
      </c>
      <c r="BA397" s="0" t="s">
        <v>285</v>
      </c>
      <c r="BB397" s="0" t="str">
        <f t="shared" si="6"/>
        <v>CCCRNimOhajiEgbema</v>
      </c>
    </row>
    <row r="398">
      <c r="AV398" s="0" t="s">
        <v>471</v>
      </c>
      <c r="AW398" s="0" t="s">
        <v>286</v>
      </c>
      <c r="AX398" s="0" t="s">
        <v>923</v>
      </c>
      <c r="AY398" s="0" t="s">
        <v>1852</v>
      </c>
      <c r="AZ398" s="0" t="s">
        <v>1853</v>
      </c>
      <c r="BA398" s="0" t="s">
        <v>285</v>
      </c>
      <c r="BB398" s="0" t="str">
        <f t="shared" si="6"/>
        <v>CCCRNimOrlu</v>
      </c>
    </row>
    <row r="399">
      <c r="AV399" s="0" t="s">
        <v>471</v>
      </c>
      <c r="AW399" s="0" t="s">
        <v>286</v>
      </c>
      <c r="AX399" s="0" t="s">
        <v>923</v>
      </c>
      <c r="AY399" s="0" t="s">
        <v>1854</v>
      </c>
      <c r="AZ399" s="0" t="s">
        <v>1855</v>
      </c>
      <c r="BA399" s="0" t="s">
        <v>285</v>
      </c>
      <c r="BB399" s="0" t="str">
        <f t="shared" si="6"/>
        <v>CCCRNimOrlu</v>
      </c>
    </row>
    <row r="400">
      <c r="AV400" s="0" t="s">
        <v>471</v>
      </c>
      <c r="AW400" s="0" t="s">
        <v>286</v>
      </c>
      <c r="AX400" s="0" t="s">
        <v>923</v>
      </c>
      <c r="AY400" s="0" t="s">
        <v>1856</v>
      </c>
      <c r="AZ400" s="0" t="s">
        <v>1857</v>
      </c>
      <c r="BA400" s="0" t="s">
        <v>285</v>
      </c>
      <c r="BB400" s="0" t="str">
        <f t="shared" si="6"/>
        <v>CCCRNimOrlu</v>
      </c>
    </row>
    <row r="401">
      <c r="AV401" s="0" t="s">
        <v>471</v>
      </c>
      <c r="AW401" s="0" t="s">
        <v>286</v>
      </c>
      <c r="AX401" s="0" t="s">
        <v>923</v>
      </c>
      <c r="AY401" s="0" t="s">
        <v>1858</v>
      </c>
      <c r="AZ401" s="0" t="s">
        <v>1859</v>
      </c>
      <c r="BA401" s="0" t="s">
        <v>285</v>
      </c>
      <c r="BB401" s="0" t="str">
        <f t="shared" si="6"/>
        <v>CCCRNimOrlu</v>
      </c>
    </row>
    <row r="402">
      <c r="AV402" s="0" t="s">
        <v>471</v>
      </c>
      <c r="AW402" s="0" t="s">
        <v>286</v>
      </c>
      <c r="AX402" s="0" t="s">
        <v>923</v>
      </c>
      <c r="AY402" s="0" t="s">
        <v>1860</v>
      </c>
      <c r="AZ402" s="0" t="s">
        <v>1861</v>
      </c>
      <c r="BA402" s="0" t="s">
        <v>285</v>
      </c>
      <c r="BB402" s="0" t="str">
        <f t="shared" si="6"/>
        <v>CCCRNimOrlu</v>
      </c>
    </row>
    <row r="403">
      <c r="AV403" s="0" t="s">
        <v>471</v>
      </c>
      <c r="AW403" s="0" t="s">
        <v>286</v>
      </c>
      <c r="AX403" s="0" t="s">
        <v>947</v>
      </c>
      <c r="AY403" s="0" t="s">
        <v>1862</v>
      </c>
      <c r="AZ403" s="0" t="s">
        <v>1863</v>
      </c>
      <c r="BA403" s="0" t="s">
        <v>285</v>
      </c>
      <c r="BB403" s="0" t="str">
        <f t="shared" si="6"/>
        <v>CCCRNimOrsu</v>
      </c>
    </row>
    <row r="404">
      <c r="AV404" s="0" t="s">
        <v>471</v>
      </c>
      <c r="AW404" s="0" t="s">
        <v>286</v>
      </c>
      <c r="AX404" s="0" t="s">
        <v>969</v>
      </c>
      <c r="AY404" s="0" t="s">
        <v>1864</v>
      </c>
      <c r="AZ404" s="0" t="s">
        <v>1865</v>
      </c>
      <c r="BA404" s="0" t="s">
        <v>285</v>
      </c>
      <c r="BB404" s="0" t="str">
        <f t="shared" si="6"/>
        <v>CCCRNimOruEast</v>
      </c>
    </row>
    <row r="405">
      <c r="AV405" s="0" t="s">
        <v>471</v>
      </c>
      <c r="AW405" s="0" t="s">
        <v>286</v>
      </c>
      <c r="AX405" s="0" t="s">
        <v>969</v>
      </c>
      <c r="AY405" s="0" t="s">
        <v>1866</v>
      </c>
      <c r="AZ405" s="0" t="s">
        <v>1867</v>
      </c>
      <c r="BA405" s="0" t="s">
        <v>285</v>
      </c>
      <c r="BB405" s="0" t="str">
        <f t="shared" si="6"/>
        <v>CCCRNimOruEast</v>
      </c>
    </row>
    <row r="406">
      <c r="AV406" s="0" t="s">
        <v>471</v>
      </c>
      <c r="AW406" s="0" t="s">
        <v>286</v>
      </c>
      <c r="AX406" s="0" t="s">
        <v>969</v>
      </c>
      <c r="AY406" s="0" t="s">
        <v>1868</v>
      </c>
      <c r="AZ406" s="0" t="s">
        <v>1869</v>
      </c>
      <c r="BA406" s="0" t="s">
        <v>285</v>
      </c>
      <c r="BB406" s="0" t="str">
        <f t="shared" si="6"/>
        <v>CCCRNimOruEast</v>
      </c>
    </row>
    <row r="407">
      <c r="AV407" s="0" t="s">
        <v>471</v>
      </c>
      <c r="AW407" s="0" t="s">
        <v>286</v>
      </c>
      <c r="AX407" s="0" t="s">
        <v>969</v>
      </c>
      <c r="AY407" s="0" t="s">
        <v>1870</v>
      </c>
      <c r="AZ407" s="0" t="s">
        <v>1871</v>
      </c>
      <c r="BA407" s="0" t="s">
        <v>285</v>
      </c>
      <c r="BB407" s="0" t="str">
        <f t="shared" si="6"/>
        <v>CCCRNimOruEast</v>
      </c>
    </row>
    <row r="408">
      <c r="AV408" s="0" t="s">
        <v>471</v>
      </c>
      <c r="AW408" s="0" t="s">
        <v>286</v>
      </c>
      <c r="AX408" s="0" t="s">
        <v>969</v>
      </c>
      <c r="AY408" s="0" t="s">
        <v>1872</v>
      </c>
      <c r="AZ408" s="0" t="s">
        <v>1873</v>
      </c>
      <c r="BA408" s="0" t="s">
        <v>285</v>
      </c>
      <c r="BB408" s="0" t="str">
        <f t="shared" si="6"/>
        <v>CCCRNimOruEast</v>
      </c>
    </row>
    <row r="409">
      <c r="AV409" s="0" t="s">
        <v>471</v>
      </c>
      <c r="AW409" s="0" t="s">
        <v>286</v>
      </c>
      <c r="AX409" s="0" t="s">
        <v>988</v>
      </c>
      <c r="AY409" s="0" t="s">
        <v>1874</v>
      </c>
      <c r="AZ409" s="0" t="s">
        <v>1875</v>
      </c>
      <c r="BA409" s="0" t="s">
        <v>285</v>
      </c>
      <c r="BB409" s="0" t="str">
        <f t="shared" si="6"/>
        <v>CCCRNimOruWest</v>
      </c>
    </row>
    <row r="410">
      <c r="AV410" s="0" t="s">
        <v>471</v>
      </c>
      <c r="AW410" s="0" t="s">
        <v>286</v>
      </c>
      <c r="AX410" s="0" t="s">
        <v>1005</v>
      </c>
      <c r="AY410" s="0" t="s">
        <v>1876</v>
      </c>
      <c r="AZ410" s="0" t="s">
        <v>1877</v>
      </c>
      <c r="BA410" s="0" t="s">
        <v>285</v>
      </c>
      <c r="BB410" s="0" t="str">
        <f t="shared" si="6"/>
        <v>CCCRNimOwerriMunicipal</v>
      </c>
    </row>
    <row r="411">
      <c r="AV411" s="0" t="s">
        <v>471</v>
      </c>
      <c r="AW411" s="0" t="s">
        <v>286</v>
      </c>
      <c r="AX411" s="0" t="s">
        <v>1005</v>
      </c>
      <c r="AY411" s="0" t="s">
        <v>1878</v>
      </c>
      <c r="AZ411" s="0" t="s">
        <v>1879</v>
      </c>
      <c r="BA411" s="0" t="s">
        <v>285</v>
      </c>
      <c r="BB411" s="0" t="str">
        <f t="shared" si="6"/>
        <v>CCCRNimOwerriMunicipal</v>
      </c>
    </row>
    <row r="412">
      <c r="AV412" s="0" t="s">
        <v>471</v>
      </c>
      <c r="AW412" s="0" t="s">
        <v>286</v>
      </c>
      <c r="AX412" s="0" t="s">
        <v>1005</v>
      </c>
      <c r="AY412" s="0" t="s">
        <v>1880</v>
      </c>
      <c r="AZ412" s="0" t="s">
        <v>1881</v>
      </c>
      <c r="BA412" s="0" t="s">
        <v>285</v>
      </c>
      <c r="BB412" s="0" t="str">
        <f t="shared" si="6"/>
        <v>CCCRNimOwerriMunicipal</v>
      </c>
    </row>
    <row r="413">
      <c r="AV413" s="0" t="s">
        <v>471</v>
      </c>
      <c r="AW413" s="0" t="s">
        <v>286</v>
      </c>
      <c r="AX413" s="0" t="s">
        <v>1005</v>
      </c>
      <c r="AY413" s="0" t="s">
        <v>1882</v>
      </c>
      <c r="AZ413" s="0" t="s">
        <v>1883</v>
      </c>
      <c r="BA413" s="0" t="s">
        <v>285</v>
      </c>
      <c r="BB413" s="0" t="str">
        <f t="shared" si="6"/>
        <v>CCCRNimOwerriMunicipal</v>
      </c>
    </row>
    <row r="414">
      <c r="AV414" s="0" t="s">
        <v>471</v>
      </c>
      <c r="AW414" s="0" t="s">
        <v>286</v>
      </c>
      <c r="AX414" s="0" t="s">
        <v>1005</v>
      </c>
      <c r="AY414" s="0" t="s">
        <v>1884</v>
      </c>
      <c r="AZ414" s="0" t="s">
        <v>1885</v>
      </c>
      <c r="BA414" s="0" t="s">
        <v>285</v>
      </c>
      <c r="BB414" s="0" t="str">
        <f t="shared" si="6"/>
        <v>CCCRNimOwerriMunicipal</v>
      </c>
    </row>
    <row r="415">
      <c r="AV415" s="0" t="s">
        <v>471</v>
      </c>
      <c r="AW415" s="0" t="s">
        <v>286</v>
      </c>
      <c r="AX415" s="0" t="s">
        <v>1021</v>
      </c>
      <c r="AY415" s="0" t="s">
        <v>289</v>
      </c>
      <c r="AZ415" s="0" t="s">
        <v>293</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