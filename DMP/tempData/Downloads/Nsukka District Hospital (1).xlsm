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<sst xmlns="http://schemas.openxmlformats.org/spreadsheetml/2006/main" count="4056" uniqueCount="4056">
  <si>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</si>
  <si>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</si>
  <si>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</si>
  <si>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</si>
  <si>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</si>
  <si>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</si>
  <si>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</si>
  <si>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</si>
  <si>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</si>
  <si>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</si>
  <si>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</si>
  <si>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</si>
  <si>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</si>
  <si>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</si>
  <si>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</si>
  <si>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</si>
  <si>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</si>
  <si>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</si>
  <si>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</si>
  <si>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</si>
  <si>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</si>
  <si>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</si>
  <si>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</si>
  <si>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</si>
  <si>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</si>
  <si>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</si>
  <si>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</si>
  <si>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</si>
  <si>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</si>
  <si>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</si>
  <si>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</si>
  <si>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</si>
  <si>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</si>
  <si>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</si>
  <si>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</si>
  <si>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</si>
  <si>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</si>
  <si>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</si>
  <si>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</si>
  <si>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</si>
  <si>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</si>
  <si>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</si>
  <si>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</si>
  <si>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</si>
  <si>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</si>
  <si>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</si>
  <si>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</si>
  <si>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</si>
  <si>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</si>
  <si>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</si>
  <si>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</si>
  <si>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</si>
  <si>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</si>
  <si>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</si>
  <si>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</si>
  <si>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</si>
  <si>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</si>
  <si>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</si>
  <si>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</si>
  <si>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</si>
  <si>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</si>
  <si>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</si>
  <si>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</si>
  <si>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</si>
  <si>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</si>
  <si>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</si>
  <si>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</si>
  <si>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</si>
  <si>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</si>
  <si>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</si>
  <si>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</si>
  <si>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</si>
  <si>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</si>
  <si>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</si>
  <si>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</si>
  <si>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</si>
  <si>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</si>
  <si>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</si>
  <si>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</si>
  <si>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</si>
  <si>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</si>
  <si>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</si>
  <si>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</si>
  <si>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</si>
  <si>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</si>
  <si>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</si>
  <si>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</si>
  <si>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</si>
  <si>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</si>
  <si>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</si>
  <si>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</si>
  <si>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</si>
  <si>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</si>
  <si>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</si>
  <si>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</si>
  <si>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</si>
  <si>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</si>
  <si>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</si>
  <si>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</si>
  <si>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</si>
  <si>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</si>
  <si>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</si>
  <si>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</si>
  <si>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</si>
  <si>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</si>
  <si>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</si>
  <si>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</si>
  <si>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</si>
  <si>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</si>
  <si>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</si>
  <si>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</si>
  <si>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</si>
  <si>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</si>
  <si>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</si>
  <si>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</si>
  <si>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</si>
  <si>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</si>
  <si>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</si>
  <si>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</si>
  <si>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</si>
  <si>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</si>
  <si>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</si>
  <si>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</si>
  <si>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</si>
  <si>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</si>
  <si>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</si>
  <si>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</si>
  <si>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</si>
  <si>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</si>
  <si>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</si>
  <si>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</si>
  <si>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</si>
  <si>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</si>
  <si>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</si>
  <si>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</si>
  <si>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</si>
  <si>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</si>
  <si>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</si>
  <si>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</si>
  <si>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</si>
  <si>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</si>
  <si>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</si>
  <si>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</si>
  <si>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</si>
  <si>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</si>
  <si>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</si>
  <si>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</si>
  <si>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</si>
  <si>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</si>
  <si>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</si>
  <si>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</si>
  <si>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</si>
  <si>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</si>
  <si>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</si>
  <si>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</si>
  <si>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</si>
  <si>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</si>
  <si>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</si>
  <si>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</si>
  <si>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</si>
  <si>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</si>
  <si>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</si>
  <si>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</si>
  <si>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</si>
  <si>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</si>
  <si>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</si>
  <si>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</si>
  <si>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</si>
  <si>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</si>
  <si>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</si>
  <si>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</si>
  <si>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</si>
  <si>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</si>
  <si>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</si>
  <si>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</si>
  <si>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</si>
  <si>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</si>
  <si>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</si>
  <si>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</si>
  <si>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</si>
  <si>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</si>
  <si>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</si>
  <si>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</si>
  <si>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</si>
  <si>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</si>
  <si>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</si>
  <si>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</si>
  <si>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</si>
  <si>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</si>
  <si>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</si>
  <si>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</si>
  <si>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</si>
  <si>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</si>
  <si>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</si>
  <si>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</si>
  <si>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</si>
  <si>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</si>
  <si>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</si>
  <si>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</si>
  <si>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</si>
  <si>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</si>
  <si>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</si>
  <si>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</si>
  <si>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</si>
  <si>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</si>
  <si>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</si>
  <si>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</si>
  <si>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</si>
  <si>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</si>
  <si>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</si>
  <si>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</si>
  <si>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</si>
  <si>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</si>
  <si>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</si>
  <si>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</si>
  <si>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</si>
  <si>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</si>
  <si>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</si>
  <si>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</si>
  <si>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</si>
  <si>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</si>
  <si>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</si>
  <si>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</si>
  <si>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</si>
  <si>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</si>
  <si>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</si>
  <si>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</si>
  <si>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</si>
  <si>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</si>
  <si>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</si>
  <si>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</si>
  <si>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</si>
  <si>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</si>
  <si>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</si>
  <si>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</si>
  <si>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</si>
  <si>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</si>
  <si>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</si>
  <si>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</si>
  <si>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</si>
  <si>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</si>
  <si>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</si>
  <si>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</si>
  <si>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</si>
  <si>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</si>
  <si>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</si>
  <si>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</si>
  <si>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</si>
  <si>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</si>
  <si>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</si>
  <si>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</si>
  <si>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</si>
  <si>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</si>
  <si>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</si>
  <si>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</si>
  <si>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</si>
  <si>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</si>
  <si>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</si>
  <si>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</si>
  <si>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</si>
  <si>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</si>
  <si>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</si>
  <si>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</si>
  <si>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</si>
  <si>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</si>
  <si>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</si>
  <si>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</si>
  <si>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</si>
  <si>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</si>
  <si>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</si>
  <si>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</si>
  <si>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</si>
  <si>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</si>
  <si>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</si>
  <si>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</si>
  <si>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</si>
  <si>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</si>
  <si>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</si>
  <si>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</si>
  <si>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</si>
  <si>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</si>
  <si>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</si>
  <si>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</si>
  <si>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</si>
  <si>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</si>
  <si>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</si>
  <si>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</si>
  <si>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Nsukka</t>
  </si>
  <si>
    <t>Facility Name:</t>
  </si>
  <si>
    <t>Nsukka District Hospital</t>
  </si>
  <si>
    <t>Reporting Period:</t>
  </si>
  <si>
    <t>Q1(Oct - Dec)</t>
  </si>
  <si>
    <t>Facility Code:</t>
  </si>
  <si>
    <t>Cwp4udMiIjP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</si>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</sst>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0</v>
      </c>
      <c r="T8" s="142" t="e">
        <f>(AVERAGE(F8:H8)+AVERAGE(K8:M8)+AVERAGE(P8:R8))/S8</f>
        <v>#DIV/0!</v>
      </c>
      <c r="V8" s="309">
        <f>AVERAGE(F8:H8)+AVERAGE(K8:M8)+AVERAGE(P8:R8)</f>
        <v>0</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0</v>
      </c>
      <c r="H12" s="174">
        <f>ROUND(SUM('All Questions'!D82:D83)/2,0)</f>
        <v>0</v>
      </c>
      <c r="I12" s="175">
        <f>ROUND(SUM('All Questions'!E54:E58)+'All Questions'!E71/4,0)</f>
        <v>0</v>
      </c>
      <c r="J12" s="176">
        <f>ROUND(SUM('All Questions'!E60:E63)/4,0)</f>
        <v>0</v>
      </c>
      <c r="K12" s="176">
        <f>ROUND(SUM('All Questions'!E67:E72)/3,0)</f>
        <v>0</v>
      </c>
      <c r="L12" s="176">
        <f>ROUND(SUM('All Questions'!E73:E80)/4,0)</f>
        <v>0</v>
      </c>
      <c r="M12" s="177">
        <f>ROUND(SUM('All Questions'!E82:E83)/2,0)</f>
        <v>0</v>
      </c>
      <c r="N12" s="178">
        <f>ROUND(SUM('All Questions'!F54:F58)+'All Questions'!F71/4,0)</f>
        <v>0</v>
      </c>
      <c r="O12" s="176">
        <f>ROUND(SUM('All Questions'!F60:F63)/4,0)</f>
        <v>0</v>
      </c>
      <c r="P12" s="176">
        <f>ROUND(SUM('All Questions'!F67:F72)/3,0)</f>
        <v>0</v>
      </c>
      <c r="Q12" s="176">
        <f>ROUND(SUM('All Questions'!F73:F80)/4,0)</f>
        <v>0</v>
      </c>
      <c r="R12" s="177">
        <f>ROUND(SUM('All Questions'!F82:F83)/2,0)</f>
        <v>0</v>
      </c>
      <c r="S12" s="145">
        <f>'All Questions'!F46</f>
        <v>0</v>
      </c>
      <c r="T12" s="146" t="e">
        <f ref="T12:T15" t="shared" si="1">(AVERAGE(F12:H12)+AVERAGE(K12:M12)+AVERAGE(P12:R12))/S12</f>
        <v>#DIV/0!</v>
      </c>
      <c r="V12" s="309">
        <f>AVERAGE(F12:H12)+AVERAGE(K12:M12)+AVERAGE(P12:R12)</f>
        <v>0</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337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0</v>
      </c>
      <c r="F82" s="301">
        <v>0</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45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833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1694</v>
      </c>
      <c r="AZ319" s="0" t="s">
        <v>1695</v>
      </c>
      <c r="BA319" s="0" t="s">
        <v>285</v>
      </c>
      <c r="BB319" s="0" t="str">
        <f t="shared" si="4"/>
        <v>CCCRNenIsiuzo</v>
      </c>
    </row>
    <row r="320">
      <c r="AV320" s="0" t="s">
        <v>471</v>
      </c>
      <c r="AW320" s="0" t="s">
        <v>286</v>
      </c>
      <c r="AX320" s="0" t="s">
        <v>685</v>
      </c>
      <c r="AY320" s="0" t="s">
        <v>1696</v>
      </c>
      <c r="AZ320" s="0" t="s">
        <v>1697</v>
      </c>
      <c r="BA320" s="0" t="s">
        <v>285</v>
      </c>
      <c r="BB320" s="0" t="str">
        <f t="shared" si="4"/>
        <v>CCCRNenIsiuzo</v>
      </c>
    </row>
    <row r="321">
      <c r="AV321" s="0" t="s">
        <v>471</v>
      </c>
      <c r="AW321" s="0" t="s">
        <v>286</v>
      </c>
      <c r="AX321" s="0" t="s">
        <v>685</v>
      </c>
      <c r="AY321" s="0" t="s">
        <v>1698</v>
      </c>
      <c r="AZ321" s="0" t="s">
        <v>1699</v>
      </c>
      <c r="BA321" s="0" t="s">
        <v>285</v>
      </c>
      <c r="BB321" s="0" t="str">
        <f t="shared" si="4"/>
        <v>CCCRNenIsiuzo</v>
      </c>
    </row>
    <row r="322">
      <c r="AV322" s="0" t="s">
        <v>471</v>
      </c>
      <c r="AW322" s="0" t="s">
        <v>286</v>
      </c>
      <c r="AX322" s="0" t="s">
        <v>685</v>
      </c>
      <c r="AY322" s="0" t="s">
        <v>1700</v>
      </c>
      <c r="AZ322" s="0" t="s">
        <v>1701</v>
      </c>
      <c r="BA322" s="0" t="s">
        <v>285</v>
      </c>
      <c r="BB322" s="0" t="str">
        <f t="shared" si="4"/>
        <v>CCCRNenIsiuzo</v>
      </c>
    </row>
    <row r="323">
      <c r="AV323" s="0" t="s">
        <v>471</v>
      </c>
      <c r="AW323" s="0" t="s">
        <v>286</v>
      </c>
      <c r="AX323" s="0" t="s">
        <v>685</v>
      </c>
      <c r="AY323" s="0" t="s">
        <v>1702</v>
      </c>
      <c r="AZ323" s="0" t="s">
        <v>1703</v>
      </c>
      <c r="BA323" s="0" t="s">
        <v>285</v>
      </c>
      <c r="BB323" s="0" t="str">
        <f ref="BB323:BB386" t="shared" si="5">SUBSTITUTE(SUBSTITUTE(BA323&amp;AX323," ",""),"-","")</f>
        <v>CCCRNenIsiuzo</v>
      </c>
    </row>
    <row r="324">
      <c r="AV324" s="0" t="s">
        <v>471</v>
      </c>
      <c r="AW324" s="0" t="s">
        <v>286</v>
      </c>
      <c r="AX324" s="0" t="s">
        <v>720</v>
      </c>
      <c r="AY324" s="0" t="s">
        <v>1704</v>
      </c>
      <c r="AZ324" s="0" t="s">
        <v>1705</v>
      </c>
      <c r="BA324" s="0" t="s">
        <v>285</v>
      </c>
      <c r="BB324" s="0" t="str">
        <f t="shared" si="5"/>
        <v>CCCRNenNkanuEast</v>
      </c>
    </row>
    <row r="325">
      <c r="AV325" s="0" t="s">
        <v>471</v>
      </c>
      <c r="AW325" s="0" t="s">
        <v>286</v>
      </c>
      <c r="AX325" s="0" t="s">
        <v>753</v>
      </c>
      <c r="AY325" s="0" t="s">
        <v>1706</v>
      </c>
      <c r="AZ325" s="0" t="s">
        <v>1707</v>
      </c>
      <c r="BA325" s="0" t="s">
        <v>285</v>
      </c>
      <c r="BB325" s="0" t="str">
        <f t="shared" si="5"/>
        <v>CCCRNenNkanuWest</v>
      </c>
    </row>
    <row r="326">
      <c r="AV326" s="0" t="s">
        <v>471</v>
      </c>
      <c r="AW326" s="0" t="s">
        <v>286</v>
      </c>
      <c r="AX326" s="0" t="s">
        <v>753</v>
      </c>
      <c r="AY326" s="0" t="s">
        <v>1708</v>
      </c>
      <c r="AZ326" s="0" t="s">
        <v>1709</v>
      </c>
      <c r="BA326" s="0" t="s">
        <v>285</v>
      </c>
      <c r="BB326" s="0" t="str">
        <f t="shared" si="5"/>
        <v>CCCRNenNkanuWest</v>
      </c>
    </row>
    <row r="327">
      <c r="AV327" s="0" t="s">
        <v>471</v>
      </c>
      <c r="AW327" s="0" t="s">
        <v>286</v>
      </c>
      <c r="AX327" s="0" t="s">
        <v>753</v>
      </c>
      <c r="AY327" s="0" t="s">
        <v>1710</v>
      </c>
      <c r="AZ327" s="0" t="s">
        <v>1711</v>
      </c>
      <c r="BA327" s="0" t="s">
        <v>285</v>
      </c>
      <c r="BB327" s="0" t="str">
        <f t="shared" si="5"/>
        <v>CCCRNenNkanuWest</v>
      </c>
    </row>
    <row r="328">
      <c r="AV328" s="0" t="s">
        <v>471</v>
      </c>
      <c r="AW328" s="0" t="s">
        <v>286</v>
      </c>
      <c r="AX328" s="0" t="s">
        <v>785</v>
      </c>
      <c r="AY328" s="0" t="s">
        <v>1712</v>
      </c>
      <c r="AZ328" s="0" t="s">
        <v>1713</v>
      </c>
      <c r="BA328" s="0" t="s">
        <v>285</v>
      </c>
      <c r="BB328" s="0" t="str">
        <f t="shared" si="5"/>
        <v>CCCRNenNsukka</v>
      </c>
    </row>
    <row r="329">
      <c r="AV329" s="0" t="s">
        <v>471</v>
      </c>
      <c r="AW329" s="0" t="s">
        <v>286</v>
      </c>
      <c r="AX329" s="0" t="s">
        <v>785</v>
      </c>
      <c r="AY329" s="0" t="s">
        <v>1714</v>
      </c>
      <c r="AZ329" s="0" t="s">
        <v>1715</v>
      </c>
      <c r="BA329" s="0" t="s">
        <v>285</v>
      </c>
      <c r="BB329" s="0" t="str">
        <f t="shared" si="5"/>
        <v>CCCRNenNsukka</v>
      </c>
    </row>
    <row r="330">
      <c r="AV330" s="0" t="s">
        <v>471</v>
      </c>
      <c r="AW330" s="0" t="s">
        <v>286</v>
      </c>
      <c r="AX330" s="0" t="s">
        <v>785</v>
      </c>
      <c r="AY330" s="0" t="s">
        <v>1716</v>
      </c>
      <c r="AZ330" s="0" t="s">
        <v>1717</v>
      </c>
      <c r="BA330" s="0" t="s">
        <v>285</v>
      </c>
      <c r="BB330" s="0" t="str">
        <f t="shared" si="5"/>
        <v>CCCRNenNsukka</v>
      </c>
    </row>
    <row r="331">
      <c r="AV331" s="0" t="s">
        <v>471</v>
      </c>
      <c r="AW331" s="0" t="s">
        <v>286</v>
      </c>
      <c r="AX331" s="0" t="s">
        <v>785</v>
      </c>
      <c r="AY331" s="0" t="s">
        <v>289</v>
      </c>
      <c r="AZ331" s="0" t="s">
        <v>293</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