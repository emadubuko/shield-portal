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<sst xmlns="http://schemas.openxmlformats.org/spreadsheetml/2006/main" count="4056" uniqueCount="4056">
  <si>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</si>
  <si>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</si>
  <si>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</si>
  <si>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</si>
  <si>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</si>
  <si>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</si>
  <si>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</si>
  <si>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</si>
  <si>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</si>
  <si>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</si>
  <si>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</si>
  <si>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</si>
  <si>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</si>
  <si>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</si>
  <si>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</si>
  <si>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</si>
  <si>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</si>
  <si>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</si>
  <si>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</si>
  <si>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</si>
  <si>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</si>
  <si>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</si>
  <si>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</si>
  <si>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</si>
  <si>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</si>
  <si>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</si>
  <si>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</si>
  <si>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</si>
  <si>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</si>
  <si>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</si>
  <si>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</si>
  <si>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</si>
  <si>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</si>
  <si>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</si>
  <si>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</si>
  <si>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</si>
  <si>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</si>
  <si>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</si>
  <si>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</si>
  <si>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</si>
  <si>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</si>
  <si>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</si>
  <si>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</si>
  <si>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</si>
  <si>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</si>
  <si>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</si>
  <si>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</si>
  <si>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</si>
  <si>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</si>
  <si>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</si>
  <si>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</si>
  <si>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</si>
  <si>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</si>
  <si>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</si>
  <si>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</si>
  <si>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</si>
  <si>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</si>
  <si>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</si>
  <si>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</si>
  <si>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</si>
  <si>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</si>
  <si>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</si>
  <si>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</si>
  <si>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</si>
  <si>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</si>
  <si>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</si>
  <si>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</si>
  <si>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</si>
  <si>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</si>
  <si>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</si>
  <si>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</si>
  <si>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</si>
  <si>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</si>
  <si>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</si>
  <si>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</si>
  <si>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</si>
  <si>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</si>
  <si>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</si>
  <si>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</si>
  <si>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</si>
  <si>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</si>
  <si>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</si>
  <si>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</si>
  <si>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</si>
  <si>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</si>
  <si>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</si>
  <si>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</si>
  <si>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</si>
  <si>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</si>
  <si>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</si>
  <si>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</si>
  <si>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</si>
  <si>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</si>
  <si>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</si>
  <si>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</si>
  <si>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</si>
  <si>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</si>
  <si>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</si>
  <si>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</si>
  <si>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</si>
  <si>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</si>
  <si>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</si>
  <si>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</si>
  <si>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</si>
  <si>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</si>
  <si>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</si>
  <si>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</si>
  <si>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</si>
  <si>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</si>
  <si>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</si>
  <si>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</si>
  <si>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</si>
  <si>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</si>
  <si>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</si>
  <si>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</si>
  <si>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</si>
  <si>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</si>
  <si>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</si>
  <si>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</si>
  <si>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</si>
  <si>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</si>
  <si>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</si>
  <si>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</si>
  <si>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</si>
  <si>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</si>
  <si>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</si>
  <si>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</si>
  <si>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</si>
  <si>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</si>
  <si>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</si>
  <si>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</si>
  <si>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</si>
  <si>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</si>
  <si>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</si>
  <si>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</si>
  <si>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</si>
  <si>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</si>
  <si>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</si>
  <si>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</si>
  <si>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</si>
  <si>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</si>
  <si>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</si>
  <si>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</si>
  <si>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</si>
  <si>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</si>
  <si>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</si>
  <si>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</si>
  <si>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</si>
  <si>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</si>
  <si>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</si>
  <si>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</si>
  <si>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</si>
  <si>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</si>
  <si>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</si>
  <si>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</si>
  <si>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</si>
  <si>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</si>
  <si>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</si>
  <si>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</si>
  <si>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</si>
  <si>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</si>
  <si>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</si>
  <si>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</si>
  <si>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</si>
  <si>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</si>
  <si>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</si>
  <si>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</si>
  <si>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</si>
  <si>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</si>
  <si>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</si>
  <si>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</si>
  <si>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</si>
  <si>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</si>
  <si>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</si>
  <si>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</si>
  <si>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</si>
  <si>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</si>
  <si>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</si>
  <si>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</si>
  <si>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</si>
  <si>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</si>
  <si>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</si>
  <si>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</si>
  <si>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</si>
  <si>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</si>
  <si>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</si>
  <si>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</si>
  <si>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</si>
  <si>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</si>
  <si>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</si>
  <si>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</si>
  <si>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</si>
  <si>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</si>
  <si>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</si>
  <si>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</si>
  <si>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</si>
  <si>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</si>
  <si>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</si>
  <si>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</si>
  <si>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</si>
  <si>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</si>
  <si>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</si>
  <si>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</si>
  <si>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</si>
  <si>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</si>
  <si>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</si>
  <si>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</si>
  <si>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</si>
  <si>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</si>
  <si>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</si>
  <si>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</si>
  <si>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</si>
  <si>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</si>
  <si>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</si>
  <si>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</si>
  <si>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</si>
  <si>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</si>
  <si>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</si>
  <si>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</si>
  <si>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</si>
  <si>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</si>
  <si>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</si>
  <si>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</si>
  <si>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</si>
  <si>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</si>
  <si>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</si>
  <si>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</si>
  <si>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</si>
  <si>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</si>
  <si>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</si>
  <si>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</si>
  <si>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</si>
  <si>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</si>
  <si>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</si>
  <si>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</si>
  <si>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</si>
  <si>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</si>
  <si>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</si>
  <si>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</si>
  <si>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</si>
  <si>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</si>
  <si>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</si>
  <si>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</si>
  <si>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</si>
  <si>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</si>
  <si>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</si>
  <si>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</si>
  <si>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</si>
  <si>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</si>
  <si>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</si>
  <si>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</si>
  <si>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</si>
  <si>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</si>
  <si>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</si>
  <si>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</si>
  <si>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</si>
  <si>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</si>
  <si>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</si>
  <si>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</si>
  <si>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</si>
  <si>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</si>
  <si>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</si>
  <si>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</si>
  <si>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</si>
  <si>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</si>
  <si>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</si>
  <si>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</si>
  <si>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</si>
  <si>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</si>
  <si>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</si>
  <si>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</si>
  <si>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</si>
  <si>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</si>
  <si>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</si>
  <si>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</si>
  <si>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</si>
  <si>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</si>
  <si>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</si>
  <si>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</si>
  <si>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</si>
  <si>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</si>
  <si>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</si>
  <si>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</si>
  <si>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</si>
  <si>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</si>
  <si>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</si>
  <si>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Nasarawa</t>
  </si>
  <si>
    <t>Doma</t>
  </si>
  <si>
    <t>Facility Name:</t>
  </si>
  <si>
    <t>Owoche Clinic and Maternity</t>
  </si>
  <si>
    <t>Reporting Period:</t>
  </si>
  <si>
    <t>Q1(Oct - Dec)</t>
  </si>
  <si>
    <t>Facility Code:</t>
  </si>
  <si>
    <t>U5N1HnNpRM2</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</si>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</sst>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98</v>
      </c>
      <c r="G8" s="155">
        <f>ROUND(SUM('All Questions'!D31:D35)/5+G12,0)</f>
        <v>49</v>
      </c>
      <c r="H8" s="156">
        <f>ROUND(SUM('All Questions'!D37,'All Questions'!D40)/2+'All Questions'!D26+H12,0)</f>
        <v>177</v>
      </c>
      <c r="I8" s="157">
        <f>ROUND((SUM('All Questions'!E11:E14)/4)+I12,0)</f>
        <v>0</v>
      </c>
      <c r="J8" s="155">
        <f>ROUND(SUM('All Questions'!E15:E21)/7+J12,0)</f>
        <v>0</v>
      </c>
      <c r="K8" s="155">
        <f>ROUND(SUM('All Questions'!E23:E30)/4+K12,0)</f>
        <v>100</v>
      </c>
      <c r="L8" s="155">
        <f>ROUND(SUM('All Questions'!E31:E35)/5+L12,0)</f>
        <v>39</v>
      </c>
      <c r="M8" s="156">
        <f>ROUND(('All Questions'!E37+'All Questions'!E40)/2+'All Questions'!E26+M12,0)</f>
        <v>158</v>
      </c>
      <c r="N8" s="157">
        <f>ROUND((SUM('All Questions'!F11:F14)/4)+N12,0)</f>
        <v>0</v>
      </c>
      <c r="O8" s="155">
        <f>ROUND(SUM('All Questions'!F15:F21)/7+O12,0)</f>
        <v>0</v>
      </c>
      <c r="P8" s="155">
        <f>ROUND(SUM('All Questions'!F23:F30)/4+P12,0)</f>
        <v>139</v>
      </c>
      <c r="Q8" s="155">
        <f>ROUND(SUM('All Questions'!F31:F35)/5+Q12,0)</f>
        <v>69</v>
      </c>
      <c r="R8" s="156">
        <f>ROUND(('All Questions'!F37+'All Questions'!F40)/2+'All Questions'!F26+R12,0)</f>
        <v>260</v>
      </c>
      <c r="S8" s="141">
        <f>'All Questions'!F2</f>
        <v>0</v>
      </c>
      <c r="T8" s="142" t="e">
        <f>(AVERAGE(F8:H8)+AVERAGE(K8:M8)+AVERAGE(P8:R8))/S8</f>
        <v>#DIV/0!</v>
      </c>
      <c r="V8" s="309">
        <f>AVERAGE(F8:H8)+AVERAGE(K8:M8)+AVERAGE(P8:R8)</f>
        <v>363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2</v>
      </c>
      <c r="G9" s="158"/>
      <c r="H9" s="160"/>
      <c r="I9" s="161"/>
      <c r="J9" s="158"/>
      <c r="K9" s="159">
        <f>ROUND('All Questions'!E29+K13,0)</f>
        <v>4</v>
      </c>
      <c r="L9" s="158"/>
      <c r="M9" s="160"/>
      <c r="N9" s="161"/>
      <c r="O9" s="158"/>
      <c r="P9" s="159">
        <f>ROUND('All Questions'!F29+P13,0)</f>
        <v>0</v>
      </c>
      <c r="Q9" s="158"/>
      <c r="R9" s="160"/>
      <c r="S9" s="141">
        <f>'All Questions'!F3</f>
        <v>0</v>
      </c>
      <c r="T9" s="143" t="e">
        <f>SUM(F9,K9,P9)/S9</f>
        <v>#DIV/0!</v>
      </c>
      <c r="V9" s="309">
        <f>SUM(F9+K9+P9)</f>
        <v>6</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72</v>
      </c>
      <c r="G10" s="159">
        <f>ROUND(SUM('All Questions'!D31:D35)/5,0)</f>
        <v>29</v>
      </c>
      <c r="H10" s="162">
        <f>ROUND(('All Questions'!D37+'All Questions'!D40)/2+'All Questions'!D26,0)</f>
        <v>157</v>
      </c>
      <c r="I10" s="163">
        <f>ROUND((SUM('All Questions'!E11:E14)/4),0)</f>
        <v>0</v>
      </c>
      <c r="J10" s="164">
        <f>ROUND(SUM('All Questions'!E15:E21)/7,0)</f>
        <v>0</v>
      </c>
      <c r="K10" s="164">
        <f>ROUND(SUM('All Questions'!E23:E30)/4,0)</f>
        <v>68</v>
      </c>
      <c r="L10" s="164">
        <f>ROUND(SUM('All Questions'!E31:E35)/5,0)</f>
        <v>27</v>
      </c>
      <c r="M10" s="165">
        <f>ROUND(('All Questions'!E37+'All Questions'!E40)/2+'All Questions'!E26,0)</f>
        <v>146</v>
      </c>
      <c r="N10" s="166">
        <f>ROUND((SUM('All Questions'!F11:F14)/4),0)</f>
        <v>0</v>
      </c>
      <c r="O10" s="164">
        <f>ROUND(SUM('All Questions'!F15:F21)/7,0)</f>
        <v>0</v>
      </c>
      <c r="P10" s="164">
        <f>ROUND(SUM('All Questions'!F23:F30)/4,0)</f>
        <v>104</v>
      </c>
      <c r="Q10" s="164">
        <f>ROUND(SUM('All Questions'!F31:F35)/5,0)</f>
        <v>42</v>
      </c>
      <c r="R10" s="165">
        <f>ROUND(('All Questions'!F37+'All Questions'!F40)/2+'All Questions'!F26,0)</f>
        <v>232</v>
      </c>
      <c r="S10" s="141">
        <f>'All Questions'!F4</f>
        <v>0</v>
      </c>
      <c r="T10" s="143" t="e">
        <f>(AVERAGE(F10:H10)+AVERAGE(K10:M10)+AVERAGE(P10:R10))/S10</f>
        <v>#DIV/0!</v>
      </c>
      <c r="V10" s="309">
        <f>AVERAGE(F10:H10)+AVERAGE(K10:M10)+AVERAGE(P10:R10)</f>
        <v>292.33333333333331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v>
      </c>
      <c r="G11" s="167"/>
      <c r="H11" s="169"/>
      <c r="I11" s="170"/>
      <c r="J11" s="167"/>
      <c r="K11" s="171">
        <f>ROUND('All Questions'!E29,0)</f>
        <v>2</v>
      </c>
      <c r="L11" s="167"/>
      <c r="M11" s="169"/>
      <c r="N11" s="170"/>
      <c r="O11" s="167"/>
      <c r="P11" s="171">
        <f>ROUND('All Questions'!F29,0)</f>
        <v>0</v>
      </c>
      <c r="Q11" s="167"/>
      <c r="R11" s="169"/>
      <c r="S11" s="141">
        <f>'All Questions'!F5</f>
        <v>0</v>
      </c>
      <c r="T11" s="144" t="e">
        <f>SUM(F11,K11,P11)/S11</f>
        <v>#DIV/0!</v>
      </c>
      <c r="V11" s="309">
        <f>SUM(F11+K11+P11)</f>
        <v>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27</v>
      </c>
      <c r="G12" s="173">
        <f>ROUND(SUM('All Questions'!D73:D80)/4,0)</f>
        <v>20</v>
      </c>
      <c r="H12" s="174">
        <f>ROUND(SUM('All Questions'!D82:D83)/2,0)</f>
        <v>20</v>
      </c>
      <c r="I12" s="175">
        <f>ROUND(SUM('All Questions'!E54:E58)+'All Questions'!E71/4,0)</f>
        <v>0</v>
      </c>
      <c r="J12" s="176">
        <f>ROUND(SUM('All Questions'!E60:E63)/4,0)</f>
        <v>0</v>
      </c>
      <c r="K12" s="176">
        <f>ROUND(SUM('All Questions'!E67:E72)/3,0)</f>
        <v>33</v>
      </c>
      <c r="L12" s="176">
        <f>ROUND(SUM('All Questions'!E73:E80)/4,0)</f>
        <v>12</v>
      </c>
      <c r="M12" s="177">
        <f>ROUND(SUM('All Questions'!E82:E83)/2,0)</f>
        <v>12</v>
      </c>
      <c r="N12" s="178">
        <f>ROUND(SUM('All Questions'!F54:F58)+'All Questions'!F71/4,0)</f>
        <v>0</v>
      </c>
      <c r="O12" s="176">
        <f>ROUND(SUM('All Questions'!F60:F63)/4,0)</f>
        <v>0</v>
      </c>
      <c r="P12" s="176">
        <f>ROUND(SUM('All Questions'!F67:F72)/3,0)</f>
        <v>35</v>
      </c>
      <c r="Q12" s="176">
        <f>ROUND(SUM('All Questions'!F73:F80)/4,0)</f>
        <v>27</v>
      </c>
      <c r="R12" s="177">
        <f>ROUND(SUM('All Questions'!F82:F83)/2,0)</f>
        <v>27</v>
      </c>
      <c r="S12" s="145">
        <f>'All Questions'!F46</f>
        <v>0</v>
      </c>
      <c r="T12" s="146" t="e">
        <f ref="T12:T15" t="shared" si="1">(AVERAGE(F12:H12)+AVERAGE(K12:M12)+AVERAGE(P12:R12))/S12</f>
        <v>#DIV/0!</v>
      </c>
      <c r="V12" s="309">
        <f>AVERAGE(F12:H12)+AVERAGE(K12:M12)+AVERAGE(P12:R12)</f>
        <v>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0</v>
      </c>
      <c r="I13" s="181"/>
      <c r="J13" s="182"/>
      <c r="K13" s="183">
        <f>ROUND('All Questions'!E72,0)</f>
        <v>2</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7</v>
      </c>
      <c r="R14" s="184">
        <f>ROUND(SUM('All Questions'!F88:F89)/2,0)</f>
        <v>0</v>
      </c>
      <c r="S14" s="145">
        <f>'All Questions'!F48</f>
        <v>0</v>
      </c>
      <c r="T14" s="147" t="e">
        <f>(AVERAGE(F14:H14)+AVERAGE(K14:M14)+AVERAGE(P14:R14))/S14</f>
        <v>#DIV/0!</v>
      </c>
      <c r="V14" s="309">
        <f>AVERAGE(F14:H14)+AVERAGE(K14:M14)+AVERAGE(P14:R14)</f>
        <v>2.3333333333333335</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1</v>
      </c>
      <c r="M16" s="195">
        <f>ROUND(SUM('All Questions'!E111,'All Questions'!E112,'All Questions'!E114,'All Questions'!E115)/4,0)</f>
        <v>2</v>
      </c>
      <c r="N16" s="196">
        <f>ROUND(SUM('All Questions'!F93:F94)/2,0)</f>
        <v>0</v>
      </c>
      <c r="O16" s="194">
        <f>ROUND(SUM('All Questions'!F97:F100)/4,0)</f>
        <v>0</v>
      </c>
      <c r="P16" s="194">
        <f>ROUND(SUM('All Questions'!F101:F105)/2,0)</f>
        <v>0</v>
      </c>
      <c r="Q16" s="194">
        <f>ROUND(SUM('All Questions'!F106:F109)/4,0)</f>
        <v>1</v>
      </c>
      <c r="R16" s="195">
        <f>ROUND(SUM('All Questions'!F111,'All Questions'!F112,'All Questions'!F114,'All Questions'!F115)/4,0)</f>
        <v>1</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10</v>
      </c>
      <c r="H17" s="197">
        <f>ROUND(SUM('All Questions'!D160,'All Questions'!D163)/2,0)</f>
        <v>0</v>
      </c>
      <c r="I17" s="198">
        <f>ROUND(SUM('All Questions'!E145:E146)/2,0)</f>
        <v>0</v>
      </c>
      <c r="J17" s="199">
        <f>ROUND(SUM('All Questions'!E147:E150)/4,0)</f>
        <v>0</v>
      </c>
      <c r="K17" s="199">
        <f>ROUND(SUM('All Questions'!E151:E154)/2,0)</f>
        <v>2</v>
      </c>
      <c r="L17" s="199">
        <f>ROUND(SUM('All Questions'!E155:E158)/4,0)</f>
        <v>14</v>
      </c>
      <c r="M17" s="197">
        <f>ROUND(SUM('All Questions'!E160,'All Questions'!E163)/2,0)</f>
        <v>2</v>
      </c>
      <c r="N17" s="200">
        <f>ROUND(SUM('All Questions'!F145:F146)/2,0)</f>
        <v>0</v>
      </c>
      <c r="O17" s="199">
        <f>ROUND(SUM('All Questions'!F147:F150)/4,0)</f>
        <v>0</v>
      </c>
      <c r="P17" s="199">
        <f>ROUND(SUM('All Questions'!F151:F154)/2,0)</f>
        <v>2</v>
      </c>
      <c r="Q17" s="199">
        <f>ROUND(SUM('All Questions'!F155:F158)/4,0)</f>
        <v>14</v>
      </c>
      <c r="R17" s="199">
        <f>ROUND(SUM('All Questions'!F160,'All Questions'!F163)/2,0)</f>
        <v>2</v>
      </c>
      <c r="S17" s="151">
        <f>'All Questions'!F141</f>
        <v>0</v>
      </c>
      <c r="T17" s="142" t="e">
        <f>(AVERAGE(F17:H17)+AVERAGE(K17:M17)+AVERAGE(P17:R17))/S17</f>
        <v>#DIV/0!</v>
      </c>
      <c r="V17" s="309">
        <f t="shared" si="2"/>
        <v>15.333333333333334</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v>
      </c>
      <c r="Q18" s="204">
        <f>ROUND(SUM('All Questions'!F186:F189)/4,0)</f>
        <v>13</v>
      </c>
      <c r="R18" s="303">
        <f>ROUND(('All Questions'!F191-('All Questions'!F194+'All Questions'!F197+'All Questions'!F200)),0)</f>
        <v>-46</v>
      </c>
      <c r="S18" s="152">
        <f>'All Questions'!F166</f>
        <v>0</v>
      </c>
      <c r="T18" s="144" t="e">
        <f>AVERAGE(P18:R18)/S18</f>
        <v>#DIV/0!</v>
      </c>
      <c r="V18" s="309">
        <f>AVERAGE(P18:R18)</f>
        <v>-10.666666666666666</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1454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143</v>
      </c>
      <c r="E10" s="301">
        <v>135</v>
      </c>
      <c r="F10" s="301">
        <v>208</v>
      </c>
      <c r="G10" s="207" t="s">
        <v>67</v>
      </c>
    </row>
    <row r="11" hidden="1" ht="45" customHeight="1">
      <c r="A11" s="226"/>
      <c r="B11" s="238">
        <v>1114</v>
      </c>
      <c r="C11" s="243" t="s">
        <v>84</v>
      </c>
      <c r="D11" s="301">
        <v>143</v>
      </c>
      <c r="E11" s="301">
        <v>135</v>
      </c>
      <c r="F11" s="301">
        <v>208</v>
      </c>
      <c r="G11" s="207" t="s">
        <v>67</v>
      </c>
    </row>
    <row r="12" hidden="1" ht="45" customHeight="1">
      <c r="A12" s="226"/>
      <c r="B12" s="238">
        <v>1115</v>
      </c>
      <c r="C12" s="242" t="s">
        <v>85</v>
      </c>
      <c r="D12" s="301">
        <v>102</v>
      </c>
      <c r="E12" s="301">
        <v>85</v>
      </c>
      <c r="F12" s="301">
        <v>147</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115</v>
      </c>
      <c r="E25" s="301">
        <v>112</v>
      </c>
      <c r="F25" s="301">
        <v>159</v>
      </c>
      <c r="G25" s="207" t="s">
        <v>67</v>
      </c>
    </row>
    <row r="26" hidden="1" ht="45" customHeight="1">
      <c r="A26" s="226"/>
      <c r="B26" s="238">
        <v>1134</v>
      </c>
      <c r="C26" s="242" t="s">
        <v>99</v>
      </c>
      <c r="D26" s="301">
        <v>28</v>
      </c>
      <c r="E26" s="301">
        <v>23</v>
      </c>
      <c r="F26" s="301">
        <v>49</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1</v>
      </c>
      <c r="E29" s="301">
        <v>2</v>
      </c>
      <c r="F29" s="301">
        <v>0</v>
      </c>
      <c r="G29" s="207" t="s">
        <v>67</v>
      </c>
    </row>
    <row r="30" hidden="1" ht="45" customHeight="1">
      <c r="A30" s="226"/>
      <c r="B30" s="238">
        <v>1138</v>
      </c>
      <c r="C30" s="242" t="s">
        <v>103</v>
      </c>
      <c r="D30" s="301">
        <v>142</v>
      </c>
      <c r="E30" s="301">
        <v>133</v>
      </c>
      <c r="F30" s="301">
        <v>208</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143</v>
      </c>
      <c r="E33" s="301">
        <v>135</v>
      </c>
      <c r="F33" s="301">
        <v>208</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143</v>
      </c>
      <c r="E37" s="301">
        <v>135</v>
      </c>
      <c r="F37" s="301">
        <v>208</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115</v>
      </c>
      <c r="E40" s="301">
        <v>112</v>
      </c>
      <c r="F40" s="301">
        <v>159</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2</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73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40</v>
      </c>
      <c r="E53" s="301">
        <v>23</v>
      </c>
      <c r="F53" s="301">
        <v>27</v>
      </c>
      <c r="G53" s="207" t="s">
        <v>117</v>
      </c>
    </row>
    <row r="54" hidden="1" ht="45" customHeight="1">
      <c r="A54" s="226"/>
      <c r="B54" s="238">
        <v>1214</v>
      </c>
      <c r="C54" s="264" t="s">
        <v>132</v>
      </c>
      <c r="D54" s="301">
        <v>40</v>
      </c>
      <c r="E54" s="301">
        <v>23</v>
      </c>
      <c r="F54" s="301">
        <v>27</v>
      </c>
      <c r="G54" s="207" t="s">
        <v>117</v>
      </c>
    </row>
    <row r="55" hidden="1" ht="45" customHeight="1">
      <c r="A55" s="226"/>
      <c r="B55" s="238">
        <v>1215</v>
      </c>
      <c r="C55" s="242" t="s">
        <v>133</v>
      </c>
      <c r="D55" s="301">
        <v>40</v>
      </c>
      <c r="E55" s="301">
        <v>23</v>
      </c>
      <c r="F55" s="301">
        <v>27</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31</v>
      </c>
      <c r="E67" s="301">
        <v>38</v>
      </c>
      <c r="F67" s="301">
        <v>27</v>
      </c>
      <c r="G67" s="207" t="s">
        <v>117</v>
      </c>
    </row>
    <row r="68" hidden="1" ht="42" customHeight="1">
      <c r="A68" s="226"/>
      <c r="B68" s="238">
        <v>1232</v>
      </c>
      <c r="C68" s="242" t="s">
        <v>146</v>
      </c>
      <c r="D68" s="301">
        <v>9</v>
      </c>
      <c r="E68" s="301">
        <v>12</v>
      </c>
      <c r="F68" s="301">
        <v>27</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40</v>
      </c>
      <c r="E71" s="301">
        <v>48</v>
      </c>
      <c r="F71" s="301">
        <v>52</v>
      </c>
      <c r="G71" s="207" t="s">
        <v>117</v>
      </c>
    </row>
    <row r="72" hidden="1" ht="45" customHeight="1">
      <c r="A72" s="226"/>
      <c r="B72" s="238">
        <v>1236</v>
      </c>
      <c r="C72" s="242" t="s">
        <v>150</v>
      </c>
      <c r="D72" s="301">
        <v>1</v>
      </c>
      <c r="E72" s="301">
        <v>2</v>
      </c>
      <c r="F72" s="301">
        <v>0</v>
      </c>
      <c r="G72" s="207" t="s">
        <v>117</v>
      </c>
    </row>
    <row r="73" hidden="1" ht="45" customHeight="1">
      <c r="A73" s="226"/>
      <c r="B73" s="238">
        <v>1241</v>
      </c>
      <c r="C73" s="242" t="s">
        <v>151</v>
      </c>
      <c r="D73" s="301">
        <v>40</v>
      </c>
      <c r="E73" s="301">
        <v>23</v>
      </c>
      <c r="F73" s="301">
        <v>27</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40</v>
      </c>
      <c r="E75" s="301">
        <v>23</v>
      </c>
      <c r="F75" s="301">
        <v>27</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27</v>
      </c>
      <c r="G79" s="207" t="s">
        <v>117</v>
      </c>
    </row>
    <row r="80" hidden="1" ht="45" customHeight="1">
      <c r="A80" s="226"/>
      <c r="B80" s="238">
        <v>1248</v>
      </c>
      <c r="C80" s="242" t="s">
        <v>158</v>
      </c>
      <c r="D80" s="301">
        <v>0</v>
      </c>
      <c r="E80" s="301">
        <v>0</v>
      </c>
      <c r="F80" s="301">
        <v>27</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40</v>
      </c>
      <c r="E82" s="301">
        <v>23</v>
      </c>
      <c r="F82" s="301">
        <v>27</v>
      </c>
      <c r="G82" s="207" t="s">
        <v>117</v>
      </c>
    </row>
    <row r="83" hidden="1" ht="45" customHeight="1">
      <c r="A83" s="226"/>
      <c r="B83" s="238">
        <v>1253</v>
      </c>
      <c r="C83" s="242" t="s">
        <v>161</v>
      </c>
      <c r="D83" s="301">
        <v>0</v>
      </c>
      <c r="E83" s="301">
        <v>0</v>
      </c>
      <c r="F83" s="301">
        <v>27</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2</v>
      </c>
      <c r="F85" s="301">
        <v>0</v>
      </c>
      <c r="G85" s="207" t="s">
        <v>117</v>
      </c>
    </row>
    <row r="86" hidden="1" ht="45" customHeight="1">
      <c r="A86" s="226"/>
      <c r="B86" s="238">
        <v>1256</v>
      </c>
      <c r="C86" s="242" t="s">
        <v>164</v>
      </c>
      <c r="D86" s="301">
        <v>0</v>
      </c>
      <c r="E86" s="301">
        <v>0</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2</v>
      </c>
      <c r="F93" s="301">
        <v>1</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2</v>
      </c>
      <c r="F97" s="301">
        <v>1</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2</v>
      </c>
      <c r="F101" s="301">
        <v>1</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2</v>
      </c>
      <c r="F106" s="301">
        <v>1</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2</v>
      </c>
      <c r="F108" s="301">
        <v>1</v>
      </c>
      <c r="G108" s="266" t="s">
        <v>168</v>
      </c>
    </row>
    <row r="109" ht="45" customHeight="1" s="270" customFormat="1">
      <c r="A109" s="226"/>
      <c r="B109" s="238">
        <v>1344</v>
      </c>
      <c r="C109" s="242" t="s">
        <v>188</v>
      </c>
      <c r="D109" s="301">
        <v>0</v>
      </c>
      <c r="E109" s="301">
        <v>0</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2</v>
      </c>
      <c r="F111" s="301">
        <v>1</v>
      </c>
      <c r="G111" s="266" t="s">
        <v>168</v>
      </c>
    </row>
    <row r="112" ht="45" customHeight="1" s="270" customFormat="1">
      <c r="A112" s="226"/>
      <c r="B112" s="238">
        <v>1353</v>
      </c>
      <c r="C112" s="242" t="s">
        <v>191</v>
      </c>
      <c r="D112" s="301">
        <v>0</v>
      </c>
      <c r="E112" s="301">
        <v>2</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2</v>
      </c>
      <c r="F114" s="301">
        <v>1</v>
      </c>
      <c r="G114" s="266" t="s">
        <v>168</v>
      </c>
    </row>
    <row r="115" ht="45" customHeight="1" s="270" customFormat="1">
      <c r="A115" s="226"/>
      <c r="B115" s="238">
        <v>1356</v>
      </c>
      <c r="C115" s="242" t="s">
        <v>193</v>
      </c>
      <c r="D115" s="301">
        <v>0</v>
      </c>
      <c r="E115" s="301">
        <v>0</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1</v>
      </c>
      <c r="F119" s="301">
        <v>0</v>
      </c>
      <c r="G119" s="207" t="s">
        <v>194</v>
      </c>
    </row>
    <row r="120" hidden="1" ht="45" customHeight="1" s="270" customFormat="1">
      <c r="A120" s="226"/>
      <c r="B120" s="238">
        <v>1414</v>
      </c>
      <c r="C120" s="243" t="s">
        <v>198</v>
      </c>
      <c r="D120" s="301">
        <v>0</v>
      </c>
      <c r="E120" s="301">
        <v>1</v>
      </c>
      <c r="F120" s="301">
        <v>0</v>
      </c>
      <c r="G120" s="207" t="s">
        <v>194</v>
      </c>
    </row>
    <row r="121" hidden="1" ht="45" customHeight="1" s="270" customFormat="1">
      <c r="A121" s="226"/>
      <c r="B121" s="238">
        <v>1422</v>
      </c>
      <c r="C121" s="242" t="s">
        <v>199</v>
      </c>
      <c r="D121" s="301">
        <v>0</v>
      </c>
      <c r="E121" s="301">
        <v>1</v>
      </c>
      <c r="F121" s="301">
        <v>0</v>
      </c>
      <c r="G121" s="207" t="s">
        <v>194</v>
      </c>
    </row>
    <row r="122" hidden="1" ht="45" customHeight="1" s="270" customFormat="1">
      <c r="A122" s="226"/>
      <c r="B122" s="238">
        <v>1423</v>
      </c>
      <c r="C122" s="242" t="s">
        <v>200</v>
      </c>
      <c r="D122" s="301">
        <v>0</v>
      </c>
      <c r="E122" s="301">
        <v>1</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1</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1</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8</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5</v>
      </c>
      <c r="F144" s="301">
        <v>3</v>
      </c>
      <c r="G144" s="207" t="s">
        <v>219</v>
      </c>
    </row>
    <row r="145" hidden="1" ht="45" customHeight="1">
      <c r="A145" s="226"/>
      <c r="B145" s="238">
        <v>1514</v>
      </c>
      <c r="C145" s="264" t="s">
        <v>225</v>
      </c>
      <c r="D145" s="301">
        <v>0</v>
      </c>
      <c r="E145" s="301">
        <v>5</v>
      </c>
      <c r="F145" s="301">
        <v>3</v>
      </c>
      <c r="G145" s="207" t="s">
        <v>219</v>
      </c>
    </row>
    <row r="146" hidden="1" ht="45" customHeight="1">
      <c r="A146" s="226">
        <v>1541</v>
      </c>
      <c r="B146" s="238">
        <v>1515</v>
      </c>
      <c r="C146" s="264" t="s">
        <v>226</v>
      </c>
      <c r="D146" s="301">
        <v>0</v>
      </c>
      <c r="E146" s="301">
        <v>5</v>
      </c>
      <c r="F146" s="301">
        <v>3</v>
      </c>
      <c r="G146" s="207" t="s">
        <v>219</v>
      </c>
    </row>
    <row r="147" hidden="1" ht="45" customHeight="1">
      <c r="A147" s="226"/>
      <c r="B147" s="238">
        <v>1521</v>
      </c>
      <c r="C147" s="264" t="s">
        <v>227</v>
      </c>
      <c r="D147" s="301">
        <v>0</v>
      </c>
      <c r="E147" s="301">
        <v>5</v>
      </c>
      <c r="F147" s="301">
        <v>3</v>
      </c>
      <c r="G147" s="207" t="s">
        <v>219</v>
      </c>
    </row>
    <row r="148" hidden="1" ht="45" customHeight="1">
      <c r="A148" s="226"/>
      <c r="B148" s="238">
        <v>1522</v>
      </c>
      <c r="C148" s="264" t="s">
        <v>228</v>
      </c>
      <c r="D148" s="301">
        <v>0</v>
      </c>
      <c r="E148" s="301">
        <v>5</v>
      </c>
      <c r="F148" s="301">
        <v>3</v>
      </c>
      <c r="G148" s="207" t="s">
        <v>219</v>
      </c>
    </row>
    <row r="149" hidden="1" ht="45" customHeight="1">
      <c r="A149" s="226"/>
      <c r="B149" s="238">
        <v>1523</v>
      </c>
      <c r="C149" s="264" t="s">
        <v>229</v>
      </c>
      <c r="D149" s="301">
        <v>0</v>
      </c>
      <c r="E149" s="301">
        <v>5</v>
      </c>
      <c r="F149" s="301">
        <v>3</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1</v>
      </c>
      <c r="F151" s="301">
        <v>0</v>
      </c>
      <c r="G151" s="207" t="s">
        <v>219</v>
      </c>
    </row>
    <row r="152" hidden="1" ht="45" customHeight="1">
      <c r="A152" s="226"/>
      <c r="B152" s="238">
        <v>1532</v>
      </c>
      <c r="C152" s="242" t="s">
        <v>232</v>
      </c>
      <c r="D152" s="301">
        <v>0</v>
      </c>
      <c r="E152" s="301">
        <v>4</v>
      </c>
      <c r="F152" s="301">
        <v>3</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5</v>
      </c>
      <c r="F155" s="301">
        <v>3</v>
      </c>
      <c r="G155" s="207" t="s">
        <v>219</v>
      </c>
    </row>
    <row r="156" hidden="1" ht="45" customHeight="1">
      <c r="A156" s="226"/>
      <c r="B156" s="238">
        <v>1542</v>
      </c>
      <c r="C156" s="264" t="s">
        <v>236</v>
      </c>
      <c r="D156" s="301">
        <v>0</v>
      </c>
      <c r="E156" s="301">
        <v>5</v>
      </c>
      <c r="F156" s="301">
        <v>3</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39</v>
      </c>
      <c r="E158" s="301">
        <v>44</v>
      </c>
      <c r="F158" s="301">
        <v>49</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39</v>
      </c>
      <c r="E161" s="301">
        <v>44</v>
      </c>
      <c r="F161" s="301">
        <v>49</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5</v>
      </c>
      <c r="F163" s="301">
        <v>3</v>
      </c>
      <c r="G163" s="207" t="s">
        <v>219</v>
      </c>
    </row>
    <row r="164" hidden="1" ht="45" customHeight="1">
      <c r="A164" s="226"/>
      <c r="B164" s="238">
        <v>1556</v>
      </c>
      <c r="C164" s="242" t="s">
        <v>241</v>
      </c>
      <c r="D164" s="301">
        <v>39</v>
      </c>
      <c r="E164" s="301">
        <v>44</v>
      </c>
      <c r="F164" s="301">
        <v>49</v>
      </c>
      <c r="G164" s="207" t="s">
        <v>219</v>
      </c>
    </row>
    <row r="165" hidden="1" ht="45" customHeight="1">
      <c r="A165" s="226"/>
      <c r="C165" s="278"/>
      <c r="D165" s="279"/>
      <c r="G165" s="207"/>
    </row>
    <row r="166" hidden="1" ht="45" customHeight="1">
      <c r="A166" s="226"/>
      <c r="B166" s="281" t="s">
        <v>244</v>
      </c>
      <c r="C166" s="260" t="s">
        <v>245</v>
      </c>
      <c r="D166" s="228"/>
      <c r="E166" s="231"/>
      <c r="F166" s="300">
        <v>43</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0</v>
      </c>
      <c r="E171" s="301">
        <v>5</v>
      </c>
      <c r="F171" s="301">
        <v>3</v>
      </c>
      <c r="G171" s="207" t="s">
        <v>244</v>
      </c>
    </row>
    <row r="172" hidden="1" ht="45" customHeight="1">
      <c r="A172" s="226"/>
      <c r="B172" s="238">
        <v>1614</v>
      </c>
      <c r="C172" s="283" t="s">
        <v>251</v>
      </c>
      <c r="D172" s="301">
        <v>0</v>
      </c>
      <c r="E172" s="301">
        <v>5</v>
      </c>
      <c r="F172" s="301">
        <v>3</v>
      </c>
      <c r="G172" s="207" t="s">
        <v>244</v>
      </c>
    </row>
    <row r="173" hidden="1" ht="45" customHeight="1">
      <c r="A173" s="226"/>
      <c r="B173" s="238">
        <v>1615</v>
      </c>
      <c r="C173" s="242" t="s">
        <v>252</v>
      </c>
      <c r="D173" s="301">
        <v>0</v>
      </c>
      <c r="E173" s="301">
        <v>5</v>
      </c>
      <c r="F173" s="301">
        <v>3</v>
      </c>
      <c r="G173" s="207" t="s">
        <v>244</v>
      </c>
    </row>
    <row r="174" hidden="1" ht="45" customHeight="1">
      <c r="A174" s="226"/>
      <c r="B174" s="238">
        <v>1616</v>
      </c>
      <c r="C174" s="242" t="s">
        <v>253</v>
      </c>
      <c r="D174" s="301">
        <v>0</v>
      </c>
      <c r="E174" s="301">
        <v>5</v>
      </c>
      <c r="F174" s="301">
        <v>3</v>
      </c>
      <c r="G174" s="207" t="s">
        <v>244</v>
      </c>
    </row>
    <row r="175" hidden="1" ht="45" customHeight="1">
      <c r="A175" s="226"/>
      <c r="B175" s="238">
        <v>1621</v>
      </c>
      <c r="C175" s="242" t="s">
        <v>254</v>
      </c>
      <c r="D175" s="301">
        <v>0</v>
      </c>
      <c r="E175" s="301">
        <v>5</v>
      </c>
      <c r="F175" s="301">
        <v>3</v>
      </c>
      <c r="G175" s="207" t="s">
        <v>244</v>
      </c>
    </row>
    <row r="176" hidden="1" ht="45" customHeight="1">
      <c r="A176" s="226"/>
      <c r="B176" s="238">
        <v>1622</v>
      </c>
      <c r="C176" s="242" t="s">
        <v>255</v>
      </c>
      <c r="D176" s="301">
        <v>0</v>
      </c>
      <c r="E176" s="301">
        <v>5</v>
      </c>
      <c r="F176" s="301">
        <v>3</v>
      </c>
      <c r="G176" s="207" t="s">
        <v>244</v>
      </c>
    </row>
    <row r="177" hidden="1" ht="45" customHeight="1">
      <c r="A177" s="226"/>
      <c r="B177" s="238">
        <v>1623</v>
      </c>
      <c r="C177" s="242" t="s">
        <v>256</v>
      </c>
      <c r="D177" s="301">
        <v>0</v>
      </c>
      <c r="E177" s="301">
        <v>5</v>
      </c>
      <c r="F177" s="301">
        <v>3</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1</v>
      </c>
      <c r="F181" s="301">
        <v>0</v>
      </c>
      <c r="G181" s="207" t="s">
        <v>244</v>
      </c>
    </row>
    <row r="182" hidden="1" ht="45" customHeight="1">
      <c r="A182" s="226"/>
      <c r="B182" s="238">
        <v>1632</v>
      </c>
      <c r="C182" s="242" t="s">
        <v>261</v>
      </c>
      <c r="D182" s="301">
        <v>0</v>
      </c>
      <c r="E182" s="301">
        <v>4</v>
      </c>
      <c r="F182" s="301">
        <v>3</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5</v>
      </c>
      <c r="F186" s="301">
        <v>3</v>
      </c>
      <c r="G186" s="207" t="s">
        <v>244</v>
      </c>
    </row>
    <row r="187" hidden="1" ht="45" customHeight="1">
      <c r="A187" s="226"/>
      <c r="B187" s="238">
        <v>1642</v>
      </c>
      <c r="C187" s="242" t="s">
        <v>264</v>
      </c>
      <c r="D187" s="301">
        <v>0</v>
      </c>
      <c r="E187" s="301">
        <v>1</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39</v>
      </c>
      <c r="E189" s="301">
        <v>44</v>
      </c>
      <c r="F189" s="301">
        <v>49</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5</v>
      </c>
      <c r="F191" s="301">
        <v>3</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39</v>
      </c>
      <c r="E194" s="301">
        <v>44</v>
      </c>
      <c r="F194" s="301">
        <v>49</v>
      </c>
      <c r="G194" s="207" t="s">
        <v>244</v>
      </c>
    </row>
    <row r="195" hidden="1" ht="45" customHeight="1">
      <c r="A195" s="226"/>
      <c r="B195" s="238">
        <v>1656</v>
      </c>
      <c r="C195" s="242" t="s">
        <v>273</v>
      </c>
      <c r="D195" s="301">
        <v>39</v>
      </c>
      <c r="E195" s="301">
        <v>44</v>
      </c>
      <c r="F195" s="301">
        <v>49</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406</v>
      </c>
      <c r="E37" s="0" t="s">
        <v>1052</v>
      </c>
      <c r="AV37" s="0" t="s">
        <v>471</v>
      </c>
      <c r="AW37" s="0" t="s">
        <v>417</v>
      </c>
      <c r="AX37" s="0" t="s">
        <v>699</v>
      </c>
      <c r="AY37" s="0" t="s">
        <v>1122</v>
      </c>
      <c r="AZ37" s="0" t="s">
        <v>1123</v>
      </c>
      <c r="BA37" s="0" t="s">
        <v>431</v>
      </c>
      <c r="BB37" s="0" t="str">
        <f t="shared" si="0"/>
        <v>AHNIoyOlorunsogo</v>
      </c>
    </row>
    <row r="38">
      <c r="D38" s="58" t="s">
        <v>407</v>
      </c>
      <c r="E38" s="0" t="s">
        <v>1063</v>
      </c>
      <c r="AV38" s="0" t="s">
        <v>471</v>
      </c>
      <c r="AW38" s="0" t="s">
        <v>417</v>
      </c>
      <c r="AX38" s="0" t="s">
        <v>699</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547</v>
      </c>
      <c r="AV48" s="0" t="s">
        <v>471</v>
      </c>
      <c r="AW48" s="0" t="s">
        <v>412</v>
      </c>
      <c r="AX48" s="0" t="s">
        <v>458</v>
      </c>
      <c r="AY48" s="0" t="s">
        <v>1144</v>
      </c>
      <c r="AZ48" s="0" t="s">
        <v>1145</v>
      </c>
      <c r="BA48" s="0" t="s">
        <v>474</v>
      </c>
      <c r="BB48" s="0" t="str">
        <f t="shared" si="0"/>
        <v>APINlaAlimosho</v>
      </c>
    </row>
    <row r="49">
      <c r="E49" s="0" t="s">
        <v>587</v>
      </c>
      <c r="AV49" s="0" t="s">
        <v>471</v>
      </c>
      <c r="AW49" s="0" t="s">
        <v>412</v>
      </c>
      <c r="AX49" s="0" t="s">
        <v>458</v>
      </c>
      <c r="AY49" s="0" t="s">
        <v>1146</v>
      </c>
      <c r="AZ49" s="0" t="s">
        <v>1147</v>
      </c>
      <c r="BA49" s="0" t="s">
        <v>474</v>
      </c>
      <c r="BB49" s="0" t="str">
        <f t="shared" si="0"/>
        <v>APINlaAlimosho</v>
      </c>
    </row>
    <row r="50">
      <c r="E50" s="0" t="s">
        <v>626</v>
      </c>
      <c r="AV50" s="0" t="s">
        <v>471</v>
      </c>
      <c r="AW50" s="0" t="s">
        <v>412</v>
      </c>
      <c r="AX50" s="0" t="s">
        <v>458</v>
      </c>
      <c r="AY50" s="0" t="s">
        <v>1148</v>
      </c>
      <c r="AZ50" s="0" t="s">
        <v>1149</v>
      </c>
      <c r="BA50" s="0" t="s">
        <v>474</v>
      </c>
      <c r="BB50" s="0" t="str">
        <f t="shared" si="0"/>
        <v>APINlaAlimosho</v>
      </c>
    </row>
    <row r="51">
      <c r="E51" s="0" t="s">
        <v>664</v>
      </c>
      <c r="AV51" s="0" t="s">
        <v>471</v>
      </c>
      <c r="AW51" s="0" t="s">
        <v>412</v>
      </c>
      <c r="AX51" s="0" t="s">
        <v>458</v>
      </c>
      <c r="AY51" s="0" t="s">
        <v>1150</v>
      </c>
      <c r="AZ51" s="0" t="s">
        <v>1151</v>
      </c>
      <c r="BA51" s="0" t="s">
        <v>474</v>
      </c>
      <c r="BB51" s="0" t="str">
        <f t="shared" si="0"/>
        <v>APINlaAlimosho</v>
      </c>
    </row>
    <row r="52">
      <c r="E52" s="0" t="s">
        <v>700</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527</v>
      </c>
      <c r="AV58" s="0" t="s">
        <v>471</v>
      </c>
      <c r="AW58" s="0" t="s">
        <v>412</v>
      </c>
      <c r="AX58" s="0" t="s">
        <v>458</v>
      </c>
      <c r="AY58" s="0" t="s">
        <v>1164</v>
      </c>
      <c r="AZ58" s="0" t="s">
        <v>1165</v>
      </c>
      <c r="BA58" s="0" t="s">
        <v>474</v>
      </c>
      <c r="BB58" s="0" t="str">
        <f t="shared" si="0"/>
        <v>APINlaAlimosho</v>
      </c>
    </row>
    <row r="59">
      <c r="E59" s="0" t="s">
        <v>568</v>
      </c>
      <c r="AV59" s="0" t="s">
        <v>471</v>
      </c>
      <c r="AW59" s="0" t="s">
        <v>412</v>
      </c>
      <c r="AX59" s="0" t="s">
        <v>458</v>
      </c>
      <c r="AY59" s="0" t="s">
        <v>1166</v>
      </c>
      <c r="AZ59" s="0" t="s">
        <v>1167</v>
      </c>
      <c r="BA59" s="0" t="s">
        <v>474</v>
      </c>
      <c r="BB59" s="0" t="str">
        <f t="shared" si="0"/>
        <v>APINlaAlimosho</v>
      </c>
    </row>
    <row r="60">
      <c r="E60" s="0" t="s">
        <v>606</v>
      </c>
      <c r="AV60" s="0" t="s">
        <v>471</v>
      </c>
      <c r="AW60" s="0" t="s">
        <v>412</v>
      </c>
      <c r="AX60" s="0" t="s">
        <v>458</v>
      </c>
      <c r="AY60" s="0" t="s">
        <v>1168</v>
      </c>
      <c r="AZ60" s="0" t="s">
        <v>1169</v>
      </c>
      <c r="BA60" s="0" t="s">
        <v>474</v>
      </c>
      <c r="BB60" s="0" t="str">
        <f t="shared" si="0"/>
        <v>APINlaAlimosho</v>
      </c>
    </row>
    <row r="61">
      <c r="E61" s="0" t="s">
        <v>645</v>
      </c>
      <c r="AV61" s="0" t="s">
        <v>471</v>
      </c>
      <c r="AW61" s="0" t="s">
        <v>412</v>
      </c>
      <c r="AX61" s="0" t="s">
        <v>458</v>
      </c>
      <c r="AY61" s="0" t="s">
        <v>1170</v>
      </c>
      <c r="AZ61" s="0" t="s">
        <v>1171</v>
      </c>
      <c r="BA61" s="0" t="s">
        <v>474</v>
      </c>
      <c r="BB61" s="0" t="str">
        <f t="shared" si="0"/>
        <v>APINlaAlimosho</v>
      </c>
    </row>
    <row r="62">
      <c r="E62" s="0" t="s">
        <v>683</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530</v>
      </c>
      <c r="AV67" s="0" t="s">
        <v>471</v>
      </c>
      <c r="AW67" s="0" t="s">
        <v>412</v>
      </c>
      <c r="AX67" s="0" t="s">
        <v>458</v>
      </c>
      <c r="AY67" s="0" t="s">
        <v>1182</v>
      </c>
      <c r="AZ67" s="0" t="s">
        <v>1183</v>
      </c>
      <c r="BA67" s="0" t="s">
        <v>474</v>
      </c>
      <c r="BB67" s="0" t="str">
        <f ref="BB67:BB130" t="shared" si="1">SUBSTITUTE(SUBSTITUTE(BA67&amp;AX67," ",""),"-","")</f>
        <v>APINlaAlimosho</v>
      </c>
    </row>
    <row r="68">
      <c r="E68" s="0" t="s">
        <v>571</v>
      </c>
      <c r="AV68" s="0" t="s">
        <v>471</v>
      </c>
      <c r="AW68" s="0" t="s">
        <v>412</v>
      </c>
      <c r="AX68" s="0" t="s">
        <v>458</v>
      </c>
      <c r="AY68" s="0" t="s">
        <v>1184</v>
      </c>
      <c r="AZ68" s="0" t="s">
        <v>1185</v>
      </c>
      <c r="BA68" s="0" t="s">
        <v>474</v>
      </c>
      <c r="BB68" s="0" t="str">
        <f t="shared" si="1"/>
        <v>APINlaAlimosho</v>
      </c>
    </row>
    <row r="69">
      <c r="E69" s="0" t="s">
        <v>609</v>
      </c>
      <c r="AV69" s="0" t="s">
        <v>471</v>
      </c>
      <c r="AW69" s="0" t="s">
        <v>412</v>
      </c>
      <c r="AX69" s="0" t="s">
        <v>458</v>
      </c>
      <c r="AY69" s="0" t="s">
        <v>1186</v>
      </c>
      <c r="AZ69" s="0" t="s">
        <v>1187</v>
      </c>
      <c r="BA69" s="0" t="s">
        <v>474</v>
      </c>
      <c r="BB69" s="0" t="str">
        <f t="shared" si="1"/>
        <v>APINlaAlimosho</v>
      </c>
    </row>
    <row r="70">
      <c r="E70" s="0" t="s">
        <v>648</v>
      </c>
      <c r="AV70" s="0" t="s">
        <v>471</v>
      </c>
      <c r="AW70" s="0" t="s">
        <v>412</v>
      </c>
      <c r="AX70" s="0" t="s">
        <v>458</v>
      </c>
      <c r="AY70" s="0" t="s">
        <v>1188</v>
      </c>
      <c r="AZ70" s="0" t="s">
        <v>1189</v>
      </c>
      <c r="BA70" s="0" t="s">
        <v>474</v>
      </c>
      <c r="BB70" s="0" t="str">
        <f t="shared" si="1"/>
        <v>APINlaAlimosho</v>
      </c>
    </row>
    <row r="71">
      <c r="E71" s="0" t="s">
        <v>685</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533</v>
      </c>
      <c r="AV78" s="0" t="s">
        <v>471</v>
      </c>
      <c r="AW78" s="0" t="s">
        <v>412</v>
      </c>
      <c r="AX78" s="0" t="s">
        <v>458</v>
      </c>
      <c r="AY78" s="0" t="s">
        <v>1204</v>
      </c>
      <c r="AZ78" s="0" t="s">
        <v>1205</v>
      </c>
      <c r="BA78" s="0" t="s">
        <v>474</v>
      </c>
      <c r="BB78" s="0" t="str">
        <f t="shared" si="1"/>
        <v>APINlaAlimosho</v>
      </c>
    </row>
    <row r="79">
      <c r="E79" s="0" t="s">
        <v>574</v>
      </c>
      <c r="AV79" s="0" t="s">
        <v>471</v>
      </c>
      <c r="AW79" s="0" t="s">
        <v>412</v>
      </c>
      <c r="AX79" s="0" t="s">
        <v>458</v>
      </c>
      <c r="AY79" s="0" t="s">
        <v>1206</v>
      </c>
      <c r="AZ79" s="0" t="s">
        <v>1207</v>
      </c>
      <c r="BA79" s="0" t="s">
        <v>474</v>
      </c>
      <c r="BB79" s="0" t="str">
        <f t="shared" si="1"/>
        <v>APINlaAlimosho</v>
      </c>
    </row>
    <row r="80">
      <c r="E80" s="0" t="s">
        <v>612</v>
      </c>
      <c r="AV80" s="0" t="s">
        <v>471</v>
      </c>
      <c r="AW80" s="0" t="s">
        <v>412</v>
      </c>
      <c r="AX80" s="0" t="s">
        <v>458</v>
      </c>
      <c r="AY80" s="0" t="s">
        <v>1208</v>
      </c>
      <c r="AZ80" s="0" t="s">
        <v>1209</v>
      </c>
      <c r="BA80" s="0" t="s">
        <v>474</v>
      </c>
      <c r="BB80" s="0" t="str">
        <f t="shared" si="1"/>
        <v>APINlaAlimosho</v>
      </c>
    </row>
    <row r="81">
      <c r="E81" s="0" t="s">
        <v>651</v>
      </c>
      <c r="AV81" s="0" t="s">
        <v>471</v>
      </c>
      <c r="AW81" s="0" t="s">
        <v>412</v>
      </c>
      <c r="AX81" s="0" t="s">
        <v>458</v>
      </c>
      <c r="AY81" s="0" t="s">
        <v>1210</v>
      </c>
      <c r="AZ81" s="0" t="s">
        <v>1211</v>
      </c>
      <c r="BA81" s="0" t="s">
        <v>474</v>
      </c>
      <c r="BB81" s="0" t="str">
        <f t="shared" si="1"/>
        <v>APINlaAlimosho</v>
      </c>
    </row>
    <row r="82">
      <c r="E82" s="0" t="s">
        <v>687</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541</v>
      </c>
      <c r="AY95" s="0" t="s">
        <v>1239</v>
      </c>
      <c r="AZ95" s="0" t="s">
        <v>1240</v>
      </c>
      <c r="BA95" s="0" t="s">
        <v>474</v>
      </c>
      <c r="BB95" s="0" t="str">
        <f t="shared" si="1"/>
        <v>APINlaEpe</v>
      </c>
    </row>
    <row r="96">
      <c r="E96" s="0" t="s">
        <v>1036</v>
      </c>
      <c r="AV96" s="0" t="s">
        <v>471</v>
      </c>
      <c r="AW96" s="0" t="s">
        <v>412</v>
      </c>
      <c r="AX96" s="0" t="s">
        <v>541</v>
      </c>
      <c r="AY96" s="0" t="s">
        <v>1241</v>
      </c>
      <c r="AZ96" s="0" t="s">
        <v>1242</v>
      </c>
      <c r="BA96" s="0" t="s">
        <v>474</v>
      </c>
      <c r="BB96" s="0" t="str">
        <f t="shared" si="1"/>
        <v>APINlaEpe</v>
      </c>
    </row>
    <row r="97">
      <c r="E97" s="0" t="s">
        <v>440</v>
      </c>
      <c r="AV97" s="0" t="s">
        <v>471</v>
      </c>
      <c r="AW97" s="0" t="s">
        <v>412</v>
      </c>
      <c r="AX97" s="0" t="s">
        <v>541</v>
      </c>
      <c r="AY97" s="0" t="s">
        <v>1243</v>
      </c>
      <c r="AZ97" s="0" t="s">
        <v>1244</v>
      </c>
      <c r="BA97" s="0" t="s">
        <v>474</v>
      </c>
      <c r="BB97" s="0" t="str">
        <f t="shared" si="1"/>
        <v>APINlaEpe</v>
      </c>
    </row>
    <row r="98">
      <c r="E98" s="0" t="s">
        <v>483</v>
      </c>
      <c r="AV98" s="0" t="s">
        <v>471</v>
      </c>
      <c r="AW98" s="0" t="s">
        <v>412</v>
      </c>
      <c r="AX98" s="0" t="s">
        <v>541</v>
      </c>
      <c r="AY98" s="0" t="s">
        <v>1245</v>
      </c>
      <c r="AZ98" s="0" t="s">
        <v>1246</v>
      </c>
      <c r="BA98" s="0" t="s">
        <v>474</v>
      </c>
      <c r="BB98" s="0" t="str">
        <f t="shared" si="1"/>
        <v>APINlaEpe</v>
      </c>
    </row>
    <row r="99">
      <c r="E99" s="0" t="s">
        <v>523</v>
      </c>
      <c r="AV99" s="0" t="s">
        <v>471</v>
      </c>
      <c r="AW99" s="0" t="s">
        <v>412</v>
      </c>
      <c r="AX99" s="0" t="s">
        <v>581</v>
      </c>
      <c r="AY99" s="0" t="s">
        <v>1247</v>
      </c>
      <c r="AZ99" s="0" t="s">
        <v>1248</v>
      </c>
      <c r="BA99" s="0" t="s">
        <v>474</v>
      </c>
      <c r="BB99" s="0" t="str">
        <f t="shared" si="1"/>
        <v>APINlaEtiOsa</v>
      </c>
    </row>
    <row r="100">
      <c r="E100" s="0" t="s">
        <v>564</v>
      </c>
      <c r="AV100" s="0" t="s">
        <v>471</v>
      </c>
      <c r="AW100" s="0" t="s">
        <v>412</v>
      </c>
      <c r="AX100" s="0" t="s">
        <v>581</v>
      </c>
      <c r="AY100" s="0" t="s">
        <v>1249</v>
      </c>
      <c r="AZ100" s="0" t="s">
        <v>1250</v>
      </c>
      <c r="BA100" s="0" t="s">
        <v>474</v>
      </c>
      <c r="BB100" s="0" t="str">
        <f t="shared" si="1"/>
        <v>APINlaEtiOsa</v>
      </c>
    </row>
    <row r="101">
      <c r="E101" s="0" t="s">
        <v>602</v>
      </c>
      <c r="AV101" s="0" t="s">
        <v>471</v>
      </c>
      <c r="AW101" s="0" t="s">
        <v>412</v>
      </c>
      <c r="AX101" s="0" t="s">
        <v>581</v>
      </c>
      <c r="AY101" s="0" t="s">
        <v>1251</v>
      </c>
      <c r="AZ101" s="0" t="s">
        <v>1252</v>
      </c>
      <c r="BA101" s="0" t="s">
        <v>474</v>
      </c>
      <c r="BB101" s="0" t="str">
        <f t="shared" si="1"/>
        <v>APINlaEtiOsa</v>
      </c>
    </row>
    <row r="102">
      <c r="E102" s="0" t="s">
        <v>641</v>
      </c>
      <c r="AV102" s="0" t="s">
        <v>471</v>
      </c>
      <c r="AW102" s="0" t="s">
        <v>412</v>
      </c>
      <c r="AX102" s="0" t="s">
        <v>581</v>
      </c>
      <c r="AY102" s="0" t="s">
        <v>1253</v>
      </c>
      <c r="AZ102" s="0" t="s">
        <v>1254</v>
      </c>
      <c r="BA102" s="0" t="s">
        <v>474</v>
      </c>
      <c r="BB102" s="0" t="str">
        <f t="shared" si="1"/>
        <v>APINlaEtiOsa</v>
      </c>
    </row>
    <row r="103">
      <c r="E103" s="0" t="s">
        <v>679</v>
      </c>
      <c r="AV103" s="0" t="s">
        <v>471</v>
      </c>
      <c r="AW103" s="0" t="s">
        <v>412</v>
      </c>
      <c r="AX103" s="0" t="s">
        <v>581</v>
      </c>
      <c r="AY103" s="0" t="s">
        <v>1255</v>
      </c>
      <c r="AZ103" s="0" t="s">
        <v>1256</v>
      </c>
      <c r="BA103" s="0" t="s">
        <v>474</v>
      </c>
      <c r="BB103" s="0" t="str">
        <f t="shared" si="1"/>
        <v>APINlaEtiOsa</v>
      </c>
    </row>
    <row r="104">
      <c r="E104" s="0" t="s">
        <v>715</v>
      </c>
      <c r="AV104" s="0" t="s">
        <v>471</v>
      </c>
      <c r="AW104" s="0" t="s">
        <v>412</v>
      </c>
      <c r="AX104" s="0" t="s">
        <v>581</v>
      </c>
      <c r="AY104" s="0" t="s">
        <v>1257</v>
      </c>
      <c r="AZ104" s="0" t="s">
        <v>1258</v>
      </c>
      <c r="BA104" s="0" t="s">
        <v>474</v>
      </c>
      <c r="BB104" s="0" t="str">
        <f t="shared" si="1"/>
        <v>APINlaEtiOsa</v>
      </c>
    </row>
    <row r="105">
      <c r="E105" s="0" t="s">
        <v>748</v>
      </c>
      <c r="AV105" s="0" t="s">
        <v>471</v>
      </c>
      <c r="AW105" s="0" t="s">
        <v>412</v>
      </c>
      <c r="AX105" s="0" t="s">
        <v>581</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657</v>
      </c>
      <c r="AY110" s="0" t="s">
        <v>1269</v>
      </c>
      <c r="AZ110" s="0" t="s">
        <v>1270</v>
      </c>
      <c r="BA110" s="0" t="s">
        <v>474</v>
      </c>
      <c r="BB110" s="0" t="str">
        <f t="shared" si="1"/>
        <v>APINlaIfakoIjaiye</v>
      </c>
    </row>
    <row r="111">
      <c r="E111" s="0" t="s">
        <v>918</v>
      </c>
      <c r="AV111" s="0" t="s">
        <v>471</v>
      </c>
      <c r="AW111" s="0" t="s">
        <v>412</v>
      </c>
      <c r="AX111" s="0" t="s">
        <v>657</v>
      </c>
      <c r="AY111" s="0" t="s">
        <v>1271</v>
      </c>
      <c r="AZ111" s="0" t="s">
        <v>1272</v>
      </c>
      <c r="BA111" s="0" t="s">
        <v>474</v>
      </c>
      <c r="BB111" s="0" t="str">
        <f t="shared" si="1"/>
        <v>APINlaIfakoIjaiye</v>
      </c>
    </row>
    <row r="112">
      <c r="E112" s="0" t="s">
        <v>942</v>
      </c>
      <c r="AV112" s="0" t="s">
        <v>471</v>
      </c>
      <c r="AW112" s="0" t="s">
        <v>412</v>
      </c>
      <c r="AX112" s="0" t="s">
        <v>657</v>
      </c>
      <c r="AY112" s="0" t="s">
        <v>1273</v>
      </c>
      <c r="AZ112" s="0" t="s">
        <v>1274</v>
      </c>
      <c r="BA112" s="0" t="s">
        <v>474</v>
      </c>
      <c r="BB112" s="0" t="str">
        <f t="shared" si="1"/>
        <v>APINlaIfakoIjaiye</v>
      </c>
    </row>
    <row r="113">
      <c r="E113" s="0" t="s">
        <v>965</v>
      </c>
      <c r="AV113" s="0" t="s">
        <v>471</v>
      </c>
      <c r="AW113" s="0" t="s">
        <v>412</v>
      </c>
      <c r="AX113" s="0" t="s">
        <v>657</v>
      </c>
      <c r="AY113" s="0" t="s">
        <v>1275</v>
      </c>
      <c r="AZ113" s="0" t="s">
        <v>1276</v>
      </c>
      <c r="BA113" s="0" t="s">
        <v>474</v>
      </c>
      <c r="BB113" s="0" t="str">
        <f t="shared" si="1"/>
        <v>APINlaIfakoIjaiye</v>
      </c>
    </row>
    <row r="114">
      <c r="E114" s="0" t="s">
        <v>443</v>
      </c>
      <c r="AV114" s="0" t="s">
        <v>471</v>
      </c>
      <c r="AW114" s="0" t="s">
        <v>412</v>
      </c>
      <c r="AX114" s="0" t="s">
        <v>657</v>
      </c>
      <c r="AY114" s="0" t="s">
        <v>1277</v>
      </c>
      <c r="AZ114" s="0" t="s">
        <v>1278</v>
      </c>
      <c r="BA114" s="0" t="s">
        <v>474</v>
      </c>
      <c r="BB114" s="0" t="str">
        <f t="shared" si="1"/>
        <v>APINlaIfakoIjaiye</v>
      </c>
    </row>
    <row r="115">
      <c r="E115" s="0" t="s">
        <v>486</v>
      </c>
      <c r="AV115" s="0" t="s">
        <v>471</v>
      </c>
      <c r="AW115" s="0" t="s">
        <v>412</v>
      </c>
      <c r="AX115" s="0" t="s">
        <v>657</v>
      </c>
      <c r="AY115" s="0" t="s">
        <v>1279</v>
      </c>
      <c r="AZ115" s="0" t="s">
        <v>1280</v>
      </c>
      <c r="BA115" s="0" t="s">
        <v>474</v>
      </c>
      <c r="BB115" s="0" t="str">
        <f t="shared" si="1"/>
        <v>APINlaIfakoIjaiye</v>
      </c>
    </row>
    <row r="116">
      <c r="E116" s="0" t="s">
        <v>526</v>
      </c>
      <c r="AV116" s="0" t="s">
        <v>471</v>
      </c>
      <c r="AW116" s="0" t="s">
        <v>412</v>
      </c>
      <c r="AX116" s="0" t="s">
        <v>657</v>
      </c>
      <c r="AY116" s="0" t="s">
        <v>1281</v>
      </c>
      <c r="AZ116" s="0" t="s">
        <v>1282</v>
      </c>
      <c r="BA116" s="0" t="s">
        <v>474</v>
      </c>
      <c r="BB116" s="0" t="str">
        <f t="shared" si="1"/>
        <v>APINlaIfakoIjaiye</v>
      </c>
    </row>
    <row r="117">
      <c r="E117" s="0" t="s">
        <v>567</v>
      </c>
      <c r="AV117" s="0" t="s">
        <v>471</v>
      </c>
      <c r="AW117" s="0" t="s">
        <v>412</v>
      </c>
      <c r="AX117" s="0" t="s">
        <v>657</v>
      </c>
      <c r="AY117" s="0" t="s">
        <v>1283</v>
      </c>
      <c r="AZ117" s="0" t="s">
        <v>1284</v>
      </c>
      <c r="BA117" s="0" t="s">
        <v>474</v>
      </c>
      <c r="BB117" s="0" t="str">
        <f t="shared" si="1"/>
        <v>APINlaIfakoIjaiye</v>
      </c>
    </row>
    <row r="118">
      <c r="E118" s="0" t="s">
        <v>448</v>
      </c>
      <c r="AV118" s="0" t="s">
        <v>471</v>
      </c>
      <c r="AW118" s="0" t="s">
        <v>412</v>
      </c>
      <c r="AX118" s="0" t="s">
        <v>657</v>
      </c>
      <c r="AY118" s="0" t="s">
        <v>1285</v>
      </c>
      <c r="AZ118" s="0" t="s">
        <v>1286</v>
      </c>
      <c r="BA118" s="0" t="s">
        <v>474</v>
      </c>
      <c r="BB118" s="0" t="str">
        <f t="shared" si="1"/>
        <v>APINlaIfakoIjaiye</v>
      </c>
    </row>
    <row r="119">
      <c r="E119" s="0" t="s">
        <v>491</v>
      </c>
      <c r="AV119" s="0" t="s">
        <v>471</v>
      </c>
      <c r="AW119" s="0" t="s">
        <v>412</v>
      </c>
      <c r="AX119" s="0" t="s">
        <v>657</v>
      </c>
      <c r="AY119" s="0" t="s">
        <v>1287</v>
      </c>
      <c r="AZ119" s="0" t="s">
        <v>1288</v>
      </c>
      <c r="BA119" s="0" t="s">
        <v>474</v>
      </c>
      <c r="BB119" s="0" t="str">
        <f t="shared" si="1"/>
        <v>APINlaIfakoIjaiye</v>
      </c>
    </row>
    <row r="120">
      <c r="E120" s="0" t="s">
        <v>452</v>
      </c>
      <c r="AV120" s="0" t="s">
        <v>471</v>
      </c>
      <c r="AW120" s="0" t="s">
        <v>412</v>
      </c>
      <c r="AX120" s="0" t="s">
        <v>657</v>
      </c>
      <c r="AY120" s="0" t="s">
        <v>1289</v>
      </c>
      <c r="AZ120" s="0" t="s">
        <v>1290</v>
      </c>
      <c r="BA120" s="0" t="s">
        <v>474</v>
      </c>
      <c r="BB120" s="0" t="str">
        <f t="shared" si="1"/>
        <v>APINlaIfakoIjaiye</v>
      </c>
    </row>
    <row r="121">
      <c r="E121" s="0" t="s">
        <v>495</v>
      </c>
      <c r="AV121" s="0" t="s">
        <v>471</v>
      </c>
      <c r="AW121" s="0" t="s">
        <v>412</v>
      </c>
      <c r="AX121" s="0" t="s">
        <v>657</v>
      </c>
      <c r="AY121" s="0" t="s">
        <v>1291</v>
      </c>
      <c r="AZ121" s="0" t="s">
        <v>1292</v>
      </c>
      <c r="BA121" s="0" t="s">
        <v>474</v>
      </c>
      <c r="BB121" s="0" t="str">
        <f t="shared" si="1"/>
        <v>APINlaIfakoIjaiye</v>
      </c>
    </row>
    <row r="122">
      <c r="E122" s="0" t="s">
        <v>535</v>
      </c>
      <c r="AV122" s="0" t="s">
        <v>471</v>
      </c>
      <c r="AW122" s="0" t="s">
        <v>412</v>
      </c>
      <c r="AX122" s="0" t="s">
        <v>693</v>
      </c>
      <c r="AY122" s="0" t="s">
        <v>1293</v>
      </c>
      <c r="AZ122" s="0" t="s">
        <v>1294</v>
      </c>
      <c r="BA122" s="0" t="s">
        <v>474</v>
      </c>
      <c r="BB122" s="0" t="str">
        <f t="shared" si="1"/>
        <v>APINlaIkeja</v>
      </c>
    </row>
    <row r="123">
      <c r="E123" s="0" t="s">
        <v>576</v>
      </c>
      <c r="AV123" s="0" t="s">
        <v>471</v>
      </c>
      <c r="AW123" s="0" t="s">
        <v>412</v>
      </c>
      <c r="AX123" s="0" t="s">
        <v>693</v>
      </c>
      <c r="AY123" s="0" t="s">
        <v>1295</v>
      </c>
      <c r="AZ123" s="0" t="s">
        <v>1296</v>
      </c>
      <c r="BA123" s="0" t="s">
        <v>474</v>
      </c>
      <c r="BB123" s="0" t="str">
        <f t="shared" si="1"/>
        <v>APINlaIkeja</v>
      </c>
    </row>
    <row r="124">
      <c r="E124" s="0" t="s">
        <v>614</v>
      </c>
      <c r="AV124" s="0" t="s">
        <v>471</v>
      </c>
      <c r="AW124" s="0" t="s">
        <v>412</v>
      </c>
      <c r="AX124" s="0" t="s">
        <v>693</v>
      </c>
      <c r="AY124" s="0" t="s">
        <v>1297</v>
      </c>
      <c r="AZ124" s="0" t="s">
        <v>1298</v>
      </c>
      <c r="BA124" s="0" t="s">
        <v>474</v>
      </c>
      <c r="BB124" s="0" t="str">
        <f t="shared" si="1"/>
        <v>APINlaIkeja</v>
      </c>
    </row>
    <row r="125">
      <c r="E125" s="0" t="s">
        <v>653</v>
      </c>
      <c r="AV125" s="0" t="s">
        <v>471</v>
      </c>
      <c r="AW125" s="0" t="s">
        <v>412</v>
      </c>
      <c r="AX125" s="0" t="s">
        <v>693</v>
      </c>
      <c r="AY125" s="0" t="s">
        <v>1299</v>
      </c>
      <c r="AZ125" s="0" t="s">
        <v>1300</v>
      </c>
      <c r="BA125" s="0" t="s">
        <v>474</v>
      </c>
      <c r="BB125" s="0" t="str">
        <f t="shared" si="1"/>
        <v>APINlaIkeja</v>
      </c>
    </row>
    <row r="126">
      <c r="E126" s="0" t="s">
        <v>689</v>
      </c>
      <c r="AV126" s="0" t="s">
        <v>471</v>
      </c>
      <c r="AW126" s="0" t="s">
        <v>412</v>
      </c>
      <c r="AX126" s="0" t="s">
        <v>693</v>
      </c>
      <c r="AY126" s="0" t="s">
        <v>1301</v>
      </c>
      <c r="AZ126" s="0" t="s">
        <v>1302</v>
      </c>
      <c r="BA126" s="0" t="s">
        <v>474</v>
      </c>
      <c r="BB126" s="0" t="str">
        <f t="shared" si="1"/>
        <v>APINlaIkeja</v>
      </c>
    </row>
    <row r="127">
      <c r="E127" s="0" t="s">
        <v>1303</v>
      </c>
      <c r="AV127" s="0" t="s">
        <v>471</v>
      </c>
      <c r="AW127" s="0" t="s">
        <v>412</v>
      </c>
      <c r="AX127" s="0" t="s">
        <v>693</v>
      </c>
      <c r="AY127" s="0" t="s">
        <v>1304</v>
      </c>
      <c r="AZ127" s="0" t="s">
        <v>1305</v>
      </c>
      <c r="BA127" s="0" t="s">
        <v>474</v>
      </c>
      <c r="BB127" s="0" t="str">
        <f t="shared" si="1"/>
        <v>APINlaIkeja</v>
      </c>
    </row>
    <row r="128">
      <c r="E128" s="0" t="s">
        <v>1306</v>
      </c>
      <c r="AV128" s="0" t="s">
        <v>471</v>
      </c>
      <c r="AW128" s="0" t="s">
        <v>412</v>
      </c>
      <c r="AX128" s="0" t="s">
        <v>693</v>
      </c>
      <c r="AY128" s="0" t="s">
        <v>1307</v>
      </c>
      <c r="AZ128" s="0" t="s">
        <v>1308</v>
      </c>
      <c r="BA128" s="0" t="s">
        <v>474</v>
      </c>
      <c r="BB128" s="0" t="str">
        <f t="shared" si="1"/>
        <v>APINlaIkeja</v>
      </c>
    </row>
    <row r="129">
      <c r="E129" s="0" t="s">
        <v>1309</v>
      </c>
      <c r="AV129" s="0" t="s">
        <v>471</v>
      </c>
      <c r="AW129" s="0" t="s">
        <v>412</v>
      </c>
      <c r="AX129" s="0" t="s">
        <v>693</v>
      </c>
      <c r="AY129" s="0" t="s">
        <v>1310</v>
      </c>
      <c r="AZ129" s="0" t="s">
        <v>1311</v>
      </c>
      <c r="BA129" s="0" t="s">
        <v>474</v>
      </c>
      <c r="BB129" s="0" t="str">
        <f t="shared" si="1"/>
        <v>APINlaIkeja</v>
      </c>
    </row>
    <row r="130">
      <c r="E130" s="0" t="s">
        <v>458</v>
      </c>
      <c r="AV130" s="0" t="s">
        <v>471</v>
      </c>
      <c r="AW130" s="0" t="s">
        <v>412</v>
      </c>
      <c r="AX130" s="0" t="s">
        <v>693</v>
      </c>
      <c r="AY130" s="0" t="s">
        <v>1312</v>
      </c>
      <c r="AZ130" s="0" t="s">
        <v>1313</v>
      </c>
      <c r="BA130" s="0" t="s">
        <v>474</v>
      </c>
      <c r="BB130" s="0" t="str">
        <f t="shared" si="1"/>
        <v>APINlaIkeja</v>
      </c>
    </row>
    <row r="131">
      <c r="E131" s="0" t="s">
        <v>693</v>
      </c>
      <c r="AV131" s="0" t="s">
        <v>471</v>
      </c>
      <c r="AW131" s="0" t="s">
        <v>412</v>
      </c>
      <c r="AX131" s="0" t="s">
        <v>693</v>
      </c>
      <c r="AY131" s="0" t="s">
        <v>1314</v>
      </c>
      <c r="AZ131" s="0" t="s">
        <v>1315</v>
      </c>
      <c r="BA131" s="0" t="s">
        <v>474</v>
      </c>
      <c r="BB131" s="0" t="str">
        <f ref="BB131:BB194" t="shared" si="2">SUBSTITUTE(SUBSTITUTE(BA131&amp;AX131," ",""),"-","")</f>
        <v>APINlaIkeja</v>
      </c>
    </row>
    <row r="132">
      <c r="E132" s="0" t="s">
        <v>459</v>
      </c>
      <c r="AV132" s="0" t="s">
        <v>471</v>
      </c>
      <c r="AW132" s="0" t="s">
        <v>412</v>
      </c>
      <c r="AX132" s="0" t="s">
        <v>693</v>
      </c>
      <c r="AY132" s="0" t="s">
        <v>1316</v>
      </c>
      <c r="AZ132" s="0" t="s">
        <v>1317</v>
      </c>
      <c r="BA132" s="0" t="s">
        <v>474</v>
      </c>
      <c r="BB132" s="0" t="str">
        <f t="shared" si="2"/>
        <v>APINlaIkeja</v>
      </c>
    </row>
    <row r="133">
      <c r="E133" s="0" t="s">
        <v>502</v>
      </c>
      <c r="AV133" s="0" t="s">
        <v>471</v>
      </c>
      <c r="AW133" s="0" t="s">
        <v>412</v>
      </c>
      <c r="AX133" s="0" t="s">
        <v>693</v>
      </c>
      <c r="AY133" s="0" t="s">
        <v>1318</v>
      </c>
      <c r="AZ133" s="0" t="s">
        <v>1319</v>
      </c>
      <c r="BA133" s="0" t="s">
        <v>474</v>
      </c>
      <c r="BB133" s="0" t="str">
        <f t="shared" si="2"/>
        <v>APINlaIkeja</v>
      </c>
    </row>
    <row r="134">
      <c r="E134" s="0" t="s">
        <v>542</v>
      </c>
      <c r="AV134" s="0" t="s">
        <v>471</v>
      </c>
      <c r="AW134" s="0" t="s">
        <v>412</v>
      </c>
      <c r="AX134" s="0" t="s">
        <v>693</v>
      </c>
      <c r="AY134" s="0" t="s">
        <v>1320</v>
      </c>
      <c r="AZ134" s="0" t="s">
        <v>1321</v>
      </c>
      <c r="BA134" s="0" t="s">
        <v>474</v>
      </c>
      <c r="BB134" s="0" t="str">
        <f t="shared" si="2"/>
        <v>APINlaIkeja</v>
      </c>
    </row>
    <row r="135">
      <c r="E135" s="0" t="s">
        <v>582</v>
      </c>
      <c r="AV135" s="0" t="s">
        <v>471</v>
      </c>
      <c r="AW135" s="0" t="s">
        <v>412</v>
      </c>
      <c r="AX135" s="0" t="s">
        <v>693</v>
      </c>
      <c r="AY135" s="0" t="s">
        <v>1322</v>
      </c>
      <c r="AZ135" s="0" t="s">
        <v>1323</v>
      </c>
      <c r="BA135" s="0" t="s">
        <v>474</v>
      </c>
      <c r="BB135" s="0" t="str">
        <f t="shared" si="2"/>
        <v>APINlaIkeja</v>
      </c>
    </row>
    <row r="136">
      <c r="E136" s="0" t="s">
        <v>620</v>
      </c>
      <c r="AV136" s="0" t="s">
        <v>471</v>
      </c>
      <c r="AW136" s="0" t="s">
        <v>412</v>
      </c>
      <c r="AX136" s="0" t="s">
        <v>693</v>
      </c>
      <c r="AY136" s="0" t="s">
        <v>1324</v>
      </c>
      <c r="AZ136" s="0" t="s">
        <v>1325</v>
      </c>
      <c r="BA136" s="0" t="s">
        <v>474</v>
      </c>
      <c r="BB136" s="0" t="str">
        <f t="shared" si="2"/>
        <v>APINlaIkeja</v>
      </c>
    </row>
    <row r="137">
      <c r="E137" s="0" t="s">
        <v>622</v>
      </c>
      <c r="AV137" s="0" t="s">
        <v>471</v>
      </c>
      <c r="AW137" s="0" t="s">
        <v>412</v>
      </c>
      <c r="AX137" s="0" t="s">
        <v>693</v>
      </c>
      <c r="AY137" s="0" t="s">
        <v>1326</v>
      </c>
      <c r="AZ137" s="0" t="s">
        <v>1327</v>
      </c>
      <c r="BA137" s="0" t="s">
        <v>474</v>
      </c>
      <c r="BB137" s="0" t="str">
        <f t="shared" si="2"/>
        <v>APINlaIkeja</v>
      </c>
    </row>
    <row r="138">
      <c r="E138" s="0" t="s">
        <v>516</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544</v>
      </c>
      <c r="AV141" s="0" t="s">
        <v>471</v>
      </c>
      <c r="AW141" s="0" t="s">
        <v>412</v>
      </c>
      <c r="AX141" s="0" t="s">
        <v>728</v>
      </c>
      <c r="AY141" s="0" t="s">
        <v>1334</v>
      </c>
      <c r="AZ141" s="0" t="s">
        <v>1335</v>
      </c>
      <c r="BA141" s="0" t="s">
        <v>474</v>
      </c>
      <c r="BB141" s="0" t="str">
        <f t="shared" si="2"/>
        <v>APINlaIkorodu</v>
      </c>
    </row>
    <row r="142">
      <c r="E142" s="0" t="s">
        <v>584</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545</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587</v>
      </c>
      <c r="AV149" s="0" t="s">
        <v>471</v>
      </c>
      <c r="AW149" s="0" t="s">
        <v>412</v>
      </c>
      <c r="AX149" s="0" t="s">
        <v>761</v>
      </c>
      <c r="AY149" s="0" t="s">
        <v>1350</v>
      </c>
      <c r="AZ149" s="0" t="s">
        <v>1351</v>
      </c>
      <c r="BA149" s="0" t="s">
        <v>474</v>
      </c>
      <c r="BB149" s="0" t="str">
        <f t="shared" si="2"/>
        <v>APINlaMushin</v>
      </c>
    </row>
    <row r="150">
      <c r="E150" s="0" t="s">
        <v>626</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523</v>
      </c>
      <c r="AV157" s="0" t="s">
        <v>471</v>
      </c>
      <c r="AW157" s="0" t="s">
        <v>412</v>
      </c>
      <c r="AX157" s="0" t="s">
        <v>761</v>
      </c>
      <c r="AY157" s="0" t="s">
        <v>1366</v>
      </c>
      <c r="AZ157" s="0" t="s">
        <v>1367</v>
      </c>
      <c r="BA157" s="0" t="s">
        <v>474</v>
      </c>
      <c r="BB157" s="0" t="str">
        <f t="shared" si="2"/>
        <v>APINlaMushin</v>
      </c>
    </row>
    <row r="158">
      <c r="E158" s="0" t="s">
        <v>564</v>
      </c>
      <c r="AV158" s="0" t="s">
        <v>471</v>
      </c>
      <c r="AW158" s="0" t="s">
        <v>412</v>
      </c>
      <c r="AX158" s="0" t="s">
        <v>761</v>
      </c>
      <c r="AY158" s="0" t="s">
        <v>1368</v>
      </c>
      <c r="AZ158" s="0" t="s">
        <v>1369</v>
      </c>
      <c r="BA158" s="0" t="s">
        <v>474</v>
      </c>
      <c r="BB158" s="0" t="str">
        <f t="shared" si="2"/>
        <v>APINlaMushin</v>
      </c>
    </row>
    <row r="159">
      <c r="E159" s="0" t="s">
        <v>602</v>
      </c>
      <c r="AV159" s="0" t="s">
        <v>471</v>
      </c>
      <c r="AW159" s="0" t="s">
        <v>412</v>
      </c>
      <c r="AX159" s="0" t="s">
        <v>761</v>
      </c>
      <c r="AY159" s="0" t="s">
        <v>1370</v>
      </c>
      <c r="AZ159" s="0" t="s">
        <v>1371</v>
      </c>
      <c r="BA159" s="0" t="s">
        <v>474</v>
      </c>
      <c r="BB159" s="0" t="str">
        <f t="shared" si="2"/>
        <v>APINlaMushin</v>
      </c>
    </row>
    <row r="160">
      <c r="E160" s="0" t="s">
        <v>641</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532</v>
      </c>
      <c r="AV174" s="0" t="s">
        <v>471</v>
      </c>
      <c r="AW174" s="0" t="s">
        <v>412</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555</v>
      </c>
      <c r="BB236" s="0" t="str">
        <f t="shared" si="3"/>
        <v>CCCRNebAbakaliki</v>
      </c>
    </row>
    <row r="237">
      <c r="E237" s="0" t="s">
        <v>1309</v>
      </c>
      <c r="AV237" s="0" t="s">
        <v>471</v>
      </c>
      <c r="AW237" s="0" t="s">
        <v>398</v>
      </c>
      <c r="AX237" s="0" t="s">
        <v>444</v>
      </c>
      <c r="AY237" s="0" t="s">
        <v>1530</v>
      </c>
      <c r="AZ237" s="0" t="s">
        <v>1531</v>
      </c>
      <c r="BA237" s="0" t="s">
        <v>555</v>
      </c>
      <c r="BB237" s="0" t="str">
        <f t="shared" si="3"/>
        <v>CCCRNebAbakaliki</v>
      </c>
    </row>
    <row r="238">
      <c r="E238" s="0" t="s">
        <v>679</v>
      </c>
      <c r="AV238" s="0" t="s">
        <v>471</v>
      </c>
      <c r="AW238" s="0" t="s">
        <v>398</v>
      </c>
      <c r="AX238" s="0" t="s">
        <v>444</v>
      </c>
      <c r="AY238" s="0" t="s">
        <v>1532</v>
      </c>
      <c r="AZ238" s="0" t="s">
        <v>1533</v>
      </c>
      <c r="BA238" s="0" t="s">
        <v>555</v>
      </c>
      <c r="BB238" s="0" t="str">
        <f t="shared" si="3"/>
        <v>CCCRNebAbakaliki</v>
      </c>
    </row>
    <row r="239">
      <c r="E239" s="0" t="s">
        <v>715</v>
      </c>
      <c r="AV239" s="0" t="s">
        <v>471</v>
      </c>
      <c r="AW239" s="0" t="s">
        <v>398</v>
      </c>
      <c r="AX239" s="0" t="s">
        <v>444</v>
      </c>
      <c r="AY239" s="0" t="s">
        <v>1534</v>
      </c>
      <c r="AZ239" s="0" t="s">
        <v>1535</v>
      </c>
      <c r="BA239" s="0" t="s">
        <v>555</v>
      </c>
      <c r="BB239" s="0" t="str">
        <f t="shared" si="3"/>
        <v>CCCRNebAbakaliki</v>
      </c>
    </row>
    <row r="240">
      <c r="E240" s="0" t="s">
        <v>810</v>
      </c>
      <c r="AV240" s="0" t="s">
        <v>471</v>
      </c>
      <c r="AW240" s="0" t="s">
        <v>398</v>
      </c>
      <c r="AX240" s="0" t="s">
        <v>444</v>
      </c>
      <c r="AY240" s="0" t="s">
        <v>1536</v>
      </c>
      <c r="AZ240" s="0" t="s">
        <v>1537</v>
      </c>
      <c r="BA240" s="0" t="s">
        <v>555</v>
      </c>
      <c r="BB240" s="0" t="str">
        <f t="shared" si="3"/>
        <v>CCCRNebAbakaliki</v>
      </c>
    </row>
    <row r="241">
      <c r="E241" s="0" t="s">
        <v>1058</v>
      </c>
      <c r="AV241" s="0" t="s">
        <v>471</v>
      </c>
      <c r="AW241" s="0" t="s">
        <v>398</v>
      </c>
      <c r="AX241" s="0" t="s">
        <v>444</v>
      </c>
      <c r="AY241" s="0" t="s">
        <v>1538</v>
      </c>
      <c r="AZ241" s="0" t="s">
        <v>1539</v>
      </c>
      <c r="BA241" s="0" t="s">
        <v>555</v>
      </c>
      <c r="BB241" s="0" t="str">
        <f t="shared" si="3"/>
        <v>CCCRNebAbakaliki</v>
      </c>
    </row>
    <row r="242">
      <c r="E242" s="0" t="s">
        <v>942</v>
      </c>
      <c r="AV242" s="0" t="s">
        <v>471</v>
      </c>
      <c r="AW242" s="0" t="s">
        <v>398</v>
      </c>
      <c r="AX242" s="0" t="s">
        <v>444</v>
      </c>
      <c r="AY242" s="0" t="s">
        <v>1540</v>
      </c>
      <c r="AZ242" s="0" t="s">
        <v>1541</v>
      </c>
      <c r="BA242" s="0" t="s">
        <v>555</v>
      </c>
      <c r="BB242" s="0" t="str">
        <f t="shared" si="3"/>
        <v>CCCRNebAbakaliki</v>
      </c>
    </row>
    <row r="243">
      <c r="E243" s="0" t="s">
        <v>486</v>
      </c>
      <c r="AV243" s="0" t="s">
        <v>471</v>
      </c>
      <c r="AW243" s="0" t="s">
        <v>398</v>
      </c>
      <c r="AX243" s="0" t="s">
        <v>487</v>
      </c>
      <c r="AY243" s="0" t="s">
        <v>1542</v>
      </c>
      <c r="AZ243" s="0" t="s">
        <v>1543</v>
      </c>
      <c r="BA243" s="0" t="s">
        <v>555</v>
      </c>
      <c r="BB243" s="0" t="str">
        <f t="shared" si="3"/>
        <v>CCCRNebAfikpoNorth</v>
      </c>
    </row>
    <row r="244">
      <c r="E244" s="0" t="s">
        <v>605</v>
      </c>
      <c r="AV244" s="0" t="s">
        <v>471</v>
      </c>
      <c r="AW244" s="0" t="s">
        <v>398</v>
      </c>
      <c r="AX244" s="0" t="s">
        <v>487</v>
      </c>
      <c r="AY244" s="0" t="s">
        <v>1544</v>
      </c>
      <c r="AZ244" s="0" t="s">
        <v>1545</v>
      </c>
      <c r="BA244" s="0" t="s">
        <v>555</v>
      </c>
      <c r="BB244" s="0" t="str">
        <f t="shared" si="3"/>
        <v>CCCRNebAfikpoNorth</v>
      </c>
    </row>
    <row r="245">
      <c r="E245" s="0" t="s">
        <v>644</v>
      </c>
      <c r="AV245" s="0" t="s">
        <v>471</v>
      </c>
      <c r="AW245" s="0" t="s">
        <v>398</v>
      </c>
      <c r="AX245" s="0" t="s">
        <v>487</v>
      </c>
      <c r="AY245" s="0" t="s">
        <v>1546</v>
      </c>
      <c r="AZ245" s="0" t="s">
        <v>1547</v>
      </c>
      <c r="BA245" s="0" t="s">
        <v>555</v>
      </c>
      <c r="BB245" s="0" t="str">
        <f t="shared" si="3"/>
        <v>CCCRNebAfikpoNorth</v>
      </c>
    </row>
    <row r="246">
      <c r="E246" s="0" t="s">
        <v>682</v>
      </c>
      <c r="AV246" s="0" t="s">
        <v>471</v>
      </c>
      <c r="AW246" s="0" t="s">
        <v>398</v>
      </c>
      <c r="AX246" s="0" t="s">
        <v>487</v>
      </c>
      <c r="AY246" s="0" t="s">
        <v>1548</v>
      </c>
      <c r="AZ246" s="0" t="s">
        <v>1549</v>
      </c>
      <c r="BA246" s="0" t="s">
        <v>555</v>
      </c>
      <c r="BB246" s="0" t="str">
        <f t="shared" si="3"/>
        <v>CCCRNebAfikpoNorth</v>
      </c>
    </row>
    <row r="247">
      <c r="E247" s="0" t="s">
        <v>446</v>
      </c>
      <c r="AV247" s="0" t="s">
        <v>471</v>
      </c>
      <c r="AW247" s="0" t="s">
        <v>398</v>
      </c>
      <c r="AX247" s="0" t="s">
        <v>487</v>
      </c>
      <c r="AY247" s="0" t="s">
        <v>1550</v>
      </c>
      <c r="AZ247" s="0" t="s">
        <v>1551</v>
      </c>
      <c r="BA247" s="0" t="s">
        <v>555</v>
      </c>
      <c r="BB247" s="0" t="str">
        <f t="shared" si="3"/>
        <v>CCCRNebAfikpoNorth</v>
      </c>
    </row>
    <row r="248">
      <c r="E248" s="0" t="s">
        <v>489</v>
      </c>
      <c r="AV248" s="0" t="s">
        <v>471</v>
      </c>
      <c r="AW248" s="0" t="s">
        <v>398</v>
      </c>
      <c r="AX248" s="0" t="s">
        <v>487</v>
      </c>
      <c r="AY248" s="0" t="s">
        <v>1552</v>
      </c>
      <c r="AZ248" s="0" t="s">
        <v>1553</v>
      </c>
      <c r="BA248" s="0" t="s">
        <v>555</v>
      </c>
      <c r="BB248" s="0" t="str">
        <f t="shared" si="3"/>
        <v>CCCRNebAfikpoNorth</v>
      </c>
    </row>
    <row r="249">
      <c r="E249" s="0" t="s">
        <v>529</v>
      </c>
      <c r="AV249" s="0" t="s">
        <v>471</v>
      </c>
      <c r="AW249" s="0" t="s">
        <v>398</v>
      </c>
      <c r="AX249" s="0" t="s">
        <v>487</v>
      </c>
      <c r="AY249" s="0" t="s">
        <v>1554</v>
      </c>
      <c r="AZ249" s="0" t="s">
        <v>1555</v>
      </c>
      <c r="BA249" s="0" t="s">
        <v>555</v>
      </c>
      <c r="BB249" s="0" t="str">
        <f t="shared" si="3"/>
        <v>CCCRNebAfikpoNorth</v>
      </c>
    </row>
    <row r="250">
      <c r="E250" s="0" t="s">
        <v>570</v>
      </c>
      <c r="AV250" s="0" t="s">
        <v>471</v>
      </c>
      <c r="AW250" s="0" t="s">
        <v>398</v>
      </c>
      <c r="AX250" s="0" t="s">
        <v>487</v>
      </c>
      <c r="AY250" s="0" t="s">
        <v>1556</v>
      </c>
      <c r="AZ250" s="0" t="s">
        <v>1557</v>
      </c>
      <c r="BA250" s="0" t="s">
        <v>555</v>
      </c>
      <c r="BB250" s="0" t="str">
        <f t="shared" si="3"/>
        <v>CCCRNebAfikpoNorth</v>
      </c>
    </row>
    <row r="251">
      <c r="E251" s="0" t="s">
        <v>608</v>
      </c>
      <c r="AV251" s="0" t="s">
        <v>471</v>
      </c>
      <c r="AW251" s="0" t="s">
        <v>398</v>
      </c>
      <c r="AX251" s="0" t="s">
        <v>527</v>
      </c>
      <c r="AY251" s="0" t="s">
        <v>1558</v>
      </c>
      <c r="AZ251" s="0" t="s">
        <v>1559</v>
      </c>
      <c r="BA251" s="0" t="s">
        <v>555</v>
      </c>
      <c r="BB251" s="0" t="str">
        <f t="shared" si="3"/>
        <v>CCCRNebAfikpoSouth</v>
      </c>
    </row>
    <row r="252">
      <c r="E252" s="0" t="s">
        <v>647</v>
      </c>
      <c r="AV252" s="0" t="s">
        <v>471</v>
      </c>
      <c r="AW252" s="0" t="s">
        <v>398</v>
      </c>
      <c r="AX252" s="0" t="s">
        <v>527</v>
      </c>
      <c r="AY252" s="0" t="s">
        <v>1560</v>
      </c>
      <c r="AZ252" s="0" t="s">
        <v>1561</v>
      </c>
      <c r="BA252" s="0" t="s">
        <v>555</v>
      </c>
      <c r="BB252" s="0" t="str">
        <f t="shared" si="3"/>
        <v>CCCRNebAfikpoSouth</v>
      </c>
    </row>
    <row r="253">
      <c r="E253" s="0" t="s">
        <v>531</v>
      </c>
      <c r="AV253" s="0" t="s">
        <v>471</v>
      </c>
      <c r="AW253" s="0" t="s">
        <v>398</v>
      </c>
      <c r="AX253" s="0" t="s">
        <v>568</v>
      </c>
      <c r="AY253" s="0" t="s">
        <v>1562</v>
      </c>
      <c r="AZ253" s="0" t="s">
        <v>1563</v>
      </c>
      <c r="BA253" s="0" t="s">
        <v>555</v>
      </c>
      <c r="BB253" s="0" t="str">
        <f t="shared" si="3"/>
        <v>CCCRNebEbonyi</v>
      </c>
    </row>
    <row r="254">
      <c r="E254" s="0" t="s">
        <v>448</v>
      </c>
      <c r="AV254" s="0" t="s">
        <v>471</v>
      </c>
      <c r="AW254" s="0" t="s">
        <v>398</v>
      </c>
      <c r="AX254" s="0" t="s">
        <v>568</v>
      </c>
      <c r="AY254" s="0" t="s">
        <v>1564</v>
      </c>
      <c r="AZ254" s="0" t="s">
        <v>1565</v>
      </c>
      <c r="BA254" s="0" t="s">
        <v>555</v>
      </c>
      <c r="BB254" s="0" t="str">
        <f t="shared" si="3"/>
        <v>CCCRNebEbonyi</v>
      </c>
    </row>
    <row r="255">
      <c r="E255" s="0" t="s">
        <v>491</v>
      </c>
      <c r="AV255" s="0" t="s">
        <v>471</v>
      </c>
      <c r="AW255" s="0" t="s">
        <v>398</v>
      </c>
      <c r="AX255" s="0" t="s">
        <v>568</v>
      </c>
      <c r="AY255" s="0" t="s">
        <v>1566</v>
      </c>
      <c r="AZ255" s="0" t="s">
        <v>1567</v>
      </c>
      <c r="BA255" s="0" t="s">
        <v>555</v>
      </c>
      <c r="BB255" s="0" t="str">
        <f t="shared" si="3"/>
        <v>CCCRNebEbonyi</v>
      </c>
    </row>
    <row r="256">
      <c r="E256" s="0" t="s">
        <v>572</v>
      </c>
      <c r="AV256" s="0" t="s">
        <v>471</v>
      </c>
      <c r="AW256" s="0" t="s">
        <v>398</v>
      </c>
      <c r="AX256" s="0" t="s">
        <v>568</v>
      </c>
      <c r="AY256" s="0" t="s">
        <v>1568</v>
      </c>
      <c r="AZ256" s="0" t="s">
        <v>1569</v>
      </c>
      <c r="BA256" s="0" t="s">
        <v>555</v>
      </c>
      <c r="BB256" s="0" t="str">
        <f t="shared" si="3"/>
        <v>CCCRNebEbonyi</v>
      </c>
    </row>
    <row r="257">
      <c r="E257" s="0" t="s">
        <v>610</v>
      </c>
      <c r="AV257" s="0" t="s">
        <v>471</v>
      </c>
      <c r="AW257" s="0" t="s">
        <v>398</v>
      </c>
      <c r="AX257" s="0" t="s">
        <v>568</v>
      </c>
      <c r="AY257" s="0" t="s">
        <v>1570</v>
      </c>
      <c r="AZ257" s="0" t="s">
        <v>1571</v>
      </c>
      <c r="BA257" s="0" t="s">
        <v>555</v>
      </c>
      <c r="BB257" s="0" t="str">
        <f t="shared" si="3"/>
        <v>CCCRNebEbonyi</v>
      </c>
    </row>
    <row r="258">
      <c r="E258" s="0" t="s">
        <v>949</v>
      </c>
      <c r="AV258" s="0" t="s">
        <v>471</v>
      </c>
      <c r="AW258" s="0" t="s">
        <v>398</v>
      </c>
      <c r="AX258" s="0" t="s">
        <v>568</v>
      </c>
      <c r="AY258" s="0" t="s">
        <v>1572</v>
      </c>
      <c r="AZ258" s="0" t="s">
        <v>1573</v>
      </c>
      <c r="BA258" s="0" t="s">
        <v>555</v>
      </c>
      <c r="BB258" s="0" t="str">
        <f t="shared" si="3"/>
        <v>CCCRNebEbonyi</v>
      </c>
    </row>
    <row r="259">
      <c r="E259" s="0" t="s">
        <v>496</v>
      </c>
      <c r="AV259" s="0" t="s">
        <v>471</v>
      </c>
      <c r="AW259" s="0" t="s">
        <v>398</v>
      </c>
      <c r="AX259" s="0" t="s">
        <v>606</v>
      </c>
      <c r="AY259" s="0" t="s">
        <v>1574</v>
      </c>
      <c r="AZ259" s="0" t="s">
        <v>1575</v>
      </c>
      <c r="BA259" s="0" t="s">
        <v>555</v>
      </c>
      <c r="BB259" s="0" t="str">
        <f ref="BB259:BB322" t="shared" si="4">SUBSTITUTE(SUBSTITUTE(BA259&amp;AX259," ",""),"-","")</f>
        <v>CCCRNebIvo</v>
      </c>
    </row>
    <row r="260">
      <c r="E260" s="0" t="s">
        <v>536</v>
      </c>
      <c r="AV260" s="0" t="s">
        <v>471</v>
      </c>
      <c r="AW260" s="0" t="s">
        <v>398</v>
      </c>
      <c r="AX260" s="0" t="s">
        <v>606</v>
      </c>
      <c r="AY260" s="0" t="s">
        <v>1576</v>
      </c>
      <c r="AZ260" s="0" t="s">
        <v>1577</v>
      </c>
      <c r="BA260" s="0" t="s">
        <v>555</v>
      </c>
      <c r="BB260" s="0" t="str">
        <f t="shared" si="4"/>
        <v>CCCRNebIvo</v>
      </c>
    </row>
    <row r="261">
      <c r="E261" s="0" t="s">
        <v>577</v>
      </c>
      <c r="AV261" s="0" t="s">
        <v>471</v>
      </c>
      <c r="AW261" s="0" t="s">
        <v>398</v>
      </c>
      <c r="AX261" s="0" t="s">
        <v>606</v>
      </c>
      <c r="AY261" s="0" t="s">
        <v>1578</v>
      </c>
      <c r="AZ261" s="0" t="s">
        <v>1579</v>
      </c>
      <c r="BA261" s="0" t="s">
        <v>555</v>
      </c>
      <c r="BB261" s="0" t="str">
        <f t="shared" si="4"/>
        <v>CCCRNebIvo</v>
      </c>
    </row>
    <row r="262">
      <c r="E262" s="0" t="s">
        <v>615</v>
      </c>
      <c r="AV262" s="0" t="s">
        <v>471</v>
      </c>
      <c r="AW262" s="0" t="s">
        <v>398</v>
      </c>
      <c r="AX262" s="0" t="s">
        <v>606</v>
      </c>
      <c r="AY262" s="0" t="s">
        <v>1580</v>
      </c>
      <c r="AZ262" s="0" t="s">
        <v>1581</v>
      </c>
      <c r="BA262" s="0" t="s">
        <v>555</v>
      </c>
      <c r="BB262" s="0" t="str">
        <f t="shared" si="4"/>
        <v>CCCRNebIvo</v>
      </c>
    </row>
    <row r="263">
      <c r="E263" s="0" t="s">
        <v>454</v>
      </c>
      <c r="AV263" s="0" t="s">
        <v>471</v>
      </c>
      <c r="AW263" s="0" t="s">
        <v>398</v>
      </c>
      <c r="AX263" s="0" t="s">
        <v>606</v>
      </c>
      <c r="AY263" s="0" t="s">
        <v>1582</v>
      </c>
      <c r="AZ263" s="0" t="s">
        <v>1583</v>
      </c>
      <c r="BA263" s="0" t="s">
        <v>555</v>
      </c>
      <c r="BB263" s="0" t="str">
        <f t="shared" si="4"/>
        <v>CCCRNebIvo</v>
      </c>
    </row>
    <row r="264">
      <c r="E264" s="0" t="s">
        <v>497</v>
      </c>
      <c r="AV264" s="0" t="s">
        <v>471</v>
      </c>
      <c r="AW264" s="0" t="s">
        <v>398</v>
      </c>
      <c r="AX264" s="0" t="s">
        <v>606</v>
      </c>
      <c r="AY264" s="0" t="s">
        <v>1584</v>
      </c>
      <c r="AZ264" s="0" t="s">
        <v>1585</v>
      </c>
      <c r="BA264" s="0" t="s">
        <v>555</v>
      </c>
      <c r="BB264" s="0" t="str">
        <f t="shared" si="4"/>
        <v>CCCRNebIvo</v>
      </c>
    </row>
    <row r="265">
      <c r="E265" s="0" t="s">
        <v>537</v>
      </c>
      <c r="AV265" s="0" t="s">
        <v>471</v>
      </c>
      <c r="AW265" s="0" t="s">
        <v>398</v>
      </c>
      <c r="AX265" s="0" t="s">
        <v>645</v>
      </c>
      <c r="AY265" s="0" t="s">
        <v>1586</v>
      </c>
      <c r="AZ265" s="0" t="s">
        <v>1587</v>
      </c>
      <c r="BA265" s="0" t="s">
        <v>555</v>
      </c>
      <c r="BB265" s="0" t="str">
        <f t="shared" si="4"/>
        <v>CCCRNebIzzi</v>
      </c>
    </row>
    <row r="266">
      <c r="E266" s="0" t="s">
        <v>502</v>
      </c>
      <c r="AV266" s="0" t="s">
        <v>471</v>
      </c>
      <c r="AW266" s="0" t="s">
        <v>398</v>
      </c>
      <c r="AX266" s="0" t="s">
        <v>645</v>
      </c>
      <c r="AY266" s="0" t="s">
        <v>1588</v>
      </c>
      <c r="AZ266" s="0" t="s">
        <v>1589</v>
      </c>
      <c r="BA266" s="0" t="s">
        <v>555</v>
      </c>
      <c r="BB266" s="0" t="str">
        <f t="shared" si="4"/>
        <v>CCCRNebIzzi</v>
      </c>
    </row>
    <row r="267">
      <c r="E267" s="0" t="s">
        <v>658</v>
      </c>
      <c r="AV267" s="0" t="s">
        <v>471</v>
      </c>
      <c r="AW267" s="0" t="s">
        <v>398</v>
      </c>
      <c r="AX267" s="0" t="s">
        <v>645</v>
      </c>
      <c r="AY267" s="0" t="s">
        <v>1590</v>
      </c>
      <c r="AZ267" s="0" t="s">
        <v>1591</v>
      </c>
      <c r="BA267" s="0" t="s">
        <v>555</v>
      </c>
      <c r="BB267" s="0" t="str">
        <f t="shared" si="4"/>
        <v>CCCRNebIzzi</v>
      </c>
    </row>
    <row r="268">
      <c r="E268" s="0" t="s">
        <v>694</v>
      </c>
      <c r="AV268" s="0" t="s">
        <v>471</v>
      </c>
      <c r="AW268" s="0" t="s">
        <v>398</v>
      </c>
      <c r="AX268" s="0" t="s">
        <v>683</v>
      </c>
      <c r="AY268" s="0" t="s">
        <v>1592</v>
      </c>
      <c r="AZ268" s="0" t="s">
        <v>1593</v>
      </c>
      <c r="BA268" s="0" t="s">
        <v>555</v>
      </c>
      <c r="BB268" s="0" t="str">
        <f t="shared" si="4"/>
        <v>CCCRNebOhaozara</v>
      </c>
    </row>
    <row r="269">
      <c r="E269" s="0" t="s">
        <v>542</v>
      </c>
      <c r="AV269" s="0" t="s">
        <v>471</v>
      </c>
      <c r="AW269" s="0" t="s">
        <v>398</v>
      </c>
      <c r="AX269" s="0" t="s">
        <v>683</v>
      </c>
      <c r="AY269" s="0" t="s">
        <v>1594</v>
      </c>
      <c r="AZ269" s="0" t="s">
        <v>1595</v>
      </c>
      <c r="BA269" s="0" t="s">
        <v>555</v>
      </c>
      <c r="BB269" s="0" t="str">
        <f t="shared" si="4"/>
        <v>CCCRNebOhaozara</v>
      </c>
    </row>
    <row r="270">
      <c r="E270" s="0" t="s">
        <v>729</v>
      </c>
      <c r="AV270" s="0" t="s">
        <v>471</v>
      </c>
      <c r="AW270" s="0" t="s">
        <v>398</v>
      </c>
      <c r="AX270" s="0" t="s">
        <v>683</v>
      </c>
      <c r="AY270" s="0" t="s">
        <v>1596</v>
      </c>
      <c r="AZ270" s="0" t="s">
        <v>1597</v>
      </c>
      <c r="BA270" s="0" t="s">
        <v>555</v>
      </c>
      <c r="BB270" s="0" t="str">
        <f t="shared" si="4"/>
        <v>CCCRNebOhaozara</v>
      </c>
    </row>
    <row r="271">
      <c r="E271" s="0" t="s">
        <v>582</v>
      </c>
      <c r="AV271" s="0" t="s">
        <v>471</v>
      </c>
      <c r="AW271" s="0" t="s">
        <v>398</v>
      </c>
      <c r="AX271" s="0" t="s">
        <v>683</v>
      </c>
      <c r="AY271" s="0" t="s">
        <v>1598</v>
      </c>
      <c r="AZ271" s="0" t="s">
        <v>1599</v>
      </c>
      <c r="BA271" s="0" t="s">
        <v>555</v>
      </c>
      <c r="BB271" s="0" t="str">
        <f t="shared" si="4"/>
        <v>CCCRNebOhaozara</v>
      </c>
    </row>
    <row r="272">
      <c r="E272" s="0" t="s">
        <v>762</v>
      </c>
      <c r="AV272" s="0" t="s">
        <v>471</v>
      </c>
      <c r="AW272" s="0" t="s">
        <v>398</v>
      </c>
      <c r="AX272" s="0" t="s">
        <v>683</v>
      </c>
      <c r="AY272" s="0" t="s">
        <v>1600</v>
      </c>
      <c r="AZ272" s="0" t="s">
        <v>1601</v>
      </c>
      <c r="BA272" s="0" t="s">
        <v>555</v>
      </c>
      <c r="BB272" s="0" t="str">
        <f t="shared" si="4"/>
        <v>CCCRNebOhaozara</v>
      </c>
    </row>
    <row r="273">
      <c r="E273" s="0" t="s">
        <v>794</v>
      </c>
      <c r="AV273" s="0" t="s">
        <v>471</v>
      </c>
      <c r="AW273" s="0" t="s">
        <v>398</v>
      </c>
      <c r="AX273" s="0" t="s">
        <v>718</v>
      </c>
      <c r="AY273" s="0" t="s">
        <v>1602</v>
      </c>
      <c r="AZ273" s="0" t="s">
        <v>1603</v>
      </c>
      <c r="BA273" s="0" t="s">
        <v>555</v>
      </c>
      <c r="BB273" s="0" t="str">
        <f t="shared" si="4"/>
        <v>CCCRNebOhaukwu</v>
      </c>
    </row>
    <row r="274">
      <c r="E274" s="0" t="s">
        <v>620</v>
      </c>
      <c r="AV274" s="0" t="s">
        <v>471</v>
      </c>
      <c r="AW274" s="0" t="s">
        <v>398</v>
      </c>
      <c r="AX274" s="0" t="s">
        <v>718</v>
      </c>
      <c r="AY274" s="0" t="s">
        <v>1604</v>
      </c>
      <c r="AZ274" s="0" t="s">
        <v>1605</v>
      </c>
      <c r="BA274" s="0" t="s">
        <v>555</v>
      </c>
      <c r="BB274" s="0" t="str">
        <f t="shared" si="4"/>
        <v>CCCRNebOhaukwu</v>
      </c>
    </row>
    <row r="275">
      <c r="E275" s="0" t="s">
        <v>823</v>
      </c>
      <c r="AV275" s="0" t="s">
        <v>471</v>
      </c>
      <c r="AW275" s="0" t="s">
        <v>398</v>
      </c>
      <c r="AX275" s="0" t="s">
        <v>718</v>
      </c>
      <c r="AY275" s="0" t="s">
        <v>1606</v>
      </c>
      <c r="AZ275" s="0" t="s">
        <v>1607</v>
      </c>
      <c r="BA275" s="0" t="s">
        <v>555</v>
      </c>
      <c r="BB275" s="0" t="str">
        <f t="shared" si="4"/>
        <v>CCCRNebOhaukwu</v>
      </c>
    </row>
    <row r="276">
      <c r="E276" s="0" t="s">
        <v>660</v>
      </c>
      <c r="AV276" s="0" t="s">
        <v>471</v>
      </c>
      <c r="AW276" s="0" t="s">
        <v>398</v>
      </c>
      <c r="AX276" s="0" t="s">
        <v>718</v>
      </c>
      <c r="AY276" s="0" t="s">
        <v>1608</v>
      </c>
      <c r="AZ276" s="0" t="s">
        <v>1609</v>
      </c>
      <c r="BA276" s="0" t="s">
        <v>555</v>
      </c>
      <c r="BB276" s="0" t="str">
        <f t="shared" si="4"/>
        <v>CCCRNebOhaukwu</v>
      </c>
    </row>
    <row r="277">
      <c r="E277" s="0" t="s">
        <v>696</v>
      </c>
      <c r="AV277" s="0" t="s">
        <v>471</v>
      </c>
      <c r="AW277" s="0" t="s">
        <v>398</v>
      </c>
      <c r="AX277" s="0" t="s">
        <v>718</v>
      </c>
      <c r="AY277" s="0" t="s">
        <v>1610</v>
      </c>
      <c r="AZ277" s="0" t="s">
        <v>1611</v>
      </c>
      <c r="BA277" s="0" t="s">
        <v>555</v>
      </c>
      <c r="BB277" s="0" t="str">
        <f t="shared" si="4"/>
        <v>CCCRNebOhaukwu</v>
      </c>
    </row>
    <row r="278">
      <c r="E278" s="0" t="s">
        <v>622</v>
      </c>
      <c r="AV278" s="0" t="s">
        <v>471</v>
      </c>
      <c r="AW278" s="0" t="s">
        <v>398</v>
      </c>
      <c r="AX278" s="0" t="s">
        <v>751</v>
      </c>
      <c r="AY278" s="0" t="s">
        <v>1612</v>
      </c>
      <c r="AZ278" s="0" t="s">
        <v>1613</v>
      </c>
      <c r="BA278" s="0" t="s">
        <v>555</v>
      </c>
      <c r="BB278" s="0" t="str">
        <f t="shared" si="4"/>
        <v>CCCRNebOnicha</v>
      </c>
    </row>
    <row r="279">
      <c r="E279" s="0" t="s">
        <v>731</v>
      </c>
      <c r="AV279" s="0" t="s">
        <v>471</v>
      </c>
      <c r="AW279" s="0" t="s">
        <v>398</v>
      </c>
      <c r="AX279" s="0" t="s">
        <v>751</v>
      </c>
      <c r="AY279" s="0" t="s">
        <v>1614</v>
      </c>
      <c r="AZ279" s="0" t="s">
        <v>1615</v>
      </c>
      <c r="BA279" s="0" t="s">
        <v>555</v>
      </c>
      <c r="BB279" s="0" t="str">
        <f t="shared" si="4"/>
        <v>CCCRNebOnicha</v>
      </c>
    </row>
    <row r="280">
      <c r="E280" s="0" t="s">
        <v>764</v>
      </c>
      <c r="AV280" s="0" t="s">
        <v>471</v>
      </c>
      <c r="AW280" s="0" t="s">
        <v>398</v>
      </c>
      <c r="AX280" s="0" t="s">
        <v>751</v>
      </c>
      <c r="AY280" s="0" t="s">
        <v>1616</v>
      </c>
      <c r="AZ280" s="0" t="s">
        <v>1617</v>
      </c>
      <c r="BA280" s="0" t="s">
        <v>555</v>
      </c>
      <c r="BB280" s="0" t="str">
        <f t="shared" si="4"/>
        <v>CCCRNebOnicha</v>
      </c>
    </row>
    <row r="281">
      <c r="E281" s="0" t="s">
        <v>623</v>
      </c>
      <c r="AV281" s="0" t="s">
        <v>471</v>
      </c>
      <c r="AW281" s="0" t="s">
        <v>398</v>
      </c>
      <c r="AX281" s="0" t="s">
        <v>751</v>
      </c>
      <c r="AY281" s="0" t="s">
        <v>1618</v>
      </c>
      <c r="AZ281" s="0" t="s">
        <v>1619</v>
      </c>
      <c r="BA281" s="0" t="s">
        <v>555</v>
      </c>
      <c r="BB281" s="0" t="str">
        <f t="shared" si="4"/>
        <v>CCCRNebOnicha</v>
      </c>
    </row>
    <row r="282">
      <c r="E282" s="0" t="s">
        <v>462</v>
      </c>
      <c r="AV282" s="0" t="s">
        <v>471</v>
      </c>
      <c r="AW282" s="0" t="s">
        <v>401</v>
      </c>
      <c r="AX282" s="0" t="s">
        <v>447</v>
      </c>
      <c r="AY282" s="0" t="s">
        <v>1620</v>
      </c>
      <c r="AZ282" s="0" t="s">
        <v>1621</v>
      </c>
      <c r="BA282" s="0" t="s">
        <v>555</v>
      </c>
      <c r="BB282" s="0" t="str">
        <f t="shared" si="4"/>
        <v>CCCRNenEnuguEast</v>
      </c>
    </row>
    <row r="283">
      <c r="E283" s="0" t="s">
        <v>661</v>
      </c>
      <c r="AV283" s="0" t="s">
        <v>471</v>
      </c>
      <c r="AW283" s="0" t="s">
        <v>401</v>
      </c>
      <c r="AX283" s="0" t="s">
        <v>447</v>
      </c>
      <c r="AY283" s="0" t="s">
        <v>1622</v>
      </c>
      <c r="AZ283" s="0" t="s">
        <v>1623</v>
      </c>
      <c r="BA283" s="0" t="s">
        <v>555</v>
      </c>
      <c r="BB283" s="0" t="str">
        <f t="shared" si="4"/>
        <v>CCCRNenEnuguEast</v>
      </c>
    </row>
    <row r="284">
      <c r="E284" s="0" t="s">
        <v>697</v>
      </c>
      <c r="AV284" s="0" t="s">
        <v>471</v>
      </c>
      <c r="AW284" s="0" t="s">
        <v>401</v>
      </c>
      <c r="AX284" s="0" t="s">
        <v>447</v>
      </c>
      <c r="AY284" s="0" t="s">
        <v>1624</v>
      </c>
      <c r="AZ284" s="0" t="s">
        <v>1625</v>
      </c>
      <c r="BA284" s="0" t="s">
        <v>555</v>
      </c>
      <c r="BB284" s="0" t="str">
        <f t="shared" si="4"/>
        <v>CCCRNenEnuguEast</v>
      </c>
    </row>
    <row r="285">
      <c r="E285" s="0" t="s">
        <v>544</v>
      </c>
      <c r="AV285" s="0" t="s">
        <v>471</v>
      </c>
      <c r="AW285" s="0" t="s">
        <v>401</v>
      </c>
      <c r="AX285" s="0" t="s">
        <v>447</v>
      </c>
      <c r="AY285" s="0" t="s">
        <v>1626</v>
      </c>
      <c r="AZ285" s="0" t="s">
        <v>1627</v>
      </c>
      <c r="BA285" s="0" t="s">
        <v>555</v>
      </c>
      <c r="BB285" s="0" t="str">
        <f t="shared" si="4"/>
        <v>CCCRNenEnuguEast</v>
      </c>
    </row>
    <row r="286">
      <c r="E286" s="0" t="s">
        <v>584</v>
      </c>
      <c r="AV286" s="0" t="s">
        <v>471</v>
      </c>
      <c r="AW286" s="0" t="s">
        <v>401</v>
      </c>
      <c r="AX286" s="0" t="s">
        <v>447</v>
      </c>
      <c r="AY286" s="0" t="s">
        <v>1628</v>
      </c>
      <c r="AZ286" s="0" t="s">
        <v>1629</v>
      </c>
      <c r="BA286" s="0" t="s">
        <v>555</v>
      </c>
      <c r="BB286" s="0" t="str">
        <f t="shared" si="4"/>
        <v>CCCRNenEnuguEast</v>
      </c>
    </row>
    <row r="287">
      <c r="E287" s="0" t="s">
        <v>585</v>
      </c>
      <c r="AV287" s="0" t="s">
        <v>471</v>
      </c>
      <c r="AW287" s="0" t="s">
        <v>401</v>
      </c>
      <c r="AX287" s="0" t="s">
        <v>447</v>
      </c>
      <c r="AY287" s="0" t="s">
        <v>1630</v>
      </c>
      <c r="AZ287" s="0" t="s">
        <v>1631</v>
      </c>
      <c r="BA287" s="0" t="s">
        <v>555</v>
      </c>
      <c r="BB287" s="0" t="str">
        <f t="shared" si="4"/>
        <v>CCCRNenEnuguEast</v>
      </c>
    </row>
    <row r="288">
      <c r="E288" s="0" t="s">
        <v>624</v>
      </c>
      <c r="AV288" s="0" t="s">
        <v>471</v>
      </c>
      <c r="AW288" s="0" t="s">
        <v>401</v>
      </c>
      <c r="AX288" s="0" t="s">
        <v>447</v>
      </c>
      <c r="AY288" s="0" t="s">
        <v>1632</v>
      </c>
      <c r="AZ288" s="0" t="s">
        <v>1633</v>
      </c>
      <c r="BA288" s="0" t="s">
        <v>555</v>
      </c>
      <c r="BB288" s="0" t="str">
        <f t="shared" si="4"/>
        <v>CCCRNenEnuguEast</v>
      </c>
    </row>
    <row r="289">
      <c r="E289" s="0" t="s">
        <v>662</v>
      </c>
      <c r="AV289" s="0" t="s">
        <v>471</v>
      </c>
      <c r="AW289" s="0" t="s">
        <v>401</v>
      </c>
      <c r="AX289" s="0" t="s">
        <v>447</v>
      </c>
      <c r="AY289" s="0" t="s">
        <v>1634</v>
      </c>
      <c r="AZ289" s="0" t="s">
        <v>1635</v>
      </c>
      <c r="BA289" s="0" t="s">
        <v>555</v>
      </c>
      <c r="BB289" s="0" t="str">
        <f t="shared" si="4"/>
        <v>CCCRNenEnuguEast</v>
      </c>
    </row>
    <row r="290">
      <c r="E290" s="0" t="s">
        <v>698</v>
      </c>
      <c r="AV290" s="0" t="s">
        <v>471</v>
      </c>
      <c r="AW290" s="0" t="s">
        <v>401</v>
      </c>
      <c r="AX290" s="0" t="s">
        <v>447</v>
      </c>
      <c r="AY290" s="0" t="s">
        <v>1636</v>
      </c>
      <c r="AZ290" s="0" t="s">
        <v>1637</v>
      </c>
      <c r="BA290" s="0" t="s">
        <v>555</v>
      </c>
      <c r="BB290" s="0" t="str">
        <f t="shared" si="4"/>
        <v>CCCRNenEnuguEast</v>
      </c>
    </row>
    <row r="291">
      <c r="E291" s="0" t="s">
        <v>732</v>
      </c>
      <c r="AV291" s="0" t="s">
        <v>471</v>
      </c>
      <c r="AW291" s="0" t="s">
        <v>401</v>
      </c>
      <c r="AX291" s="0" t="s">
        <v>447</v>
      </c>
      <c r="AY291" s="0" t="s">
        <v>1638</v>
      </c>
      <c r="AZ291" s="0" t="s">
        <v>1639</v>
      </c>
      <c r="BA291" s="0" t="s">
        <v>555</v>
      </c>
      <c r="BB291" s="0" t="str">
        <f t="shared" si="4"/>
        <v>CCCRNenEnuguEast</v>
      </c>
    </row>
    <row r="292">
      <c r="E292" s="0" t="s">
        <v>545</v>
      </c>
      <c r="AV292" s="0" t="s">
        <v>471</v>
      </c>
      <c r="AW292" s="0" t="s">
        <v>401</v>
      </c>
      <c r="AX292" s="0" t="s">
        <v>490</v>
      </c>
      <c r="AY292" s="0" t="s">
        <v>1640</v>
      </c>
      <c r="AZ292" s="0" t="s">
        <v>1641</v>
      </c>
      <c r="BA292" s="0" t="s">
        <v>555</v>
      </c>
      <c r="BB292" s="0" t="str">
        <f t="shared" si="4"/>
        <v>CCCRNenEnuguNorth</v>
      </c>
    </row>
    <row r="293">
      <c r="E293" s="0" t="s">
        <v>765</v>
      </c>
      <c r="AV293" s="0" t="s">
        <v>471</v>
      </c>
      <c r="AW293" s="0" t="s">
        <v>401</v>
      </c>
      <c r="AX293" s="0" t="s">
        <v>490</v>
      </c>
      <c r="AY293" s="0" t="s">
        <v>1642</v>
      </c>
      <c r="AZ293" s="0" t="s">
        <v>1643</v>
      </c>
      <c r="BA293" s="0" t="s">
        <v>555</v>
      </c>
      <c r="BB293" s="0" t="str">
        <f t="shared" si="4"/>
        <v>CCCRNenEnuguNorth</v>
      </c>
    </row>
    <row r="294">
      <c r="E294" s="0" t="s">
        <v>649</v>
      </c>
      <c r="AV294" s="0" t="s">
        <v>471</v>
      </c>
      <c r="AW294" s="0" t="s">
        <v>401</v>
      </c>
      <c r="AX294" s="0" t="s">
        <v>490</v>
      </c>
      <c r="AY294" s="0" t="s">
        <v>1644</v>
      </c>
      <c r="AZ294" s="0" t="s">
        <v>1645</v>
      </c>
      <c r="BA294" s="0" t="s">
        <v>555</v>
      </c>
      <c r="BB294" s="0" t="str">
        <f t="shared" si="4"/>
        <v>CCCRNenEnuguNorth</v>
      </c>
    </row>
    <row r="295">
      <c r="E295" s="0" t="s">
        <v>459</v>
      </c>
      <c r="AV295" s="0" t="s">
        <v>471</v>
      </c>
      <c r="AW295" s="0" t="s">
        <v>401</v>
      </c>
      <c r="AX295" s="0" t="s">
        <v>490</v>
      </c>
      <c r="AY295" s="0" t="s">
        <v>1646</v>
      </c>
      <c r="AZ295" s="0" t="s">
        <v>1647</v>
      </c>
      <c r="BA295" s="0" t="s">
        <v>555</v>
      </c>
      <c r="BB295" s="0" t="str">
        <f t="shared" si="4"/>
        <v>CCCRNenEnuguNorth</v>
      </c>
    </row>
    <row r="296">
      <c r="E296" s="0" t="s">
        <v>794</v>
      </c>
      <c r="AV296" s="0" t="s">
        <v>471</v>
      </c>
      <c r="AW296" s="0" t="s">
        <v>401</v>
      </c>
      <c r="AX296" s="0" t="s">
        <v>490</v>
      </c>
      <c r="AY296" s="0" t="s">
        <v>1648</v>
      </c>
      <c r="AZ296" s="0" t="s">
        <v>1649</v>
      </c>
      <c r="BA296" s="0" t="s">
        <v>555</v>
      </c>
      <c r="BB296" s="0" t="str">
        <f t="shared" si="4"/>
        <v>CCCRNenEnuguNorth</v>
      </c>
    </row>
    <row r="297">
      <c r="E297" s="0" t="s">
        <v>851</v>
      </c>
      <c r="AV297" s="0" t="s">
        <v>471</v>
      </c>
      <c r="AW297" s="0" t="s">
        <v>401</v>
      </c>
      <c r="AX297" s="0" t="s">
        <v>490</v>
      </c>
      <c r="AY297" s="0" t="s">
        <v>1650</v>
      </c>
      <c r="AZ297" s="0" t="s">
        <v>1651</v>
      </c>
      <c r="BA297" s="0" t="s">
        <v>555</v>
      </c>
      <c r="BB297" s="0" t="str">
        <f t="shared" si="4"/>
        <v>CCCRNenEnuguNorth</v>
      </c>
    </row>
    <row r="298">
      <c r="E298" s="0" t="s">
        <v>854</v>
      </c>
      <c r="AV298" s="0" t="s">
        <v>471</v>
      </c>
      <c r="AW298" s="0" t="s">
        <v>401</v>
      </c>
      <c r="AX298" s="0" t="s">
        <v>530</v>
      </c>
      <c r="AY298" s="0" t="s">
        <v>1652</v>
      </c>
      <c r="AZ298" s="0" t="s">
        <v>1653</v>
      </c>
      <c r="BA298" s="0" t="s">
        <v>555</v>
      </c>
      <c r="BB298" s="0" t="str">
        <f t="shared" si="4"/>
        <v>CCCRNenEnuguSouth</v>
      </c>
    </row>
    <row r="299">
      <c r="E299" s="0" t="s">
        <v>880</v>
      </c>
      <c r="AV299" s="0" t="s">
        <v>471</v>
      </c>
      <c r="AW299" s="0" t="s">
        <v>401</v>
      </c>
      <c r="AX299" s="0" t="s">
        <v>530</v>
      </c>
      <c r="AY299" s="0" t="s">
        <v>1654</v>
      </c>
      <c r="AZ299" s="0" t="s">
        <v>1655</v>
      </c>
      <c r="BA299" s="0" t="s">
        <v>555</v>
      </c>
      <c r="BB299" s="0" t="str">
        <f t="shared" si="4"/>
        <v>CCCRNenEnuguSouth</v>
      </c>
    </row>
    <row r="300">
      <c r="E300" s="0" t="s">
        <v>905</v>
      </c>
      <c r="AV300" s="0" t="s">
        <v>471</v>
      </c>
      <c r="AW300" s="0" t="s">
        <v>401</v>
      </c>
      <c r="AX300" s="0" t="s">
        <v>530</v>
      </c>
      <c r="AY300" s="0" t="s">
        <v>1656</v>
      </c>
      <c r="AZ300" s="0" t="s">
        <v>1657</v>
      </c>
      <c r="BA300" s="0" t="s">
        <v>555</v>
      </c>
      <c r="BB300" s="0" t="str">
        <f t="shared" si="4"/>
        <v>CCCRNenEnuguSouth</v>
      </c>
    </row>
    <row r="301">
      <c r="E301" s="0" t="s">
        <v>930</v>
      </c>
      <c r="AV301" s="0" t="s">
        <v>471</v>
      </c>
      <c r="AW301" s="0" t="s">
        <v>401</v>
      </c>
      <c r="AX301" s="0" t="s">
        <v>530</v>
      </c>
      <c r="AY301" s="0" t="s">
        <v>1658</v>
      </c>
      <c r="AZ301" s="0" t="s">
        <v>1659</v>
      </c>
      <c r="BA301" s="0" t="s">
        <v>555</v>
      </c>
      <c r="BB301" s="0" t="str">
        <f t="shared" si="4"/>
        <v>CCCRNenEnuguSouth</v>
      </c>
    </row>
    <row r="302">
      <c r="AV302" s="0" t="s">
        <v>471</v>
      </c>
      <c r="AW302" s="0" t="s">
        <v>401</v>
      </c>
      <c r="AX302" s="0" t="s">
        <v>530</v>
      </c>
      <c r="AY302" s="0" t="s">
        <v>1660</v>
      </c>
      <c r="AZ302" s="0" t="s">
        <v>1661</v>
      </c>
      <c r="BA302" s="0" t="s">
        <v>555</v>
      </c>
      <c r="BB302" s="0" t="str">
        <f t="shared" si="4"/>
        <v>CCCRNenEnuguSouth</v>
      </c>
    </row>
    <row r="303">
      <c r="AV303" s="0" t="s">
        <v>471</v>
      </c>
      <c r="AW303" s="0" t="s">
        <v>401</v>
      </c>
      <c r="AX303" s="0" t="s">
        <v>530</v>
      </c>
      <c r="AY303" s="0" t="s">
        <v>1662</v>
      </c>
      <c r="AZ303" s="0" t="s">
        <v>1663</v>
      </c>
      <c r="BA303" s="0" t="s">
        <v>555</v>
      </c>
      <c r="BB303" s="0" t="str">
        <f t="shared" si="4"/>
        <v>CCCRNenEnuguSouth</v>
      </c>
    </row>
    <row r="304">
      <c r="AV304" s="0" t="s">
        <v>471</v>
      </c>
      <c r="AW304" s="0" t="s">
        <v>401</v>
      </c>
      <c r="AX304" s="0" t="s">
        <v>571</v>
      </c>
      <c r="AY304" s="0" t="s">
        <v>1664</v>
      </c>
      <c r="AZ304" s="0" t="s">
        <v>1665</v>
      </c>
      <c r="BA304" s="0" t="s">
        <v>555</v>
      </c>
      <c r="BB304" s="0" t="str">
        <f t="shared" si="4"/>
        <v>CCCRNenIgboEtiti</v>
      </c>
    </row>
    <row r="305">
      <c r="AV305" s="0" t="s">
        <v>471</v>
      </c>
      <c r="AW305" s="0" t="s">
        <v>401</v>
      </c>
      <c r="AX305" s="0" t="s">
        <v>571</v>
      </c>
      <c r="AY305" s="0" t="s">
        <v>1666</v>
      </c>
      <c r="AZ305" s="0" t="s">
        <v>1667</v>
      </c>
      <c r="BA305" s="0" t="s">
        <v>555</v>
      </c>
      <c r="BB305" s="0" t="str">
        <f t="shared" si="4"/>
        <v>CCCRNenIgboEtiti</v>
      </c>
    </row>
    <row r="306">
      <c r="AV306" s="0" t="s">
        <v>471</v>
      </c>
      <c r="AW306" s="0" t="s">
        <v>401</v>
      </c>
      <c r="AX306" s="0" t="s">
        <v>571</v>
      </c>
      <c r="AY306" s="0" t="s">
        <v>1668</v>
      </c>
      <c r="AZ306" s="0" t="s">
        <v>1669</v>
      </c>
      <c r="BA306" s="0" t="s">
        <v>555</v>
      </c>
      <c r="BB306" s="0" t="str">
        <f t="shared" si="4"/>
        <v>CCCRNenIgboEtiti</v>
      </c>
    </row>
    <row r="307">
      <c r="AV307" s="0" t="s">
        <v>471</v>
      </c>
      <c r="AW307" s="0" t="s">
        <v>401</v>
      </c>
      <c r="AX307" s="0" t="s">
        <v>571</v>
      </c>
      <c r="AY307" s="0" t="s">
        <v>1670</v>
      </c>
      <c r="AZ307" s="0" t="s">
        <v>1671</v>
      </c>
      <c r="BA307" s="0" t="s">
        <v>555</v>
      </c>
      <c r="BB307" s="0" t="str">
        <f t="shared" si="4"/>
        <v>CCCRNenIgboEtiti</v>
      </c>
    </row>
    <row r="308">
      <c r="AV308" s="0" t="s">
        <v>471</v>
      </c>
      <c r="AW308" s="0" t="s">
        <v>401</v>
      </c>
      <c r="AX308" s="0" t="s">
        <v>571</v>
      </c>
      <c r="AY308" s="0" t="s">
        <v>1672</v>
      </c>
      <c r="AZ308" s="0" t="s">
        <v>1673</v>
      </c>
      <c r="BA308" s="0" t="s">
        <v>555</v>
      </c>
      <c r="BB308" s="0" t="str">
        <f t="shared" si="4"/>
        <v>CCCRNenIgboEtiti</v>
      </c>
    </row>
    <row r="309">
      <c r="AV309" s="0" t="s">
        <v>471</v>
      </c>
      <c r="AW309" s="0" t="s">
        <v>401</v>
      </c>
      <c r="AX309" s="0" t="s">
        <v>609</v>
      </c>
      <c r="AY309" s="0" t="s">
        <v>1674</v>
      </c>
      <c r="AZ309" s="0" t="s">
        <v>1675</v>
      </c>
      <c r="BA309" s="0" t="s">
        <v>555</v>
      </c>
      <c r="BB309" s="0" t="str">
        <f t="shared" si="4"/>
        <v>CCCRNenIgboEzeNorth</v>
      </c>
    </row>
    <row r="310">
      <c r="AV310" s="0" t="s">
        <v>471</v>
      </c>
      <c r="AW310" s="0" t="s">
        <v>401</v>
      </c>
      <c r="AX310" s="0" t="s">
        <v>609</v>
      </c>
      <c r="AY310" s="0" t="s">
        <v>1676</v>
      </c>
      <c r="AZ310" s="0" t="s">
        <v>1677</v>
      </c>
      <c r="BA310" s="0" t="s">
        <v>555</v>
      </c>
      <c r="BB310" s="0" t="str">
        <f t="shared" si="4"/>
        <v>CCCRNenIgboEzeNorth</v>
      </c>
    </row>
    <row r="311">
      <c r="AV311" s="0" t="s">
        <v>471</v>
      </c>
      <c r="AW311" s="0" t="s">
        <v>401</v>
      </c>
      <c r="AX311" s="0" t="s">
        <v>609</v>
      </c>
      <c r="AY311" s="0" t="s">
        <v>1678</v>
      </c>
      <c r="AZ311" s="0" t="s">
        <v>1679</v>
      </c>
      <c r="BA311" s="0" t="s">
        <v>555</v>
      </c>
      <c r="BB311" s="0" t="str">
        <f t="shared" si="4"/>
        <v>CCCRNenIgboEzeNorth</v>
      </c>
    </row>
    <row r="312">
      <c r="AV312" s="0" t="s">
        <v>471</v>
      </c>
      <c r="AW312" s="0" t="s">
        <v>401</v>
      </c>
      <c r="AX312" s="0" t="s">
        <v>609</v>
      </c>
      <c r="AY312" s="0" t="s">
        <v>1680</v>
      </c>
      <c r="AZ312" s="0" t="s">
        <v>1681</v>
      </c>
      <c r="BA312" s="0" t="s">
        <v>555</v>
      </c>
      <c r="BB312" s="0" t="str">
        <f t="shared" si="4"/>
        <v>CCCRNenIgboEzeNorth</v>
      </c>
    </row>
    <row r="313">
      <c r="AV313" s="0" t="s">
        <v>471</v>
      </c>
      <c r="AW313" s="0" t="s">
        <v>401</v>
      </c>
      <c r="AX313" s="0" t="s">
        <v>609</v>
      </c>
      <c r="AY313" s="0" t="s">
        <v>1682</v>
      </c>
      <c r="AZ313" s="0" t="s">
        <v>1683</v>
      </c>
      <c r="BA313" s="0" t="s">
        <v>555</v>
      </c>
      <c r="BB313" s="0" t="str">
        <f t="shared" si="4"/>
        <v>CCCRNenIgboEzeNorth</v>
      </c>
    </row>
    <row r="314">
      <c r="AV314" s="0" t="s">
        <v>471</v>
      </c>
      <c r="AW314" s="0" t="s">
        <v>401</v>
      </c>
      <c r="AX314" s="0" t="s">
        <v>609</v>
      </c>
      <c r="AY314" s="0" t="s">
        <v>1684</v>
      </c>
      <c r="AZ314" s="0" t="s">
        <v>1685</v>
      </c>
      <c r="BA314" s="0" t="s">
        <v>555</v>
      </c>
      <c r="BB314" s="0" t="str">
        <f t="shared" si="4"/>
        <v>CCCRNenIgboEzeNorth</v>
      </c>
    </row>
    <row r="315">
      <c r="AV315" s="0" t="s">
        <v>471</v>
      </c>
      <c r="AW315" s="0" t="s">
        <v>401</v>
      </c>
      <c r="AX315" s="0" t="s">
        <v>609</v>
      </c>
      <c r="AY315" s="0" t="s">
        <v>1686</v>
      </c>
      <c r="AZ315" s="0" t="s">
        <v>1687</v>
      </c>
      <c r="BA315" s="0" t="s">
        <v>555</v>
      </c>
      <c r="BB315" s="0" t="str">
        <f t="shared" si="4"/>
        <v>CCCRNenIgboEzeNorth</v>
      </c>
    </row>
    <row r="316">
      <c r="AV316" s="0" t="s">
        <v>471</v>
      </c>
      <c r="AW316" s="0" t="s">
        <v>401</v>
      </c>
      <c r="AX316" s="0" t="s">
        <v>648</v>
      </c>
      <c r="AY316" s="0" t="s">
        <v>1688</v>
      </c>
      <c r="AZ316" s="0" t="s">
        <v>1689</v>
      </c>
      <c r="BA316" s="0" t="s">
        <v>555</v>
      </c>
      <c r="BB316" s="0" t="str">
        <f t="shared" si="4"/>
        <v>CCCRNenIgboEzeSouth</v>
      </c>
    </row>
    <row r="317">
      <c r="AV317" s="0" t="s">
        <v>471</v>
      </c>
      <c r="AW317" s="0" t="s">
        <v>401</v>
      </c>
      <c r="AX317" s="0" t="s">
        <v>648</v>
      </c>
      <c r="AY317" s="0" t="s">
        <v>1690</v>
      </c>
      <c r="AZ317" s="0" t="s">
        <v>1691</v>
      </c>
      <c r="BA317" s="0" t="s">
        <v>555</v>
      </c>
      <c r="BB317" s="0" t="str">
        <f t="shared" si="4"/>
        <v>CCCRNenIgboEzeSouth</v>
      </c>
    </row>
    <row r="318">
      <c r="AV318" s="0" t="s">
        <v>471</v>
      </c>
      <c r="AW318" s="0" t="s">
        <v>401</v>
      </c>
      <c r="AX318" s="0" t="s">
        <v>648</v>
      </c>
      <c r="AY318" s="0" t="s">
        <v>1692</v>
      </c>
      <c r="AZ318" s="0" t="s">
        <v>1693</v>
      </c>
      <c r="BA318" s="0" t="s">
        <v>555</v>
      </c>
      <c r="BB318" s="0" t="str">
        <f t="shared" si="4"/>
        <v>CCCRNenIgboEzeSouth</v>
      </c>
    </row>
    <row r="319">
      <c r="AV319" s="0" t="s">
        <v>471</v>
      </c>
      <c r="AW319" s="0" t="s">
        <v>401</v>
      </c>
      <c r="AX319" s="0" t="s">
        <v>685</v>
      </c>
      <c r="AY319" s="0" t="s">
        <v>1694</v>
      </c>
      <c r="AZ319" s="0" t="s">
        <v>1695</v>
      </c>
      <c r="BA319" s="0" t="s">
        <v>555</v>
      </c>
      <c r="BB319" s="0" t="str">
        <f t="shared" si="4"/>
        <v>CCCRNenIsiuzo</v>
      </c>
    </row>
    <row r="320">
      <c r="AV320" s="0" t="s">
        <v>471</v>
      </c>
      <c r="AW320" s="0" t="s">
        <v>401</v>
      </c>
      <c r="AX320" s="0" t="s">
        <v>685</v>
      </c>
      <c r="AY320" s="0" t="s">
        <v>1696</v>
      </c>
      <c r="AZ320" s="0" t="s">
        <v>1697</v>
      </c>
      <c r="BA320" s="0" t="s">
        <v>555</v>
      </c>
      <c r="BB320" s="0" t="str">
        <f t="shared" si="4"/>
        <v>CCCRNenIsiuzo</v>
      </c>
    </row>
    <row r="321">
      <c r="AV321" s="0" t="s">
        <v>471</v>
      </c>
      <c r="AW321" s="0" t="s">
        <v>401</v>
      </c>
      <c r="AX321" s="0" t="s">
        <v>685</v>
      </c>
      <c r="AY321" s="0" t="s">
        <v>1698</v>
      </c>
      <c r="AZ321" s="0" t="s">
        <v>1699</v>
      </c>
      <c r="BA321" s="0" t="s">
        <v>555</v>
      </c>
      <c r="BB321" s="0" t="str">
        <f t="shared" si="4"/>
        <v>CCCRNenIsiuzo</v>
      </c>
    </row>
    <row r="322">
      <c r="AV322" s="0" t="s">
        <v>471</v>
      </c>
      <c r="AW322" s="0" t="s">
        <v>401</v>
      </c>
      <c r="AX322" s="0" t="s">
        <v>685</v>
      </c>
      <c r="AY322" s="0" t="s">
        <v>1700</v>
      </c>
      <c r="AZ322" s="0" t="s">
        <v>1701</v>
      </c>
      <c r="BA322" s="0" t="s">
        <v>555</v>
      </c>
      <c r="BB322" s="0" t="str">
        <f t="shared" si="4"/>
        <v>CCCRNenIsiuzo</v>
      </c>
    </row>
    <row r="323">
      <c r="AV323" s="0" t="s">
        <v>471</v>
      </c>
      <c r="AW323" s="0" t="s">
        <v>401</v>
      </c>
      <c r="AX323" s="0" t="s">
        <v>685</v>
      </c>
      <c r="AY323" s="0" t="s">
        <v>1702</v>
      </c>
      <c r="AZ323" s="0" t="s">
        <v>1703</v>
      </c>
      <c r="BA323" s="0" t="s">
        <v>555</v>
      </c>
      <c r="BB323" s="0" t="str">
        <f ref="BB323:BB386" t="shared" si="5">SUBSTITUTE(SUBSTITUTE(BA323&amp;AX323," ",""),"-","")</f>
        <v>CCCRNenIsiuzo</v>
      </c>
    </row>
    <row r="324">
      <c r="AV324" s="0" t="s">
        <v>471</v>
      </c>
      <c r="AW324" s="0" t="s">
        <v>401</v>
      </c>
      <c r="AX324" s="0" t="s">
        <v>720</v>
      </c>
      <c r="AY324" s="0" t="s">
        <v>1704</v>
      </c>
      <c r="AZ324" s="0" t="s">
        <v>1705</v>
      </c>
      <c r="BA324" s="0" t="s">
        <v>555</v>
      </c>
      <c r="BB324" s="0" t="str">
        <f t="shared" si="5"/>
        <v>CCCRNenNkanuEast</v>
      </c>
    </row>
    <row r="325">
      <c r="AV325" s="0" t="s">
        <v>471</v>
      </c>
      <c r="AW325" s="0" t="s">
        <v>401</v>
      </c>
      <c r="AX325" s="0" t="s">
        <v>753</v>
      </c>
      <c r="AY325" s="0" t="s">
        <v>1706</v>
      </c>
      <c r="AZ325" s="0" t="s">
        <v>1707</v>
      </c>
      <c r="BA325" s="0" t="s">
        <v>555</v>
      </c>
      <c r="BB325" s="0" t="str">
        <f t="shared" si="5"/>
        <v>CCCRNenNkanuWest</v>
      </c>
    </row>
    <row r="326">
      <c r="AV326" s="0" t="s">
        <v>471</v>
      </c>
      <c r="AW326" s="0" t="s">
        <v>401</v>
      </c>
      <c r="AX326" s="0" t="s">
        <v>753</v>
      </c>
      <c r="AY326" s="0" t="s">
        <v>1708</v>
      </c>
      <c r="AZ326" s="0" t="s">
        <v>1709</v>
      </c>
      <c r="BA326" s="0" t="s">
        <v>555</v>
      </c>
      <c r="BB326" s="0" t="str">
        <f t="shared" si="5"/>
        <v>CCCRNenNkanuWest</v>
      </c>
    </row>
    <row r="327">
      <c r="AV327" s="0" t="s">
        <v>471</v>
      </c>
      <c r="AW327" s="0" t="s">
        <v>401</v>
      </c>
      <c r="AX327" s="0" t="s">
        <v>753</v>
      </c>
      <c r="AY327" s="0" t="s">
        <v>1710</v>
      </c>
      <c r="AZ327" s="0" t="s">
        <v>1711</v>
      </c>
      <c r="BA327" s="0" t="s">
        <v>555</v>
      </c>
      <c r="BB327" s="0" t="str">
        <f t="shared" si="5"/>
        <v>CCCRNenNkanuWest</v>
      </c>
    </row>
    <row r="328">
      <c r="AV328" s="0" t="s">
        <v>471</v>
      </c>
      <c r="AW328" s="0" t="s">
        <v>401</v>
      </c>
      <c r="AX328" s="0" t="s">
        <v>785</v>
      </c>
      <c r="AY328" s="0" t="s">
        <v>1712</v>
      </c>
      <c r="AZ328" s="0" t="s">
        <v>1713</v>
      </c>
      <c r="BA328" s="0" t="s">
        <v>555</v>
      </c>
      <c r="BB328" s="0" t="str">
        <f t="shared" si="5"/>
        <v>CCCRNenNsukka</v>
      </c>
    </row>
    <row r="329">
      <c r="AV329" s="0" t="s">
        <v>471</v>
      </c>
      <c r="AW329" s="0" t="s">
        <v>401</v>
      </c>
      <c r="AX329" s="0" t="s">
        <v>785</v>
      </c>
      <c r="AY329" s="0" t="s">
        <v>1714</v>
      </c>
      <c r="AZ329" s="0" t="s">
        <v>1715</v>
      </c>
      <c r="BA329" s="0" t="s">
        <v>555</v>
      </c>
      <c r="BB329" s="0" t="str">
        <f t="shared" si="5"/>
        <v>CCCRNenNsukka</v>
      </c>
    </row>
    <row r="330">
      <c r="AV330" s="0" t="s">
        <v>471</v>
      </c>
      <c r="AW330" s="0" t="s">
        <v>401</v>
      </c>
      <c r="AX330" s="0" t="s">
        <v>785</v>
      </c>
      <c r="AY330" s="0" t="s">
        <v>1716</v>
      </c>
      <c r="AZ330" s="0" t="s">
        <v>1717</v>
      </c>
      <c r="BA330" s="0" t="s">
        <v>555</v>
      </c>
      <c r="BB330" s="0" t="str">
        <f t="shared" si="5"/>
        <v>CCCRNenNsukka</v>
      </c>
    </row>
    <row r="331">
      <c r="AV331" s="0" t="s">
        <v>471</v>
      </c>
      <c r="AW331" s="0" t="s">
        <v>401</v>
      </c>
      <c r="AX331" s="0" t="s">
        <v>785</v>
      </c>
      <c r="AY331" s="0" t="s">
        <v>1718</v>
      </c>
      <c r="AZ331" s="0" t="s">
        <v>1719</v>
      </c>
      <c r="BA331" s="0" t="s">
        <v>555</v>
      </c>
      <c r="BB331" s="0" t="str">
        <f t="shared" si="5"/>
        <v>CCCRNenNsukka</v>
      </c>
    </row>
    <row r="332">
      <c r="AV332" s="0" t="s">
        <v>471</v>
      </c>
      <c r="AW332" s="0" t="s">
        <v>401</v>
      </c>
      <c r="AX332" s="0" t="s">
        <v>785</v>
      </c>
      <c r="AY332" s="0" t="s">
        <v>1720</v>
      </c>
      <c r="AZ332" s="0" t="s">
        <v>1721</v>
      </c>
      <c r="BA332" s="0" t="s">
        <v>555</v>
      </c>
      <c r="BB332" s="0" t="str">
        <f t="shared" si="5"/>
        <v>CCCRNenNsukka</v>
      </c>
    </row>
    <row r="333">
      <c r="AV333" s="0" t="s">
        <v>471</v>
      </c>
      <c r="AW333" s="0" t="s">
        <v>401</v>
      </c>
      <c r="AX333" s="0" t="s">
        <v>785</v>
      </c>
      <c r="AY333" s="0" t="s">
        <v>1722</v>
      </c>
      <c r="AZ333" s="0" t="s">
        <v>1723</v>
      </c>
      <c r="BA333" s="0" t="s">
        <v>555</v>
      </c>
      <c r="BB333" s="0" t="str">
        <f t="shared" si="5"/>
        <v>CCCRNenNsukka</v>
      </c>
    </row>
    <row r="334">
      <c r="AV334" s="0" t="s">
        <v>471</v>
      </c>
      <c r="AW334" s="0" t="s">
        <v>401</v>
      </c>
      <c r="AX334" s="0" t="s">
        <v>785</v>
      </c>
      <c r="AY334" s="0" t="s">
        <v>1724</v>
      </c>
      <c r="AZ334" s="0" t="s">
        <v>1725</v>
      </c>
      <c r="BA334" s="0" t="s">
        <v>555</v>
      </c>
      <c r="BB334" s="0" t="str">
        <f t="shared" si="5"/>
        <v>CCCRNenNsukka</v>
      </c>
    </row>
    <row r="335">
      <c r="AV335" s="0" t="s">
        <v>471</v>
      </c>
      <c r="AW335" s="0" t="s">
        <v>401</v>
      </c>
      <c r="AX335" s="0" t="s">
        <v>785</v>
      </c>
      <c r="AY335" s="0" t="s">
        <v>1726</v>
      </c>
      <c r="AZ335" s="0" t="s">
        <v>1727</v>
      </c>
      <c r="BA335" s="0" t="s">
        <v>555</v>
      </c>
      <c r="BB335" s="0" t="str">
        <f t="shared" si="5"/>
        <v>CCCRNenNsukka</v>
      </c>
    </row>
    <row r="336">
      <c r="AV336" s="0" t="s">
        <v>471</v>
      </c>
      <c r="AW336" s="0" t="s">
        <v>401</v>
      </c>
      <c r="AX336" s="0" t="s">
        <v>785</v>
      </c>
      <c r="AY336" s="0" t="s">
        <v>1728</v>
      </c>
      <c r="AZ336" s="0" t="s">
        <v>1729</v>
      </c>
      <c r="BA336" s="0" t="s">
        <v>555</v>
      </c>
      <c r="BB336" s="0" t="str">
        <f t="shared" si="5"/>
        <v>CCCRNenNsukka</v>
      </c>
    </row>
    <row r="337">
      <c r="AV337" s="0" t="s">
        <v>471</v>
      </c>
      <c r="AW337" s="0" t="s">
        <v>401</v>
      </c>
      <c r="AX337" s="0" t="s">
        <v>785</v>
      </c>
      <c r="AY337" s="0" t="s">
        <v>1730</v>
      </c>
      <c r="AZ337" s="0" t="s">
        <v>1731</v>
      </c>
      <c r="BA337" s="0" t="s">
        <v>555</v>
      </c>
      <c r="BB337" s="0" t="str">
        <f t="shared" si="5"/>
        <v>CCCRNenNsukka</v>
      </c>
    </row>
    <row r="338">
      <c r="AV338" s="0" t="s">
        <v>471</v>
      </c>
      <c r="AW338" s="0" t="s">
        <v>401</v>
      </c>
      <c r="AX338" s="0" t="s">
        <v>815</v>
      </c>
      <c r="AY338" s="0" t="s">
        <v>1732</v>
      </c>
      <c r="AZ338" s="0" t="s">
        <v>1733</v>
      </c>
      <c r="BA338" s="0" t="s">
        <v>555</v>
      </c>
      <c r="BB338" s="0" t="str">
        <f t="shared" si="5"/>
        <v>CCCRNenUdenu</v>
      </c>
    </row>
    <row r="339">
      <c r="AV339" s="0" t="s">
        <v>471</v>
      </c>
      <c r="AW339" s="0" t="s">
        <v>401</v>
      </c>
      <c r="AX339" s="0" t="s">
        <v>815</v>
      </c>
      <c r="AY339" s="0" t="s">
        <v>1734</v>
      </c>
      <c r="AZ339" s="0" t="s">
        <v>1735</v>
      </c>
      <c r="BA339" s="0" t="s">
        <v>555</v>
      </c>
      <c r="BB339" s="0" t="str">
        <f t="shared" si="5"/>
        <v>CCCRNenUdenu</v>
      </c>
    </row>
    <row r="340">
      <c r="AV340" s="0" t="s">
        <v>471</v>
      </c>
      <c r="AW340" s="0" t="s">
        <v>401</v>
      </c>
      <c r="AX340" s="0" t="s">
        <v>815</v>
      </c>
      <c r="AY340" s="0" t="s">
        <v>1736</v>
      </c>
      <c r="AZ340" s="0" t="s">
        <v>1737</v>
      </c>
      <c r="BA340" s="0" t="s">
        <v>555</v>
      </c>
      <c r="BB340" s="0" t="str">
        <f t="shared" si="5"/>
        <v>CCCRNenUdenu</v>
      </c>
    </row>
    <row r="341">
      <c r="AV341" s="0" t="s">
        <v>471</v>
      </c>
      <c r="AW341" s="0" t="s">
        <v>401</v>
      </c>
      <c r="AX341" s="0" t="s">
        <v>815</v>
      </c>
      <c r="AY341" s="0" t="s">
        <v>1738</v>
      </c>
      <c r="AZ341" s="0" t="s">
        <v>1739</v>
      </c>
      <c r="BA341" s="0" t="s">
        <v>555</v>
      </c>
      <c r="BB341" s="0" t="str">
        <f t="shared" si="5"/>
        <v>CCCRNenUdenu</v>
      </c>
    </row>
    <row r="342">
      <c r="AV342" s="0" t="s">
        <v>471</v>
      </c>
      <c r="AW342" s="0" t="s">
        <v>401</v>
      </c>
      <c r="AX342" s="0" t="s">
        <v>815</v>
      </c>
      <c r="AY342" s="0" t="s">
        <v>1740</v>
      </c>
      <c r="AZ342" s="0" t="s">
        <v>1741</v>
      </c>
      <c r="BA342" s="0" t="s">
        <v>555</v>
      </c>
      <c r="BB342" s="0" t="str">
        <f t="shared" si="5"/>
        <v>CCCRNenUdenu</v>
      </c>
    </row>
    <row r="343">
      <c r="AV343" s="0" t="s">
        <v>471</v>
      </c>
      <c r="AW343" s="0" t="s">
        <v>401</v>
      </c>
      <c r="AX343" s="0" t="s">
        <v>815</v>
      </c>
      <c r="AY343" s="0" t="s">
        <v>1742</v>
      </c>
      <c r="AZ343" s="0" t="s">
        <v>1743</v>
      </c>
      <c r="BA343" s="0" t="s">
        <v>555</v>
      </c>
      <c r="BB343" s="0" t="str">
        <f t="shared" si="5"/>
        <v>CCCRNenUdenu</v>
      </c>
    </row>
    <row r="344">
      <c r="AV344" s="0" t="s">
        <v>471</v>
      </c>
      <c r="AW344" s="0" t="s">
        <v>401</v>
      </c>
      <c r="AX344" s="0" t="s">
        <v>815</v>
      </c>
      <c r="AY344" s="0" t="s">
        <v>1744</v>
      </c>
      <c r="AZ344" s="0" t="s">
        <v>1745</v>
      </c>
      <c r="BA344" s="0" t="s">
        <v>555</v>
      </c>
      <c r="BB344" s="0" t="str">
        <f t="shared" si="5"/>
        <v>CCCRNenUdenu</v>
      </c>
    </row>
    <row r="345">
      <c r="AV345" s="0" t="s">
        <v>471</v>
      </c>
      <c r="AW345" s="0" t="s">
        <v>401</v>
      </c>
      <c r="AX345" s="0" t="s">
        <v>815</v>
      </c>
      <c r="AY345" s="0" t="s">
        <v>1746</v>
      </c>
      <c r="AZ345" s="0" t="s">
        <v>1747</v>
      </c>
      <c r="BA345" s="0" t="s">
        <v>555</v>
      </c>
      <c r="BB345" s="0" t="str">
        <f t="shared" si="5"/>
        <v>CCCRNenUdenu</v>
      </c>
    </row>
    <row r="346">
      <c r="AV346" s="0" t="s">
        <v>471</v>
      </c>
      <c r="AW346" s="0" t="s">
        <v>401</v>
      </c>
      <c r="AX346" s="0" t="s">
        <v>815</v>
      </c>
      <c r="AY346" s="0" t="s">
        <v>1748</v>
      </c>
      <c r="AZ346" s="0" t="s">
        <v>1749</v>
      </c>
      <c r="BA346" s="0" t="s">
        <v>555</v>
      </c>
      <c r="BB346" s="0" t="str">
        <f t="shared" si="5"/>
        <v>CCCRNenUdenu</v>
      </c>
    </row>
    <row r="347">
      <c r="AV347" s="0" t="s">
        <v>471</v>
      </c>
      <c r="AW347" s="0" t="s">
        <v>404</v>
      </c>
      <c r="AX347" s="0" t="s">
        <v>450</v>
      </c>
      <c r="AY347" s="0" t="s">
        <v>1750</v>
      </c>
      <c r="AZ347" s="0" t="s">
        <v>1751</v>
      </c>
      <c r="BA347" s="0" t="s">
        <v>555</v>
      </c>
      <c r="BB347" s="0" t="str">
        <f t="shared" si="5"/>
        <v>CCCRNimAbohMbaise</v>
      </c>
    </row>
    <row r="348">
      <c r="AV348" s="0" t="s">
        <v>471</v>
      </c>
      <c r="AW348" s="0" t="s">
        <v>404</v>
      </c>
      <c r="AX348" s="0" t="s">
        <v>450</v>
      </c>
      <c r="AY348" s="0" t="s">
        <v>1752</v>
      </c>
      <c r="AZ348" s="0" t="s">
        <v>1753</v>
      </c>
      <c r="BA348" s="0" t="s">
        <v>555</v>
      </c>
      <c r="BB348" s="0" t="str">
        <f t="shared" si="5"/>
        <v>CCCRNimAbohMbaise</v>
      </c>
    </row>
    <row r="349">
      <c r="AV349" s="0" t="s">
        <v>471</v>
      </c>
      <c r="AW349" s="0" t="s">
        <v>404</v>
      </c>
      <c r="AX349" s="0" t="s">
        <v>450</v>
      </c>
      <c r="AY349" s="0" t="s">
        <v>1754</v>
      </c>
      <c r="AZ349" s="0" t="s">
        <v>1755</v>
      </c>
      <c r="BA349" s="0" t="s">
        <v>555</v>
      </c>
      <c r="BB349" s="0" t="str">
        <f t="shared" si="5"/>
        <v>CCCRNimAbohMbaise</v>
      </c>
    </row>
    <row r="350">
      <c r="AV350" s="0" t="s">
        <v>471</v>
      </c>
      <c r="AW350" s="0" t="s">
        <v>404</v>
      </c>
      <c r="AX350" s="0" t="s">
        <v>450</v>
      </c>
      <c r="AY350" s="0" t="s">
        <v>1756</v>
      </c>
      <c r="AZ350" s="0" t="s">
        <v>1757</v>
      </c>
      <c r="BA350" s="0" t="s">
        <v>555</v>
      </c>
      <c r="BB350" s="0" t="str">
        <f t="shared" si="5"/>
        <v>CCCRNimAbohMbaise</v>
      </c>
    </row>
    <row r="351">
      <c r="AV351" s="0" t="s">
        <v>471</v>
      </c>
      <c r="AW351" s="0" t="s">
        <v>404</v>
      </c>
      <c r="AX351" s="0" t="s">
        <v>450</v>
      </c>
      <c r="AY351" s="0" t="s">
        <v>1758</v>
      </c>
      <c r="AZ351" s="0" t="s">
        <v>1759</v>
      </c>
      <c r="BA351" s="0" t="s">
        <v>555</v>
      </c>
      <c r="BB351" s="0" t="str">
        <f t="shared" si="5"/>
        <v>CCCRNimAbohMbaise</v>
      </c>
    </row>
    <row r="352">
      <c r="AV352" s="0" t="s">
        <v>471</v>
      </c>
      <c r="AW352" s="0" t="s">
        <v>404</v>
      </c>
      <c r="AX352" s="0" t="s">
        <v>493</v>
      </c>
      <c r="AY352" s="0" t="s">
        <v>1760</v>
      </c>
      <c r="AZ352" s="0" t="s">
        <v>1761</v>
      </c>
      <c r="BA352" s="0" t="s">
        <v>555</v>
      </c>
      <c r="BB352" s="0" t="str">
        <f t="shared" si="5"/>
        <v>CCCRNimAhiazuMbaise</v>
      </c>
    </row>
    <row r="353">
      <c r="AV353" s="0" t="s">
        <v>471</v>
      </c>
      <c r="AW353" s="0" t="s">
        <v>404</v>
      </c>
      <c r="AX353" s="0" t="s">
        <v>493</v>
      </c>
      <c r="AY353" s="0" t="s">
        <v>1762</v>
      </c>
      <c r="AZ353" s="0" t="s">
        <v>1763</v>
      </c>
      <c r="BA353" s="0" t="s">
        <v>555</v>
      </c>
      <c r="BB353" s="0" t="str">
        <f t="shared" si="5"/>
        <v>CCCRNimAhiazuMbaise</v>
      </c>
    </row>
    <row r="354">
      <c r="AV354" s="0" t="s">
        <v>471</v>
      </c>
      <c r="AW354" s="0" t="s">
        <v>404</v>
      </c>
      <c r="AX354" s="0" t="s">
        <v>493</v>
      </c>
      <c r="AY354" s="0" t="s">
        <v>1764</v>
      </c>
      <c r="AZ354" s="0" t="s">
        <v>1765</v>
      </c>
      <c r="BA354" s="0" t="s">
        <v>555</v>
      </c>
      <c r="BB354" s="0" t="str">
        <f t="shared" si="5"/>
        <v>CCCRNimAhiazuMbaise</v>
      </c>
    </row>
    <row r="355">
      <c r="AV355" s="0" t="s">
        <v>471</v>
      </c>
      <c r="AW355" s="0" t="s">
        <v>404</v>
      </c>
      <c r="AX355" s="0" t="s">
        <v>533</v>
      </c>
      <c r="AY355" s="0" t="s">
        <v>1766</v>
      </c>
      <c r="AZ355" s="0" t="s">
        <v>1767</v>
      </c>
      <c r="BA355" s="0" t="s">
        <v>555</v>
      </c>
      <c r="BB355" s="0" t="str">
        <f t="shared" si="5"/>
        <v>CCCRNimEzinihitte</v>
      </c>
    </row>
    <row r="356">
      <c r="AV356" s="0" t="s">
        <v>471</v>
      </c>
      <c r="AW356" s="0" t="s">
        <v>404</v>
      </c>
      <c r="AX356" s="0" t="s">
        <v>533</v>
      </c>
      <c r="AY356" s="0" t="s">
        <v>1768</v>
      </c>
      <c r="AZ356" s="0" t="s">
        <v>1769</v>
      </c>
      <c r="BA356" s="0" t="s">
        <v>555</v>
      </c>
      <c r="BB356" s="0" t="str">
        <f t="shared" si="5"/>
        <v>CCCRNimEzinihitte</v>
      </c>
    </row>
    <row r="357">
      <c r="AV357" s="0" t="s">
        <v>471</v>
      </c>
      <c r="AW357" s="0" t="s">
        <v>404</v>
      </c>
      <c r="AX357" s="0" t="s">
        <v>533</v>
      </c>
      <c r="AY357" s="0" t="s">
        <v>1770</v>
      </c>
      <c r="AZ357" s="0" t="s">
        <v>1771</v>
      </c>
      <c r="BA357" s="0" t="s">
        <v>555</v>
      </c>
      <c r="BB357" s="0" t="str">
        <f t="shared" si="5"/>
        <v>CCCRNimEzinihitte</v>
      </c>
    </row>
    <row r="358">
      <c r="AV358" s="0" t="s">
        <v>471</v>
      </c>
      <c r="AW358" s="0" t="s">
        <v>404</v>
      </c>
      <c r="AX358" s="0" t="s">
        <v>574</v>
      </c>
      <c r="AY358" s="0" t="s">
        <v>1772</v>
      </c>
      <c r="AZ358" s="0" t="s">
        <v>1773</v>
      </c>
      <c r="BA358" s="0" t="s">
        <v>555</v>
      </c>
      <c r="BB358" s="0" t="str">
        <f t="shared" si="5"/>
        <v>CCCRNimIdeatoNorth</v>
      </c>
    </row>
    <row r="359">
      <c r="AV359" s="0" t="s">
        <v>471</v>
      </c>
      <c r="AW359" s="0" t="s">
        <v>404</v>
      </c>
      <c r="AX359" s="0" t="s">
        <v>574</v>
      </c>
      <c r="AY359" s="0" t="s">
        <v>1774</v>
      </c>
      <c r="AZ359" s="0" t="s">
        <v>1775</v>
      </c>
      <c r="BA359" s="0" t="s">
        <v>555</v>
      </c>
      <c r="BB359" s="0" t="str">
        <f t="shared" si="5"/>
        <v>CCCRNimIdeatoNorth</v>
      </c>
    </row>
    <row r="360">
      <c r="AV360" s="0" t="s">
        <v>471</v>
      </c>
      <c r="AW360" s="0" t="s">
        <v>404</v>
      </c>
      <c r="AX360" s="0" t="s">
        <v>574</v>
      </c>
      <c r="AY360" s="0" t="s">
        <v>1776</v>
      </c>
      <c r="AZ360" s="0" t="s">
        <v>1777</v>
      </c>
      <c r="BA360" s="0" t="s">
        <v>555</v>
      </c>
      <c r="BB360" s="0" t="str">
        <f t="shared" si="5"/>
        <v>CCCRNimIdeatoNorth</v>
      </c>
    </row>
    <row r="361">
      <c r="AV361" s="0" t="s">
        <v>471</v>
      </c>
      <c r="AW361" s="0" t="s">
        <v>404</v>
      </c>
      <c r="AX361" s="0" t="s">
        <v>574</v>
      </c>
      <c r="AY361" s="0" t="s">
        <v>1778</v>
      </c>
      <c r="AZ361" s="0" t="s">
        <v>1779</v>
      </c>
      <c r="BA361" s="0" t="s">
        <v>555</v>
      </c>
      <c r="BB361" s="0" t="str">
        <f t="shared" si="5"/>
        <v>CCCRNimIdeatoNorth</v>
      </c>
    </row>
    <row r="362">
      <c r="AV362" s="0" t="s">
        <v>471</v>
      </c>
      <c r="AW362" s="0" t="s">
        <v>404</v>
      </c>
      <c r="AX362" s="0" t="s">
        <v>574</v>
      </c>
      <c r="AY362" s="0" t="s">
        <v>1780</v>
      </c>
      <c r="AZ362" s="0" t="s">
        <v>1781</v>
      </c>
      <c r="BA362" s="0" t="s">
        <v>555</v>
      </c>
      <c r="BB362" s="0" t="str">
        <f t="shared" si="5"/>
        <v>CCCRNimIdeatoNorth</v>
      </c>
    </row>
    <row r="363">
      <c r="AV363" s="0" t="s">
        <v>471</v>
      </c>
      <c r="AW363" s="0" t="s">
        <v>404</v>
      </c>
      <c r="AX363" s="0" t="s">
        <v>612</v>
      </c>
      <c r="AY363" s="0" t="s">
        <v>1782</v>
      </c>
      <c r="AZ363" s="0" t="s">
        <v>1783</v>
      </c>
      <c r="BA363" s="0" t="s">
        <v>555</v>
      </c>
      <c r="BB363" s="0" t="str">
        <f t="shared" si="5"/>
        <v>CCCRNimIdeatoSouth</v>
      </c>
    </row>
    <row r="364">
      <c r="AV364" s="0" t="s">
        <v>471</v>
      </c>
      <c r="AW364" s="0" t="s">
        <v>404</v>
      </c>
      <c r="AX364" s="0" t="s">
        <v>651</v>
      </c>
      <c r="AY364" s="0" t="s">
        <v>1784</v>
      </c>
      <c r="AZ364" s="0" t="s">
        <v>1785</v>
      </c>
      <c r="BA364" s="0" t="s">
        <v>555</v>
      </c>
      <c r="BB364" s="0" t="str">
        <f t="shared" si="5"/>
        <v>CCCRNimIkeduru</v>
      </c>
    </row>
    <row r="365">
      <c r="AV365" s="0" t="s">
        <v>471</v>
      </c>
      <c r="AW365" s="0" t="s">
        <v>404</v>
      </c>
      <c r="AX365" s="0" t="s">
        <v>651</v>
      </c>
      <c r="AY365" s="0" t="s">
        <v>1786</v>
      </c>
      <c r="AZ365" s="0" t="s">
        <v>1787</v>
      </c>
      <c r="BA365" s="0" t="s">
        <v>555</v>
      </c>
      <c r="BB365" s="0" t="str">
        <f t="shared" si="5"/>
        <v>CCCRNimIkeduru</v>
      </c>
    </row>
    <row r="366">
      <c r="AV366" s="0" t="s">
        <v>471</v>
      </c>
      <c r="AW366" s="0" t="s">
        <v>404</v>
      </c>
      <c r="AX366" s="0" t="s">
        <v>651</v>
      </c>
      <c r="AY366" s="0" t="s">
        <v>1788</v>
      </c>
      <c r="AZ366" s="0" t="s">
        <v>1789</v>
      </c>
      <c r="BA366" s="0" t="s">
        <v>555</v>
      </c>
      <c r="BB366" s="0" t="str">
        <f t="shared" si="5"/>
        <v>CCCRNimIkeduru</v>
      </c>
    </row>
    <row r="367">
      <c r="AV367" s="0" t="s">
        <v>471</v>
      </c>
      <c r="AW367" s="0" t="s">
        <v>404</v>
      </c>
      <c r="AX367" s="0" t="s">
        <v>687</v>
      </c>
      <c r="AY367" s="0" t="s">
        <v>1790</v>
      </c>
      <c r="AZ367" s="0" t="s">
        <v>1791</v>
      </c>
      <c r="BA367" s="0" t="s">
        <v>555</v>
      </c>
      <c r="BB367" s="0" t="str">
        <f t="shared" si="5"/>
        <v>CCCRNimIsu</v>
      </c>
    </row>
    <row r="368">
      <c r="AV368" s="0" t="s">
        <v>471</v>
      </c>
      <c r="AW368" s="0" t="s">
        <v>404</v>
      </c>
      <c r="AX368" s="0" t="s">
        <v>687</v>
      </c>
      <c r="AY368" s="0" t="s">
        <v>1792</v>
      </c>
      <c r="AZ368" s="0" t="s">
        <v>1793</v>
      </c>
      <c r="BA368" s="0" t="s">
        <v>555</v>
      </c>
      <c r="BB368" s="0" t="str">
        <f t="shared" si="5"/>
        <v>CCCRNimIsu</v>
      </c>
    </row>
    <row r="369">
      <c r="AV369" s="0" t="s">
        <v>471</v>
      </c>
      <c r="AW369" s="0" t="s">
        <v>404</v>
      </c>
      <c r="AX369" s="0" t="s">
        <v>687</v>
      </c>
      <c r="AY369" s="0" t="s">
        <v>1794</v>
      </c>
      <c r="AZ369" s="0" t="s">
        <v>1795</v>
      </c>
      <c r="BA369" s="0" t="s">
        <v>555</v>
      </c>
      <c r="BB369" s="0" t="str">
        <f t="shared" si="5"/>
        <v>CCCRNimIsu</v>
      </c>
    </row>
    <row r="370">
      <c r="AV370" s="0" t="s">
        <v>471</v>
      </c>
      <c r="AW370" s="0" t="s">
        <v>404</v>
      </c>
      <c r="AX370" s="0" t="s">
        <v>722</v>
      </c>
      <c r="AY370" s="0" t="s">
        <v>1796</v>
      </c>
      <c r="AZ370" s="0" t="s">
        <v>1797</v>
      </c>
      <c r="BA370" s="0" t="s">
        <v>555</v>
      </c>
      <c r="BB370" s="0" t="str">
        <f t="shared" si="5"/>
        <v>CCCRNimMbaitoli</v>
      </c>
    </row>
    <row r="371">
      <c r="AV371" s="0" t="s">
        <v>471</v>
      </c>
      <c r="AW371" s="0" t="s">
        <v>404</v>
      </c>
      <c r="AX371" s="0" t="s">
        <v>722</v>
      </c>
      <c r="AY371" s="0" t="s">
        <v>1798</v>
      </c>
      <c r="AZ371" s="0" t="s">
        <v>1799</v>
      </c>
      <c r="BA371" s="0" t="s">
        <v>555</v>
      </c>
      <c r="BB371" s="0" t="str">
        <f t="shared" si="5"/>
        <v>CCCRNimMbaitoli</v>
      </c>
    </row>
    <row r="372">
      <c r="AV372" s="0" t="s">
        <v>471</v>
      </c>
      <c r="AW372" s="0" t="s">
        <v>404</v>
      </c>
      <c r="AX372" s="0" t="s">
        <v>722</v>
      </c>
      <c r="AY372" s="0" t="s">
        <v>1800</v>
      </c>
      <c r="AZ372" s="0" t="s">
        <v>1801</v>
      </c>
      <c r="BA372" s="0" t="s">
        <v>555</v>
      </c>
      <c r="BB372" s="0" t="str">
        <f t="shared" si="5"/>
        <v>CCCRNimMbaitoli</v>
      </c>
    </row>
    <row r="373">
      <c r="AV373" s="0" t="s">
        <v>471</v>
      </c>
      <c r="AW373" s="0" t="s">
        <v>404</v>
      </c>
      <c r="AX373" s="0" t="s">
        <v>722</v>
      </c>
      <c r="AY373" s="0" t="s">
        <v>1802</v>
      </c>
      <c r="AZ373" s="0" t="s">
        <v>1803</v>
      </c>
      <c r="BA373" s="0" t="s">
        <v>555</v>
      </c>
      <c r="BB373" s="0" t="str">
        <f t="shared" si="5"/>
        <v>CCCRNimMbaitoli</v>
      </c>
    </row>
    <row r="374">
      <c r="AV374" s="0" t="s">
        <v>471</v>
      </c>
      <c r="AW374" s="0" t="s">
        <v>404</v>
      </c>
      <c r="AX374" s="0" t="s">
        <v>755</v>
      </c>
      <c r="AY374" s="0" t="s">
        <v>1804</v>
      </c>
      <c r="AZ374" s="0" t="s">
        <v>1805</v>
      </c>
      <c r="BA374" s="0" t="s">
        <v>555</v>
      </c>
      <c r="BB374" s="0" t="str">
        <f t="shared" si="5"/>
        <v>CCCRNimNgorOkpala</v>
      </c>
    </row>
    <row r="375">
      <c r="AV375" s="0" t="s">
        <v>471</v>
      </c>
      <c r="AW375" s="0" t="s">
        <v>404</v>
      </c>
      <c r="AX375" s="0" t="s">
        <v>755</v>
      </c>
      <c r="AY375" s="0" t="s">
        <v>1806</v>
      </c>
      <c r="AZ375" s="0" t="s">
        <v>1807</v>
      </c>
      <c r="BA375" s="0" t="s">
        <v>555</v>
      </c>
      <c r="BB375" s="0" t="str">
        <f t="shared" si="5"/>
        <v>CCCRNimNgorOkpala</v>
      </c>
    </row>
    <row r="376">
      <c r="AV376" s="0" t="s">
        <v>471</v>
      </c>
      <c r="AW376" s="0" t="s">
        <v>404</v>
      </c>
      <c r="AX376" s="0" t="s">
        <v>755</v>
      </c>
      <c r="AY376" s="0" t="s">
        <v>1808</v>
      </c>
      <c r="AZ376" s="0" t="s">
        <v>1809</v>
      </c>
      <c r="BA376" s="0" t="s">
        <v>555</v>
      </c>
      <c r="BB376" s="0" t="str">
        <f t="shared" si="5"/>
        <v>CCCRNimNgorOkpala</v>
      </c>
    </row>
    <row r="377">
      <c r="AV377" s="0" t="s">
        <v>471</v>
      </c>
      <c r="AW377" s="0" t="s">
        <v>404</v>
      </c>
      <c r="AX377" s="0" t="s">
        <v>755</v>
      </c>
      <c r="AY377" s="0" t="s">
        <v>1810</v>
      </c>
      <c r="AZ377" s="0" t="s">
        <v>1811</v>
      </c>
      <c r="BA377" s="0" t="s">
        <v>555</v>
      </c>
      <c r="BB377" s="0" t="str">
        <f t="shared" si="5"/>
        <v>CCCRNimNgorOkpala</v>
      </c>
    </row>
    <row r="378">
      <c r="AV378" s="0" t="s">
        <v>471</v>
      </c>
      <c r="AW378" s="0" t="s">
        <v>404</v>
      </c>
      <c r="AX378" s="0" t="s">
        <v>787</v>
      </c>
      <c r="AY378" s="0" t="s">
        <v>1812</v>
      </c>
      <c r="AZ378" s="0" t="s">
        <v>1813</v>
      </c>
      <c r="BA378" s="0" t="s">
        <v>555</v>
      </c>
      <c r="BB378" s="0" t="str">
        <f t="shared" si="5"/>
        <v>CCCRNimNjaba</v>
      </c>
    </row>
    <row r="379">
      <c r="AV379" s="0" t="s">
        <v>471</v>
      </c>
      <c r="AW379" s="0" t="s">
        <v>404</v>
      </c>
      <c r="AX379" s="0" t="s">
        <v>787</v>
      </c>
      <c r="AY379" s="0" t="s">
        <v>1814</v>
      </c>
      <c r="AZ379" s="0" t="s">
        <v>1815</v>
      </c>
      <c r="BA379" s="0" t="s">
        <v>555</v>
      </c>
      <c r="BB379" s="0" t="str">
        <f t="shared" si="5"/>
        <v>CCCRNimNjaba</v>
      </c>
    </row>
    <row r="380">
      <c r="AV380" s="0" t="s">
        <v>471</v>
      </c>
      <c r="AW380" s="0" t="s">
        <v>404</v>
      </c>
      <c r="AX380" s="0" t="s">
        <v>817</v>
      </c>
      <c r="AY380" s="0" t="s">
        <v>1816</v>
      </c>
      <c r="AZ380" s="0" t="s">
        <v>1817</v>
      </c>
      <c r="BA380" s="0" t="s">
        <v>555</v>
      </c>
      <c r="BB380" s="0" t="str">
        <f t="shared" si="5"/>
        <v>CCCRNimNkwerre</v>
      </c>
    </row>
    <row r="381">
      <c r="AV381" s="0" t="s">
        <v>471</v>
      </c>
      <c r="AW381" s="0" t="s">
        <v>404</v>
      </c>
      <c r="AX381" s="0" t="s">
        <v>817</v>
      </c>
      <c r="AY381" s="0" t="s">
        <v>1818</v>
      </c>
      <c r="AZ381" s="0" t="s">
        <v>1819</v>
      </c>
      <c r="BA381" s="0" t="s">
        <v>555</v>
      </c>
      <c r="BB381" s="0" t="str">
        <f t="shared" si="5"/>
        <v>CCCRNimNkwerre</v>
      </c>
    </row>
    <row r="382">
      <c r="AV382" s="0" t="s">
        <v>471</v>
      </c>
      <c r="AW382" s="0" t="s">
        <v>404</v>
      </c>
      <c r="AX382" s="0" t="s">
        <v>817</v>
      </c>
      <c r="AY382" s="0" t="s">
        <v>1820</v>
      </c>
      <c r="AZ382" s="0" t="s">
        <v>1821</v>
      </c>
      <c r="BA382" s="0" t="s">
        <v>555</v>
      </c>
      <c r="BB382" s="0" t="str">
        <f t="shared" si="5"/>
        <v>CCCRNimNkwerre</v>
      </c>
    </row>
    <row r="383">
      <c r="AV383" s="0" t="s">
        <v>471</v>
      </c>
      <c r="AW383" s="0" t="s">
        <v>404</v>
      </c>
      <c r="AX383" s="0" t="s">
        <v>817</v>
      </c>
      <c r="AY383" s="0" t="s">
        <v>1822</v>
      </c>
      <c r="AZ383" s="0" t="s">
        <v>1823</v>
      </c>
      <c r="BA383" s="0" t="s">
        <v>555</v>
      </c>
      <c r="BB383" s="0" t="str">
        <f t="shared" si="5"/>
        <v>CCCRNimNkwerre</v>
      </c>
    </row>
    <row r="384">
      <c r="AV384" s="0" t="s">
        <v>471</v>
      </c>
      <c r="AW384" s="0" t="s">
        <v>404</v>
      </c>
      <c r="AX384" s="0" t="s">
        <v>817</v>
      </c>
      <c r="AY384" s="0" t="s">
        <v>1824</v>
      </c>
      <c r="AZ384" s="0" t="s">
        <v>1825</v>
      </c>
      <c r="BA384" s="0" t="s">
        <v>555</v>
      </c>
      <c r="BB384" s="0" t="str">
        <f t="shared" si="5"/>
        <v>CCCRNimNkwerre</v>
      </c>
    </row>
    <row r="385">
      <c r="AV385" s="0" t="s">
        <v>471</v>
      </c>
      <c r="AW385" s="0" t="s">
        <v>404</v>
      </c>
      <c r="AX385" s="0" t="s">
        <v>845</v>
      </c>
      <c r="AY385" s="0" t="s">
        <v>1826</v>
      </c>
      <c r="AZ385" s="0" t="s">
        <v>1827</v>
      </c>
      <c r="BA385" s="0" t="s">
        <v>555</v>
      </c>
      <c r="BB385" s="0" t="str">
        <f t="shared" si="5"/>
        <v>CCCRNimNwangele</v>
      </c>
    </row>
    <row r="386">
      <c r="AV386" s="0" t="s">
        <v>471</v>
      </c>
      <c r="AW386" s="0" t="s">
        <v>404</v>
      </c>
      <c r="AX386" s="0" t="s">
        <v>845</v>
      </c>
      <c r="AY386" s="0" t="s">
        <v>1828</v>
      </c>
      <c r="AZ386" s="0" t="s">
        <v>1829</v>
      </c>
      <c r="BA386" s="0" t="s">
        <v>555</v>
      </c>
      <c r="BB386" s="0" t="str">
        <f t="shared" si="5"/>
        <v>CCCRNimNwangele</v>
      </c>
    </row>
    <row r="387">
      <c r="AV387" s="0" t="s">
        <v>471</v>
      </c>
      <c r="AW387" s="0" t="s">
        <v>404</v>
      </c>
      <c r="AX387" s="0" t="s">
        <v>845</v>
      </c>
      <c r="AY387" s="0" t="s">
        <v>1830</v>
      </c>
      <c r="AZ387" s="0" t="s">
        <v>1831</v>
      </c>
      <c r="BA387" s="0" t="s">
        <v>555</v>
      </c>
      <c r="BB387" s="0" t="str">
        <f ref="BB387:BB450" t="shared" si="6">SUBSTITUTE(SUBSTITUTE(BA387&amp;AX387," ",""),"-","")</f>
        <v>CCCRNimNwangele</v>
      </c>
    </row>
    <row r="388">
      <c r="AV388" s="0" t="s">
        <v>471</v>
      </c>
      <c r="AW388" s="0" t="s">
        <v>404</v>
      </c>
      <c r="AX388" s="0" t="s">
        <v>873</v>
      </c>
      <c r="AY388" s="0" t="s">
        <v>1832</v>
      </c>
      <c r="AZ388" s="0" t="s">
        <v>1833</v>
      </c>
      <c r="BA388" s="0" t="s">
        <v>555</v>
      </c>
      <c r="BB388" s="0" t="str">
        <f t="shared" si="6"/>
        <v>CCCRNimOguta</v>
      </c>
    </row>
    <row r="389">
      <c r="AV389" s="0" t="s">
        <v>471</v>
      </c>
      <c r="AW389" s="0" t="s">
        <v>404</v>
      </c>
      <c r="AX389" s="0" t="s">
        <v>873</v>
      </c>
      <c r="AY389" s="0" t="s">
        <v>1834</v>
      </c>
      <c r="AZ389" s="0" t="s">
        <v>1835</v>
      </c>
      <c r="BA389" s="0" t="s">
        <v>555</v>
      </c>
      <c r="BB389" s="0" t="str">
        <f t="shared" si="6"/>
        <v>CCCRNimOguta</v>
      </c>
    </row>
    <row r="390">
      <c r="AV390" s="0" t="s">
        <v>471</v>
      </c>
      <c r="AW390" s="0" t="s">
        <v>404</v>
      </c>
      <c r="AX390" s="0" t="s">
        <v>873</v>
      </c>
      <c r="AY390" s="0" t="s">
        <v>1836</v>
      </c>
      <c r="AZ390" s="0" t="s">
        <v>1837</v>
      </c>
      <c r="BA390" s="0" t="s">
        <v>555</v>
      </c>
      <c r="BB390" s="0" t="str">
        <f t="shared" si="6"/>
        <v>CCCRNimOguta</v>
      </c>
    </row>
    <row r="391">
      <c r="AV391" s="0" t="s">
        <v>471</v>
      </c>
      <c r="AW391" s="0" t="s">
        <v>404</v>
      </c>
      <c r="AX391" s="0" t="s">
        <v>873</v>
      </c>
      <c r="AY391" s="0" t="s">
        <v>1838</v>
      </c>
      <c r="AZ391" s="0" t="s">
        <v>1839</v>
      </c>
      <c r="BA391" s="0" t="s">
        <v>555</v>
      </c>
      <c r="BB391" s="0" t="str">
        <f t="shared" si="6"/>
        <v>CCCRNimOguta</v>
      </c>
    </row>
    <row r="392">
      <c r="AV392" s="0" t="s">
        <v>471</v>
      </c>
      <c r="AW392" s="0" t="s">
        <v>404</v>
      </c>
      <c r="AX392" s="0" t="s">
        <v>873</v>
      </c>
      <c r="AY392" s="0" t="s">
        <v>1840</v>
      </c>
      <c r="AZ392" s="0" t="s">
        <v>1841</v>
      </c>
      <c r="BA392" s="0" t="s">
        <v>555</v>
      </c>
      <c r="BB392" s="0" t="str">
        <f t="shared" si="6"/>
        <v>CCCRNimOguta</v>
      </c>
    </row>
    <row r="393">
      <c r="AV393" s="0" t="s">
        <v>471</v>
      </c>
      <c r="AW393" s="0" t="s">
        <v>404</v>
      </c>
      <c r="AX393" s="0" t="s">
        <v>1226</v>
      </c>
      <c r="AY393" s="304" t="s">
        <v>1842</v>
      </c>
      <c r="AZ393" s="0" t="s">
        <v>1843</v>
      </c>
      <c r="BA393" s="0" t="s">
        <v>555</v>
      </c>
      <c r="BB393" s="0" t="str">
        <f t="shared" si="6"/>
        <v>CCCRNimOhajiEgbema</v>
      </c>
    </row>
    <row r="394">
      <c r="AV394" s="0" t="s">
        <v>471</v>
      </c>
      <c r="AW394" s="0" t="s">
        <v>404</v>
      </c>
      <c r="AX394" s="0" t="s">
        <v>1226</v>
      </c>
      <c r="AY394" s="304" t="s">
        <v>1844</v>
      </c>
      <c r="AZ394" s="0" t="s">
        <v>1845</v>
      </c>
      <c r="BA394" s="0" t="s">
        <v>555</v>
      </c>
      <c r="BB394" s="0" t="str">
        <f t="shared" si="6"/>
        <v>CCCRNimOhajiEgbema</v>
      </c>
    </row>
    <row r="395">
      <c r="AV395" s="0" t="s">
        <v>471</v>
      </c>
      <c r="AW395" s="0" t="s">
        <v>404</v>
      </c>
      <c r="AX395" s="0" t="s">
        <v>1226</v>
      </c>
      <c r="AY395" s="304" t="s">
        <v>1846</v>
      </c>
      <c r="AZ395" s="0" t="s">
        <v>1847</v>
      </c>
      <c r="BA395" s="0" t="s">
        <v>555</v>
      </c>
      <c r="BB395" s="0" t="str">
        <f t="shared" si="6"/>
        <v>CCCRNimOhajiEgbema</v>
      </c>
    </row>
    <row r="396">
      <c r="AV396" s="0" t="s">
        <v>471</v>
      </c>
      <c r="AW396" s="0" t="s">
        <v>404</v>
      </c>
      <c r="AX396" s="0" t="s">
        <v>1226</v>
      </c>
      <c r="AY396" s="304" t="s">
        <v>1848</v>
      </c>
      <c r="AZ396" s="0" t="s">
        <v>1849</v>
      </c>
      <c r="BA396" s="0" t="s">
        <v>555</v>
      </c>
      <c r="BB396" s="0" t="str">
        <f t="shared" si="6"/>
        <v>CCCRNimOhajiEgbema</v>
      </c>
    </row>
    <row r="397">
      <c r="AV397" s="0" t="s">
        <v>471</v>
      </c>
      <c r="AW397" s="0" t="s">
        <v>404</v>
      </c>
      <c r="AX397" s="0" t="s">
        <v>1226</v>
      </c>
      <c r="AY397" s="304" t="s">
        <v>1850</v>
      </c>
      <c r="AZ397" s="0" t="s">
        <v>1851</v>
      </c>
      <c r="BA397" s="0" t="s">
        <v>555</v>
      </c>
      <c r="BB397" s="0" t="str">
        <f t="shared" si="6"/>
        <v>CCCRNimOhajiEgbema</v>
      </c>
    </row>
    <row r="398">
      <c r="AV398" s="0" t="s">
        <v>471</v>
      </c>
      <c r="AW398" s="0" t="s">
        <v>404</v>
      </c>
      <c r="AX398" s="0" t="s">
        <v>923</v>
      </c>
      <c r="AY398" s="0" t="s">
        <v>1852</v>
      </c>
      <c r="AZ398" s="0" t="s">
        <v>1853</v>
      </c>
      <c r="BA398" s="0" t="s">
        <v>555</v>
      </c>
      <c r="BB398" s="0" t="str">
        <f t="shared" si="6"/>
        <v>CCCRNimOrlu</v>
      </c>
    </row>
    <row r="399">
      <c r="AV399" s="0" t="s">
        <v>471</v>
      </c>
      <c r="AW399" s="0" t="s">
        <v>404</v>
      </c>
      <c r="AX399" s="0" t="s">
        <v>923</v>
      </c>
      <c r="AY399" s="0" t="s">
        <v>1854</v>
      </c>
      <c r="AZ399" s="0" t="s">
        <v>1855</v>
      </c>
      <c r="BA399" s="0" t="s">
        <v>555</v>
      </c>
      <c r="BB399" s="0" t="str">
        <f t="shared" si="6"/>
        <v>CCCRNimOrlu</v>
      </c>
    </row>
    <row r="400">
      <c r="AV400" s="0" t="s">
        <v>471</v>
      </c>
      <c r="AW400" s="0" t="s">
        <v>404</v>
      </c>
      <c r="AX400" s="0" t="s">
        <v>923</v>
      </c>
      <c r="AY400" s="0" t="s">
        <v>1856</v>
      </c>
      <c r="AZ400" s="0" t="s">
        <v>1857</v>
      </c>
      <c r="BA400" s="0" t="s">
        <v>555</v>
      </c>
      <c r="BB400" s="0" t="str">
        <f t="shared" si="6"/>
        <v>CCCRNimOrlu</v>
      </c>
    </row>
    <row r="401">
      <c r="AV401" s="0" t="s">
        <v>471</v>
      </c>
      <c r="AW401" s="0" t="s">
        <v>404</v>
      </c>
      <c r="AX401" s="0" t="s">
        <v>923</v>
      </c>
      <c r="AY401" s="0" t="s">
        <v>1858</v>
      </c>
      <c r="AZ401" s="0" t="s">
        <v>1859</v>
      </c>
      <c r="BA401" s="0" t="s">
        <v>555</v>
      </c>
      <c r="BB401" s="0" t="str">
        <f t="shared" si="6"/>
        <v>CCCRNimOrlu</v>
      </c>
    </row>
    <row r="402">
      <c r="AV402" s="0" t="s">
        <v>471</v>
      </c>
      <c r="AW402" s="0" t="s">
        <v>404</v>
      </c>
      <c r="AX402" s="0" t="s">
        <v>923</v>
      </c>
      <c r="AY402" s="0" t="s">
        <v>1860</v>
      </c>
      <c r="AZ402" s="0" t="s">
        <v>1861</v>
      </c>
      <c r="BA402" s="0" t="s">
        <v>555</v>
      </c>
      <c r="BB402" s="0" t="str">
        <f t="shared" si="6"/>
        <v>CCCRNimOrlu</v>
      </c>
    </row>
    <row r="403">
      <c r="AV403" s="0" t="s">
        <v>471</v>
      </c>
      <c r="AW403" s="0" t="s">
        <v>404</v>
      </c>
      <c r="AX403" s="0" t="s">
        <v>947</v>
      </c>
      <c r="AY403" s="0" t="s">
        <v>1862</v>
      </c>
      <c r="AZ403" s="0" t="s">
        <v>1863</v>
      </c>
      <c r="BA403" s="0" t="s">
        <v>555</v>
      </c>
      <c r="BB403" s="0" t="str">
        <f t="shared" si="6"/>
        <v>CCCRNimOrsu</v>
      </c>
    </row>
    <row r="404">
      <c r="AV404" s="0" t="s">
        <v>471</v>
      </c>
      <c r="AW404" s="0" t="s">
        <v>404</v>
      </c>
      <c r="AX404" s="0" t="s">
        <v>969</v>
      </c>
      <c r="AY404" s="0" t="s">
        <v>1864</v>
      </c>
      <c r="AZ404" s="0" t="s">
        <v>1865</v>
      </c>
      <c r="BA404" s="0" t="s">
        <v>555</v>
      </c>
      <c r="BB404" s="0" t="str">
        <f t="shared" si="6"/>
        <v>CCCRNimOruEast</v>
      </c>
    </row>
    <row r="405">
      <c r="AV405" s="0" t="s">
        <v>471</v>
      </c>
      <c r="AW405" s="0" t="s">
        <v>404</v>
      </c>
      <c r="AX405" s="0" t="s">
        <v>969</v>
      </c>
      <c r="AY405" s="0" t="s">
        <v>1866</v>
      </c>
      <c r="AZ405" s="0" t="s">
        <v>1867</v>
      </c>
      <c r="BA405" s="0" t="s">
        <v>555</v>
      </c>
      <c r="BB405" s="0" t="str">
        <f t="shared" si="6"/>
        <v>CCCRNimOruEast</v>
      </c>
    </row>
    <row r="406">
      <c r="AV406" s="0" t="s">
        <v>471</v>
      </c>
      <c r="AW406" s="0" t="s">
        <v>404</v>
      </c>
      <c r="AX406" s="0" t="s">
        <v>969</v>
      </c>
      <c r="AY406" s="0" t="s">
        <v>1868</v>
      </c>
      <c r="AZ406" s="0" t="s">
        <v>1869</v>
      </c>
      <c r="BA406" s="0" t="s">
        <v>555</v>
      </c>
      <c r="BB406" s="0" t="str">
        <f t="shared" si="6"/>
        <v>CCCRNimOruEast</v>
      </c>
    </row>
    <row r="407">
      <c r="AV407" s="0" t="s">
        <v>471</v>
      </c>
      <c r="AW407" s="0" t="s">
        <v>404</v>
      </c>
      <c r="AX407" s="0" t="s">
        <v>969</v>
      </c>
      <c r="AY407" s="0" t="s">
        <v>1870</v>
      </c>
      <c r="AZ407" s="0" t="s">
        <v>1871</v>
      </c>
      <c r="BA407" s="0" t="s">
        <v>555</v>
      </c>
      <c r="BB407" s="0" t="str">
        <f t="shared" si="6"/>
        <v>CCCRNimOruEast</v>
      </c>
    </row>
    <row r="408">
      <c r="AV408" s="0" t="s">
        <v>471</v>
      </c>
      <c r="AW408" s="0" t="s">
        <v>404</v>
      </c>
      <c r="AX408" s="0" t="s">
        <v>969</v>
      </c>
      <c r="AY408" s="0" t="s">
        <v>1872</v>
      </c>
      <c r="AZ408" s="0" t="s">
        <v>1873</v>
      </c>
      <c r="BA408" s="0" t="s">
        <v>555</v>
      </c>
      <c r="BB408" s="0" t="str">
        <f t="shared" si="6"/>
        <v>CCCRNimOruEast</v>
      </c>
    </row>
    <row r="409">
      <c r="AV409" s="0" t="s">
        <v>471</v>
      </c>
      <c r="AW409" s="0" t="s">
        <v>404</v>
      </c>
      <c r="AX409" s="0" t="s">
        <v>988</v>
      </c>
      <c r="AY409" s="0" t="s">
        <v>1874</v>
      </c>
      <c r="AZ409" s="0" t="s">
        <v>1875</v>
      </c>
      <c r="BA409" s="0" t="s">
        <v>555</v>
      </c>
      <c r="BB409" s="0" t="str">
        <f t="shared" si="6"/>
        <v>CCCRNimOruWest</v>
      </c>
    </row>
    <row r="410">
      <c r="AV410" s="0" t="s">
        <v>471</v>
      </c>
      <c r="AW410" s="0" t="s">
        <v>404</v>
      </c>
      <c r="AX410" s="0" t="s">
        <v>1005</v>
      </c>
      <c r="AY410" s="0" t="s">
        <v>1876</v>
      </c>
      <c r="AZ410" s="0" t="s">
        <v>1877</v>
      </c>
      <c r="BA410" s="0" t="s">
        <v>555</v>
      </c>
      <c r="BB410" s="0" t="str">
        <f t="shared" si="6"/>
        <v>CCCRNimOwerriMunicipal</v>
      </c>
    </row>
    <row r="411">
      <c r="AV411" s="0" t="s">
        <v>471</v>
      </c>
      <c r="AW411" s="0" t="s">
        <v>404</v>
      </c>
      <c r="AX411" s="0" t="s">
        <v>1005</v>
      </c>
      <c r="AY411" s="0" t="s">
        <v>1878</v>
      </c>
      <c r="AZ411" s="0" t="s">
        <v>1879</v>
      </c>
      <c r="BA411" s="0" t="s">
        <v>555</v>
      </c>
      <c r="BB411" s="0" t="str">
        <f t="shared" si="6"/>
        <v>CCCRNimOwerriMunicipal</v>
      </c>
    </row>
    <row r="412">
      <c r="AV412" s="0" t="s">
        <v>471</v>
      </c>
      <c r="AW412" s="0" t="s">
        <v>404</v>
      </c>
      <c r="AX412" s="0" t="s">
        <v>1005</v>
      </c>
      <c r="AY412" s="0" t="s">
        <v>1880</v>
      </c>
      <c r="AZ412" s="0" t="s">
        <v>1881</v>
      </c>
      <c r="BA412" s="0" t="s">
        <v>555</v>
      </c>
      <c r="BB412" s="0" t="str">
        <f t="shared" si="6"/>
        <v>CCCRNimOwerriMunicipal</v>
      </c>
    </row>
    <row r="413">
      <c r="AV413" s="0" t="s">
        <v>471</v>
      </c>
      <c r="AW413" s="0" t="s">
        <v>404</v>
      </c>
      <c r="AX413" s="0" t="s">
        <v>1005</v>
      </c>
      <c r="AY413" s="0" t="s">
        <v>1882</v>
      </c>
      <c r="AZ413" s="0" t="s">
        <v>1883</v>
      </c>
      <c r="BA413" s="0" t="s">
        <v>555</v>
      </c>
      <c r="BB413" s="0" t="str">
        <f t="shared" si="6"/>
        <v>CCCRNimOwerriMunicipal</v>
      </c>
    </row>
    <row r="414">
      <c r="AV414" s="0" t="s">
        <v>471</v>
      </c>
      <c r="AW414" s="0" t="s">
        <v>404</v>
      </c>
      <c r="AX414" s="0" t="s">
        <v>1005</v>
      </c>
      <c r="AY414" s="0" t="s">
        <v>1884</v>
      </c>
      <c r="AZ414" s="0" t="s">
        <v>1885</v>
      </c>
      <c r="BA414" s="0" t="s">
        <v>555</v>
      </c>
      <c r="BB414" s="0" t="str">
        <f t="shared" si="6"/>
        <v>CCCRNimOwerriMunicipal</v>
      </c>
    </row>
    <row r="415">
      <c r="AV415" s="0" t="s">
        <v>471</v>
      </c>
      <c r="AW415" s="0" t="s">
        <v>404</v>
      </c>
      <c r="AX415" s="0" t="s">
        <v>1021</v>
      </c>
      <c r="AY415" s="0" t="s">
        <v>1886</v>
      </c>
      <c r="AZ415" s="0" t="s">
        <v>1887</v>
      </c>
      <c r="BA415" s="0" t="s">
        <v>555</v>
      </c>
      <c r="BB415" s="0" t="str">
        <f t="shared" si="6"/>
        <v>CCCRNimOwerriNorth</v>
      </c>
    </row>
    <row r="416">
      <c r="AV416" s="0" t="s">
        <v>471</v>
      </c>
      <c r="AW416" s="0" t="s">
        <v>404</v>
      </c>
      <c r="AX416" s="0" t="s">
        <v>1021</v>
      </c>
      <c r="AY416" s="0" t="s">
        <v>1888</v>
      </c>
      <c r="AZ416" s="0" t="s">
        <v>1889</v>
      </c>
      <c r="BA416" s="0" t="s">
        <v>555</v>
      </c>
      <c r="BB416" s="0" t="str">
        <f t="shared" si="6"/>
        <v>CCCRNimOwerriNorth</v>
      </c>
    </row>
    <row r="417">
      <c r="AV417" s="0" t="s">
        <v>471</v>
      </c>
      <c r="AW417" s="0" t="s">
        <v>404</v>
      </c>
      <c r="AX417" s="0" t="s">
        <v>1021</v>
      </c>
      <c r="AY417" s="0" t="s">
        <v>1890</v>
      </c>
      <c r="AZ417" s="0" t="s">
        <v>1891</v>
      </c>
      <c r="BA417" s="0" t="s">
        <v>555</v>
      </c>
      <c r="BB417" s="0" t="str">
        <f t="shared" si="6"/>
        <v>CCCRNimOwerriNorth</v>
      </c>
    </row>
    <row r="418">
      <c r="AV418" s="0" t="s">
        <v>471</v>
      </c>
      <c r="AW418" s="0" t="s">
        <v>404</v>
      </c>
      <c r="AX418" s="0" t="s">
        <v>1021</v>
      </c>
      <c r="AY418" s="0" t="s">
        <v>1892</v>
      </c>
      <c r="AZ418" s="0" t="s">
        <v>1893</v>
      </c>
      <c r="BA418" s="0" t="s">
        <v>555</v>
      </c>
      <c r="BB418" s="0" t="str">
        <f t="shared" si="6"/>
        <v>CCCRNimOwerriNorth</v>
      </c>
    </row>
    <row r="419">
      <c r="AV419" s="0" t="s">
        <v>471</v>
      </c>
      <c r="AW419" s="0" t="s">
        <v>404</v>
      </c>
      <c r="AX419" s="0" t="s">
        <v>1021</v>
      </c>
      <c r="AY419" s="0" t="s">
        <v>1894</v>
      </c>
      <c r="AZ419" s="0" t="s">
        <v>1895</v>
      </c>
      <c r="BA419" s="0" t="s">
        <v>555</v>
      </c>
      <c r="BB419" s="0" t="str">
        <f t="shared" si="6"/>
        <v>CCCRNimOwerriNorth</v>
      </c>
    </row>
    <row r="420">
      <c r="AV420" s="0" t="s">
        <v>471</v>
      </c>
      <c r="AW420" s="0" t="s">
        <v>404</v>
      </c>
      <c r="AX420" s="0" t="s">
        <v>1036</v>
      </c>
      <c r="AY420" s="0" t="s">
        <v>1896</v>
      </c>
      <c r="AZ420" s="0" t="s">
        <v>1897</v>
      </c>
      <c r="BA420" s="0" t="s">
        <v>555</v>
      </c>
      <c r="BB420" s="0" t="str">
        <f t="shared" si="6"/>
        <v>CCCRNimOwerriWest</v>
      </c>
    </row>
    <row r="421">
      <c r="AV421" s="0" t="s">
        <v>471</v>
      </c>
      <c r="AW421" s="0" t="s">
        <v>404</v>
      </c>
      <c r="AX421" s="0" t="s">
        <v>1036</v>
      </c>
      <c r="AY421" s="0" t="s">
        <v>1898</v>
      </c>
      <c r="AZ421" s="0" t="s">
        <v>1899</v>
      </c>
      <c r="BA421" s="0" t="s">
        <v>555</v>
      </c>
      <c r="BB421" s="0" t="str">
        <f t="shared" si="6"/>
        <v>CCCRNimOwerriWest</v>
      </c>
    </row>
    <row r="422">
      <c r="AV422" s="0" t="s">
        <v>471</v>
      </c>
      <c r="AW422" s="0" t="s">
        <v>394</v>
      </c>
      <c r="AX422" s="0" t="s">
        <v>440</v>
      </c>
      <c r="AY422" s="0" t="s">
        <v>1900</v>
      </c>
      <c r="AZ422" s="0" t="s">
        <v>1901</v>
      </c>
      <c r="BA422" s="0" t="s">
        <v>285</v>
      </c>
      <c r="BB422" s="0" t="str">
        <f t="shared" si="6"/>
        <v>CCFNbeAgatu</v>
      </c>
    </row>
    <row r="423">
      <c r="AV423" s="0" t="s">
        <v>471</v>
      </c>
      <c r="AW423" s="0" t="s">
        <v>394</v>
      </c>
      <c r="AX423" s="0" t="s">
        <v>483</v>
      </c>
      <c r="AY423" s="0" t="s">
        <v>1902</v>
      </c>
      <c r="AZ423" s="0" t="s">
        <v>1903</v>
      </c>
      <c r="BA423" s="0" t="s">
        <v>285</v>
      </c>
      <c r="BB423" s="0" t="str">
        <f t="shared" si="6"/>
        <v>CCFNbeBuruku</v>
      </c>
    </row>
    <row r="424">
      <c r="AV424" s="0" t="s">
        <v>471</v>
      </c>
      <c r="AW424" s="0" t="s">
        <v>394</v>
      </c>
      <c r="AX424" s="0" t="s">
        <v>483</v>
      </c>
      <c r="AY424" s="0" t="s">
        <v>1904</v>
      </c>
      <c r="AZ424" s="0" t="s">
        <v>1905</v>
      </c>
      <c r="BA424" s="0" t="s">
        <v>285</v>
      </c>
      <c r="BB424" s="0" t="str">
        <f t="shared" si="6"/>
        <v>CCFNbeBuruku</v>
      </c>
    </row>
    <row r="425">
      <c r="AV425" s="0" t="s">
        <v>471</v>
      </c>
      <c r="AW425" s="0" t="s">
        <v>394</v>
      </c>
      <c r="AX425" s="0" t="s">
        <v>483</v>
      </c>
      <c r="AY425" s="0" t="s">
        <v>1906</v>
      </c>
      <c r="AZ425" s="0" t="s">
        <v>1907</v>
      </c>
      <c r="BA425" s="0" t="s">
        <v>285</v>
      </c>
      <c r="BB425" s="0" t="str">
        <f t="shared" si="6"/>
        <v>CCFNbeBuruku</v>
      </c>
    </row>
    <row r="426">
      <c r="AV426" s="0" t="s">
        <v>471</v>
      </c>
      <c r="AW426" s="0" t="s">
        <v>394</v>
      </c>
      <c r="AX426" s="0" t="s">
        <v>523</v>
      </c>
      <c r="AY426" s="0" t="s">
        <v>1908</v>
      </c>
      <c r="AZ426" s="0" t="s">
        <v>1909</v>
      </c>
      <c r="BA426" s="0" t="s">
        <v>285</v>
      </c>
      <c r="BB426" s="0" t="str">
        <f t="shared" si="6"/>
        <v>CCFNbeGboko</v>
      </c>
    </row>
    <row r="427">
      <c r="AV427" s="0" t="s">
        <v>471</v>
      </c>
      <c r="AW427" s="0" t="s">
        <v>394</v>
      </c>
      <c r="AX427" s="0" t="s">
        <v>564</v>
      </c>
      <c r="AY427" s="0" t="s">
        <v>1910</v>
      </c>
      <c r="AZ427" s="0" t="s">
        <v>1911</v>
      </c>
      <c r="BA427" s="0" t="s">
        <v>285</v>
      </c>
      <c r="BB427" s="0" t="str">
        <f t="shared" si="6"/>
        <v>CCFNbeGuma</v>
      </c>
    </row>
    <row r="428">
      <c r="AV428" s="0" t="s">
        <v>471</v>
      </c>
      <c r="AW428" s="0" t="s">
        <v>394</v>
      </c>
      <c r="AX428" s="0" t="s">
        <v>564</v>
      </c>
      <c r="AY428" s="0" t="s">
        <v>1912</v>
      </c>
      <c r="AZ428" s="0" t="s">
        <v>1913</v>
      </c>
      <c r="BA428" s="0" t="s">
        <v>285</v>
      </c>
      <c r="BB428" s="0" t="str">
        <f t="shared" si="6"/>
        <v>CCFNbeGuma</v>
      </c>
    </row>
    <row r="429">
      <c r="AV429" s="0" t="s">
        <v>471</v>
      </c>
      <c r="AW429" s="0" t="s">
        <v>394</v>
      </c>
      <c r="AX429" s="0" t="s">
        <v>602</v>
      </c>
      <c r="AY429" s="0" t="s">
        <v>1914</v>
      </c>
      <c r="AZ429" s="0" t="s">
        <v>1915</v>
      </c>
      <c r="BA429" s="0" t="s">
        <v>285</v>
      </c>
      <c r="BB429" s="0" t="str">
        <f t="shared" si="6"/>
        <v>CCFNbeGwerEast</v>
      </c>
    </row>
    <row r="430">
      <c r="AV430" s="0" t="s">
        <v>471</v>
      </c>
      <c r="AW430" s="0" t="s">
        <v>394</v>
      </c>
      <c r="AX430" s="0" t="s">
        <v>641</v>
      </c>
      <c r="AY430" s="0" t="s">
        <v>1916</v>
      </c>
      <c r="AZ430" s="0" t="s">
        <v>1917</v>
      </c>
      <c r="BA430" s="0" t="s">
        <v>285</v>
      </c>
      <c r="BB430" s="0" t="str">
        <f t="shared" si="6"/>
        <v>CCFNbeGwerWest</v>
      </c>
    </row>
    <row r="431">
      <c r="AV431" s="0" t="s">
        <v>471</v>
      </c>
      <c r="AW431" s="0" t="s">
        <v>394</v>
      </c>
      <c r="AX431" s="0" t="s">
        <v>641</v>
      </c>
      <c r="AY431" s="0" t="s">
        <v>1918</v>
      </c>
      <c r="AZ431" s="0" t="s">
        <v>1919</v>
      </c>
      <c r="BA431" s="0" t="s">
        <v>285</v>
      </c>
      <c r="BB431" s="0" t="str">
        <f t="shared" si="6"/>
        <v>CCFNbeGwerWest</v>
      </c>
    </row>
    <row r="432">
      <c r="AV432" s="0" t="s">
        <v>471</v>
      </c>
      <c r="AW432" s="0" t="s">
        <v>394</v>
      </c>
      <c r="AX432" s="0" t="s">
        <v>641</v>
      </c>
      <c r="AY432" s="0" t="s">
        <v>1920</v>
      </c>
      <c r="AZ432" s="0" t="s">
        <v>1921</v>
      </c>
      <c r="BA432" s="0" t="s">
        <v>285</v>
      </c>
      <c r="BB432" s="0" t="str">
        <f t="shared" si="6"/>
        <v>CCFNbeGwerWest</v>
      </c>
    </row>
    <row r="433">
      <c r="AV433" s="0" t="s">
        <v>471</v>
      </c>
      <c r="AW433" s="0" t="s">
        <v>394</v>
      </c>
      <c r="AX433" s="0" t="s">
        <v>679</v>
      </c>
      <c r="AY433" s="0" t="s">
        <v>1922</v>
      </c>
      <c r="AZ433" s="0" t="s">
        <v>1923</v>
      </c>
      <c r="BA433" s="0" t="s">
        <v>285</v>
      </c>
      <c r="BB433" s="0" t="str">
        <f t="shared" si="6"/>
        <v>CCFNbeKatsinaAla</v>
      </c>
    </row>
    <row r="434">
      <c r="AV434" s="0" t="s">
        <v>471</v>
      </c>
      <c r="AW434" s="0" t="s">
        <v>394</v>
      </c>
      <c r="AX434" s="0" t="s">
        <v>679</v>
      </c>
      <c r="AY434" s="0" t="s">
        <v>1924</v>
      </c>
      <c r="AZ434" s="0" t="s">
        <v>1925</v>
      </c>
      <c r="BA434" s="0" t="s">
        <v>285</v>
      </c>
      <c r="BB434" s="0" t="str">
        <f t="shared" si="6"/>
        <v>CCFNbeKatsinaAla</v>
      </c>
    </row>
    <row r="435">
      <c r="AV435" s="0" t="s">
        <v>471</v>
      </c>
      <c r="AW435" s="0" t="s">
        <v>394</v>
      </c>
      <c r="AX435" s="0" t="s">
        <v>679</v>
      </c>
      <c r="AY435" s="0" t="s">
        <v>1926</v>
      </c>
      <c r="AZ435" s="0" t="s">
        <v>1927</v>
      </c>
      <c r="BA435" s="0" t="s">
        <v>285</v>
      </c>
      <c r="BB435" s="0" t="str">
        <f t="shared" si="6"/>
        <v>CCFNbeKatsinaAla</v>
      </c>
    </row>
    <row r="436">
      <c r="AV436" s="0" t="s">
        <v>471</v>
      </c>
      <c r="AW436" s="0" t="s">
        <v>394</v>
      </c>
      <c r="AX436" s="0" t="s">
        <v>679</v>
      </c>
      <c r="AY436" s="0" t="s">
        <v>1928</v>
      </c>
      <c r="AZ436" s="0" t="s">
        <v>1929</v>
      </c>
      <c r="BA436" s="0" t="s">
        <v>285</v>
      </c>
      <c r="BB436" s="0" t="str">
        <f t="shared" si="6"/>
        <v>CCFNbeKatsinaAla</v>
      </c>
    </row>
    <row r="437">
      <c r="AV437" s="0" t="s">
        <v>471</v>
      </c>
      <c r="AW437" s="0" t="s">
        <v>394</v>
      </c>
      <c r="AX437" s="0" t="s">
        <v>715</v>
      </c>
      <c r="AY437" s="0" t="s">
        <v>1930</v>
      </c>
      <c r="AZ437" s="0" t="s">
        <v>1931</v>
      </c>
      <c r="BA437" s="0" t="s">
        <v>285</v>
      </c>
      <c r="BB437" s="0" t="str">
        <f t="shared" si="6"/>
        <v>CCFNbeKonshisha</v>
      </c>
    </row>
    <row r="438">
      <c r="AV438" s="0" t="s">
        <v>471</v>
      </c>
      <c r="AW438" s="0" t="s">
        <v>394</v>
      </c>
      <c r="AX438" s="0" t="s">
        <v>715</v>
      </c>
      <c r="AY438" s="0" t="s">
        <v>1932</v>
      </c>
      <c r="AZ438" s="0" t="s">
        <v>1933</v>
      </c>
      <c r="BA438" s="0" t="s">
        <v>285</v>
      </c>
      <c r="BB438" s="0" t="str">
        <f t="shared" si="6"/>
        <v>CCFNbeKonshisha</v>
      </c>
    </row>
    <row r="439">
      <c r="AV439" s="0" t="s">
        <v>471</v>
      </c>
      <c r="AW439" s="0" t="s">
        <v>394</v>
      </c>
      <c r="AX439" s="0" t="s">
        <v>715</v>
      </c>
      <c r="AY439" s="0" t="s">
        <v>1934</v>
      </c>
      <c r="AZ439" s="0" t="s">
        <v>1935</v>
      </c>
      <c r="BA439" s="0" t="s">
        <v>285</v>
      </c>
      <c r="BB439" s="0" t="str">
        <f t="shared" si="6"/>
        <v>CCFNbeKonshisha</v>
      </c>
    </row>
    <row r="440">
      <c r="AV440" s="0" t="s">
        <v>471</v>
      </c>
      <c r="AW440" s="0" t="s">
        <v>394</v>
      </c>
      <c r="AX440" s="0" t="s">
        <v>715</v>
      </c>
      <c r="AY440" s="0" t="s">
        <v>1936</v>
      </c>
      <c r="AZ440" s="0" t="s">
        <v>1937</v>
      </c>
      <c r="BA440" s="0" t="s">
        <v>285</v>
      </c>
      <c r="BB440" s="0" t="str">
        <f t="shared" si="6"/>
        <v>CCFNbeKonshisha</v>
      </c>
    </row>
    <row r="441">
      <c r="AV441" s="0" t="s">
        <v>471</v>
      </c>
      <c r="AW441" s="0" t="s">
        <v>394</v>
      </c>
      <c r="AX441" s="0" t="s">
        <v>715</v>
      </c>
      <c r="AY441" s="0" t="s">
        <v>1938</v>
      </c>
      <c r="AZ441" s="0" t="s">
        <v>1939</v>
      </c>
      <c r="BA441" s="0" t="s">
        <v>285</v>
      </c>
      <c r="BB441" s="0" t="str">
        <f t="shared" si="6"/>
        <v>CCFNbeKonshisha</v>
      </c>
    </row>
    <row r="442">
      <c r="AV442" s="0" t="s">
        <v>471</v>
      </c>
      <c r="AW442" s="0" t="s">
        <v>394</v>
      </c>
      <c r="AX442" s="0" t="s">
        <v>748</v>
      </c>
      <c r="AY442" s="0" t="s">
        <v>1940</v>
      </c>
      <c r="AZ442" s="0" t="s">
        <v>1941</v>
      </c>
      <c r="BA442" s="0" t="s">
        <v>285</v>
      </c>
      <c r="BB442" s="0" t="str">
        <f t="shared" si="6"/>
        <v>CCFNbeKwande</v>
      </c>
    </row>
    <row r="443">
      <c r="AV443" s="0" t="s">
        <v>471</v>
      </c>
      <c r="AW443" s="0" t="s">
        <v>394</v>
      </c>
      <c r="AX443" s="0" t="s">
        <v>748</v>
      </c>
      <c r="AY443" s="0" t="s">
        <v>1942</v>
      </c>
      <c r="AZ443" s="0" t="s">
        <v>1943</v>
      </c>
      <c r="BA443" s="0" t="s">
        <v>285</v>
      </c>
      <c r="BB443" s="0" t="str">
        <f t="shared" si="6"/>
        <v>CCFNbeKwande</v>
      </c>
    </row>
    <row r="444">
      <c r="AV444" s="0" t="s">
        <v>471</v>
      </c>
      <c r="AW444" s="0" t="s">
        <v>394</v>
      </c>
      <c r="AX444" s="0" t="s">
        <v>748</v>
      </c>
      <c r="AY444" s="0" t="s">
        <v>1944</v>
      </c>
      <c r="AZ444" s="0" t="s">
        <v>1945</v>
      </c>
      <c r="BA444" s="0" t="s">
        <v>285</v>
      </c>
      <c r="BB444" s="0" t="str">
        <f t="shared" si="6"/>
        <v>CCFNbeKwande</v>
      </c>
    </row>
    <row r="445">
      <c r="AV445" s="0" t="s">
        <v>471</v>
      </c>
      <c r="AW445" s="0" t="s">
        <v>394</v>
      </c>
      <c r="AX445" s="0" t="s">
        <v>748</v>
      </c>
      <c r="AY445" s="0" t="s">
        <v>1946</v>
      </c>
      <c r="AZ445" s="0" t="s">
        <v>1947</v>
      </c>
      <c r="BA445" s="0" t="s">
        <v>285</v>
      </c>
      <c r="BB445" s="0" t="str">
        <f t="shared" si="6"/>
        <v>CCFNbeKwande</v>
      </c>
    </row>
    <row r="446">
      <c r="AV446" s="0" t="s">
        <v>471</v>
      </c>
      <c r="AW446" s="0" t="s">
        <v>394</v>
      </c>
      <c r="AX446" s="0" t="s">
        <v>780</v>
      </c>
      <c r="AY446" s="0" t="s">
        <v>1948</v>
      </c>
      <c r="AZ446" s="0" t="s">
        <v>1949</v>
      </c>
      <c r="BA446" s="0" t="s">
        <v>285</v>
      </c>
      <c r="BB446" s="0" t="str">
        <f t="shared" si="6"/>
        <v>CCFNbeLogo</v>
      </c>
    </row>
    <row r="447">
      <c r="AV447" s="0" t="s">
        <v>471</v>
      </c>
      <c r="AW447" s="0" t="s">
        <v>394</v>
      </c>
      <c r="AX447" s="0" t="s">
        <v>780</v>
      </c>
      <c r="AY447" s="0" t="s">
        <v>1950</v>
      </c>
      <c r="AZ447" s="0" t="s">
        <v>1951</v>
      </c>
      <c r="BA447" s="0" t="s">
        <v>285</v>
      </c>
      <c r="BB447" s="0" t="str">
        <f t="shared" si="6"/>
        <v>CCFNbeLogo</v>
      </c>
    </row>
    <row r="448">
      <c r="AV448" s="0" t="s">
        <v>471</v>
      </c>
      <c r="AW448" s="0" t="s">
        <v>394</v>
      </c>
      <c r="AX448" s="0" t="s">
        <v>810</v>
      </c>
      <c r="AY448" s="0" t="s">
        <v>1952</v>
      </c>
      <c r="AZ448" s="0" t="s">
        <v>1953</v>
      </c>
      <c r="BA448" s="0" t="s">
        <v>285</v>
      </c>
      <c r="BB448" s="0" t="str">
        <f t="shared" si="6"/>
        <v>CCFNbeMakurdi</v>
      </c>
    </row>
    <row r="449">
      <c r="AV449" s="0" t="s">
        <v>471</v>
      </c>
      <c r="AW449" s="0" t="s">
        <v>394</v>
      </c>
      <c r="AX449" s="0" t="s">
        <v>839</v>
      </c>
      <c r="AY449" s="0" t="s">
        <v>1954</v>
      </c>
      <c r="AZ449" s="0" t="s">
        <v>1955</v>
      </c>
      <c r="BA449" s="0" t="s">
        <v>285</v>
      </c>
      <c r="BB449" s="0" t="str">
        <f t="shared" si="6"/>
        <v>CCFNbeOkpokwu</v>
      </c>
    </row>
    <row r="450">
      <c r="AV450" s="0" t="s">
        <v>471</v>
      </c>
      <c r="AW450" s="0" t="s">
        <v>394</v>
      </c>
      <c r="AX450" s="0" t="s">
        <v>839</v>
      </c>
      <c r="AY450" s="0" t="s">
        <v>1956</v>
      </c>
      <c r="AZ450" s="0" t="s">
        <v>1957</v>
      </c>
      <c r="BA450" s="0" t="s">
        <v>285</v>
      </c>
      <c r="BB450" s="0" t="str">
        <f t="shared" si="6"/>
        <v>CCFNbeOkpokwu</v>
      </c>
    </row>
    <row r="451">
      <c r="AV451" s="0" t="s">
        <v>471</v>
      </c>
      <c r="AW451" s="0" t="s">
        <v>394</v>
      </c>
      <c r="AX451" s="0" t="s">
        <v>839</v>
      </c>
      <c r="AY451" s="0" t="s">
        <v>1958</v>
      </c>
      <c r="AZ451" s="0" t="s">
        <v>1959</v>
      </c>
      <c r="BA451" s="0" t="s">
        <v>285</v>
      </c>
      <c r="BB451" s="0" t="str">
        <f ref="BB451:BB514" t="shared" si="7">SUBSTITUTE(SUBSTITUTE(BA451&amp;AX451," ",""),"-","")</f>
        <v>CCFNbeOkpokwu</v>
      </c>
    </row>
    <row r="452">
      <c r="AV452" s="0" t="s">
        <v>471</v>
      </c>
      <c r="AW452" s="0" t="s">
        <v>394</v>
      </c>
      <c r="AX452" s="0" t="s">
        <v>867</v>
      </c>
      <c r="AY452" s="0" t="s">
        <v>1960</v>
      </c>
      <c r="AZ452" s="0" t="s">
        <v>1961</v>
      </c>
      <c r="BA452" s="0" t="s">
        <v>285</v>
      </c>
      <c r="BB452" s="0" t="str">
        <f t="shared" si="7"/>
        <v>CCFNbeOtukpo</v>
      </c>
    </row>
    <row r="453">
      <c r="AV453" s="0" t="s">
        <v>471</v>
      </c>
      <c r="AW453" s="0" t="s">
        <v>394</v>
      </c>
      <c r="AX453" s="0" t="s">
        <v>867</v>
      </c>
      <c r="AY453" s="0" t="s">
        <v>1962</v>
      </c>
      <c r="AZ453" s="0" t="s">
        <v>1963</v>
      </c>
      <c r="BA453" s="0" t="s">
        <v>285</v>
      </c>
      <c r="BB453" s="0" t="str">
        <f t="shared" si="7"/>
        <v>CCFNbeOtukpo</v>
      </c>
    </row>
    <row r="454">
      <c r="AV454" s="0" t="s">
        <v>471</v>
      </c>
      <c r="AW454" s="0" t="s">
        <v>394</v>
      </c>
      <c r="AX454" s="0" t="s">
        <v>867</v>
      </c>
      <c r="AY454" s="0" t="s">
        <v>1964</v>
      </c>
      <c r="AZ454" s="0" t="s">
        <v>1965</v>
      </c>
      <c r="BA454" s="0" t="s">
        <v>285</v>
      </c>
      <c r="BB454" s="0" t="str">
        <f t="shared" si="7"/>
        <v>CCFNbeOtukpo</v>
      </c>
    </row>
    <row r="455">
      <c r="AV455" s="0" t="s">
        <v>471</v>
      </c>
      <c r="AW455" s="0" t="s">
        <v>394</v>
      </c>
      <c r="AX455" s="0" t="s">
        <v>893</v>
      </c>
      <c r="AY455" s="0" t="s">
        <v>1966</v>
      </c>
      <c r="AZ455" s="0" t="s">
        <v>1967</v>
      </c>
      <c r="BA455" s="0" t="s">
        <v>285</v>
      </c>
      <c r="BB455" s="0" t="str">
        <f t="shared" si="7"/>
        <v>CCFNbeTarka</v>
      </c>
    </row>
    <row r="456">
      <c r="AV456" s="0" t="s">
        <v>471</v>
      </c>
      <c r="AW456" s="0" t="s">
        <v>394</v>
      </c>
      <c r="AX456" s="0" t="s">
        <v>893</v>
      </c>
      <c r="AY456" s="0" t="s">
        <v>1968</v>
      </c>
      <c r="AZ456" s="0" t="s">
        <v>1969</v>
      </c>
      <c r="BA456" s="0" t="s">
        <v>285</v>
      </c>
      <c r="BB456" s="0" t="str">
        <f t="shared" si="7"/>
        <v>CCFNbeTarka</v>
      </c>
    </row>
    <row r="457">
      <c r="AV457" s="0" t="s">
        <v>471</v>
      </c>
      <c r="AW457" s="0" t="s">
        <v>394</v>
      </c>
      <c r="AX457" s="0" t="s">
        <v>918</v>
      </c>
      <c r="AY457" s="0" t="s">
        <v>1970</v>
      </c>
      <c r="AZ457" s="0" t="s">
        <v>1971</v>
      </c>
      <c r="BA457" s="0" t="s">
        <v>285</v>
      </c>
      <c r="BB457" s="0" t="str">
        <f t="shared" si="7"/>
        <v>CCFNbeUkum</v>
      </c>
    </row>
    <row r="458">
      <c r="AV458" s="0" t="s">
        <v>471</v>
      </c>
      <c r="AW458" s="0" t="s">
        <v>394</v>
      </c>
      <c r="AX458" s="0" t="s">
        <v>918</v>
      </c>
      <c r="AY458" s="0" t="s">
        <v>1972</v>
      </c>
      <c r="AZ458" s="0" t="s">
        <v>1973</v>
      </c>
      <c r="BA458" s="0" t="s">
        <v>285</v>
      </c>
      <c r="BB458" s="0" t="str">
        <f t="shared" si="7"/>
        <v>CCFNbeUkum</v>
      </c>
    </row>
    <row r="459">
      <c r="AV459" s="0" t="s">
        <v>471</v>
      </c>
      <c r="AW459" s="0" t="s">
        <v>394</v>
      </c>
      <c r="AX459" s="0" t="s">
        <v>918</v>
      </c>
      <c r="AY459" s="0" t="s">
        <v>1974</v>
      </c>
      <c r="AZ459" s="0" t="s">
        <v>1975</v>
      </c>
      <c r="BA459" s="0" t="s">
        <v>285</v>
      </c>
      <c r="BB459" s="0" t="str">
        <f t="shared" si="7"/>
        <v>CCFNbeUkum</v>
      </c>
    </row>
    <row r="460">
      <c r="AV460" s="0" t="s">
        <v>471</v>
      </c>
      <c r="AW460" s="0" t="s">
        <v>394</v>
      </c>
      <c r="AX460" s="0" t="s">
        <v>942</v>
      </c>
      <c r="AY460" s="0" t="s">
        <v>1976</v>
      </c>
      <c r="AZ460" s="0" t="s">
        <v>1977</v>
      </c>
      <c r="BA460" s="0" t="s">
        <v>285</v>
      </c>
      <c r="BB460" s="0" t="str">
        <f t="shared" si="7"/>
        <v>CCFNbeUshongo</v>
      </c>
    </row>
    <row r="461">
      <c r="AV461" s="0" t="s">
        <v>471</v>
      </c>
      <c r="AW461" s="0" t="s">
        <v>394</v>
      </c>
      <c r="AX461" s="0" t="s">
        <v>942</v>
      </c>
      <c r="AY461" s="0" t="s">
        <v>1978</v>
      </c>
      <c r="AZ461" s="0" t="s">
        <v>1979</v>
      </c>
      <c r="BA461" s="0" t="s">
        <v>285</v>
      </c>
      <c r="BB461" s="0" t="str">
        <f t="shared" si="7"/>
        <v>CCFNbeUshongo</v>
      </c>
    </row>
    <row r="462">
      <c r="AV462" s="0" t="s">
        <v>471</v>
      </c>
      <c r="AW462" s="0" t="s">
        <v>394</v>
      </c>
      <c r="AX462" s="0" t="s">
        <v>942</v>
      </c>
      <c r="AY462" s="0" t="s">
        <v>1980</v>
      </c>
      <c r="AZ462" s="0" t="s">
        <v>1981</v>
      </c>
      <c r="BA462" s="0" t="s">
        <v>285</v>
      </c>
      <c r="BB462" s="0" t="str">
        <f t="shared" si="7"/>
        <v>CCFNbeUshongo</v>
      </c>
    </row>
    <row r="463">
      <c r="AV463" s="0" t="s">
        <v>471</v>
      </c>
      <c r="AW463" s="0" t="s">
        <v>394</v>
      </c>
      <c r="AX463" s="0" t="s">
        <v>942</v>
      </c>
      <c r="AY463" s="0" t="s">
        <v>1982</v>
      </c>
      <c r="AZ463" s="0" t="s">
        <v>1983</v>
      </c>
      <c r="BA463" s="0" t="s">
        <v>285</v>
      </c>
      <c r="BB463" s="0" t="str">
        <f t="shared" si="7"/>
        <v>CCFNbeUshongo</v>
      </c>
    </row>
    <row r="464">
      <c r="AV464" s="0" t="s">
        <v>471</v>
      </c>
      <c r="AW464" s="0" t="s">
        <v>394</v>
      </c>
      <c r="AX464" s="0" t="s">
        <v>942</v>
      </c>
      <c r="AY464" s="0" t="s">
        <v>1984</v>
      </c>
      <c r="AZ464" s="0" t="s">
        <v>1985</v>
      </c>
      <c r="BA464" s="0" t="s">
        <v>285</v>
      </c>
      <c r="BB464" s="0" t="str">
        <f t="shared" si="7"/>
        <v>CCFNbeUshongo</v>
      </c>
    </row>
    <row r="465">
      <c r="AV465" s="0" t="s">
        <v>471</v>
      </c>
      <c r="AW465" s="0" t="s">
        <v>394</v>
      </c>
      <c r="AX465" s="0" t="s">
        <v>942</v>
      </c>
      <c r="AY465" s="0" t="s">
        <v>1986</v>
      </c>
      <c r="AZ465" s="0" t="s">
        <v>1987</v>
      </c>
      <c r="BA465" s="0" t="s">
        <v>285</v>
      </c>
      <c r="BB465" s="0" t="str">
        <f t="shared" si="7"/>
        <v>CCFNbeUshongo</v>
      </c>
    </row>
    <row r="466">
      <c r="AV466" s="0" t="s">
        <v>471</v>
      </c>
      <c r="AW466" s="0" t="s">
        <v>394</v>
      </c>
      <c r="AX466" s="0" t="s">
        <v>942</v>
      </c>
      <c r="AY466" s="0" t="s">
        <v>1988</v>
      </c>
      <c r="AZ466" s="0" t="s">
        <v>1989</v>
      </c>
      <c r="BA466" s="0" t="s">
        <v>285</v>
      </c>
      <c r="BB466" s="0" t="str">
        <f t="shared" si="7"/>
        <v>CCFNbeUshongo</v>
      </c>
    </row>
    <row r="467">
      <c r="AV467" s="0" t="s">
        <v>471</v>
      </c>
      <c r="AW467" s="0" t="s">
        <v>394</v>
      </c>
      <c r="AX467" s="0" t="s">
        <v>965</v>
      </c>
      <c r="AY467" s="0" t="s">
        <v>1990</v>
      </c>
      <c r="AZ467" s="0" t="s">
        <v>1991</v>
      </c>
      <c r="BA467" s="0" t="s">
        <v>285</v>
      </c>
      <c r="BB467" s="0" t="str">
        <f t="shared" si="7"/>
        <v>CCFNbeVandeikya</v>
      </c>
    </row>
    <row r="468">
      <c r="AV468" s="0" t="s">
        <v>471</v>
      </c>
      <c r="AW468" s="0" t="s">
        <v>394</v>
      </c>
      <c r="AX468" s="0" t="s">
        <v>965</v>
      </c>
      <c r="AY468" s="0" t="s">
        <v>1992</v>
      </c>
      <c r="AZ468" s="0" t="s">
        <v>1993</v>
      </c>
      <c r="BA468" s="0" t="s">
        <v>285</v>
      </c>
      <c r="BB468" s="0" t="str">
        <f t="shared" si="7"/>
        <v>CCFNbeVandeikya</v>
      </c>
    </row>
    <row r="469">
      <c r="AV469" s="0" t="s">
        <v>471</v>
      </c>
      <c r="AW469" s="0" t="s">
        <v>394</v>
      </c>
      <c r="AX469" s="0" t="s">
        <v>965</v>
      </c>
      <c r="AY469" s="0" t="s">
        <v>1994</v>
      </c>
      <c r="AZ469" s="0" t="s">
        <v>1995</v>
      </c>
      <c r="BA469" s="0" t="s">
        <v>285</v>
      </c>
      <c r="BB469" s="0" t="str">
        <f t="shared" si="7"/>
        <v>CCFNbeVandeikya</v>
      </c>
    </row>
    <row r="470">
      <c r="AV470" s="0" t="s">
        <v>471</v>
      </c>
      <c r="AW470" s="0" t="s">
        <v>394</v>
      </c>
      <c r="AX470" s="0" t="s">
        <v>965</v>
      </c>
      <c r="AY470" s="0" t="s">
        <v>1996</v>
      </c>
      <c r="AZ470" s="0" t="s">
        <v>1997</v>
      </c>
      <c r="BA470" s="0" t="s">
        <v>285</v>
      </c>
      <c r="BB470" s="0" t="str">
        <f t="shared" si="7"/>
        <v>CCFNbeVandeikya</v>
      </c>
    </row>
    <row r="471">
      <c r="AV471" s="0" t="s">
        <v>471</v>
      </c>
      <c r="AW471" s="0" t="s">
        <v>394</v>
      </c>
      <c r="AX471" s="0" t="s">
        <v>965</v>
      </c>
      <c r="AY471" s="0" t="s">
        <v>1998</v>
      </c>
      <c r="AZ471" s="0" t="s">
        <v>1999</v>
      </c>
      <c r="BA471" s="0" t="s">
        <v>285</v>
      </c>
      <c r="BB471" s="0" t="str">
        <f t="shared" si="7"/>
        <v>CCFNbeVandeikya</v>
      </c>
    </row>
    <row r="472">
      <c r="AV472" s="0" t="s">
        <v>471</v>
      </c>
      <c r="AW472" s="0" t="s">
        <v>394</v>
      </c>
      <c r="AX472" s="0" t="s">
        <v>965</v>
      </c>
      <c r="AY472" s="0" t="s">
        <v>2000</v>
      </c>
      <c r="AZ472" s="0" t="s">
        <v>2001</v>
      </c>
      <c r="BA472" s="0" t="s">
        <v>285</v>
      </c>
      <c r="BB472" s="0" t="str">
        <f t="shared" si="7"/>
        <v>CCFNbeVandeikya</v>
      </c>
    </row>
    <row r="473">
      <c r="AV473" s="0" t="s">
        <v>471</v>
      </c>
      <c r="AW473" s="0" t="s">
        <v>397</v>
      </c>
      <c r="AX473" s="0" t="s">
        <v>443</v>
      </c>
      <c r="AY473" s="0" t="s">
        <v>2002</v>
      </c>
      <c r="AZ473" s="0" t="s">
        <v>2003</v>
      </c>
      <c r="BA473" s="0" t="s">
        <v>285</v>
      </c>
      <c r="BB473" s="0" t="str">
        <f t="shared" si="7"/>
        <v>CCFNdeAniochaNorth</v>
      </c>
    </row>
    <row r="474">
      <c r="AV474" s="0" t="s">
        <v>471</v>
      </c>
      <c r="AW474" s="0" t="s">
        <v>397</v>
      </c>
      <c r="AX474" s="0" t="s">
        <v>486</v>
      </c>
      <c r="AY474" s="0" t="s">
        <v>2004</v>
      </c>
      <c r="AZ474" s="0" t="s">
        <v>2005</v>
      </c>
      <c r="BA474" s="0" t="s">
        <v>285</v>
      </c>
      <c r="BB474" s="0" t="str">
        <f t="shared" si="7"/>
        <v>CCFNdeEthiopeEast</v>
      </c>
    </row>
    <row r="475">
      <c r="AV475" s="0" t="s">
        <v>471</v>
      </c>
      <c r="AW475" s="0" t="s">
        <v>397</v>
      </c>
      <c r="AX475" s="0" t="s">
        <v>486</v>
      </c>
      <c r="AY475" s="0" t="s">
        <v>2006</v>
      </c>
      <c r="AZ475" s="0" t="s">
        <v>2007</v>
      </c>
      <c r="BA475" s="0" t="s">
        <v>285</v>
      </c>
      <c r="BB475" s="0" t="str">
        <f t="shared" si="7"/>
        <v>CCFNdeEthiopeEast</v>
      </c>
    </row>
    <row r="476">
      <c r="AV476" s="0" t="s">
        <v>471</v>
      </c>
      <c r="AW476" s="0" t="s">
        <v>397</v>
      </c>
      <c r="AX476" s="0" t="s">
        <v>526</v>
      </c>
      <c r="AY476" s="0" t="s">
        <v>2008</v>
      </c>
      <c r="AZ476" s="0" t="s">
        <v>2009</v>
      </c>
      <c r="BA476" s="0" t="s">
        <v>285</v>
      </c>
      <c r="BB476" s="0" t="str">
        <f t="shared" si="7"/>
        <v>CCFNdeSapele</v>
      </c>
    </row>
    <row r="477">
      <c r="AV477" s="0" t="s">
        <v>471</v>
      </c>
      <c r="AW477" s="0" t="s">
        <v>397</v>
      </c>
      <c r="AX477" s="0" t="s">
        <v>567</v>
      </c>
      <c r="AY477" s="0" t="s">
        <v>2010</v>
      </c>
      <c r="AZ477" s="0" t="s">
        <v>2011</v>
      </c>
      <c r="BA477" s="0" t="s">
        <v>285</v>
      </c>
      <c r="BB477" s="0" t="str">
        <f t="shared" si="7"/>
        <v>CCFNdeWarriNorth</v>
      </c>
    </row>
    <row r="478">
      <c r="AV478" s="0" t="s">
        <v>471</v>
      </c>
      <c r="AW478" s="0" t="s">
        <v>402</v>
      </c>
      <c r="AX478" s="0" t="s">
        <v>448</v>
      </c>
      <c r="AY478" s="0" t="s">
        <v>2012</v>
      </c>
      <c r="AZ478" s="0" t="s">
        <v>2013</v>
      </c>
      <c r="BA478" s="0" t="s">
        <v>285</v>
      </c>
      <c r="BB478" s="0" t="str">
        <f t="shared" si="7"/>
        <v>CCFNfcAbujaMunicipalAreaCouncil</v>
      </c>
    </row>
    <row r="479">
      <c r="AV479" s="0" t="s">
        <v>471</v>
      </c>
      <c r="AW479" s="0" t="s">
        <v>402</v>
      </c>
      <c r="AX479" s="0" t="s">
        <v>448</v>
      </c>
      <c r="AY479" s="0" t="s">
        <v>2014</v>
      </c>
      <c r="AZ479" s="0" t="s">
        <v>2015</v>
      </c>
      <c r="BA479" s="0" t="s">
        <v>285</v>
      </c>
      <c r="BB479" s="0" t="str">
        <f t="shared" si="7"/>
        <v>CCFNfcAbujaMunicipalAreaCouncil</v>
      </c>
    </row>
    <row r="480">
      <c r="AV480" s="0" t="s">
        <v>471</v>
      </c>
      <c r="AW480" s="0" t="s">
        <v>402</v>
      </c>
      <c r="AX480" s="0" t="s">
        <v>448</v>
      </c>
      <c r="AY480" s="0" t="s">
        <v>2016</v>
      </c>
      <c r="AZ480" s="0" t="s">
        <v>2017</v>
      </c>
      <c r="BA480" s="0" t="s">
        <v>285</v>
      </c>
      <c r="BB480" s="0" t="str">
        <f t="shared" si="7"/>
        <v>CCFNfcAbujaMunicipalAreaCouncil</v>
      </c>
    </row>
    <row r="481">
      <c r="AV481" s="0" t="s">
        <v>471</v>
      </c>
      <c r="AW481" s="0" t="s">
        <v>402</v>
      </c>
      <c r="AX481" s="0" t="s">
        <v>448</v>
      </c>
      <c r="AY481" s="0" t="s">
        <v>2018</v>
      </c>
      <c r="AZ481" s="0" t="s">
        <v>2019</v>
      </c>
      <c r="BA481" s="0" t="s">
        <v>285</v>
      </c>
      <c r="BB481" s="0" t="str">
        <f t="shared" si="7"/>
        <v>CCFNfcAbujaMunicipalAreaCouncil</v>
      </c>
    </row>
    <row r="482">
      <c r="AV482" s="0" t="s">
        <v>471</v>
      </c>
      <c r="AW482" s="0" t="s">
        <v>402</v>
      </c>
      <c r="AX482" s="0" t="s">
        <v>491</v>
      </c>
      <c r="AY482" s="0" t="s">
        <v>2020</v>
      </c>
      <c r="AZ482" s="0" t="s">
        <v>2021</v>
      </c>
      <c r="BA482" s="0" t="s">
        <v>285</v>
      </c>
      <c r="BB482" s="0" t="str">
        <f t="shared" si="7"/>
        <v>CCFNfcBwari</v>
      </c>
    </row>
    <row r="483">
      <c r="AV483" s="0" t="s">
        <v>471</v>
      </c>
      <c r="AW483" s="0" t="s">
        <v>402</v>
      </c>
      <c r="AX483" s="0" t="s">
        <v>491</v>
      </c>
      <c r="AY483" s="0" t="s">
        <v>2022</v>
      </c>
      <c r="AZ483" s="0" t="s">
        <v>2023</v>
      </c>
      <c r="BA483" s="0" t="s">
        <v>285</v>
      </c>
      <c r="BB483" s="0" t="str">
        <f t="shared" si="7"/>
        <v>CCFNfcBwari</v>
      </c>
    </row>
    <row r="484">
      <c r="AV484" s="0" t="s">
        <v>471</v>
      </c>
      <c r="AW484" s="0" t="s">
        <v>402</v>
      </c>
      <c r="AX484" s="0" t="s">
        <v>491</v>
      </c>
      <c r="AY484" s="0" t="s">
        <v>2024</v>
      </c>
      <c r="AZ484" s="0" t="s">
        <v>2025</v>
      </c>
      <c r="BA484" s="0" t="s">
        <v>285</v>
      </c>
      <c r="BB484" s="0" t="str">
        <f t="shared" si="7"/>
        <v>CCFNfcBwari</v>
      </c>
    </row>
    <row r="485">
      <c r="AV485" s="0" t="s">
        <v>471</v>
      </c>
      <c r="AW485" s="0" t="s">
        <v>406</v>
      </c>
      <c r="AX485" s="0" t="s">
        <v>452</v>
      </c>
      <c r="AY485" s="0" t="s">
        <v>2026</v>
      </c>
      <c r="AZ485" s="0" t="s">
        <v>2027</v>
      </c>
      <c r="BA485" s="0" t="s">
        <v>285</v>
      </c>
      <c r="BB485" s="0" t="str">
        <f t="shared" si="7"/>
        <v>CCFNkdChikun</v>
      </c>
    </row>
    <row r="486">
      <c r="AV486" s="0" t="s">
        <v>471</v>
      </c>
      <c r="AW486" s="0" t="s">
        <v>406</v>
      </c>
      <c r="AX486" s="0" t="s">
        <v>452</v>
      </c>
      <c r="AY486" s="0" t="s">
        <v>2028</v>
      </c>
      <c r="AZ486" s="0" t="s">
        <v>2029</v>
      </c>
      <c r="BA486" s="0" t="s">
        <v>285</v>
      </c>
      <c r="BB486" s="0" t="str">
        <f t="shared" si="7"/>
        <v>CCFNkdChikun</v>
      </c>
    </row>
    <row r="487">
      <c r="AV487" s="0" t="s">
        <v>471</v>
      </c>
      <c r="AW487" s="0" t="s">
        <v>406</v>
      </c>
      <c r="AX487" s="0" t="s">
        <v>2030</v>
      </c>
      <c r="AY487" s="0" t="s">
        <v>2031</v>
      </c>
      <c r="AZ487" s="0" t="s">
        <v>2032</v>
      </c>
      <c r="BA487" s="0" t="s">
        <v>285</v>
      </c>
      <c r="BB487" s="0" t="str">
        <f t="shared" si="7"/>
        <v>CCFNkdJemaa</v>
      </c>
    </row>
    <row r="488">
      <c r="AV488" s="0" t="s">
        <v>471</v>
      </c>
      <c r="AW488" s="0" t="s">
        <v>406</v>
      </c>
      <c r="AX488" s="0" t="s">
        <v>535</v>
      </c>
      <c r="AY488" s="0" t="s">
        <v>2033</v>
      </c>
      <c r="AZ488" s="0" t="s">
        <v>2034</v>
      </c>
      <c r="BA488" s="0" t="s">
        <v>285</v>
      </c>
      <c r="BB488" s="0" t="str">
        <f t="shared" si="7"/>
        <v>CCFNkdKadunaSouth</v>
      </c>
    </row>
    <row r="489">
      <c r="AV489" s="0" t="s">
        <v>471</v>
      </c>
      <c r="AW489" s="0" t="s">
        <v>406</v>
      </c>
      <c r="AX489" s="0" t="s">
        <v>576</v>
      </c>
      <c r="AY489" s="0" t="s">
        <v>2035</v>
      </c>
      <c r="AZ489" s="0" t="s">
        <v>2036</v>
      </c>
      <c r="BA489" s="0" t="s">
        <v>285</v>
      </c>
      <c r="BB489" s="0" t="str">
        <f t="shared" si="7"/>
        <v>CCFNkdKubau</v>
      </c>
    </row>
    <row r="490">
      <c r="AV490" s="0" t="s">
        <v>471</v>
      </c>
      <c r="AW490" s="0" t="s">
        <v>406</v>
      </c>
      <c r="AX490" s="0" t="s">
        <v>614</v>
      </c>
      <c r="AY490" s="0" t="s">
        <v>2037</v>
      </c>
      <c r="AZ490" s="0" t="s">
        <v>2038</v>
      </c>
      <c r="BA490" s="0" t="s">
        <v>285</v>
      </c>
      <c r="BB490" s="0" t="str">
        <f t="shared" si="7"/>
        <v>CCFNkdLere</v>
      </c>
    </row>
    <row r="491">
      <c r="AV491" s="0" t="s">
        <v>471</v>
      </c>
      <c r="AW491" s="0" t="s">
        <v>406</v>
      </c>
      <c r="AX491" s="0" t="s">
        <v>614</v>
      </c>
      <c r="AY491" s="0" t="s">
        <v>2039</v>
      </c>
      <c r="AZ491" s="0" t="s">
        <v>2040</v>
      </c>
      <c r="BA491" s="0" t="s">
        <v>285</v>
      </c>
      <c r="BB491" s="0" t="str">
        <f t="shared" si="7"/>
        <v>CCFNkdLere</v>
      </c>
    </row>
    <row r="492">
      <c r="AV492" s="0" t="s">
        <v>471</v>
      </c>
      <c r="AW492" s="0" t="s">
        <v>406</v>
      </c>
      <c r="AX492" s="0" t="s">
        <v>653</v>
      </c>
      <c r="AY492" s="0" t="s">
        <v>2041</v>
      </c>
      <c r="AZ492" s="0" t="s">
        <v>2042</v>
      </c>
      <c r="BA492" s="0" t="s">
        <v>285</v>
      </c>
      <c r="BB492" s="0" t="str">
        <f t="shared" si="7"/>
        <v>CCFNkdSanga</v>
      </c>
    </row>
    <row r="493">
      <c r="AV493" s="0" t="s">
        <v>471</v>
      </c>
      <c r="AW493" s="0" t="s">
        <v>406</v>
      </c>
      <c r="AX493" s="0" t="s">
        <v>689</v>
      </c>
      <c r="AY493" s="0" t="s">
        <v>2043</v>
      </c>
      <c r="AZ493" s="0" t="s">
        <v>2044</v>
      </c>
      <c r="BA493" s="0" t="s">
        <v>285</v>
      </c>
      <c r="BB493" s="0" t="str">
        <f t="shared" si="7"/>
        <v>CCFNkdZangoKataf</v>
      </c>
    </row>
    <row r="494">
      <c r="AV494" s="0" t="s">
        <v>471</v>
      </c>
      <c r="AW494" s="0" t="s">
        <v>406</v>
      </c>
      <c r="AX494" s="0" t="s">
        <v>689</v>
      </c>
      <c r="AY494" s="0" t="s">
        <v>2045</v>
      </c>
      <c r="AZ494" s="0" t="s">
        <v>2046</v>
      </c>
      <c r="BA494" s="0" t="s">
        <v>285</v>
      </c>
      <c r="BB494" s="0" t="str">
        <f t="shared" si="7"/>
        <v>CCFNkdZangoKataf</v>
      </c>
    </row>
    <row r="495">
      <c r="AV495" s="0" t="s">
        <v>471</v>
      </c>
      <c r="AW495" s="0" t="s">
        <v>410</v>
      </c>
      <c r="AX495" s="0" t="s">
        <v>1303</v>
      </c>
      <c r="AY495" s="0" t="s">
        <v>2047</v>
      </c>
      <c r="AZ495" s="0" t="s">
        <v>2048</v>
      </c>
      <c r="BA495" s="0" t="s">
        <v>285</v>
      </c>
      <c r="BB495" s="0" t="str">
        <f t="shared" si="7"/>
        <v>CCFNkoDekina</v>
      </c>
    </row>
    <row r="496">
      <c r="AV496" s="0" t="s">
        <v>471</v>
      </c>
      <c r="AW496" s="0" t="s">
        <v>410</v>
      </c>
      <c r="AX496" s="0" t="s">
        <v>1303</v>
      </c>
      <c r="AY496" s="0" t="s">
        <v>2049</v>
      </c>
      <c r="AZ496" s="0" t="s">
        <v>2050</v>
      </c>
      <c r="BA496" s="0" t="s">
        <v>285</v>
      </c>
      <c r="BB496" s="0" t="str">
        <f t="shared" si="7"/>
        <v>CCFNkoDekina</v>
      </c>
    </row>
    <row r="497">
      <c r="AV497" s="0" t="s">
        <v>471</v>
      </c>
      <c r="AW497" s="0" t="s">
        <v>410</v>
      </c>
      <c r="AX497" s="0" t="s">
        <v>1303</v>
      </c>
      <c r="AY497" s="0" t="s">
        <v>2051</v>
      </c>
      <c r="AZ497" s="0" t="s">
        <v>2052</v>
      </c>
      <c r="BA497" s="0" t="s">
        <v>285</v>
      </c>
      <c r="BB497" s="0" t="str">
        <f t="shared" si="7"/>
        <v>CCFNkoDekina</v>
      </c>
    </row>
    <row r="498">
      <c r="AV498" s="0" t="s">
        <v>471</v>
      </c>
      <c r="AW498" s="0" t="s">
        <v>410</v>
      </c>
      <c r="AX498" s="0" t="s">
        <v>1306</v>
      </c>
      <c r="AY498" s="0" t="s">
        <v>2053</v>
      </c>
      <c r="AZ498" s="0" t="s">
        <v>2054</v>
      </c>
      <c r="BA498" s="0" t="s">
        <v>285</v>
      </c>
      <c r="BB498" s="0" t="str">
        <f t="shared" si="7"/>
        <v>CCFNkoIdah</v>
      </c>
    </row>
    <row r="499">
      <c r="AV499" s="0" t="s">
        <v>471</v>
      </c>
      <c r="AW499" s="0" t="s">
        <v>410</v>
      </c>
      <c r="AX499" s="0" t="s">
        <v>1309</v>
      </c>
      <c r="AY499" s="0" t="s">
        <v>2055</v>
      </c>
      <c r="AZ499" s="0" t="s">
        <v>2056</v>
      </c>
      <c r="BA499" s="0" t="s">
        <v>285</v>
      </c>
      <c r="BB499" s="0" t="str">
        <f t="shared" si="7"/>
        <v>CCFNkoKabba</v>
      </c>
    </row>
    <row r="500">
      <c r="AV500" s="0" t="s">
        <v>471</v>
      </c>
      <c r="AW500" s="0" t="s">
        <v>412</v>
      </c>
      <c r="AX500" s="0" t="s">
        <v>458</v>
      </c>
      <c r="AY500" s="0" t="s">
        <v>2057</v>
      </c>
      <c r="AZ500" s="0" t="s">
        <v>2058</v>
      </c>
      <c r="BA500" s="0" t="s">
        <v>285</v>
      </c>
      <c r="BB500" s="0" t="str">
        <f t="shared" si="7"/>
        <v>CCFNlaAlimosho</v>
      </c>
    </row>
    <row r="501">
      <c r="AV501" s="0" t="s">
        <v>471</v>
      </c>
      <c r="AW501" s="0" t="s">
        <v>412</v>
      </c>
      <c r="AX501" s="0" t="s">
        <v>458</v>
      </c>
      <c r="AY501" s="0" t="s">
        <v>2059</v>
      </c>
      <c r="AZ501" s="0" t="s">
        <v>2060</v>
      </c>
      <c r="BA501" s="0" t="s">
        <v>285</v>
      </c>
      <c r="BB501" s="0" t="str">
        <f t="shared" si="7"/>
        <v>CCFNlaAlimosho</v>
      </c>
    </row>
    <row r="502">
      <c r="AV502" s="0" t="s">
        <v>471</v>
      </c>
      <c r="AW502" s="0" t="s">
        <v>412</v>
      </c>
      <c r="AX502" s="0" t="s">
        <v>458</v>
      </c>
      <c r="AY502" s="0" t="s">
        <v>2061</v>
      </c>
      <c r="AZ502" s="0" t="s">
        <v>2062</v>
      </c>
      <c r="BA502" s="0" t="s">
        <v>285</v>
      </c>
      <c r="BB502" s="0" t="str">
        <f t="shared" si="7"/>
        <v>CCFNlaAlimosho</v>
      </c>
    </row>
    <row r="503">
      <c r="AV503" s="0" t="s">
        <v>471</v>
      </c>
      <c r="AW503" s="0" t="s">
        <v>412</v>
      </c>
      <c r="AX503" s="0" t="s">
        <v>458</v>
      </c>
      <c r="AY503" s="0" t="s">
        <v>2063</v>
      </c>
      <c r="AZ503" s="0" t="s">
        <v>2064</v>
      </c>
      <c r="BA503" s="0" t="s">
        <v>285</v>
      </c>
      <c r="BB503" s="0" t="str">
        <f t="shared" si="7"/>
        <v>CCFNlaAlimosho</v>
      </c>
    </row>
    <row r="504">
      <c r="AV504" s="0" t="s">
        <v>471</v>
      </c>
      <c r="AW504" s="0" t="s">
        <v>412</v>
      </c>
      <c r="AX504" s="0" t="s">
        <v>458</v>
      </c>
      <c r="AY504" s="0" t="s">
        <v>2065</v>
      </c>
      <c r="AZ504" s="0" t="s">
        <v>2066</v>
      </c>
      <c r="BA504" s="0" t="s">
        <v>285</v>
      </c>
      <c r="BB504" s="0" t="str">
        <f t="shared" si="7"/>
        <v>CCFNlaAlimosho</v>
      </c>
    </row>
    <row r="505">
      <c r="AV505" s="0" t="s">
        <v>471</v>
      </c>
      <c r="AW505" s="0" t="s">
        <v>412</v>
      </c>
      <c r="AX505" s="0" t="s">
        <v>693</v>
      </c>
      <c r="AY505" s="0" t="s">
        <v>2067</v>
      </c>
      <c r="AZ505" s="0" t="s">
        <v>2068</v>
      </c>
      <c r="BA505" s="0" t="s">
        <v>285</v>
      </c>
      <c r="BB505" s="0" t="str">
        <f t="shared" si="7"/>
        <v>CCFNlaIkeja</v>
      </c>
    </row>
    <row r="506">
      <c r="AV506" s="0" t="s">
        <v>471</v>
      </c>
      <c r="AW506" s="0" t="s">
        <v>412</v>
      </c>
      <c r="AX506" s="0" t="s">
        <v>693</v>
      </c>
      <c r="AY506" s="0" t="s">
        <v>2069</v>
      </c>
      <c r="AZ506" s="0" t="s">
        <v>2070</v>
      </c>
      <c r="BA506" s="0" t="s">
        <v>285</v>
      </c>
      <c r="BB506" s="0" t="str">
        <f t="shared" si="7"/>
        <v>CCFNlaIkeja</v>
      </c>
    </row>
    <row r="507">
      <c r="AV507" s="0" t="s">
        <v>471</v>
      </c>
      <c r="AW507" s="0" t="s">
        <v>286</v>
      </c>
      <c r="AX507" s="0" t="s">
        <v>459</v>
      </c>
      <c r="AY507" s="0" t="s">
        <v>2071</v>
      </c>
      <c r="AZ507" s="0" t="s">
        <v>2072</v>
      </c>
      <c r="BA507" s="0" t="s">
        <v>285</v>
      </c>
      <c r="BB507" s="0" t="str">
        <f t="shared" si="7"/>
        <v>CCFNnaAkwanga</v>
      </c>
    </row>
    <row r="508">
      <c r="AV508" s="0" t="s">
        <v>471</v>
      </c>
      <c r="AW508" s="0" t="s">
        <v>286</v>
      </c>
      <c r="AX508" s="0" t="s">
        <v>502</v>
      </c>
      <c r="AY508" s="0" t="s">
        <v>289</v>
      </c>
      <c r="AZ508" s="0" t="s">
        <v>293</v>
      </c>
      <c r="BA508" s="0" t="s">
        <v>285</v>
      </c>
      <c r="BB508" s="0" t="str">
        <f t="shared" si="7"/>
        <v>CCFNnaDoma</v>
      </c>
    </row>
    <row r="509">
      <c r="AV509" s="0" t="s">
        <v>471</v>
      </c>
      <c r="AW509" s="0" t="s">
        <v>286</v>
      </c>
      <c r="AX509" s="0" t="s">
        <v>502</v>
      </c>
      <c r="AY509" s="0" t="s">
        <v>2073</v>
      </c>
      <c r="AZ509" s="0" t="s">
        <v>2074</v>
      </c>
      <c r="BA509" s="0" t="s">
        <v>285</v>
      </c>
      <c r="BB509" s="0" t="str">
        <f t="shared" si="7"/>
        <v>CCFNnaDoma</v>
      </c>
    </row>
    <row r="510">
      <c r="AV510" s="0" t="s">
        <v>471</v>
      </c>
      <c r="AW510" s="0" t="s">
        <v>286</v>
      </c>
      <c r="AX510" s="0" t="s">
        <v>542</v>
      </c>
      <c r="AY510" s="0" t="s">
        <v>2075</v>
      </c>
      <c r="AZ510" s="0" t="s">
        <v>2076</v>
      </c>
      <c r="BA510" s="0" t="s">
        <v>285</v>
      </c>
      <c r="BB510" s="0" t="str">
        <f t="shared" si="7"/>
        <v>CCFNnaKeffi</v>
      </c>
    </row>
    <row r="511">
      <c r="AV511" s="0" t="s">
        <v>471</v>
      </c>
      <c r="AW511" s="0" t="s">
        <v>286</v>
      </c>
      <c r="AX511" s="0" t="s">
        <v>582</v>
      </c>
      <c r="AY511" s="0" t="s">
        <v>2077</v>
      </c>
      <c r="AZ511" s="0" t="s">
        <v>2078</v>
      </c>
      <c r="BA511" s="0" t="s">
        <v>285</v>
      </c>
      <c r="BB511" s="0" t="str">
        <f t="shared" si="7"/>
        <v>CCFNnaLafia</v>
      </c>
    </row>
    <row r="512">
      <c r="AV512" s="0" t="s">
        <v>471</v>
      </c>
      <c r="AW512" s="0" t="s">
        <v>286</v>
      </c>
      <c r="AX512" s="0" t="s">
        <v>582</v>
      </c>
      <c r="AY512" s="0" t="s">
        <v>2079</v>
      </c>
      <c r="AZ512" s="0" t="s">
        <v>2080</v>
      </c>
      <c r="BA512" s="0" t="s">
        <v>285</v>
      </c>
      <c r="BB512" s="0" t="str">
        <f t="shared" si="7"/>
        <v>CCFNnaLafia</v>
      </c>
    </row>
    <row r="513">
      <c r="AV513" s="0" t="s">
        <v>471</v>
      </c>
      <c r="AW513" s="0" t="s">
        <v>286</v>
      </c>
      <c r="AX513" s="0" t="s">
        <v>620</v>
      </c>
      <c r="AY513" s="0" t="s">
        <v>2081</v>
      </c>
      <c r="AZ513" s="0" t="s">
        <v>2082</v>
      </c>
      <c r="BA513" s="0" t="s">
        <v>285</v>
      </c>
      <c r="BB513" s="0" t="str">
        <f t="shared" si="7"/>
        <v>CCFNnaObi</v>
      </c>
    </row>
    <row r="514">
      <c r="AV514" s="0" t="s">
        <v>471</v>
      </c>
      <c r="AW514" s="0" t="s">
        <v>286</v>
      </c>
      <c r="AX514" s="0" t="s">
        <v>620</v>
      </c>
      <c r="AY514" s="0" t="s">
        <v>2083</v>
      </c>
      <c r="AZ514" s="0" t="s">
        <v>2084</v>
      </c>
      <c r="BA514" s="0" t="s">
        <v>285</v>
      </c>
      <c r="BB514" s="0" t="str">
        <f t="shared" si="7"/>
        <v>CCFNnaObi</v>
      </c>
    </row>
    <row r="515">
      <c r="AV515" s="0" t="s">
        <v>471</v>
      </c>
      <c r="AW515" s="0" t="s">
        <v>286</v>
      </c>
      <c r="AX515" s="0" t="s">
        <v>620</v>
      </c>
      <c r="AY515" s="0" t="s">
        <v>2085</v>
      </c>
      <c r="AZ515" s="0" t="s">
        <v>2086</v>
      </c>
      <c r="BA515" s="0" t="s">
        <v>285</v>
      </c>
      <c r="BB515" s="0" t="str">
        <f ref="BB515:BB578" t="shared" si="8">SUBSTITUTE(SUBSTITUTE(BA515&amp;AX515," ",""),"-","")</f>
        <v>CCFNnaObi</v>
      </c>
    </row>
    <row r="516">
      <c r="AV516" s="0" t="s">
        <v>471</v>
      </c>
      <c r="AW516" s="0" t="s">
        <v>286</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1906</v>
      </c>
      <c r="AZ566" s="0" t="s">
        <v>1907</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532</v>
      </c>
      <c r="AY759" s="0" t="s">
        <v>2571</v>
      </c>
      <c r="AZ759" s="0" t="s">
        <v>2572</v>
      </c>
      <c r="BA759" s="0" t="s">
        <v>595</v>
      </c>
      <c r="BB759" s="0" t="str">
        <f t="shared" si="11"/>
        <v>CIHPgoDukku</v>
      </c>
    </row>
    <row r="760">
      <c r="AV760" s="0" t="s">
        <v>471</v>
      </c>
      <c r="AW760" s="0" t="s">
        <v>403</v>
      </c>
      <c r="AX760" s="0" t="s">
        <v>532</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406</v>
      </c>
      <c r="AX791" s="0" t="s">
        <v>452</v>
      </c>
      <c r="AY791" s="0" t="s">
        <v>2635</v>
      </c>
      <c r="AZ791" s="0" t="s">
        <v>2636</v>
      </c>
      <c r="BA791" s="0" t="s">
        <v>595</v>
      </c>
      <c r="BB791" s="0" t="str">
        <f t="shared" si="12"/>
        <v>CIHPkdChikun</v>
      </c>
    </row>
    <row r="792">
      <c r="AV792" s="0" t="s">
        <v>471</v>
      </c>
      <c r="AW792" s="0" t="s">
        <v>406</v>
      </c>
      <c r="AX792" s="0" t="s">
        <v>452</v>
      </c>
      <c r="AY792" s="0" t="s">
        <v>2637</v>
      </c>
      <c r="AZ792" s="0" t="s">
        <v>2638</v>
      </c>
      <c r="BA792" s="0" t="s">
        <v>595</v>
      </c>
      <c r="BB792" s="0" t="str">
        <f t="shared" si="12"/>
        <v>CIHPkdChikun</v>
      </c>
    </row>
    <row r="793">
      <c r="AV793" s="0" t="s">
        <v>471</v>
      </c>
      <c r="AW793" s="0" t="s">
        <v>406</v>
      </c>
      <c r="AX793" s="0" t="s">
        <v>452</v>
      </c>
      <c r="AY793" s="0" t="s">
        <v>2639</v>
      </c>
      <c r="AZ793" s="0" t="s">
        <v>2640</v>
      </c>
      <c r="BA793" s="0" t="s">
        <v>595</v>
      </c>
      <c r="BB793" s="0" t="str">
        <f t="shared" si="12"/>
        <v>CIHPkdChikun</v>
      </c>
    </row>
    <row r="794">
      <c r="AV794" s="0" t="s">
        <v>471</v>
      </c>
      <c r="AW794" s="0" t="s">
        <v>406</v>
      </c>
      <c r="AX794" s="0" t="s">
        <v>452</v>
      </c>
      <c r="AY794" s="0" t="s">
        <v>2641</v>
      </c>
      <c r="AZ794" s="0" t="s">
        <v>2642</v>
      </c>
      <c r="BA794" s="0" t="s">
        <v>595</v>
      </c>
      <c r="BB794" s="0" t="str">
        <f t="shared" si="12"/>
        <v>CIHPkdChikun</v>
      </c>
    </row>
    <row r="795">
      <c r="AV795" s="0" t="s">
        <v>471</v>
      </c>
      <c r="AW795" s="0" t="s">
        <v>406</v>
      </c>
      <c r="AX795" s="0" t="s">
        <v>452</v>
      </c>
      <c r="AY795" s="0" t="s">
        <v>2643</v>
      </c>
      <c r="AZ795" s="0" t="s">
        <v>2644</v>
      </c>
      <c r="BA795" s="0" t="s">
        <v>595</v>
      </c>
      <c r="BB795" s="0" t="str">
        <f t="shared" si="12"/>
        <v>CIHPkdChikun</v>
      </c>
    </row>
    <row r="796">
      <c r="AV796" s="0" t="s">
        <v>471</v>
      </c>
      <c r="AW796" s="0" t="s">
        <v>406</v>
      </c>
      <c r="AX796" s="0" t="s">
        <v>452</v>
      </c>
      <c r="AY796" s="0" t="s">
        <v>2645</v>
      </c>
      <c r="AZ796" s="0" t="s">
        <v>2646</v>
      </c>
      <c r="BA796" s="0" t="s">
        <v>595</v>
      </c>
      <c r="BB796" s="0" t="str">
        <f t="shared" si="12"/>
        <v>CIHPkdChikun</v>
      </c>
    </row>
    <row r="797">
      <c r="AV797" s="0" t="s">
        <v>471</v>
      </c>
      <c r="AW797" s="0" t="s">
        <v>406</v>
      </c>
      <c r="AX797" s="0" t="s">
        <v>724</v>
      </c>
      <c r="AY797" s="0" t="s">
        <v>2647</v>
      </c>
      <c r="AZ797" s="0" t="s">
        <v>2648</v>
      </c>
      <c r="BA797" s="0" t="s">
        <v>595</v>
      </c>
      <c r="BB797" s="0" t="str">
        <f t="shared" si="12"/>
        <v>CIHPkdIgabi</v>
      </c>
    </row>
    <row r="798">
      <c r="AV798" s="0" t="s">
        <v>471</v>
      </c>
      <c r="AW798" s="0" t="s">
        <v>406</v>
      </c>
      <c r="AX798" s="0" t="s">
        <v>757</v>
      </c>
      <c r="AY798" s="0" t="s">
        <v>2649</v>
      </c>
      <c r="AZ798" s="0" t="s">
        <v>2650</v>
      </c>
      <c r="BA798" s="0" t="s">
        <v>595</v>
      </c>
      <c r="BB798" s="0" t="str">
        <f t="shared" si="12"/>
        <v>CIHPkdJaba</v>
      </c>
    </row>
    <row r="799">
      <c r="AV799" s="0" t="s">
        <v>471</v>
      </c>
      <c r="AW799" s="0" t="s">
        <v>406</v>
      </c>
      <c r="AX799" s="0" t="s">
        <v>757</v>
      </c>
      <c r="AY799" s="0" t="s">
        <v>2651</v>
      </c>
      <c r="AZ799" s="0" t="s">
        <v>2652</v>
      </c>
      <c r="BA799" s="0" t="s">
        <v>595</v>
      </c>
      <c r="BB799" s="0" t="str">
        <f t="shared" si="12"/>
        <v>CIHPkdJaba</v>
      </c>
    </row>
    <row r="800">
      <c r="AV800" s="0" t="s">
        <v>471</v>
      </c>
      <c r="AW800" s="0" t="s">
        <v>406</v>
      </c>
      <c r="AX800" s="0" t="s">
        <v>757</v>
      </c>
      <c r="AY800" s="0" t="s">
        <v>2653</v>
      </c>
      <c r="AZ800" s="0" t="s">
        <v>2654</v>
      </c>
      <c r="BA800" s="0" t="s">
        <v>595</v>
      </c>
      <c r="BB800" s="0" t="str">
        <f t="shared" si="12"/>
        <v>CIHPkdJaba</v>
      </c>
    </row>
    <row r="801">
      <c r="AV801" s="0" t="s">
        <v>471</v>
      </c>
      <c r="AW801" s="0" t="s">
        <v>406</v>
      </c>
      <c r="AX801" s="0" t="s">
        <v>757</v>
      </c>
      <c r="AY801" s="0" t="s">
        <v>2655</v>
      </c>
      <c r="AZ801" s="0" t="s">
        <v>2656</v>
      </c>
      <c r="BA801" s="0" t="s">
        <v>595</v>
      </c>
      <c r="BB801" s="0" t="str">
        <f t="shared" si="12"/>
        <v>CIHPkdJaba</v>
      </c>
    </row>
    <row r="802">
      <c r="AV802" s="0" t="s">
        <v>471</v>
      </c>
      <c r="AW802" s="0" t="s">
        <v>406</v>
      </c>
      <c r="AX802" s="0" t="s">
        <v>757</v>
      </c>
      <c r="AY802" s="0" t="s">
        <v>2657</v>
      </c>
      <c r="AZ802" s="0" t="s">
        <v>2658</v>
      </c>
      <c r="BA802" s="0" t="s">
        <v>595</v>
      </c>
      <c r="BB802" s="0" t="str">
        <f t="shared" si="12"/>
        <v>CIHPkdJaba</v>
      </c>
    </row>
    <row r="803">
      <c r="AV803" s="0" t="s">
        <v>471</v>
      </c>
      <c r="AW803" s="0" t="s">
        <v>406</v>
      </c>
      <c r="AX803" s="0" t="s">
        <v>2030</v>
      </c>
      <c r="AY803" s="0" t="s">
        <v>2659</v>
      </c>
      <c r="AZ803" s="0" t="s">
        <v>2660</v>
      </c>
      <c r="BA803" s="0" t="s">
        <v>595</v>
      </c>
      <c r="BB803" s="0" t="str">
        <f t="shared" si="12"/>
        <v>CIHPkdJemaa</v>
      </c>
    </row>
    <row r="804">
      <c r="AV804" s="0" t="s">
        <v>471</v>
      </c>
      <c r="AW804" s="0" t="s">
        <v>406</v>
      </c>
      <c r="AX804" s="0" t="s">
        <v>2030</v>
      </c>
      <c r="AY804" s="0" t="s">
        <v>2661</v>
      </c>
      <c r="AZ804" s="0" t="s">
        <v>2662</v>
      </c>
      <c r="BA804" s="0" t="s">
        <v>595</v>
      </c>
      <c r="BB804" s="0" t="str">
        <f t="shared" si="12"/>
        <v>CIHPkdJemaa</v>
      </c>
    </row>
    <row r="805">
      <c r="AV805" s="0" t="s">
        <v>471</v>
      </c>
      <c r="AW805" s="0" t="s">
        <v>406</v>
      </c>
      <c r="AX805" s="0" t="s">
        <v>2030</v>
      </c>
      <c r="AY805" s="0" t="s">
        <v>2663</v>
      </c>
      <c r="AZ805" s="0" t="s">
        <v>2664</v>
      </c>
      <c r="BA805" s="0" t="s">
        <v>595</v>
      </c>
      <c r="BB805" s="0" t="str">
        <f t="shared" si="12"/>
        <v>CIHPkdJemaa</v>
      </c>
    </row>
    <row r="806">
      <c r="AV806" s="0" t="s">
        <v>471</v>
      </c>
      <c r="AW806" s="0" t="s">
        <v>406</v>
      </c>
      <c r="AX806" s="0" t="s">
        <v>2030</v>
      </c>
      <c r="AY806" s="0" t="s">
        <v>2665</v>
      </c>
      <c r="AZ806" s="0" t="s">
        <v>2666</v>
      </c>
      <c r="BA806" s="0" t="s">
        <v>595</v>
      </c>
      <c r="BB806" s="0" t="str">
        <f t="shared" si="12"/>
        <v>CIHPkdJemaa</v>
      </c>
    </row>
    <row r="807">
      <c r="AV807" s="0" t="s">
        <v>471</v>
      </c>
      <c r="AW807" s="0" t="s">
        <v>406</v>
      </c>
      <c r="AX807" s="0" t="s">
        <v>2030</v>
      </c>
      <c r="AY807" s="0" t="s">
        <v>2667</v>
      </c>
      <c r="AZ807" s="0" t="s">
        <v>2668</v>
      </c>
      <c r="BA807" s="0" t="s">
        <v>595</v>
      </c>
      <c r="BB807" s="0" t="str">
        <f t="shared" si="12"/>
        <v>CIHPkdJemaa</v>
      </c>
    </row>
    <row r="808">
      <c r="AV808" s="0" t="s">
        <v>471</v>
      </c>
      <c r="AW808" s="0" t="s">
        <v>406</v>
      </c>
      <c r="AX808" s="0" t="s">
        <v>2030</v>
      </c>
      <c r="AY808" s="0" t="s">
        <v>2669</v>
      </c>
      <c r="AZ808" s="0" t="s">
        <v>2670</v>
      </c>
      <c r="BA808" s="0" t="s">
        <v>595</v>
      </c>
      <c r="BB808" s="0" t="str">
        <f t="shared" si="12"/>
        <v>CIHPkdJemaa</v>
      </c>
    </row>
    <row r="809">
      <c r="AV809" s="0" t="s">
        <v>471</v>
      </c>
      <c r="AW809" s="0" t="s">
        <v>406</v>
      </c>
      <c r="AX809" s="0" t="s">
        <v>2030</v>
      </c>
      <c r="AY809" s="0" t="s">
        <v>2671</v>
      </c>
      <c r="AZ809" s="0" t="s">
        <v>2672</v>
      </c>
      <c r="BA809" s="0" t="s">
        <v>595</v>
      </c>
      <c r="BB809" s="0" t="str">
        <f t="shared" si="12"/>
        <v>CIHPkdJemaa</v>
      </c>
    </row>
    <row r="810">
      <c r="AV810" s="0" t="s">
        <v>471</v>
      </c>
      <c r="AW810" s="0" t="s">
        <v>406</v>
      </c>
      <c r="AX810" s="0" t="s">
        <v>2030</v>
      </c>
      <c r="AY810" s="0" t="s">
        <v>2673</v>
      </c>
      <c r="AZ810" s="0" t="s">
        <v>2674</v>
      </c>
      <c r="BA810" s="0" t="s">
        <v>595</v>
      </c>
      <c r="BB810" s="0" t="str">
        <f t="shared" si="12"/>
        <v>CIHPkdJemaa</v>
      </c>
    </row>
    <row r="811">
      <c r="AV811" s="0" t="s">
        <v>471</v>
      </c>
      <c r="AW811" s="0" t="s">
        <v>406</v>
      </c>
      <c r="AX811" s="0" t="s">
        <v>2030</v>
      </c>
      <c r="AY811" s="0" t="s">
        <v>2675</v>
      </c>
      <c r="AZ811" s="0" t="s">
        <v>2676</v>
      </c>
      <c r="BA811" s="0" t="s">
        <v>595</v>
      </c>
      <c r="BB811" s="0" t="str">
        <f t="shared" si="12"/>
        <v>CIHPkdJemaa</v>
      </c>
    </row>
    <row r="812">
      <c r="AV812" s="0" t="s">
        <v>471</v>
      </c>
      <c r="AW812" s="0" t="s">
        <v>406</v>
      </c>
      <c r="AX812" s="0" t="s">
        <v>2030</v>
      </c>
      <c r="AY812" s="0" t="s">
        <v>2677</v>
      </c>
      <c r="AZ812" s="0" t="s">
        <v>2678</v>
      </c>
      <c r="BA812" s="0" t="s">
        <v>595</v>
      </c>
      <c r="BB812" s="0" t="str">
        <f t="shared" si="12"/>
        <v>CIHPkdJemaa</v>
      </c>
    </row>
    <row r="813">
      <c r="AV813" s="0" t="s">
        <v>471</v>
      </c>
      <c r="AW813" s="0" t="s">
        <v>406</v>
      </c>
      <c r="AX813" s="0" t="s">
        <v>789</v>
      </c>
      <c r="AY813" s="0" t="s">
        <v>2679</v>
      </c>
      <c r="AZ813" s="0" t="s">
        <v>2680</v>
      </c>
      <c r="BA813" s="0" t="s">
        <v>595</v>
      </c>
      <c r="BB813" s="0" t="str">
        <f t="shared" si="12"/>
        <v>CIHPkdKachia</v>
      </c>
    </row>
    <row r="814">
      <c r="AV814" s="0" t="s">
        <v>471</v>
      </c>
      <c r="AW814" s="0" t="s">
        <v>406</v>
      </c>
      <c r="AX814" s="0" t="s">
        <v>789</v>
      </c>
      <c r="AY814" s="0" t="s">
        <v>2681</v>
      </c>
      <c r="AZ814" s="0" t="s">
        <v>2682</v>
      </c>
      <c r="BA814" s="0" t="s">
        <v>595</v>
      </c>
      <c r="BB814" s="0" t="str">
        <f t="shared" si="12"/>
        <v>CIHPkdKachia</v>
      </c>
    </row>
    <row r="815">
      <c r="AV815" s="0" t="s">
        <v>471</v>
      </c>
      <c r="AW815" s="0" t="s">
        <v>406</v>
      </c>
      <c r="AX815" s="0" t="s">
        <v>789</v>
      </c>
      <c r="AY815" s="0" t="s">
        <v>2683</v>
      </c>
      <c r="AZ815" s="0" t="s">
        <v>2684</v>
      </c>
      <c r="BA815" s="0" t="s">
        <v>595</v>
      </c>
      <c r="BB815" s="0" t="str">
        <f t="shared" si="12"/>
        <v>CIHPkdKachia</v>
      </c>
    </row>
    <row r="816">
      <c r="AV816" s="0" t="s">
        <v>471</v>
      </c>
      <c r="AW816" s="0" t="s">
        <v>406</v>
      </c>
      <c r="AX816" s="0" t="s">
        <v>819</v>
      </c>
      <c r="AY816" s="0" t="s">
        <v>2685</v>
      </c>
      <c r="AZ816" s="0" t="s">
        <v>2686</v>
      </c>
      <c r="BA816" s="0" t="s">
        <v>595</v>
      </c>
      <c r="BB816" s="0" t="str">
        <f t="shared" si="12"/>
        <v>CIHPkdKadunaNorth</v>
      </c>
    </row>
    <row r="817">
      <c r="AV817" s="0" t="s">
        <v>471</v>
      </c>
      <c r="AW817" s="0" t="s">
        <v>406</v>
      </c>
      <c r="AX817" s="0" t="s">
        <v>819</v>
      </c>
      <c r="AY817" s="0" t="s">
        <v>2687</v>
      </c>
      <c r="AZ817" s="0" t="s">
        <v>2688</v>
      </c>
      <c r="BA817" s="0" t="s">
        <v>595</v>
      </c>
      <c r="BB817" s="0" t="str">
        <f t="shared" si="12"/>
        <v>CIHPkdKadunaNorth</v>
      </c>
    </row>
    <row r="818">
      <c r="AV818" s="0" t="s">
        <v>471</v>
      </c>
      <c r="AW818" s="0" t="s">
        <v>406</v>
      </c>
      <c r="AX818" s="0" t="s">
        <v>819</v>
      </c>
      <c r="AY818" s="0" t="s">
        <v>2689</v>
      </c>
      <c r="AZ818" s="0" t="s">
        <v>2690</v>
      </c>
      <c r="BA818" s="0" t="s">
        <v>595</v>
      </c>
      <c r="BB818" s="0" t="str">
        <f t="shared" si="12"/>
        <v>CIHPkdKadunaNorth</v>
      </c>
    </row>
    <row r="819">
      <c r="AV819" s="0" t="s">
        <v>471</v>
      </c>
      <c r="AW819" s="0" t="s">
        <v>406</v>
      </c>
      <c r="AX819" s="0" t="s">
        <v>819</v>
      </c>
      <c r="AY819" s="0" t="s">
        <v>2691</v>
      </c>
      <c r="AZ819" s="0" t="s">
        <v>2692</v>
      </c>
      <c r="BA819" s="0" t="s">
        <v>595</v>
      </c>
      <c r="BB819" s="0" t="str">
        <f t="shared" si="12"/>
        <v>CIHPkdKadunaNorth</v>
      </c>
    </row>
    <row r="820">
      <c r="AV820" s="0" t="s">
        <v>471</v>
      </c>
      <c r="AW820" s="0" t="s">
        <v>406</v>
      </c>
      <c r="AX820" s="0" t="s">
        <v>819</v>
      </c>
      <c r="AY820" s="0" t="s">
        <v>2693</v>
      </c>
      <c r="AZ820" s="0" t="s">
        <v>2694</v>
      </c>
      <c r="BA820" s="0" t="s">
        <v>595</v>
      </c>
      <c r="BB820" s="0" t="str">
        <f t="shared" si="12"/>
        <v>CIHPkdKadunaNorth</v>
      </c>
    </row>
    <row r="821">
      <c r="AV821" s="0" t="s">
        <v>471</v>
      </c>
      <c r="AW821" s="0" t="s">
        <v>406</v>
      </c>
      <c r="AX821" s="0" t="s">
        <v>819</v>
      </c>
      <c r="AY821" s="0" t="s">
        <v>2695</v>
      </c>
      <c r="AZ821" s="0" t="s">
        <v>2696</v>
      </c>
      <c r="BA821" s="0" t="s">
        <v>595</v>
      </c>
      <c r="BB821" s="0" t="str">
        <f t="shared" si="12"/>
        <v>CIHPkdKadunaNorth</v>
      </c>
    </row>
    <row r="822">
      <c r="AV822" s="0" t="s">
        <v>471</v>
      </c>
      <c r="AW822" s="0" t="s">
        <v>406</v>
      </c>
      <c r="AX822" s="0" t="s">
        <v>819</v>
      </c>
      <c r="AY822" s="0" t="s">
        <v>2697</v>
      </c>
      <c r="AZ822" s="0" t="s">
        <v>2698</v>
      </c>
      <c r="BA822" s="0" t="s">
        <v>595</v>
      </c>
      <c r="BB822" s="0" t="str">
        <f t="shared" si="12"/>
        <v>CIHPkdKadunaNorth</v>
      </c>
    </row>
    <row r="823">
      <c r="AV823" s="0" t="s">
        <v>471</v>
      </c>
      <c r="AW823" s="0" t="s">
        <v>406</v>
      </c>
      <c r="AX823" s="0" t="s">
        <v>819</v>
      </c>
      <c r="AY823" s="0" t="s">
        <v>2699</v>
      </c>
      <c r="AZ823" s="0" t="s">
        <v>2700</v>
      </c>
      <c r="BA823" s="0" t="s">
        <v>595</v>
      </c>
      <c r="BB823" s="0" t="str">
        <f t="shared" si="12"/>
        <v>CIHPkdKadunaNorth</v>
      </c>
    </row>
    <row r="824">
      <c r="AV824" s="0" t="s">
        <v>471</v>
      </c>
      <c r="AW824" s="0" t="s">
        <v>406</v>
      </c>
      <c r="AX824" s="0" t="s">
        <v>535</v>
      </c>
      <c r="AY824" s="0" t="s">
        <v>2701</v>
      </c>
      <c r="AZ824" s="0" t="s">
        <v>2702</v>
      </c>
      <c r="BA824" s="0" t="s">
        <v>595</v>
      </c>
      <c r="BB824" s="0" t="str">
        <f t="shared" si="12"/>
        <v>CIHPkdKadunaSouth</v>
      </c>
    </row>
    <row r="825">
      <c r="AV825" s="0" t="s">
        <v>471</v>
      </c>
      <c r="AW825" s="0" t="s">
        <v>406</v>
      </c>
      <c r="AX825" s="0" t="s">
        <v>535</v>
      </c>
      <c r="AY825" s="0" t="s">
        <v>2703</v>
      </c>
      <c r="AZ825" s="0" t="s">
        <v>2704</v>
      </c>
      <c r="BA825" s="0" t="s">
        <v>595</v>
      </c>
      <c r="BB825" s="0" t="str">
        <f t="shared" si="12"/>
        <v>CIHPkdKadunaSouth</v>
      </c>
    </row>
    <row r="826">
      <c r="AV826" s="0" t="s">
        <v>471</v>
      </c>
      <c r="AW826" s="0" t="s">
        <v>406</v>
      </c>
      <c r="AX826" s="0" t="s">
        <v>535</v>
      </c>
      <c r="AY826" s="0" t="s">
        <v>2705</v>
      </c>
      <c r="AZ826" s="0" t="s">
        <v>2706</v>
      </c>
      <c r="BA826" s="0" t="s">
        <v>595</v>
      </c>
      <c r="BB826" s="0" t="str">
        <f t="shared" si="12"/>
        <v>CIHPkdKadunaSouth</v>
      </c>
    </row>
    <row r="827">
      <c r="AV827" s="0" t="s">
        <v>471</v>
      </c>
      <c r="AW827" s="0" t="s">
        <v>406</v>
      </c>
      <c r="AX827" s="0" t="s">
        <v>535</v>
      </c>
      <c r="AY827" s="0" t="s">
        <v>2707</v>
      </c>
      <c r="AZ827" s="0" t="s">
        <v>2708</v>
      </c>
      <c r="BA827" s="0" t="s">
        <v>595</v>
      </c>
      <c r="BB827" s="0" t="str">
        <f t="shared" si="12"/>
        <v>CIHPkdKadunaSouth</v>
      </c>
    </row>
    <row r="828">
      <c r="AV828" s="0" t="s">
        <v>471</v>
      </c>
      <c r="AW828" s="0" t="s">
        <v>406</v>
      </c>
      <c r="AX828" s="0" t="s">
        <v>535</v>
      </c>
      <c r="AY828" s="0" t="s">
        <v>2709</v>
      </c>
      <c r="AZ828" s="0" t="s">
        <v>2710</v>
      </c>
      <c r="BA828" s="0" t="s">
        <v>595</v>
      </c>
      <c r="BB828" s="0" t="str">
        <f t="shared" si="12"/>
        <v>CIHPkdKadunaSouth</v>
      </c>
    </row>
    <row r="829">
      <c r="AV829" s="0" t="s">
        <v>471</v>
      </c>
      <c r="AW829" s="0" t="s">
        <v>406</v>
      </c>
      <c r="AX829" s="0" t="s">
        <v>535</v>
      </c>
      <c r="AY829" s="0" t="s">
        <v>2711</v>
      </c>
      <c r="AZ829" s="0" t="s">
        <v>2712</v>
      </c>
      <c r="BA829" s="0" t="s">
        <v>595</v>
      </c>
      <c r="BB829" s="0" t="str">
        <f t="shared" si="12"/>
        <v>CIHPkdKadunaSouth</v>
      </c>
    </row>
    <row r="830">
      <c r="AV830" s="0" t="s">
        <v>471</v>
      </c>
      <c r="AW830" s="0" t="s">
        <v>406</v>
      </c>
      <c r="AX830" s="0" t="s">
        <v>535</v>
      </c>
      <c r="AY830" s="0" t="s">
        <v>2713</v>
      </c>
      <c r="AZ830" s="0" t="s">
        <v>2714</v>
      </c>
      <c r="BA830" s="0" t="s">
        <v>595</v>
      </c>
      <c r="BB830" s="0" t="str">
        <f t="shared" si="12"/>
        <v>CIHPkdKadunaSouth</v>
      </c>
    </row>
    <row r="831">
      <c r="AV831" s="0" t="s">
        <v>471</v>
      </c>
      <c r="AW831" s="0" t="s">
        <v>406</v>
      </c>
      <c r="AX831" s="0" t="s">
        <v>535</v>
      </c>
      <c r="AY831" s="0" t="s">
        <v>2715</v>
      </c>
      <c r="AZ831" s="0" t="s">
        <v>2716</v>
      </c>
      <c r="BA831" s="0" t="s">
        <v>595</v>
      </c>
      <c r="BB831" s="0" t="str">
        <f t="shared" si="12"/>
        <v>CIHPkdKadunaSouth</v>
      </c>
    </row>
    <row r="832">
      <c r="AV832" s="0" t="s">
        <v>471</v>
      </c>
      <c r="AW832" s="0" t="s">
        <v>406</v>
      </c>
      <c r="AX832" s="0" t="s">
        <v>535</v>
      </c>
      <c r="AY832" s="0" t="s">
        <v>2717</v>
      </c>
      <c r="AZ832" s="0" t="s">
        <v>2718</v>
      </c>
      <c r="BA832" s="0" t="s">
        <v>595</v>
      </c>
      <c r="BB832" s="0" t="str">
        <f t="shared" si="12"/>
        <v>CIHPkdKadunaSouth</v>
      </c>
    </row>
    <row r="833">
      <c r="AV833" s="0" t="s">
        <v>471</v>
      </c>
      <c r="AW833" s="0" t="s">
        <v>406</v>
      </c>
      <c r="AX833" s="0" t="s">
        <v>535</v>
      </c>
      <c r="AY833" s="0" t="s">
        <v>2719</v>
      </c>
      <c r="AZ833" s="0" t="s">
        <v>2720</v>
      </c>
      <c r="BA833" s="0" t="s">
        <v>595</v>
      </c>
      <c r="BB833" s="0" t="str">
        <f t="shared" si="12"/>
        <v>CIHPkdKadunaSouth</v>
      </c>
    </row>
    <row r="834">
      <c r="AV834" s="0" t="s">
        <v>471</v>
      </c>
      <c r="AW834" s="0" t="s">
        <v>406</v>
      </c>
      <c r="AX834" s="0" t="s">
        <v>535</v>
      </c>
      <c r="AY834" s="0" t="s">
        <v>2721</v>
      </c>
      <c r="AZ834" s="0" t="s">
        <v>2722</v>
      </c>
      <c r="BA834" s="0" t="s">
        <v>595</v>
      </c>
      <c r="BB834" s="0" t="str">
        <f t="shared" si="12"/>
        <v>CIHPkdKadunaSouth</v>
      </c>
    </row>
    <row r="835">
      <c r="AV835" s="0" t="s">
        <v>471</v>
      </c>
      <c r="AW835" s="0" t="s">
        <v>406</v>
      </c>
      <c r="AX835" s="0" t="s">
        <v>535</v>
      </c>
      <c r="AY835" s="0" t="s">
        <v>2723</v>
      </c>
      <c r="AZ835" s="0" t="s">
        <v>2724</v>
      </c>
      <c r="BA835" s="0" t="s">
        <v>595</v>
      </c>
      <c r="BB835" s="0" t="str">
        <f ref="BB835:BB898" t="shared" si="13">SUBSTITUTE(SUBSTITUTE(BA835&amp;AX835," ",""),"-","")</f>
        <v>CIHPkdKadunaSouth</v>
      </c>
    </row>
    <row r="836">
      <c r="AV836" s="0" t="s">
        <v>471</v>
      </c>
      <c r="AW836" s="0" t="s">
        <v>406</v>
      </c>
      <c r="AX836" s="0" t="s">
        <v>535</v>
      </c>
      <c r="AY836" s="0" t="s">
        <v>2725</v>
      </c>
      <c r="AZ836" s="0" t="s">
        <v>2726</v>
      </c>
      <c r="BA836" s="0" t="s">
        <v>595</v>
      </c>
      <c r="BB836" s="0" t="str">
        <f t="shared" si="13"/>
        <v>CIHPkdKadunaSouth</v>
      </c>
    </row>
    <row r="837">
      <c r="AV837" s="0" t="s">
        <v>471</v>
      </c>
      <c r="AW837" s="0" t="s">
        <v>406</v>
      </c>
      <c r="AX837" s="0" t="s">
        <v>847</v>
      </c>
      <c r="AY837" s="0" t="s">
        <v>2727</v>
      </c>
      <c r="AZ837" s="0" t="s">
        <v>2728</v>
      </c>
      <c r="BA837" s="0" t="s">
        <v>595</v>
      </c>
      <c r="BB837" s="0" t="str">
        <f t="shared" si="13"/>
        <v>CIHPkdKagarko</v>
      </c>
    </row>
    <row r="838">
      <c r="AV838" s="0" t="s">
        <v>471</v>
      </c>
      <c r="AW838" s="0" t="s">
        <v>406</v>
      </c>
      <c r="AX838" s="0" t="s">
        <v>847</v>
      </c>
      <c r="AY838" s="0" t="s">
        <v>2729</v>
      </c>
      <c r="AZ838" s="0" t="s">
        <v>2730</v>
      </c>
      <c r="BA838" s="0" t="s">
        <v>595</v>
      </c>
      <c r="BB838" s="0" t="str">
        <f t="shared" si="13"/>
        <v>CIHPkdKagarko</v>
      </c>
    </row>
    <row r="839">
      <c r="AV839" s="0" t="s">
        <v>471</v>
      </c>
      <c r="AW839" s="0" t="s">
        <v>406</v>
      </c>
      <c r="AX839" s="0" t="s">
        <v>875</v>
      </c>
      <c r="AY839" s="0" t="s">
        <v>2731</v>
      </c>
      <c r="AZ839" s="0" t="s">
        <v>2732</v>
      </c>
      <c r="BA839" s="0" t="s">
        <v>595</v>
      </c>
      <c r="BB839" s="0" t="str">
        <f t="shared" si="13"/>
        <v>CIHPkdKajuru</v>
      </c>
    </row>
    <row r="840">
      <c r="AV840" s="0" t="s">
        <v>471</v>
      </c>
      <c r="AW840" s="0" t="s">
        <v>406</v>
      </c>
      <c r="AX840" s="0" t="s">
        <v>900</v>
      </c>
      <c r="AY840" s="0" t="s">
        <v>2733</v>
      </c>
      <c r="AZ840" s="0" t="s">
        <v>2734</v>
      </c>
      <c r="BA840" s="0" t="s">
        <v>595</v>
      </c>
      <c r="BB840" s="0" t="str">
        <f t="shared" si="13"/>
        <v>CIHPkdKaura</v>
      </c>
    </row>
    <row r="841">
      <c r="AV841" s="0" t="s">
        <v>471</v>
      </c>
      <c r="AW841" s="0" t="s">
        <v>406</v>
      </c>
      <c r="AX841" s="0" t="s">
        <v>900</v>
      </c>
      <c r="AY841" s="0" t="s">
        <v>2735</v>
      </c>
      <c r="AZ841" s="0" t="s">
        <v>2736</v>
      </c>
      <c r="BA841" s="0" t="s">
        <v>595</v>
      </c>
      <c r="BB841" s="0" t="str">
        <f t="shared" si="13"/>
        <v>CIHPkdKaura</v>
      </c>
    </row>
    <row r="842">
      <c r="AV842" s="0" t="s">
        <v>471</v>
      </c>
      <c r="AW842" s="0" t="s">
        <v>406</v>
      </c>
      <c r="AX842" s="0" t="s">
        <v>900</v>
      </c>
      <c r="AY842" s="0" t="s">
        <v>2737</v>
      </c>
      <c r="AZ842" s="0" t="s">
        <v>2738</v>
      </c>
      <c r="BA842" s="0" t="s">
        <v>595</v>
      </c>
      <c r="BB842" s="0" t="str">
        <f t="shared" si="13"/>
        <v>CIHPkdKaura</v>
      </c>
    </row>
    <row r="843">
      <c r="AV843" s="0" t="s">
        <v>471</v>
      </c>
      <c r="AW843" s="0" t="s">
        <v>406</v>
      </c>
      <c r="AX843" s="0" t="s">
        <v>900</v>
      </c>
      <c r="AY843" s="0" t="s">
        <v>2739</v>
      </c>
      <c r="AZ843" s="0" t="s">
        <v>2740</v>
      </c>
      <c r="BA843" s="0" t="s">
        <v>595</v>
      </c>
      <c r="BB843" s="0" t="str">
        <f t="shared" si="13"/>
        <v>CIHPkdKaura</v>
      </c>
    </row>
    <row r="844">
      <c r="AV844" s="0" t="s">
        <v>471</v>
      </c>
      <c r="AW844" s="0" t="s">
        <v>406</v>
      </c>
      <c r="AX844" s="0" t="s">
        <v>900</v>
      </c>
      <c r="AY844" s="0" t="s">
        <v>2741</v>
      </c>
      <c r="AZ844" s="0" t="s">
        <v>2742</v>
      </c>
      <c r="BA844" s="0" t="s">
        <v>595</v>
      </c>
      <c r="BB844" s="0" t="str">
        <f t="shared" si="13"/>
        <v>CIHPkdKaura</v>
      </c>
    </row>
    <row r="845">
      <c r="AV845" s="0" t="s">
        <v>471</v>
      </c>
      <c r="AW845" s="0" t="s">
        <v>406</v>
      </c>
      <c r="AX845" s="0" t="s">
        <v>576</v>
      </c>
      <c r="AY845" s="0" t="s">
        <v>2743</v>
      </c>
      <c r="AZ845" s="0" t="s">
        <v>2744</v>
      </c>
      <c r="BA845" s="0" t="s">
        <v>595</v>
      </c>
      <c r="BB845" s="0" t="str">
        <f t="shared" si="13"/>
        <v>CIHPkdKubau</v>
      </c>
    </row>
    <row r="846">
      <c r="AV846" s="0" t="s">
        <v>471</v>
      </c>
      <c r="AW846" s="0" t="s">
        <v>406</v>
      </c>
      <c r="AX846" s="0" t="s">
        <v>653</v>
      </c>
      <c r="AY846" s="0" t="s">
        <v>2745</v>
      </c>
      <c r="AZ846" s="0" t="s">
        <v>2746</v>
      </c>
      <c r="BA846" s="0" t="s">
        <v>595</v>
      </c>
      <c r="BB846" s="0" t="str">
        <f t="shared" si="13"/>
        <v>CIHPkdSanga</v>
      </c>
    </row>
    <row r="847">
      <c r="AV847" s="0" t="s">
        <v>471</v>
      </c>
      <c r="AW847" s="0" t="s">
        <v>406</v>
      </c>
      <c r="AX847" s="0" t="s">
        <v>653</v>
      </c>
      <c r="AY847" s="0" t="s">
        <v>2747</v>
      </c>
      <c r="AZ847" s="0" t="s">
        <v>2748</v>
      </c>
      <c r="BA847" s="0" t="s">
        <v>595</v>
      </c>
      <c r="BB847" s="0" t="str">
        <f t="shared" si="13"/>
        <v>CIHPkdSanga</v>
      </c>
    </row>
    <row r="848">
      <c r="AV848" s="0" t="s">
        <v>471</v>
      </c>
      <c r="AW848" s="0" t="s">
        <v>406</v>
      </c>
      <c r="AX848" s="0" t="s">
        <v>653</v>
      </c>
      <c r="AY848" s="0" t="s">
        <v>2749</v>
      </c>
      <c r="AZ848" s="0" t="s">
        <v>2750</v>
      </c>
      <c r="BA848" s="0" t="s">
        <v>595</v>
      </c>
      <c r="BB848" s="0" t="str">
        <f t="shared" si="13"/>
        <v>CIHPkdSanga</v>
      </c>
    </row>
    <row r="849">
      <c r="AV849" s="0" t="s">
        <v>471</v>
      </c>
      <c r="AW849" s="0" t="s">
        <v>406</v>
      </c>
      <c r="AX849" s="0" t="s">
        <v>653</v>
      </c>
      <c r="AY849" s="0" t="s">
        <v>2751</v>
      </c>
      <c r="AZ849" s="0" t="s">
        <v>2752</v>
      </c>
      <c r="BA849" s="0" t="s">
        <v>595</v>
      </c>
      <c r="BB849" s="0" t="str">
        <f t="shared" si="13"/>
        <v>CIHPkdSanga</v>
      </c>
    </row>
    <row r="850">
      <c r="AV850" s="0" t="s">
        <v>471</v>
      </c>
      <c r="AW850" s="0" t="s">
        <v>406</v>
      </c>
      <c r="AX850" s="0" t="s">
        <v>653</v>
      </c>
      <c r="AY850" s="0" t="s">
        <v>2753</v>
      </c>
      <c r="AZ850" s="0" t="s">
        <v>2754</v>
      </c>
      <c r="BA850" s="0" t="s">
        <v>595</v>
      </c>
      <c r="BB850" s="0" t="str">
        <f t="shared" si="13"/>
        <v>CIHPkdSanga</v>
      </c>
    </row>
    <row r="851">
      <c r="AV851" s="0" t="s">
        <v>471</v>
      </c>
      <c r="AW851" s="0" t="s">
        <v>406</v>
      </c>
      <c r="AX851" s="0" t="s">
        <v>653</v>
      </c>
      <c r="AY851" s="0" t="s">
        <v>2755</v>
      </c>
      <c r="AZ851" s="0" t="s">
        <v>2756</v>
      </c>
      <c r="BA851" s="0" t="s">
        <v>595</v>
      </c>
      <c r="BB851" s="0" t="str">
        <f t="shared" si="13"/>
        <v>CIHPkdSanga</v>
      </c>
    </row>
    <row r="852">
      <c r="AV852" s="0" t="s">
        <v>471</v>
      </c>
      <c r="AW852" s="0" t="s">
        <v>406</v>
      </c>
      <c r="AX852" s="0" t="s">
        <v>653</v>
      </c>
      <c r="AY852" s="0" t="s">
        <v>2757</v>
      </c>
      <c r="AZ852" s="0" t="s">
        <v>2758</v>
      </c>
      <c r="BA852" s="0" t="s">
        <v>595</v>
      </c>
      <c r="BB852" s="0" t="str">
        <f t="shared" si="13"/>
        <v>CIHPkdSanga</v>
      </c>
    </row>
    <row r="853">
      <c r="AV853" s="0" t="s">
        <v>471</v>
      </c>
      <c r="AW853" s="0" t="s">
        <v>406</v>
      </c>
      <c r="AX853" s="0" t="s">
        <v>653</v>
      </c>
      <c r="AY853" s="0" t="s">
        <v>2759</v>
      </c>
      <c r="AZ853" s="0" t="s">
        <v>2760</v>
      </c>
      <c r="BA853" s="0" t="s">
        <v>595</v>
      </c>
      <c r="BB853" s="0" t="str">
        <f t="shared" si="13"/>
        <v>CIHPkdSanga</v>
      </c>
    </row>
    <row r="854">
      <c r="AV854" s="0" t="s">
        <v>471</v>
      </c>
      <c r="AW854" s="0" t="s">
        <v>406</v>
      </c>
      <c r="AX854" s="0" t="s">
        <v>925</v>
      </c>
      <c r="AY854" s="0" t="s">
        <v>2761</v>
      </c>
      <c r="AZ854" s="0" t="s">
        <v>2762</v>
      </c>
      <c r="BA854" s="0" t="s">
        <v>595</v>
      </c>
      <c r="BB854" s="0" t="str">
        <f t="shared" si="13"/>
        <v>CIHPkdSoba</v>
      </c>
    </row>
    <row r="855">
      <c r="AV855" s="0" t="s">
        <v>471</v>
      </c>
      <c r="AW855" s="0" t="s">
        <v>406</v>
      </c>
      <c r="AX855" s="0" t="s">
        <v>689</v>
      </c>
      <c r="AY855" s="0" t="s">
        <v>2763</v>
      </c>
      <c r="AZ855" s="0" t="s">
        <v>2764</v>
      </c>
      <c r="BA855" s="0" t="s">
        <v>595</v>
      </c>
      <c r="BB855" s="0" t="str">
        <f t="shared" si="13"/>
        <v>CIHPkdZangoKataf</v>
      </c>
    </row>
    <row r="856">
      <c r="AV856" s="0" t="s">
        <v>471</v>
      </c>
      <c r="AW856" s="0" t="s">
        <v>406</v>
      </c>
      <c r="AX856" s="0" t="s">
        <v>949</v>
      </c>
      <c r="AY856" s="0" t="s">
        <v>2765</v>
      </c>
      <c r="AZ856" s="0" t="s">
        <v>2766</v>
      </c>
      <c r="BA856" s="0" t="s">
        <v>595</v>
      </c>
      <c r="BB856" s="0" t="str">
        <f t="shared" si="13"/>
        <v>CIHPkdZaria</v>
      </c>
    </row>
    <row r="857">
      <c r="AV857" s="0" t="s">
        <v>471</v>
      </c>
      <c r="AW857" s="0" t="s">
        <v>406</v>
      </c>
      <c r="AX857" s="0" t="s">
        <v>949</v>
      </c>
      <c r="AY857" s="0" t="s">
        <v>2767</v>
      </c>
      <c r="AZ857" s="0" t="s">
        <v>2768</v>
      </c>
      <c r="BA857" s="0" t="s">
        <v>595</v>
      </c>
      <c r="BB857" s="0" t="str">
        <f t="shared" si="13"/>
        <v>CIHPkdZaria</v>
      </c>
    </row>
    <row r="858">
      <c r="AV858" s="0" t="s">
        <v>471</v>
      </c>
      <c r="AW858" s="0" t="s">
        <v>406</v>
      </c>
      <c r="AX858" s="0" t="s">
        <v>949</v>
      </c>
      <c r="AY858" s="0" t="s">
        <v>2769</v>
      </c>
      <c r="AZ858" s="0" t="s">
        <v>2770</v>
      </c>
      <c r="BA858" s="0" t="s">
        <v>595</v>
      </c>
      <c r="BB858" s="0" t="str">
        <f t="shared" si="13"/>
        <v>CIHPkdZaria</v>
      </c>
    </row>
    <row r="859">
      <c r="AV859" s="0" t="s">
        <v>471</v>
      </c>
      <c r="AW859" s="0" t="s">
        <v>410</v>
      </c>
      <c r="AX859" s="0" t="s">
        <v>1444</v>
      </c>
      <c r="AY859" s="0" t="s">
        <v>2771</v>
      </c>
      <c r="AZ859" s="0" t="s">
        <v>2772</v>
      </c>
      <c r="BA859" s="0" t="s">
        <v>595</v>
      </c>
      <c r="BB859" s="0" t="str">
        <f t="shared" si="13"/>
        <v>CIHPkoAdavi</v>
      </c>
    </row>
    <row r="860">
      <c r="AV860" s="0" t="s">
        <v>471</v>
      </c>
      <c r="AW860" s="0" t="s">
        <v>410</v>
      </c>
      <c r="AX860" s="0" t="s">
        <v>1444</v>
      </c>
      <c r="AY860" s="0" t="s">
        <v>2773</v>
      </c>
      <c r="AZ860" s="0" t="s">
        <v>2774</v>
      </c>
      <c r="BA860" s="0" t="s">
        <v>595</v>
      </c>
      <c r="BB860" s="0" t="str">
        <f t="shared" si="13"/>
        <v>CIHPkoAdavi</v>
      </c>
    </row>
    <row r="861">
      <c r="AV861" s="0" t="s">
        <v>471</v>
      </c>
      <c r="AW861" s="0" t="s">
        <v>410</v>
      </c>
      <c r="AX861" s="0" t="s">
        <v>617</v>
      </c>
      <c r="AY861" s="0" t="s">
        <v>2775</v>
      </c>
      <c r="AZ861" s="0" t="s">
        <v>2776</v>
      </c>
      <c r="BA861" s="0" t="s">
        <v>595</v>
      </c>
      <c r="BB861" s="0" t="str">
        <f t="shared" si="13"/>
        <v>CIHPkoAjaokuta</v>
      </c>
    </row>
    <row r="862">
      <c r="AV862" s="0" t="s">
        <v>471</v>
      </c>
      <c r="AW862" s="0" t="s">
        <v>410</v>
      </c>
      <c r="AX862" s="0" t="s">
        <v>655</v>
      </c>
      <c r="AY862" s="0" t="s">
        <v>2777</v>
      </c>
      <c r="AZ862" s="0" t="s">
        <v>2778</v>
      </c>
      <c r="BA862" s="0" t="s">
        <v>595</v>
      </c>
      <c r="BB862" s="0" t="str">
        <f t="shared" si="13"/>
        <v>CIHPkoAnkpa</v>
      </c>
    </row>
    <row r="863">
      <c r="AV863" s="0" t="s">
        <v>471</v>
      </c>
      <c r="AW863" s="0" t="s">
        <v>410</v>
      </c>
      <c r="AX863" s="0" t="s">
        <v>655</v>
      </c>
      <c r="AY863" s="0" t="s">
        <v>2779</v>
      </c>
      <c r="AZ863" s="0" t="s">
        <v>2780</v>
      </c>
      <c r="BA863" s="0" t="s">
        <v>595</v>
      </c>
      <c r="BB863" s="0" t="str">
        <f t="shared" si="13"/>
        <v>CIHPkoAnkpa</v>
      </c>
    </row>
    <row r="864">
      <c r="AV864" s="0" t="s">
        <v>471</v>
      </c>
      <c r="AW864" s="0" t="s">
        <v>410</v>
      </c>
      <c r="AX864" s="0" t="s">
        <v>655</v>
      </c>
      <c r="AY864" s="0" t="s">
        <v>2781</v>
      </c>
      <c r="AZ864" s="0" t="s">
        <v>2782</v>
      </c>
      <c r="BA864" s="0" t="s">
        <v>595</v>
      </c>
      <c r="BB864" s="0" t="str">
        <f t="shared" si="13"/>
        <v>CIHPkoAnkpa</v>
      </c>
    </row>
    <row r="865">
      <c r="AV865" s="0" t="s">
        <v>471</v>
      </c>
      <c r="AW865" s="0" t="s">
        <v>410</v>
      </c>
      <c r="AX865" s="0" t="s">
        <v>655</v>
      </c>
      <c r="AY865" s="0" t="s">
        <v>2783</v>
      </c>
      <c r="AZ865" s="0" t="s">
        <v>2784</v>
      </c>
      <c r="BA865" s="0" t="s">
        <v>595</v>
      </c>
      <c r="BB865" s="0" t="str">
        <f t="shared" si="13"/>
        <v>CIHPkoAnkpa</v>
      </c>
    </row>
    <row r="866">
      <c r="AV866" s="0" t="s">
        <v>471</v>
      </c>
      <c r="AW866" s="0" t="s">
        <v>410</v>
      </c>
      <c r="AX866" s="0" t="s">
        <v>655</v>
      </c>
      <c r="AY866" s="0" t="s">
        <v>2785</v>
      </c>
      <c r="AZ866" s="0" t="s">
        <v>2786</v>
      </c>
      <c r="BA866" s="0" t="s">
        <v>595</v>
      </c>
      <c r="BB866" s="0" t="str">
        <f t="shared" si="13"/>
        <v>CIHPkoAnkpa</v>
      </c>
    </row>
    <row r="867">
      <c r="AV867" s="0" t="s">
        <v>471</v>
      </c>
      <c r="AW867" s="0" t="s">
        <v>410</v>
      </c>
      <c r="AX867" s="0" t="s">
        <v>655</v>
      </c>
      <c r="AY867" s="0" t="s">
        <v>2787</v>
      </c>
      <c r="AZ867" s="0" t="s">
        <v>2788</v>
      </c>
      <c r="BA867" s="0" t="s">
        <v>595</v>
      </c>
      <c r="BB867" s="0" t="str">
        <f t="shared" si="13"/>
        <v>CIHPkoAnkpa</v>
      </c>
    </row>
    <row r="868">
      <c r="AV868" s="0" t="s">
        <v>471</v>
      </c>
      <c r="AW868" s="0" t="s">
        <v>410</v>
      </c>
      <c r="AX868" s="0" t="s">
        <v>655</v>
      </c>
      <c r="AY868" s="0" t="s">
        <v>2789</v>
      </c>
      <c r="AZ868" s="0" t="s">
        <v>2790</v>
      </c>
      <c r="BA868" s="0" t="s">
        <v>595</v>
      </c>
      <c r="BB868" s="0" t="str">
        <f t="shared" si="13"/>
        <v>CIHPkoAnkpa</v>
      </c>
    </row>
    <row r="869">
      <c r="AV869" s="0" t="s">
        <v>471</v>
      </c>
      <c r="AW869" s="0" t="s">
        <v>410</v>
      </c>
      <c r="AX869" s="0" t="s">
        <v>1303</v>
      </c>
      <c r="AY869" s="0" t="s">
        <v>2791</v>
      </c>
      <c r="AZ869" s="0" t="s">
        <v>2792</v>
      </c>
      <c r="BA869" s="0" t="s">
        <v>595</v>
      </c>
      <c r="BB869" s="0" t="str">
        <f t="shared" si="13"/>
        <v>CIHPkoDekina</v>
      </c>
    </row>
    <row r="870">
      <c r="AV870" s="0" t="s">
        <v>471</v>
      </c>
      <c r="AW870" s="0" t="s">
        <v>410</v>
      </c>
      <c r="AX870" s="0" t="s">
        <v>1303</v>
      </c>
      <c r="AY870" s="0" t="s">
        <v>2793</v>
      </c>
      <c r="AZ870" s="0" t="s">
        <v>2794</v>
      </c>
      <c r="BA870" s="0" t="s">
        <v>595</v>
      </c>
      <c r="BB870" s="0" t="str">
        <f t="shared" si="13"/>
        <v>CIHPkoDekina</v>
      </c>
    </row>
    <row r="871">
      <c r="AV871" s="0" t="s">
        <v>471</v>
      </c>
      <c r="AW871" s="0" t="s">
        <v>410</v>
      </c>
      <c r="AX871" s="0" t="s">
        <v>1303</v>
      </c>
      <c r="AY871" s="0" t="s">
        <v>2795</v>
      </c>
      <c r="AZ871" s="0" t="s">
        <v>2796</v>
      </c>
      <c r="BA871" s="0" t="s">
        <v>595</v>
      </c>
      <c r="BB871" s="0" t="str">
        <f t="shared" si="13"/>
        <v>CIHPkoDekina</v>
      </c>
    </row>
    <row r="872">
      <c r="AV872" s="0" t="s">
        <v>471</v>
      </c>
      <c r="AW872" s="0" t="s">
        <v>410</v>
      </c>
      <c r="AX872" s="0" t="s">
        <v>1303</v>
      </c>
      <c r="AY872" s="0" t="s">
        <v>2797</v>
      </c>
      <c r="AZ872" s="0" t="s">
        <v>2798</v>
      </c>
      <c r="BA872" s="0" t="s">
        <v>595</v>
      </c>
      <c r="BB872" s="0" t="str">
        <f t="shared" si="13"/>
        <v>CIHPkoDekina</v>
      </c>
    </row>
    <row r="873">
      <c r="AV873" s="0" t="s">
        <v>471</v>
      </c>
      <c r="AW873" s="0" t="s">
        <v>410</v>
      </c>
      <c r="AX873" s="0" t="s">
        <v>691</v>
      </c>
      <c r="AY873" s="0" t="s">
        <v>2799</v>
      </c>
      <c r="AZ873" s="0" t="s">
        <v>2800</v>
      </c>
      <c r="BA873" s="0" t="s">
        <v>595</v>
      </c>
      <c r="BB873" s="0" t="str">
        <f t="shared" si="13"/>
        <v>CIHPkoIbaji</v>
      </c>
    </row>
    <row r="874">
      <c r="AV874" s="0" t="s">
        <v>471</v>
      </c>
      <c r="AW874" s="0" t="s">
        <v>410</v>
      </c>
      <c r="AX874" s="0" t="s">
        <v>1306</v>
      </c>
      <c r="AY874" s="0" t="s">
        <v>2801</v>
      </c>
      <c r="AZ874" s="0" t="s">
        <v>2802</v>
      </c>
      <c r="BA874" s="0" t="s">
        <v>595</v>
      </c>
      <c r="BB874" s="0" t="str">
        <f t="shared" si="13"/>
        <v>CIHPkoIdah</v>
      </c>
    </row>
    <row r="875">
      <c r="AV875" s="0" t="s">
        <v>471</v>
      </c>
      <c r="AW875" s="0" t="s">
        <v>410</v>
      </c>
      <c r="AX875" s="0" t="s">
        <v>726</v>
      </c>
      <c r="AY875" s="0" t="s">
        <v>2803</v>
      </c>
      <c r="AZ875" s="0" t="s">
        <v>2804</v>
      </c>
      <c r="BA875" s="0" t="s">
        <v>595</v>
      </c>
      <c r="BB875" s="0" t="str">
        <f t="shared" si="13"/>
        <v>CIHPkoIgalamelaOdolu</v>
      </c>
    </row>
    <row r="876">
      <c r="AV876" s="0" t="s">
        <v>471</v>
      </c>
      <c r="AW876" s="0" t="s">
        <v>410</v>
      </c>
      <c r="AX876" s="0" t="s">
        <v>759</v>
      </c>
      <c r="AY876" s="0" t="s">
        <v>2805</v>
      </c>
      <c r="AZ876" s="0" t="s">
        <v>2806</v>
      </c>
      <c r="BA876" s="0" t="s">
        <v>595</v>
      </c>
      <c r="BB876" s="0" t="str">
        <f t="shared" si="13"/>
        <v>CIHPkoKogi</v>
      </c>
    </row>
    <row r="877">
      <c r="AV877" s="0" t="s">
        <v>471</v>
      </c>
      <c r="AW877" s="0" t="s">
        <v>410</v>
      </c>
      <c r="AX877" s="0" t="s">
        <v>759</v>
      </c>
      <c r="AY877" s="0" t="s">
        <v>2807</v>
      </c>
      <c r="AZ877" s="0" t="s">
        <v>2808</v>
      </c>
      <c r="BA877" s="0" t="s">
        <v>595</v>
      </c>
      <c r="BB877" s="0" t="str">
        <f t="shared" si="13"/>
        <v>CIHPkoKogi</v>
      </c>
    </row>
    <row r="878">
      <c r="AV878" s="0" t="s">
        <v>471</v>
      </c>
      <c r="AW878" s="0" t="s">
        <v>410</v>
      </c>
      <c r="AX878" s="0" t="s">
        <v>759</v>
      </c>
      <c r="AY878" s="0" t="s">
        <v>2809</v>
      </c>
      <c r="AZ878" s="0" t="s">
        <v>2810</v>
      </c>
      <c r="BA878" s="0" t="s">
        <v>595</v>
      </c>
      <c r="BB878" s="0" t="str">
        <f t="shared" si="13"/>
        <v>CIHPkoKogi</v>
      </c>
    </row>
    <row r="879">
      <c r="AV879" s="0" t="s">
        <v>471</v>
      </c>
      <c r="AW879" s="0" t="s">
        <v>410</v>
      </c>
      <c r="AX879" s="0" t="s">
        <v>791</v>
      </c>
      <c r="AY879" s="0" t="s">
        <v>2811</v>
      </c>
      <c r="AZ879" s="0" t="s">
        <v>2812</v>
      </c>
      <c r="BA879" s="0" t="s">
        <v>595</v>
      </c>
      <c r="BB879" s="0" t="str">
        <f t="shared" si="13"/>
        <v>CIHPkoLokoja</v>
      </c>
    </row>
    <row r="880">
      <c r="AV880" s="0" t="s">
        <v>471</v>
      </c>
      <c r="AW880" s="0" t="s">
        <v>410</v>
      </c>
      <c r="AX880" s="0" t="s">
        <v>791</v>
      </c>
      <c r="AY880" s="0" t="s">
        <v>2813</v>
      </c>
      <c r="AZ880" s="0" t="s">
        <v>2814</v>
      </c>
      <c r="BA880" s="0" t="s">
        <v>595</v>
      </c>
      <c r="BB880" s="0" t="str">
        <f t="shared" si="13"/>
        <v>CIHPkoLokoja</v>
      </c>
    </row>
    <row r="881">
      <c r="AV881" s="0" t="s">
        <v>471</v>
      </c>
      <c r="AW881" s="0" t="s">
        <v>410</v>
      </c>
      <c r="AX881" s="0" t="s">
        <v>821</v>
      </c>
      <c r="AY881" s="0" t="s">
        <v>2815</v>
      </c>
      <c r="AZ881" s="0" t="s">
        <v>2816</v>
      </c>
      <c r="BA881" s="0" t="s">
        <v>595</v>
      </c>
      <c r="BB881" s="0" t="str">
        <f t="shared" si="13"/>
        <v>CIHPkoOfu</v>
      </c>
    </row>
    <row r="882">
      <c r="AV882" s="0" t="s">
        <v>471</v>
      </c>
      <c r="AW882" s="0" t="s">
        <v>410</v>
      </c>
      <c r="AX882" s="0" t="s">
        <v>821</v>
      </c>
      <c r="AY882" s="0" t="s">
        <v>2817</v>
      </c>
      <c r="AZ882" s="0" t="s">
        <v>2818</v>
      </c>
      <c r="BA882" s="0" t="s">
        <v>595</v>
      </c>
      <c r="BB882" s="0" t="str">
        <f t="shared" si="13"/>
        <v>CIHPkoOfu</v>
      </c>
    </row>
    <row r="883">
      <c r="AV883" s="0" t="s">
        <v>471</v>
      </c>
      <c r="AW883" s="0" t="s">
        <v>410</v>
      </c>
      <c r="AX883" s="0" t="s">
        <v>849</v>
      </c>
      <c r="AY883" s="0" t="s">
        <v>2819</v>
      </c>
      <c r="AZ883" s="0" t="s">
        <v>2820</v>
      </c>
      <c r="BA883" s="0" t="s">
        <v>595</v>
      </c>
      <c r="BB883" s="0" t="str">
        <f t="shared" si="13"/>
        <v>CIHPkoOkehi</v>
      </c>
    </row>
    <row r="884">
      <c r="AV884" s="0" t="s">
        <v>471</v>
      </c>
      <c r="AW884" s="0" t="s">
        <v>410</v>
      </c>
      <c r="AX884" s="0" t="s">
        <v>849</v>
      </c>
      <c r="AY884" s="0" t="s">
        <v>2821</v>
      </c>
      <c r="AZ884" s="0" t="s">
        <v>2822</v>
      </c>
      <c r="BA884" s="0" t="s">
        <v>595</v>
      </c>
      <c r="BB884" s="0" t="str">
        <f t="shared" si="13"/>
        <v>CIHPkoOkehi</v>
      </c>
    </row>
    <row r="885">
      <c r="AV885" s="0" t="s">
        <v>471</v>
      </c>
      <c r="AW885" s="0" t="s">
        <v>410</v>
      </c>
      <c r="AX885" s="0" t="s">
        <v>456</v>
      </c>
      <c r="AY885" s="0" t="s">
        <v>2823</v>
      </c>
      <c r="AZ885" s="0" t="s">
        <v>2824</v>
      </c>
      <c r="BA885" s="0" t="s">
        <v>595</v>
      </c>
      <c r="BB885" s="0" t="str">
        <f t="shared" si="13"/>
        <v>CIHPkoOkene</v>
      </c>
    </row>
    <row r="886">
      <c r="AV886" s="0" t="s">
        <v>471</v>
      </c>
      <c r="AW886" s="0" t="s">
        <v>410</v>
      </c>
      <c r="AX886" s="0" t="s">
        <v>456</v>
      </c>
      <c r="AY886" s="0" t="s">
        <v>2825</v>
      </c>
      <c r="AZ886" s="0" t="s">
        <v>2826</v>
      </c>
      <c r="BA886" s="0" t="s">
        <v>595</v>
      </c>
      <c r="BB886" s="0" t="str">
        <f t="shared" si="13"/>
        <v>CIHPkoOkene</v>
      </c>
    </row>
    <row r="887">
      <c r="AV887" s="0" t="s">
        <v>471</v>
      </c>
      <c r="AW887" s="0" t="s">
        <v>410</v>
      </c>
      <c r="AX887" s="0" t="s">
        <v>456</v>
      </c>
      <c r="AY887" s="0" t="s">
        <v>2827</v>
      </c>
      <c r="AZ887" s="0" t="s">
        <v>2828</v>
      </c>
      <c r="BA887" s="0" t="s">
        <v>595</v>
      </c>
      <c r="BB887" s="0" t="str">
        <f t="shared" si="13"/>
        <v>CIHPkoOkene</v>
      </c>
    </row>
    <row r="888">
      <c r="AV888" s="0" t="s">
        <v>471</v>
      </c>
      <c r="AW888" s="0" t="s">
        <v>410</v>
      </c>
      <c r="AX888" s="0" t="s">
        <v>499</v>
      </c>
      <c r="AY888" s="0" t="s">
        <v>2829</v>
      </c>
      <c r="AZ888" s="0" t="s">
        <v>2830</v>
      </c>
      <c r="BA888" s="0" t="s">
        <v>595</v>
      </c>
      <c r="BB888" s="0" t="str">
        <f t="shared" si="13"/>
        <v>CIHPkoOlamaboro</v>
      </c>
    </row>
    <row r="889">
      <c r="AV889" s="0" t="s">
        <v>471</v>
      </c>
      <c r="AW889" s="0" t="s">
        <v>410</v>
      </c>
      <c r="AX889" s="0" t="s">
        <v>499</v>
      </c>
      <c r="AY889" s="0" t="s">
        <v>2831</v>
      </c>
      <c r="AZ889" s="0" t="s">
        <v>2832</v>
      </c>
      <c r="BA889" s="0" t="s">
        <v>595</v>
      </c>
      <c r="BB889" s="0" t="str">
        <f t="shared" si="13"/>
        <v>CIHPkoOlamaboro</v>
      </c>
    </row>
    <row r="890">
      <c r="AV890" s="0" t="s">
        <v>471</v>
      </c>
      <c r="AW890" s="0" t="s">
        <v>410</v>
      </c>
      <c r="AX890" s="0" t="s">
        <v>499</v>
      </c>
      <c r="AY890" s="0" t="s">
        <v>2833</v>
      </c>
      <c r="AZ890" s="0" t="s">
        <v>2834</v>
      </c>
      <c r="BA890" s="0" t="s">
        <v>595</v>
      </c>
      <c r="BB890" s="0" t="str">
        <f t="shared" si="13"/>
        <v>CIHPkoOlamaboro</v>
      </c>
    </row>
    <row r="891">
      <c r="AV891" s="0" t="s">
        <v>471</v>
      </c>
      <c r="AW891" s="0" t="s">
        <v>410</v>
      </c>
      <c r="AX891" s="0" t="s">
        <v>539</v>
      </c>
      <c r="AY891" s="0" t="s">
        <v>2835</v>
      </c>
      <c r="AZ891" s="0" t="s">
        <v>2836</v>
      </c>
      <c r="BA891" s="0" t="s">
        <v>595</v>
      </c>
      <c r="BB891" s="0" t="str">
        <f t="shared" si="13"/>
        <v>CIHPkoOmala</v>
      </c>
    </row>
    <row r="892">
      <c r="AV892" s="0" t="s">
        <v>471</v>
      </c>
      <c r="AW892" s="0" t="s">
        <v>410</v>
      </c>
      <c r="AX892" s="0" t="s">
        <v>539</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1493</v>
      </c>
      <c r="AY933" s="304" t="s">
        <v>2919</v>
      </c>
      <c r="AZ933" s="0" t="s">
        <v>2920</v>
      </c>
      <c r="BA933" s="0" t="s">
        <v>634</v>
      </c>
      <c r="BB933" s="0" t="str">
        <f t="shared" si="14"/>
        <v>ECEWSimIhitteUboma</v>
      </c>
    </row>
    <row r="934">
      <c r="AV934" s="0" t="s">
        <v>471</v>
      </c>
      <c r="AW934" s="0" t="s">
        <v>404</v>
      </c>
      <c r="AX934" s="0" t="s">
        <v>1493</v>
      </c>
      <c r="AY934" s="304" t="s">
        <v>2921</v>
      </c>
      <c r="AZ934" s="0" t="s">
        <v>2922</v>
      </c>
      <c r="BA934" s="0" t="s">
        <v>634</v>
      </c>
      <c r="BB934" s="0" t="str">
        <f t="shared" si="14"/>
        <v>ECEWSimIhitteUboma</v>
      </c>
    </row>
    <row r="935">
      <c r="AV935" s="0" t="s">
        <v>471</v>
      </c>
      <c r="AW935" s="0" t="s">
        <v>404</v>
      </c>
      <c r="AX935" s="0" t="s">
        <v>1493</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2157</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496</v>
      </c>
      <c r="AY1006" s="0" t="s">
        <v>3063</v>
      </c>
      <c r="AZ1006" s="0" t="s">
        <v>3064</v>
      </c>
      <c r="BA1006" s="0" t="s">
        <v>672</v>
      </c>
      <c r="BB1006" s="0" t="str">
        <f t="shared" si="15"/>
        <v>FGHINknNassarawa</v>
      </c>
    </row>
    <row r="1007">
      <c r="AV1007" s="0" t="s">
        <v>471</v>
      </c>
      <c r="AW1007" s="0" t="s">
        <v>407</v>
      </c>
      <c r="AX1007" s="0" t="s">
        <v>536</v>
      </c>
      <c r="AY1007" s="0" t="s">
        <v>3065</v>
      </c>
      <c r="AZ1007" s="0" t="s">
        <v>3066</v>
      </c>
      <c r="BA1007" s="0" t="s">
        <v>672</v>
      </c>
      <c r="BB1007" s="0" t="str">
        <f t="shared" si="15"/>
        <v>FGHINknTarauni</v>
      </c>
    </row>
    <row r="1008">
      <c r="AV1008" s="0" t="s">
        <v>471</v>
      </c>
      <c r="AW1008" s="0" t="s">
        <v>410</v>
      </c>
      <c r="AX1008" s="0" t="s">
        <v>579</v>
      </c>
      <c r="AY1008" s="0" t="s">
        <v>3067</v>
      </c>
      <c r="AZ1008" s="0" t="s">
        <v>3068</v>
      </c>
      <c r="BA1008" s="0" t="s">
        <v>672</v>
      </c>
      <c r="BB1008" s="0" t="str">
        <f t="shared" si="15"/>
        <v>FGHINkoIjumu</v>
      </c>
    </row>
    <row r="1009">
      <c r="AV1009" s="0" t="s">
        <v>471</v>
      </c>
      <c r="AW1009" s="0" t="s">
        <v>410</v>
      </c>
      <c r="AX1009" s="0" t="s">
        <v>579</v>
      </c>
      <c r="AY1009" s="0" t="s">
        <v>3069</v>
      </c>
      <c r="AZ1009" s="0" t="s">
        <v>3070</v>
      </c>
      <c r="BA1009" s="0" t="s">
        <v>672</v>
      </c>
      <c r="BB1009" s="0" t="str">
        <f t="shared" si="15"/>
        <v>FGHINkoIjumu</v>
      </c>
    </row>
    <row r="1010">
      <c r="AV1010" s="0" t="s">
        <v>471</v>
      </c>
      <c r="AW1010" s="0" t="s">
        <v>410</v>
      </c>
      <c r="AX1010" s="0" t="s">
        <v>1309</v>
      </c>
      <c r="AY1010" s="0" t="s">
        <v>2055</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529</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531</v>
      </c>
      <c r="AY1132" s="0" t="s">
        <v>3313</v>
      </c>
      <c r="AZ1132" s="0" t="s">
        <v>3314</v>
      </c>
      <c r="BA1132" s="0" t="s">
        <v>708</v>
      </c>
      <c r="BB1132" s="0" t="str">
        <f t="shared" si="17"/>
        <v>IHVNfcAbaji</v>
      </c>
    </row>
    <row r="1133">
      <c r="AV1133" s="0" t="s">
        <v>471</v>
      </c>
      <c r="AW1133" s="0" t="s">
        <v>402</v>
      </c>
      <c r="AX1133" s="0" t="s">
        <v>531</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496</v>
      </c>
      <c r="AY1281" s="0" t="s">
        <v>3611</v>
      </c>
      <c r="AZ1281" s="0" t="s">
        <v>3612</v>
      </c>
      <c r="BA1281" s="0" t="s">
        <v>708</v>
      </c>
      <c r="BB1281" s="0" t="str">
        <f t="shared" si="19"/>
        <v>IHVNknNassarawa</v>
      </c>
    </row>
    <row r="1282">
      <c r="AV1282" s="0" t="s">
        <v>471</v>
      </c>
      <c r="AW1282" s="0" t="s">
        <v>407</v>
      </c>
      <c r="AX1282" s="0" t="s">
        <v>496</v>
      </c>
      <c r="AY1282" s="0" t="s">
        <v>3613</v>
      </c>
      <c r="AZ1282" s="0" t="s">
        <v>3614</v>
      </c>
      <c r="BA1282" s="0" t="s">
        <v>708</v>
      </c>
      <c r="BB1282" s="0" t="str">
        <f t="shared" si="19"/>
        <v>IHVNknNassarawa</v>
      </c>
    </row>
    <row r="1283">
      <c r="AV1283" s="0" t="s">
        <v>471</v>
      </c>
      <c r="AW1283" s="0" t="s">
        <v>407</v>
      </c>
      <c r="AX1283" s="0" t="s">
        <v>536</v>
      </c>
      <c r="AY1283" s="0" t="s">
        <v>3615</v>
      </c>
      <c r="AZ1283" s="0" t="s">
        <v>3616</v>
      </c>
      <c r="BA1283" s="0" t="s">
        <v>708</v>
      </c>
      <c r="BB1283" s="0" t="str">
        <f ref="BB1283:BB1346" t="shared" si="20">SUBSTITUTE(SUBSTITUTE(BA1283&amp;AX1283," ",""),"-","")</f>
        <v>IHVNknTarauni</v>
      </c>
    </row>
    <row r="1284">
      <c r="AV1284" s="0" t="s">
        <v>471</v>
      </c>
      <c r="AW1284" s="0" t="s">
        <v>407</v>
      </c>
      <c r="AX1284" s="0" t="s">
        <v>577</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497</v>
      </c>
      <c r="AY1288" s="0" t="s">
        <v>3625</v>
      </c>
      <c r="AZ1288" s="0" t="s">
        <v>3626</v>
      </c>
      <c r="BA1288" s="0" t="s">
        <v>708</v>
      </c>
      <c r="BB1288" s="0" t="str">
        <f t="shared" si="20"/>
        <v>IHVNktKankia</v>
      </c>
    </row>
    <row r="1289">
      <c r="AV1289" s="0" t="s">
        <v>471</v>
      </c>
      <c r="AW1289" s="0" t="s">
        <v>408</v>
      </c>
      <c r="AX1289" s="0" t="s">
        <v>537</v>
      </c>
      <c r="AY1289" s="0" t="s">
        <v>3627</v>
      </c>
      <c r="AZ1289" s="0" t="s">
        <v>3628</v>
      </c>
      <c r="BA1289" s="0" t="s">
        <v>708</v>
      </c>
      <c r="BB1289" s="0" t="str">
        <f t="shared" si="20"/>
        <v>IHVNktKatsina</v>
      </c>
    </row>
    <row r="1290">
      <c r="AV1290" s="0" t="s">
        <v>471</v>
      </c>
      <c r="AW1290" s="0" t="s">
        <v>408</v>
      </c>
      <c r="AX1290" s="0" t="s">
        <v>537</v>
      </c>
      <c r="AY1290" s="0" t="s">
        <v>3629</v>
      </c>
      <c r="AZ1290" s="0" t="s">
        <v>3630</v>
      </c>
      <c r="BA1290" s="0" t="s">
        <v>708</v>
      </c>
      <c r="BB1290" s="0" t="str">
        <f t="shared" si="20"/>
        <v>IHVNktKatsina</v>
      </c>
    </row>
    <row r="1291">
      <c r="AV1291" s="0" t="s">
        <v>471</v>
      </c>
      <c r="AW1291" s="0" t="s">
        <v>286</v>
      </c>
      <c r="AX1291" s="0" t="s">
        <v>502</v>
      </c>
      <c r="AY1291" s="0" t="s">
        <v>3631</v>
      </c>
      <c r="AZ1291" s="0" t="s">
        <v>3632</v>
      </c>
      <c r="BA1291" s="0" t="s">
        <v>708</v>
      </c>
      <c r="BB1291" s="0" t="str">
        <f t="shared" si="20"/>
        <v>IHVNnaDoma</v>
      </c>
    </row>
    <row r="1292">
      <c r="AV1292" s="0" t="s">
        <v>471</v>
      </c>
      <c r="AW1292" s="0" t="s">
        <v>286</v>
      </c>
      <c r="AX1292" s="0" t="s">
        <v>502</v>
      </c>
      <c r="AY1292" s="0" t="s">
        <v>3633</v>
      </c>
      <c r="AZ1292" s="0" t="s">
        <v>3634</v>
      </c>
      <c r="BA1292" s="0" t="s">
        <v>708</v>
      </c>
      <c r="BB1292" s="0" t="str">
        <f t="shared" si="20"/>
        <v>IHVNnaDoma</v>
      </c>
    </row>
    <row r="1293">
      <c r="AV1293" s="0" t="s">
        <v>471</v>
      </c>
      <c r="AW1293" s="0" t="s">
        <v>286</v>
      </c>
      <c r="AX1293" s="0" t="s">
        <v>502</v>
      </c>
      <c r="AY1293" s="0" t="s">
        <v>3635</v>
      </c>
      <c r="AZ1293" s="0" t="s">
        <v>3636</v>
      </c>
      <c r="BA1293" s="0" t="s">
        <v>708</v>
      </c>
      <c r="BB1293" s="0" t="str">
        <f t="shared" si="20"/>
        <v>IHVNnaDoma</v>
      </c>
    </row>
    <row r="1294">
      <c r="AV1294" s="0" t="s">
        <v>471</v>
      </c>
      <c r="AW1294" s="0" t="s">
        <v>286</v>
      </c>
      <c r="AX1294" s="0" t="s">
        <v>502</v>
      </c>
      <c r="AY1294" s="0" t="s">
        <v>3637</v>
      </c>
      <c r="AZ1294" s="0" t="s">
        <v>3638</v>
      </c>
      <c r="BA1294" s="0" t="s">
        <v>708</v>
      </c>
      <c r="BB1294" s="0" t="str">
        <f t="shared" si="20"/>
        <v>IHVNnaDoma</v>
      </c>
    </row>
    <row r="1295">
      <c r="AV1295" s="0" t="s">
        <v>471</v>
      </c>
      <c r="AW1295" s="0" t="s">
        <v>286</v>
      </c>
      <c r="AX1295" s="0" t="s">
        <v>502</v>
      </c>
      <c r="AY1295" s="0" t="s">
        <v>3639</v>
      </c>
      <c r="AZ1295" s="0" t="s">
        <v>3640</v>
      </c>
      <c r="BA1295" s="0" t="s">
        <v>708</v>
      </c>
      <c r="BB1295" s="0" t="str">
        <f t="shared" si="20"/>
        <v>IHVNnaDoma</v>
      </c>
    </row>
    <row r="1296">
      <c r="AV1296" s="0" t="s">
        <v>471</v>
      </c>
      <c r="AW1296" s="0" t="s">
        <v>286</v>
      </c>
      <c r="AX1296" s="0" t="s">
        <v>502</v>
      </c>
      <c r="AY1296" s="0" t="s">
        <v>3641</v>
      </c>
      <c r="AZ1296" s="0" t="s">
        <v>3642</v>
      </c>
      <c r="BA1296" s="0" t="s">
        <v>708</v>
      </c>
      <c r="BB1296" s="0" t="str">
        <f t="shared" si="20"/>
        <v>IHVNnaDoma</v>
      </c>
    </row>
    <row r="1297">
      <c r="AV1297" s="0" t="s">
        <v>471</v>
      </c>
      <c r="AW1297" s="0" t="s">
        <v>286</v>
      </c>
      <c r="AX1297" s="0" t="s">
        <v>502</v>
      </c>
      <c r="AY1297" s="0" t="s">
        <v>3643</v>
      </c>
      <c r="AZ1297" s="0" t="s">
        <v>3644</v>
      </c>
      <c r="BA1297" s="0" t="s">
        <v>708</v>
      </c>
      <c r="BB1297" s="0" t="str">
        <f t="shared" si="20"/>
        <v>IHVNnaDoma</v>
      </c>
    </row>
    <row r="1298">
      <c r="AV1298" s="0" t="s">
        <v>471</v>
      </c>
      <c r="AW1298" s="0" t="s">
        <v>286</v>
      </c>
      <c r="AX1298" s="0" t="s">
        <v>502</v>
      </c>
      <c r="AY1298" s="0" t="s">
        <v>3645</v>
      </c>
      <c r="AZ1298" s="0" t="s">
        <v>3646</v>
      </c>
      <c r="BA1298" s="0" t="s">
        <v>708</v>
      </c>
      <c r="BB1298" s="0" t="str">
        <f t="shared" si="20"/>
        <v>IHVNnaDoma</v>
      </c>
    </row>
    <row r="1299">
      <c r="AV1299" s="0" t="s">
        <v>471</v>
      </c>
      <c r="AW1299" s="0" t="s">
        <v>286</v>
      </c>
      <c r="AX1299" s="0" t="s">
        <v>502</v>
      </c>
      <c r="AY1299" s="0" t="s">
        <v>3647</v>
      </c>
      <c r="AZ1299" s="0" t="s">
        <v>3648</v>
      </c>
      <c r="BA1299" s="0" t="s">
        <v>708</v>
      </c>
      <c r="BB1299" s="0" t="str">
        <f t="shared" si="20"/>
        <v>IHVNnaDoma</v>
      </c>
    </row>
    <row r="1300">
      <c r="AV1300" s="0" t="s">
        <v>471</v>
      </c>
      <c r="AW1300" s="0" t="s">
        <v>286</v>
      </c>
      <c r="AX1300" s="0" t="s">
        <v>502</v>
      </c>
      <c r="AY1300" s="0" t="s">
        <v>3649</v>
      </c>
      <c r="AZ1300" s="0" t="s">
        <v>3650</v>
      </c>
      <c r="BA1300" s="0" t="s">
        <v>708</v>
      </c>
      <c r="BB1300" s="0" t="str">
        <f t="shared" si="20"/>
        <v>IHVNnaDoma</v>
      </c>
    </row>
    <row r="1301">
      <c r="AV1301" s="0" t="s">
        <v>471</v>
      </c>
      <c r="AW1301" s="0" t="s">
        <v>286</v>
      </c>
      <c r="AX1301" s="0" t="s">
        <v>502</v>
      </c>
      <c r="AY1301" s="0" t="s">
        <v>3651</v>
      </c>
      <c r="AZ1301" s="0" t="s">
        <v>3652</v>
      </c>
      <c r="BA1301" s="0" t="s">
        <v>708</v>
      </c>
      <c r="BB1301" s="0" t="str">
        <f t="shared" si="20"/>
        <v>IHVNnaDoma</v>
      </c>
    </row>
    <row r="1302">
      <c r="AV1302" s="0" t="s">
        <v>471</v>
      </c>
      <c r="AW1302" s="0" t="s">
        <v>286</v>
      </c>
      <c r="AX1302" s="0" t="s">
        <v>502</v>
      </c>
      <c r="AY1302" s="0" t="s">
        <v>3653</v>
      </c>
      <c r="AZ1302" s="0" t="s">
        <v>3654</v>
      </c>
      <c r="BA1302" s="0" t="s">
        <v>708</v>
      </c>
      <c r="BB1302" s="0" t="str">
        <f t="shared" si="20"/>
        <v>IHVNnaDoma</v>
      </c>
    </row>
    <row r="1303">
      <c r="AV1303" s="0" t="s">
        <v>471</v>
      </c>
      <c r="AW1303" s="0" t="s">
        <v>286</v>
      </c>
      <c r="AX1303" s="0" t="s">
        <v>502</v>
      </c>
      <c r="AY1303" s="0" t="s">
        <v>3655</v>
      </c>
      <c r="AZ1303" s="0" t="s">
        <v>3656</v>
      </c>
      <c r="BA1303" s="0" t="s">
        <v>708</v>
      </c>
      <c r="BB1303" s="0" t="str">
        <f t="shared" si="20"/>
        <v>IHVNnaDoma</v>
      </c>
    </row>
    <row r="1304">
      <c r="AV1304" s="0" t="s">
        <v>471</v>
      </c>
      <c r="AW1304" s="0" t="s">
        <v>286</v>
      </c>
      <c r="AX1304" s="0" t="s">
        <v>502</v>
      </c>
      <c r="AY1304" s="0" t="s">
        <v>3657</v>
      </c>
      <c r="AZ1304" s="0" t="s">
        <v>3658</v>
      </c>
      <c r="BA1304" s="0" t="s">
        <v>708</v>
      </c>
      <c r="BB1304" s="0" t="str">
        <f t="shared" si="20"/>
        <v>IHVNnaDoma</v>
      </c>
    </row>
    <row r="1305">
      <c r="AV1305" s="0" t="s">
        <v>471</v>
      </c>
      <c r="AW1305" s="0" t="s">
        <v>286</v>
      </c>
      <c r="AX1305" s="0" t="s">
        <v>502</v>
      </c>
      <c r="AY1305" s="0" t="s">
        <v>3659</v>
      </c>
      <c r="AZ1305" s="0" t="s">
        <v>3660</v>
      </c>
      <c r="BA1305" s="0" t="s">
        <v>708</v>
      </c>
      <c r="BB1305" s="0" t="str">
        <f t="shared" si="20"/>
        <v>IHVNnaDoma</v>
      </c>
    </row>
    <row r="1306">
      <c r="AV1306" s="0" t="s">
        <v>471</v>
      </c>
      <c r="AW1306" s="0" t="s">
        <v>286</v>
      </c>
      <c r="AX1306" s="0" t="s">
        <v>502</v>
      </c>
      <c r="AY1306" s="0" t="s">
        <v>3661</v>
      </c>
      <c r="AZ1306" s="0" t="s">
        <v>3662</v>
      </c>
      <c r="BA1306" s="0" t="s">
        <v>708</v>
      </c>
      <c r="BB1306" s="0" t="str">
        <f t="shared" si="20"/>
        <v>IHVNnaDoma</v>
      </c>
    </row>
    <row r="1307">
      <c r="AV1307" s="0" t="s">
        <v>471</v>
      </c>
      <c r="AW1307" s="0" t="s">
        <v>286</v>
      </c>
      <c r="AX1307" s="0" t="s">
        <v>502</v>
      </c>
      <c r="AY1307" s="0" t="s">
        <v>3663</v>
      </c>
      <c r="AZ1307" s="0" t="s">
        <v>3664</v>
      </c>
      <c r="BA1307" s="0" t="s">
        <v>708</v>
      </c>
      <c r="BB1307" s="0" t="str">
        <f t="shared" si="20"/>
        <v>IHVNnaDoma</v>
      </c>
    </row>
    <row r="1308">
      <c r="AV1308" s="0" t="s">
        <v>471</v>
      </c>
      <c r="AW1308" s="0" t="s">
        <v>286</v>
      </c>
      <c r="AX1308" s="0" t="s">
        <v>502</v>
      </c>
      <c r="AY1308" s="0" t="s">
        <v>3665</v>
      </c>
      <c r="AZ1308" s="0" t="s">
        <v>3666</v>
      </c>
      <c r="BA1308" s="0" t="s">
        <v>708</v>
      </c>
      <c r="BB1308" s="0" t="str">
        <f t="shared" si="20"/>
        <v>IHVNnaDoma</v>
      </c>
    </row>
    <row r="1309">
      <c r="AV1309" s="0" t="s">
        <v>471</v>
      </c>
      <c r="AW1309" s="0" t="s">
        <v>286</v>
      </c>
      <c r="AX1309" s="0" t="s">
        <v>502</v>
      </c>
      <c r="AY1309" s="0" t="s">
        <v>3667</v>
      </c>
      <c r="AZ1309" s="0" t="s">
        <v>3668</v>
      </c>
      <c r="BA1309" s="0" t="s">
        <v>708</v>
      </c>
      <c r="BB1309" s="0" t="str">
        <f t="shared" si="20"/>
        <v>IHVNnaDoma</v>
      </c>
    </row>
    <row r="1310">
      <c r="AV1310" s="0" t="s">
        <v>471</v>
      </c>
      <c r="AW1310" s="0" t="s">
        <v>286</v>
      </c>
      <c r="AX1310" s="0" t="s">
        <v>502</v>
      </c>
      <c r="AY1310" s="0" t="s">
        <v>3669</v>
      </c>
      <c r="AZ1310" s="0" t="s">
        <v>3670</v>
      </c>
      <c r="BA1310" s="0" t="s">
        <v>708</v>
      </c>
      <c r="BB1310" s="0" t="str">
        <f t="shared" si="20"/>
        <v>IHVNnaDoma</v>
      </c>
    </row>
    <row r="1311">
      <c r="AV1311" s="0" t="s">
        <v>471</v>
      </c>
      <c r="AW1311" s="0" t="s">
        <v>286</v>
      </c>
      <c r="AX1311" s="0" t="s">
        <v>658</v>
      </c>
      <c r="AY1311" s="0" t="s">
        <v>3671</v>
      </c>
      <c r="AZ1311" s="0" t="s">
        <v>3672</v>
      </c>
      <c r="BA1311" s="0" t="s">
        <v>708</v>
      </c>
      <c r="BB1311" s="0" t="str">
        <f t="shared" si="20"/>
        <v>IHVNnaKaru</v>
      </c>
    </row>
    <row r="1312">
      <c r="AV1312" s="0" t="s">
        <v>471</v>
      </c>
      <c r="AW1312" s="0" t="s">
        <v>286</v>
      </c>
      <c r="AX1312" s="0" t="s">
        <v>658</v>
      </c>
      <c r="AY1312" s="0" t="s">
        <v>3673</v>
      </c>
      <c r="AZ1312" s="0" t="s">
        <v>3674</v>
      </c>
      <c r="BA1312" s="0" t="s">
        <v>708</v>
      </c>
      <c r="BB1312" s="0" t="str">
        <f t="shared" si="20"/>
        <v>IHVNnaKaru</v>
      </c>
    </row>
    <row r="1313">
      <c r="AV1313" s="0" t="s">
        <v>471</v>
      </c>
      <c r="AW1313" s="0" t="s">
        <v>286</v>
      </c>
      <c r="AX1313" s="0" t="s">
        <v>658</v>
      </c>
      <c r="AY1313" s="0" t="s">
        <v>3675</v>
      </c>
      <c r="AZ1313" s="0" t="s">
        <v>3676</v>
      </c>
      <c r="BA1313" s="0" t="s">
        <v>708</v>
      </c>
      <c r="BB1313" s="0" t="str">
        <f t="shared" si="20"/>
        <v>IHVNnaKaru</v>
      </c>
    </row>
    <row r="1314">
      <c r="AV1314" s="0" t="s">
        <v>471</v>
      </c>
      <c r="AW1314" s="0" t="s">
        <v>286</v>
      </c>
      <c r="AX1314" s="0" t="s">
        <v>658</v>
      </c>
      <c r="AY1314" s="0" t="s">
        <v>3677</v>
      </c>
      <c r="AZ1314" s="0" t="s">
        <v>3678</v>
      </c>
      <c r="BA1314" s="0" t="s">
        <v>708</v>
      </c>
      <c r="BB1314" s="0" t="str">
        <f t="shared" si="20"/>
        <v>IHVNnaKaru</v>
      </c>
    </row>
    <row r="1315">
      <c r="AV1315" s="0" t="s">
        <v>471</v>
      </c>
      <c r="AW1315" s="0" t="s">
        <v>286</v>
      </c>
      <c r="AX1315" s="0" t="s">
        <v>658</v>
      </c>
      <c r="AY1315" s="0" t="s">
        <v>3679</v>
      </c>
      <c r="AZ1315" s="0" t="s">
        <v>3680</v>
      </c>
      <c r="BA1315" s="0" t="s">
        <v>708</v>
      </c>
      <c r="BB1315" s="0" t="str">
        <f t="shared" si="20"/>
        <v>IHVNnaKaru</v>
      </c>
    </row>
    <row r="1316">
      <c r="AV1316" s="0" t="s">
        <v>471</v>
      </c>
      <c r="AW1316" s="0" t="s">
        <v>286</v>
      </c>
      <c r="AX1316" s="0" t="s">
        <v>658</v>
      </c>
      <c r="AY1316" s="0" t="s">
        <v>3681</v>
      </c>
      <c r="AZ1316" s="0" t="s">
        <v>3682</v>
      </c>
      <c r="BA1316" s="0" t="s">
        <v>708</v>
      </c>
      <c r="BB1316" s="0" t="str">
        <f t="shared" si="20"/>
        <v>IHVNnaKaru</v>
      </c>
    </row>
    <row r="1317">
      <c r="AV1317" s="0" t="s">
        <v>471</v>
      </c>
      <c r="AW1317" s="0" t="s">
        <v>286</v>
      </c>
      <c r="AX1317" s="0" t="s">
        <v>658</v>
      </c>
      <c r="AY1317" s="0" t="s">
        <v>3683</v>
      </c>
      <c r="AZ1317" s="0" t="s">
        <v>3684</v>
      </c>
      <c r="BA1317" s="0" t="s">
        <v>708</v>
      </c>
      <c r="BB1317" s="0" t="str">
        <f t="shared" si="20"/>
        <v>IHVNnaKaru</v>
      </c>
    </row>
    <row r="1318">
      <c r="AV1318" s="0" t="s">
        <v>471</v>
      </c>
      <c r="AW1318" s="0" t="s">
        <v>286</v>
      </c>
      <c r="AX1318" s="0" t="s">
        <v>658</v>
      </c>
      <c r="AY1318" s="0" t="s">
        <v>3685</v>
      </c>
      <c r="AZ1318" s="0" t="s">
        <v>3686</v>
      </c>
      <c r="BA1318" s="0" t="s">
        <v>708</v>
      </c>
      <c r="BB1318" s="0" t="str">
        <f t="shared" si="20"/>
        <v>IHVNnaKaru</v>
      </c>
    </row>
    <row r="1319">
      <c r="AV1319" s="0" t="s">
        <v>471</v>
      </c>
      <c r="AW1319" s="0" t="s">
        <v>286</v>
      </c>
      <c r="AX1319" s="0" t="s">
        <v>658</v>
      </c>
      <c r="AY1319" s="0" t="s">
        <v>3687</v>
      </c>
      <c r="AZ1319" s="0" t="s">
        <v>3688</v>
      </c>
      <c r="BA1319" s="0" t="s">
        <v>708</v>
      </c>
      <c r="BB1319" s="0" t="str">
        <f t="shared" si="20"/>
        <v>IHVNnaKaru</v>
      </c>
    </row>
    <row r="1320">
      <c r="AV1320" s="0" t="s">
        <v>471</v>
      </c>
      <c r="AW1320" s="0" t="s">
        <v>286</v>
      </c>
      <c r="AX1320" s="0" t="s">
        <v>658</v>
      </c>
      <c r="AY1320" s="0" t="s">
        <v>3689</v>
      </c>
      <c r="AZ1320" s="0" t="s">
        <v>3690</v>
      </c>
      <c r="BA1320" s="0" t="s">
        <v>708</v>
      </c>
      <c r="BB1320" s="0" t="str">
        <f t="shared" si="20"/>
        <v>IHVNnaKaru</v>
      </c>
    </row>
    <row r="1321">
      <c r="AV1321" s="0" t="s">
        <v>471</v>
      </c>
      <c r="AW1321" s="0" t="s">
        <v>286</v>
      </c>
      <c r="AX1321" s="0" t="s">
        <v>658</v>
      </c>
      <c r="AY1321" s="0" t="s">
        <v>3691</v>
      </c>
      <c r="AZ1321" s="0" t="s">
        <v>3692</v>
      </c>
      <c r="BA1321" s="0" t="s">
        <v>708</v>
      </c>
      <c r="BB1321" s="0" t="str">
        <f t="shared" si="20"/>
        <v>IHVNnaKaru</v>
      </c>
    </row>
    <row r="1322">
      <c r="AV1322" s="0" t="s">
        <v>471</v>
      </c>
      <c r="AW1322" s="0" t="s">
        <v>286</v>
      </c>
      <c r="AX1322" s="0" t="s">
        <v>658</v>
      </c>
      <c r="AY1322" s="0" t="s">
        <v>3693</v>
      </c>
      <c r="AZ1322" s="0" t="s">
        <v>3694</v>
      </c>
      <c r="BA1322" s="0" t="s">
        <v>708</v>
      </c>
      <c r="BB1322" s="0" t="str">
        <f t="shared" si="20"/>
        <v>IHVNnaKaru</v>
      </c>
    </row>
    <row r="1323">
      <c r="AV1323" s="0" t="s">
        <v>471</v>
      </c>
      <c r="AW1323" s="0" t="s">
        <v>286</v>
      </c>
      <c r="AX1323" s="0" t="s">
        <v>658</v>
      </c>
      <c r="AY1323" s="0" t="s">
        <v>3695</v>
      </c>
      <c r="AZ1323" s="0" t="s">
        <v>3696</v>
      </c>
      <c r="BA1323" s="0" t="s">
        <v>708</v>
      </c>
      <c r="BB1323" s="0" t="str">
        <f t="shared" si="20"/>
        <v>IHVNnaKaru</v>
      </c>
    </row>
    <row r="1324">
      <c r="AV1324" s="0" t="s">
        <v>471</v>
      </c>
      <c r="AW1324" s="0" t="s">
        <v>286</v>
      </c>
      <c r="AX1324" s="0" t="s">
        <v>658</v>
      </c>
      <c r="AY1324" s="0" t="s">
        <v>3697</v>
      </c>
      <c r="AZ1324" s="0" t="s">
        <v>3698</v>
      </c>
      <c r="BA1324" s="0" t="s">
        <v>708</v>
      </c>
      <c r="BB1324" s="0" t="str">
        <f t="shared" si="20"/>
        <v>IHVNnaKaru</v>
      </c>
    </row>
    <row r="1325">
      <c r="AV1325" s="0" t="s">
        <v>471</v>
      </c>
      <c r="AW1325" s="0" t="s">
        <v>286</v>
      </c>
      <c r="AX1325" s="0" t="s">
        <v>658</v>
      </c>
      <c r="AY1325" s="0" t="s">
        <v>3699</v>
      </c>
      <c r="AZ1325" s="0" t="s">
        <v>3700</v>
      </c>
      <c r="BA1325" s="0" t="s">
        <v>708</v>
      </c>
      <c r="BB1325" s="0" t="str">
        <f t="shared" si="20"/>
        <v>IHVNnaKaru</v>
      </c>
    </row>
    <row r="1326">
      <c r="AV1326" s="0" t="s">
        <v>471</v>
      </c>
      <c r="AW1326" s="0" t="s">
        <v>286</v>
      </c>
      <c r="AX1326" s="0" t="s">
        <v>658</v>
      </c>
      <c r="AY1326" s="0" t="s">
        <v>3701</v>
      </c>
      <c r="AZ1326" s="0" t="s">
        <v>3702</v>
      </c>
      <c r="BA1326" s="0" t="s">
        <v>708</v>
      </c>
      <c r="BB1326" s="0" t="str">
        <f t="shared" si="20"/>
        <v>IHVNnaKaru</v>
      </c>
    </row>
    <row r="1327">
      <c r="AV1327" s="0" t="s">
        <v>471</v>
      </c>
      <c r="AW1327" s="0" t="s">
        <v>286</v>
      </c>
      <c r="AX1327" s="0" t="s">
        <v>658</v>
      </c>
      <c r="AY1327" s="0" t="s">
        <v>3703</v>
      </c>
      <c r="AZ1327" s="0" t="s">
        <v>3704</v>
      </c>
      <c r="BA1327" s="0" t="s">
        <v>708</v>
      </c>
      <c r="BB1327" s="0" t="str">
        <f t="shared" si="20"/>
        <v>IHVNnaKaru</v>
      </c>
    </row>
    <row r="1328">
      <c r="AV1328" s="0" t="s">
        <v>471</v>
      </c>
      <c r="AW1328" s="0" t="s">
        <v>286</v>
      </c>
      <c r="AX1328" s="0" t="s">
        <v>658</v>
      </c>
      <c r="AY1328" s="0" t="s">
        <v>3705</v>
      </c>
      <c r="AZ1328" s="0" t="s">
        <v>3706</v>
      </c>
      <c r="BA1328" s="0" t="s">
        <v>708</v>
      </c>
      <c r="BB1328" s="0" t="str">
        <f t="shared" si="20"/>
        <v>IHVNnaKaru</v>
      </c>
    </row>
    <row r="1329">
      <c r="AV1329" s="0" t="s">
        <v>471</v>
      </c>
      <c r="AW1329" s="0" t="s">
        <v>286</v>
      </c>
      <c r="AX1329" s="0" t="s">
        <v>658</v>
      </c>
      <c r="AY1329" s="0" t="s">
        <v>3707</v>
      </c>
      <c r="AZ1329" s="0" t="s">
        <v>3708</v>
      </c>
      <c r="BA1329" s="0" t="s">
        <v>708</v>
      </c>
      <c r="BB1329" s="0" t="str">
        <f t="shared" si="20"/>
        <v>IHVNnaKaru</v>
      </c>
    </row>
    <row r="1330">
      <c r="AV1330" s="0" t="s">
        <v>471</v>
      </c>
      <c r="AW1330" s="0" t="s">
        <v>286</v>
      </c>
      <c r="AX1330" s="0" t="s">
        <v>658</v>
      </c>
      <c r="AY1330" s="0" t="s">
        <v>3709</v>
      </c>
      <c r="AZ1330" s="0" t="s">
        <v>3710</v>
      </c>
      <c r="BA1330" s="0" t="s">
        <v>708</v>
      </c>
      <c r="BB1330" s="0" t="str">
        <f t="shared" si="20"/>
        <v>IHVNnaKaru</v>
      </c>
    </row>
    <row r="1331">
      <c r="AV1331" s="0" t="s">
        <v>471</v>
      </c>
      <c r="AW1331" s="0" t="s">
        <v>286</v>
      </c>
      <c r="AX1331" s="0" t="s">
        <v>658</v>
      </c>
      <c r="AY1331" s="0" t="s">
        <v>3711</v>
      </c>
      <c r="AZ1331" s="0" t="s">
        <v>3712</v>
      </c>
      <c r="BA1331" s="0" t="s">
        <v>708</v>
      </c>
      <c r="BB1331" s="0" t="str">
        <f t="shared" si="20"/>
        <v>IHVNnaKaru</v>
      </c>
    </row>
    <row r="1332">
      <c r="AV1332" s="0" t="s">
        <v>471</v>
      </c>
      <c r="AW1332" s="0" t="s">
        <v>286</v>
      </c>
      <c r="AX1332" s="0" t="s">
        <v>658</v>
      </c>
      <c r="AY1332" s="0" t="s">
        <v>3713</v>
      </c>
      <c r="AZ1332" s="0" t="s">
        <v>3714</v>
      </c>
      <c r="BA1332" s="0" t="s">
        <v>708</v>
      </c>
      <c r="BB1332" s="0" t="str">
        <f t="shared" si="20"/>
        <v>IHVNnaKaru</v>
      </c>
    </row>
    <row r="1333">
      <c r="AV1333" s="0" t="s">
        <v>471</v>
      </c>
      <c r="AW1333" s="0" t="s">
        <v>286</v>
      </c>
      <c r="AX1333" s="0" t="s">
        <v>658</v>
      </c>
      <c r="AY1333" s="0" t="s">
        <v>3409</v>
      </c>
      <c r="AZ1333" s="0" t="s">
        <v>3715</v>
      </c>
      <c r="BA1333" s="0" t="s">
        <v>708</v>
      </c>
      <c r="BB1333" s="0" t="str">
        <f t="shared" si="20"/>
        <v>IHVNnaKaru</v>
      </c>
    </row>
    <row r="1334">
      <c r="AV1334" s="0" t="s">
        <v>471</v>
      </c>
      <c r="AW1334" s="0" t="s">
        <v>286</v>
      </c>
      <c r="AX1334" s="0" t="s">
        <v>658</v>
      </c>
      <c r="AY1334" s="0" t="s">
        <v>3411</v>
      </c>
      <c r="AZ1334" s="0" t="s">
        <v>3716</v>
      </c>
      <c r="BA1334" s="0" t="s">
        <v>708</v>
      </c>
      <c r="BB1334" s="0" t="str">
        <f t="shared" si="20"/>
        <v>IHVNnaKaru</v>
      </c>
    </row>
    <row r="1335">
      <c r="AV1335" s="0" t="s">
        <v>471</v>
      </c>
      <c r="AW1335" s="0" t="s">
        <v>286</v>
      </c>
      <c r="AX1335" s="0" t="s">
        <v>658</v>
      </c>
      <c r="AY1335" s="0" t="s">
        <v>3717</v>
      </c>
      <c r="AZ1335" s="0" t="s">
        <v>3718</v>
      </c>
      <c r="BA1335" s="0" t="s">
        <v>708</v>
      </c>
      <c r="BB1335" s="0" t="str">
        <f t="shared" si="20"/>
        <v>IHVNnaKaru</v>
      </c>
    </row>
    <row r="1336">
      <c r="AV1336" s="0" t="s">
        <v>471</v>
      </c>
      <c r="AW1336" s="0" t="s">
        <v>286</v>
      </c>
      <c r="AX1336" s="0" t="s">
        <v>658</v>
      </c>
      <c r="AY1336" s="0" t="s">
        <v>3719</v>
      </c>
      <c r="AZ1336" s="0" t="s">
        <v>3720</v>
      </c>
      <c r="BA1336" s="0" t="s">
        <v>708</v>
      </c>
      <c r="BB1336" s="0" t="str">
        <f t="shared" si="20"/>
        <v>IHVNnaKaru</v>
      </c>
    </row>
    <row r="1337">
      <c r="AV1337" s="0" t="s">
        <v>471</v>
      </c>
      <c r="AW1337" s="0" t="s">
        <v>286</v>
      </c>
      <c r="AX1337" s="0" t="s">
        <v>658</v>
      </c>
      <c r="AY1337" s="0" t="s">
        <v>3721</v>
      </c>
      <c r="AZ1337" s="0" t="s">
        <v>3722</v>
      </c>
      <c r="BA1337" s="0" t="s">
        <v>708</v>
      </c>
      <c r="BB1337" s="0" t="str">
        <f t="shared" si="20"/>
        <v>IHVNnaKaru</v>
      </c>
    </row>
    <row r="1338">
      <c r="AV1338" s="0" t="s">
        <v>471</v>
      </c>
      <c r="AW1338" s="0" t="s">
        <v>286</v>
      </c>
      <c r="AX1338" s="0" t="s">
        <v>658</v>
      </c>
      <c r="AY1338" s="0" t="s">
        <v>3723</v>
      </c>
      <c r="AZ1338" s="0" t="s">
        <v>3724</v>
      </c>
      <c r="BA1338" s="0" t="s">
        <v>708</v>
      </c>
      <c r="BB1338" s="0" t="str">
        <f t="shared" si="20"/>
        <v>IHVNnaKaru</v>
      </c>
    </row>
    <row r="1339">
      <c r="AV1339" s="0" t="s">
        <v>471</v>
      </c>
      <c r="AW1339" s="0" t="s">
        <v>286</v>
      </c>
      <c r="AX1339" s="0" t="s">
        <v>658</v>
      </c>
      <c r="AY1339" s="0" t="s">
        <v>3725</v>
      </c>
      <c r="AZ1339" s="0" t="s">
        <v>3726</v>
      </c>
      <c r="BA1339" s="0" t="s">
        <v>708</v>
      </c>
      <c r="BB1339" s="0" t="str">
        <f t="shared" si="20"/>
        <v>IHVNnaKaru</v>
      </c>
    </row>
    <row r="1340">
      <c r="AV1340" s="0" t="s">
        <v>471</v>
      </c>
      <c r="AW1340" s="0" t="s">
        <v>286</v>
      </c>
      <c r="AX1340" s="0" t="s">
        <v>658</v>
      </c>
      <c r="AY1340" s="0" t="s">
        <v>3727</v>
      </c>
      <c r="AZ1340" s="0" t="s">
        <v>3728</v>
      </c>
      <c r="BA1340" s="0" t="s">
        <v>708</v>
      </c>
      <c r="BB1340" s="0" t="str">
        <f t="shared" si="20"/>
        <v>IHVNnaKaru</v>
      </c>
    </row>
    <row r="1341">
      <c r="AV1341" s="0" t="s">
        <v>471</v>
      </c>
      <c r="AW1341" s="0" t="s">
        <v>286</v>
      </c>
      <c r="AX1341" s="0" t="s">
        <v>658</v>
      </c>
      <c r="AY1341" s="0" t="s">
        <v>3729</v>
      </c>
      <c r="AZ1341" s="0" t="s">
        <v>3730</v>
      </c>
      <c r="BA1341" s="0" t="s">
        <v>708</v>
      </c>
      <c r="BB1341" s="0" t="str">
        <f t="shared" si="20"/>
        <v>IHVNnaKaru</v>
      </c>
    </row>
    <row r="1342">
      <c r="AV1342" s="0" t="s">
        <v>471</v>
      </c>
      <c r="AW1342" s="0" t="s">
        <v>286</v>
      </c>
      <c r="AX1342" s="0" t="s">
        <v>658</v>
      </c>
      <c r="AY1342" s="0" t="s">
        <v>3731</v>
      </c>
      <c r="AZ1342" s="0" t="s">
        <v>3732</v>
      </c>
      <c r="BA1342" s="0" t="s">
        <v>708</v>
      </c>
      <c r="BB1342" s="0" t="str">
        <f t="shared" si="20"/>
        <v>IHVNnaKaru</v>
      </c>
    </row>
    <row r="1343">
      <c r="AV1343" s="0" t="s">
        <v>471</v>
      </c>
      <c r="AW1343" s="0" t="s">
        <v>286</v>
      </c>
      <c r="AX1343" s="0" t="s">
        <v>658</v>
      </c>
      <c r="AY1343" s="0" t="s">
        <v>3733</v>
      </c>
      <c r="AZ1343" s="0" t="s">
        <v>3734</v>
      </c>
      <c r="BA1343" s="0" t="s">
        <v>708</v>
      </c>
      <c r="BB1343" s="0" t="str">
        <f t="shared" si="20"/>
        <v>IHVNnaKaru</v>
      </c>
    </row>
    <row r="1344">
      <c r="AV1344" s="0" t="s">
        <v>471</v>
      </c>
      <c r="AW1344" s="0" t="s">
        <v>286</v>
      </c>
      <c r="AX1344" s="0" t="s">
        <v>658</v>
      </c>
      <c r="AY1344" s="0" t="s">
        <v>3735</v>
      </c>
      <c r="AZ1344" s="0" t="s">
        <v>3736</v>
      </c>
      <c r="BA1344" s="0" t="s">
        <v>708</v>
      </c>
      <c r="BB1344" s="0" t="str">
        <f t="shared" si="20"/>
        <v>IHVNnaKaru</v>
      </c>
    </row>
    <row r="1345">
      <c r="AV1345" s="0" t="s">
        <v>471</v>
      </c>
      <c r="AW1345" s="0" t="s">
        <v>286</v>
      </c>
      <c r="AX1345" s="0" t="s">
        <v>658</v>
      </c>
      <c r="AY1345" s="0" t="s">
        <v>3737</v>
      </c>
      <c r="AZ1345" s="0" t="s">
        <v>3738</v>
      </c>
      <c r="BA1345" s="0" t="s">
        <v>708</v>
      </c>
      <c r="BB1345" s="0" t="str">
        <f t="shared" si="20"/>
        <v>IHVNnaKaru</v>
      </c>
    </row>
    <row r="1346">
      <c r="AV1346" s="0" t="s">
        <v>471</v>
      </c>
      <c r="AW1346" s="0" t="s">
        <v>286</v>
      </c>
      <c r="AX1346" s="0" t="s">
        <v>658</v>
      </c>
      <c r="AY1346" s="0" t="s">
        <v>3739</v>
      </c>
      <c r="AZ1346" s="0" t="s">
        <v>3740</v>
      </c>
      <c r="BA1346" s="0" t="s">
        <v>708</v>
      </c>
      <c r="BB1346" s="0" t="str">
        <f t="shared" si="20"/>
        <v>IHVNnaKaru</v>
      </c>
    </row>
    <row r="1347">
      <c r="AV1347" s="0" t="s">
        <v>471</v>
      </c>
      <c r="AW1347" s="0" t="s">
        <v>286</v>
      </c>
      <c r="AX1347" s="0" t="s">
        <v>658</v>
      </c>
      <c r="AY1347" s="0" t="s">
        <v>3741</v>
      </c>
      <c r="AZ1347" s="0" t="s">
        <v>3742</v>
      </c>
      <c r="BA1347" s="0" t="s">
        <v>708</v>
      </c>
      <c r="BB1347" s="0" t="str">
        <f ref="BB1347:BB1410" t="shared" si="21">SUBSTITUTE(SUBSTITUTE(BA1347&amp;AX1347," ",""),"-","")</f>
        <v>IHVNnaKaru</v>
      </c>
    </row>
    <row r="1348">
      <c r="AV1348" s="0" t="s">
        <v>471</v>
      </c>
      <c r="AW1348" s="0" t="s">
        <v>286</v>
      </c>
      <c r="AX1348" s="0" t="s">
        <v>658</v>
      </c>
      <c r="AY1348" s="0" t="s">
        <v>3743</v>
      </c>
      <c r="AZ1348" s="0" t="s">
        <v>3744</v>
      </c>
      <c r="BA1348" s="0" t="s">
        <v>708</v>
      </c>
      <c r="BB1348" s="0" t="str">
        <f t="shared" si="21"/>
        <v>IHVNnaKaru</v>
      </c>
    </row>
    <row r="1349">
      <c r="AV1349" s="0" t="s">
        <v>471</v>
      </c>
      <c r="AW1349" s="0" t="s">
        <v>286</v>
      </c>
      <c r="AX1349" s="0" t="s">
        <v>658</v>
      </c>
      <c r="AY1349" s="0" t="s">
        <v>3745</v>
      </c>
      <c r="AZ1349" s="0" t="s">
        <v>3746</v>
      </c>
      <c r="BA1349" s="0" t="s">
        <v>708</v>
      </c>
      <c r="BB1349" s="0" t="str">
        <f t="shared" si="21"/>
        <v>IHVNnaKaru</v>
      </c>
    </row>
    <row r="1350">
      <c r="AV1350" s="0" t="s">
        <v>471</v>
      </c>
      <c r="AW1350" s="0" t="s">
        <v>286</v>
      </c>
      <c r="AX1350" s="0" t="s">
        <v>658</v>
      </c>
      <c r="AY1350" s="0" t="s">
        <v>3747</v>
      </c>
      <c r="AZ1350" s="0" t="s">
        <v>3748</v>
      </c>
      <c r="BA1350" s="0" t="s">
        <v>708</v>
      </c>
      <c r="BB1350" s="0" t="str">
        <f t="shared" si="21"/>
        <v>IHVNnaKaru</v>
      </c>
    </row>
    <row r="1351">
      <c r="AV1351" s="0" t="s">
        <v>471</v>
      </c>
      <c r="AW1351" s="0" t="s">
        <v>286</v>
      </c>
      <c r="AX1351" s="0" t="s">
        <v>658</v>
      </c>
      <c r="AY1351" s="0" t="s">
        <v>3749</v>
      </c>
      <c r="AZ1351" s="0" t="s">
        <v>3750</v>
      </c>
      <c r="BA1351" s="0" t="s">
        <v>708</v>
      </c>
      <c r="BB1351" s="0" t="str">
        <f t="shared" si="21"/>
        <v>IHVNnaKaru</v>
      </c>
    </row>
    <row r="1352">
      <c r="AV1352" s="0" t="s">
        <v>471</v>
      </c>
      <c r="AW1352" s="0" t="s">
        <v>286</v>
      </c>
      <c r="AX1352" s="0" t="s">
        <v>658</v>
      </c>
      <c r="AY1352" s="0" t="s">
        <v>3751</v>
      </c>
      <c r="AZ1352" s="0" t="s">
        <v>3752</v>
      </c>
      <c r="BA1352" s="0" t="s">
        <v>708</v>
      </c>
      <c r="BB1352" s="0" t="str">
        <f t="shared" si="21"/>
        <v>IHVNnaKaru</v>
      </c>
    </row>
    <row r="1353">
      <c r="AV1353" s="0" t="s">
        <v>471</v>
      </c>
      <c r="AW1353" s="0" t="s">
        <v>286</v>
      </c>
      <c r="AX1353" s="0" t="s">
        <v>658</v>
      </c>
      <c r="AY1353" s="0" t="s">
        <v>3753</v>
      </c>
      <c r="AZ1353" s="0" t="s">
        <v>3754</v>
      </c>
      <c r="BA1353" s="0" t="s">
        <v>708</v>
      </c>
      <c r="BB1353" s="0" t="str">
        <f t="shared" si="21"/>
        <v>IHVNnaKaru</v>
      </c>
    </row>
    <row r="1354">
      <c r="AV1354" s="0" t="s">
        <v>471</v>
      </c>
      <c r="AW1354" s="0" t="s">
        <v>286</v>
      </c>
      <c r="AX1354" s="0" t="s">
        <v>658</v>
      </c>
      <c r="AY1354" s="0" t="s">
        <v>3172</v>
      </c>
      <c r="AZ1354" s="0" t="s">
        <v>3755</v>
      </c>
      <c r="BA1354" s="0" t="s">
        <v>708</v>
      </c>
      <c r="BB1354" s="0" t="str">
        <f t="shared" si="21"/>
        <v>IHVNnaKaru</v>
      </c>
    </row>
    <row r="1355">
      <c r="AV1355" s="0" t="s">
        <v>471</v>
      </c>
      <c r="AW1355" s="0" t="s">
        <v>286</v>
      </c>
      <c r="AX1355" s="0" t="s">
        <v>658</v>
      </c>
      <c r="AY1355" s="0" t="s">
        <v>3756</v>
      </c>
      <c r="AZ1355" s="0" t="s">
        <v>3757</v>
      </c>
      <c r="BA1355" s="0" t="s">
        <v>708</v>
      </c>
      <c r="BB1355" s="0" t="str">
        <f t="shared" si="21"/>
        <v>IHVNnaKaru</v>
      </c>
    </row>
    <row r="1356">
      <c r="AV1356" s="0" t="s">
        <v>471</v>
      </c>
      <c r="AW1356" s="0" t="s">
        <v>286</v>
      </c>
      <c r="AX1356" s="0" t="s">
        <v>658</v>
      </c>
      <c r="AY1356" s="0" t="s">
        <v>3758</v>
      </c>
      <c r="AZ1356" s="0" t="s">
        <v>3759</v>
      </c>
      <c r="BA1356" s="0" t="s">
        <v>708</v>
      </c>
      <c r="BB1356" s="0" t="str">
        <f t="shared" si="21"/>
        <v>IHVNnaKaru</v>
      </c>
    </row>
    <row r="1357">
      <c r="AV1357" s="0" t="s">
        <v>471</v>
      </c>
      <c r="AW1357" s="0" t="s">
        <v>286</v>
      </c>
      <c r="AX1357" s="0" t="s">
        <v>694</v>
      </c>
      <c r="AY1357" s="0" t="s">
        <v>3760</v>
      </c>
      <c r="AZ1357" s="0" t="s">
        <v>3761</v>
      </c>
      <c r="BA1357" s="0" t="s">
        <v>708</v>
      </c>
      <c r="BB1357" s="0" t="str">
        <f t="shared" si="21"/>
        <v>IHVNnaKeana</v>
      </c>
    </row>
    <row r="1358">
      <c r="AV1358" s="0" t="s">
        <v>471</v>
      </c>
      <c r="AW1358" s="0" t="s">
        <v>286</v>
      </c>
      <c r="AX1358" s="0" t="s">
        <v>542</v>
      </c>
      <c r="AY1358" s="0" t="s">
        <v>3762</v>
      </c>
      <c r="AZ1358" s="0" t="s">
        <v>3763</v>
      </c>
      <c r="BA1358" s="0" t="s">
        <v>708</v>
      </c>
      <c r="BB1358" s="0" t="str">
        <f t="shared" si="21"/>
        <v>IHVNnaKeffi</v>
      </c>
    </row>
    <row r="1359">
      <c r="AV1359" s="0" t="s">
        <v>471</v>
      </c>
      <c r="AW1359" s="0" t="s">
        <v>286</v>
      </c>
      <c r="AX1359" s="0" t="s">
        <v>542</v>
      </c>
      <c r="AY1359" s="0" t="s">
        <v>3764</v>
      </c>
      <c r="AZ1359" s="0" t="s">
        <v>3765</v>
      </c>
      <c r="BA1359" s="0" t="s">
        <v>708</v>
      </c>
      <c r="BB1359" s="0" t="str">
        <f t="shared" si="21"/>
        <v>IHVNnaKeffi</v>
      </c>
    </row>
    <row r="1360">
      <c r="AV1360" s="0" t="s">
        <v>471</v>
      </c>
      <c r="AW1360" s="0" t="s">
        <v>286</v>
      </c>
      <c r="AX1360" s="0" t="s">
        <v>542</v>
      </c>
      <c r="AY1360" s="0" t="s">
        <v>3766</v>
      </c>
      <c r="AZ1360" s="0" t="s">
        <v>3767</v>
      </c>
      <c r="BA1360" s="0" t="s">
        <v>708</v>
      </c>
      <c r="BB1360" s="0" t="str">
        <f t="shared" si="21"/>
        <v>IHVNnaKeffi</v>
      </c>
    </row>
    <row r="1361">
      <c r="AV1361" s="0" t="s">
        <v>471</v>
      </c>
      <c r="AW1361" s="0" t="s">
        <v>286</v>
      </c>
      <c r="AX1361" s="0" t="s">
        <v>542</v>
      </c>
      <c r="AY1361" s="0" t="s">
        <v>3768</v>
      </c>
      <c r="AZ1361" s="0" t="s">
        <v>3769</v>
      </c>
      <c r="BA1361" s="0" t="s">
        <v>708</v>
      </c>
      <c r="BB1361" s="0" t="str">
        <f t="shared" si="21"/>
        <v>IHVNnaKeffi</v>
      </c>
    </row>
    <row r="1362">
      <c r="AV1362" s="0" t="s">
        <v>471</v>
      </c>
      <c r="AW1362" s="0" t="s">
        <v>286</v>
      </c>
      <c r="AX1362" s="0" t="s">
        <v>729</v>
      </c>
      <c r="AY1362" s="0" t="s">
        <v>3770</v>
      </c>
      <c r="AZ1362" s="0" t="s">
        <v>3771</v>
      </c>
      <c r="BA1362" s="0" t="s">
        <v>708</v>
      </c>
      <c r="BB1362" s="0" t="str">
        <f t="shared" si="21"/>
        <v>IHVNnaKokona</v>
      </c>
    </row>
    <row r="1363">
      <c r="AV1363" s="0" t="s">
        <v>471</v>
      </c>
      <c r="AW1363" s="0" t="s">
        <v>286</v>
      </c>
      <c r="AX1363" s="0" t="s">
        <v>582</v>
      </c>
      <c r="AY1363" s="0" t="s">
        <v>3772</v>
      </c>
      <c r="AZ1363" s="0" t="s">
        <v>3773</v>
      </c>
      <c r="BA1363" s="0" t="s">
        <v>708</v>
      </c>
      <c r="BB1363" s="0" t="str">
        <f t="shared" si="21"/>
        <v>IHVNnaLafia</v>
      </c>
    </row>
    <row r="1364">
      <c r="AV1364" s="0" t="s">
        <v>471</v>
      </c>
      <c r="AW1364" s="0" t="s">
        <v>286</v>
      </c>
      <c r="AX1364" s="0" t="s">
        <v>582</v>
      </c>
      <c r="AY1364" s="0" t="s">
        <v>3774</v>
      </c>
      <c r="AZ1364" s="0" t="s">
        <v>3775</v>
      </c>
      <c r="BA1364" s="0" t="s">
        <v>708</v>
      </c>
      <c r="BB1364" s="0" t="str">
        <f t="shared" si="21"/>
        <v>IHVNnaLafia</v>
      </c>
    </row>
    <row r="1365">
      <c r="AV1365" s="0" t="s">
        <v>471</v>
      </c>
      <c r="AW1365" s="0" t="s">
        <v>286</v>
      </c>
      <c r="AX1365" s="0" t="s">
        <v>582</v>
      </c>
      <c r="AY1365" s="0" t="s">
        <v>3776</v>
      </c>
      <c r="AZ1365" s="0" t="s">
        <v>3777</v>
      </c>
      <c r="BA1365" s="0" t="s">
        <v>708</v>
      </c>
      <c r="BB1365" s="0" t="str">
        <f t="shared" si="21"/>
        <v>IHVNnaLafia</v>
      </c>
    </row>
    <row r="1366">
      <c r="AV1366" s="0" t="s">
        <v>471</v>
      </c>
      <c r="AW1366" s="0" t="s">
        <v>286</v>
      </c>
      <c r="AX1366" s="0" t="s">
        <v>582</v>
      </c>
      <c r="AY1366" s="0" t="s">
        <v>3778</v>
      </c>
      <c r="AZ1366" s="0" t="s">
        <v>3779</v>
      </c>
      <c r="BA1366" s="0" t="s">
        <v>708</v>
      </c>
      <c r="BB1366" s="0" t="str">
        <f t="shared" si="21"/>
        <v>IHVNnaLafia</v>
      </c>
    </row>
    <row r="1367">
      <c r="AV1367" s="0" t="s">
        <v>471</v>
      </c>
      <c r="AW1367" s="0" t="s">
        <v>286</v>
      </c>
      <c r="AX1367" s="0" t="s">
        <v>582</v>
      </c>
      <c r="AY1367" s="0" t="s">
        <v>3780</v>
      </c>
      <c r="AZ1367" s="0" t="s">
        <v>3781</v>
      </c>
      <c r="BA1367" s="0" t="s">
        <v>708</v>
      </c>
      <c r="BB1367" s="0" t="str">
        <f t="shared" si="21"/>
        <v>IHVNnaLafia</v>
      </c>
    </row>
    <row r="1368">
      <c r="AV1368" s="0" t="s">
        <v>471</v>
      </c>
      <c r="AW1368" s="0" t="s">
        <v>286</v>
      </c>
      <c r="AX1368" s="0" t="s">
        <v>582</v>
      </c>
      <c r="AY1368" s="0" t="s">
        <v>3782</v>
      </c>
      <c r="AZ1368" s="0" t="s">
        <v>3783</v>
      </c>
      <c r="BA1368" s="0" t="s">
        <v>708</v>
      </c>
      <c r="BB1368" s="0" t="str">
        <f t="shared" si="21"/>
        <v>IHVNnaLafia</v>
      </c>
    </row>
    <row r="1369">
      <c r="AV1369" s="0" t="s">
        <v>471</v>
      </c>
      <c r="AW1369" s="0" t="s">
        <v>286</v>
      </c>
      <c r="AX1369" s="0" t="s">
        <v>582</v>
      </c>
      <c r="AY1369" s="0" t="s">
        <v>3784</v>
      </c>
      <c r="AZ1369" s="0" t="s">
        <v>3785</v>
      </c>
      <c r="BA1369" s="0" t="s">
        <v>708</v>
      </c>
      <c r="BB1369" s="0" t="str">
        <f t="shared" si="21"/>
        <v>IHVNnaLafia</v>
      </c>
    </row>
    <row r="1370">
      <c r="AV1370" s="0" t="s">
        <v>471</v>
      </c>
      <c r="AW1370" s="0" t="s">
        <v>286</v>
      </c>
      <c r="AX1370" s="0" t="s">
        <v>582</v>
      </c>
      <c r="AY1370" s="0" t="s">
        <v>3786</v>
      </c>
      <c r="AZ1370" s="0" t="s">
        <v>3787</v>
      </c>
      <c r="BA1370" s="0" t="s">
        <v>708</v>
      </c>
      <c r="BB1370" s="0" t="str">
        <f t="shared" si="21"/>
        <v>IHVNnaLafia</v>
      </c>
    </row>
    <row r="1371">
      <c r="AV1371" s="0" t="s">
        <v>471</v>
      </c>
      <c r="AW1371" s="0" t="s">
        <v>286</v>
      </c>
      <c r="AX1371" s="0" t="s">
        <v>582</v>
      </c>
      <c r="AY1371" s="0" t="s">
        <v>3788</v>
      </c>
      <c r="AZ1371" s="0" t="s">
        <v>3789</v>
      </c>
      <c r="BA1371" s="0" t="s">
        <v>708</v>
      </c>
      <c r="BB1371" s="0" t="str">
        <f t="shared" si="21"/>
        <v>IHVNnaLafia</v>
      </c>
    </row>
    <row r="1372">
      <c r="AV1372" s="0" t="s">
        <v>471</v>
      </c>
      <c r="AW1372" s="0" t="s">
        <v>286</v>
      </c>
      <c r="AX1372" s="0" t="s">
        <v>582</v>
      </c>
      <c r="AY1372" s="0" t="s">
        <v>3790</v>
      </c>
      <c r="AZ1372" s="0" t="s">
        <v>3791</v>
      </c>
      <c r="BA1372" s="0" t="s">
        <v>708</v>
      </c>
      <c r="BB1372" s="0" t="str">
        <f t="shared" si="21"/>
        <v>IHVNnaLafia</v>
      </c>
    </row>
    <row r="1373">
      <c r="AV1373" s="0" t="s">
        <v>471</v>
      </c>
      <c r="AW1373" s="0" t="s">
        <v>286</v>
      </c>
      <c r="AX1373" s="0" t="s">
        <v>582</v>
      </c>
      <c r="AY1373" s="0" t="s">
        <v>3792</v>
      </c>
      <c r="AZ1373" s="0" t="s">
        <v>3793</v>
      </c>
      <c r="BA1373" s="0" t="s">
        <v>708</v>
      </c>
      <c r="BB1373" s="0" t="str">
        <f t="shared" si="21"/>
        <v>IHVNnaLafia</v>
      </c>
    </row>
    <row r="1374">
      <c r="AV1374" s="0" t="s">
        <v>471</v>
      </c>
      <c r="AW1374" s="0" t="s">
        <v>286</v>
      </c>
      <c r="AX1374" s="0" t="s">
        <v>582</v>
      </c>
      <c r="AY1374" s="0" t="s">
        <v>3794</v>
      </c>
      <c r="AZ1374" s="0" t="s">
        <v>3795</v>
      </c>
      <c r="BA1374" s="0" t="s">
        <v>708</v>
      </c>
      <c r="BB1374" s="0" t="str">
        <f t="shared" si="21"/>
        <v>IHVNnaLafia</v>
      </c>
    </row>
    <row r="1375">
      <c r="AV1375" s="0" t="s">
        <v>471</v>
      </c>
      <c r="AW1375" s="0" t="s">
        <v>286</v>
      </c>
      <c r="AX1375" s="0" t="s">
        <v>582</v>
      </c>
      <c r="AY1375" s="0" t="s">
        <v>3796</v>
      </c>
      <c r="AZ1375" s="0" t="s">
        <v>3797</v>
      </c>
      <c r="BA1375" s="0" t="s">
        <v>708</v>
      </c>
      <c r="BB1375" s="0" t="str">
        <f t="shared" si="21"/>
        <v>IHVNnaLafia</v>
      </c>
    </row>
    <row r="1376">
      <c r="AV1376" s="0" t="s">
        <v>471</v>
      </c>
      <c r="AW1376" s="0" t="s">
        <v>286</v>
      </c>
      <c r="AX1376" s="0" t="s">
        <v>582</v>
      </c>
      <c r="AY1376" s="0" t="s">
        <v>3798</v>
      </c>
      <c r="AZ1376" s="0" t="s">
        <v>3799</v>
      </c>
      <c r="BA1376" s="0" t="s">
        <v>708</v>
      </c>
      <c r="BB1376" s="0" t="str">
        <f t="shared" si="21"/>
        <v>IHVNnaLafia</v>
      </c>
    </row>
    <row r="1377">
      <c r="AV1377" s="0" t="s">
        <v>471</v>
      </c>
      <c r="AW1377" s="0" t="s">
        <v>286</v>
      </c>
      <c r="AX1377" s="0" t="s">
        <v>582</v>
      </c>
      <c r="AY1377" s="0" t="s">
        <v>3800</v>
      </c>
      <c r="AZ1377" s="0" t="s">
        <v>3801</v>
      </c>
      <c r="BA1377" s="0" t="s">
        <v>708</v>
      </c>
      <c r="BB1377" s="0" t="str">
        <f t="shared" si="21"/>
        <v>IHVNnaLafia</v>
      </c>
    </row>
    <row r="1378">
      <c r="AV1378" s="0" t="s">
        <v>471</v>
      </c>
      <c r="AW1378" s="0" t="s">
        <v>286</v>
      </c>
      <c r="AX1378" s="0" t="s">
        <v>582</v>
      </c>
      <c r="AY1378" s="0" t="s">
        <v>3802</v>
      </c>
      <c r="AZ1378" s="0" t="s">
        <v>3803</v>
      </c>
      <c r="BA1378" s="0" t="s">
        <v>708</v>
      </c>
      <c r="BB1378" s="0" t="str">
        <f t="shared" si="21"/>
        <v>IHVNnaLafia</v>
      </c>
    </row>
    <row r="1379">
      <c r="AV1379" s="0" t="s">
        <v>471</v>
      </c>
      <c r="AW1379" s="0" t="s">
        <v>286</v>
      </c>
      <c r="AX1379" s="0" t="s">
        <v>582</v>
      </c>
      <c r="AY1379" s="0" t="s">
        <v>3804</v>
      </c>
      <c r="AZ1379" s="0" t="s">
        <v>3805</v>
      </c>
      <c r="BA1379" s="0" t="s">
        <v>708</v>
      </c>
      <c r="BB1379" s="0" t="str">
        <f t="shared" si="21"/>
        <v>IHVNnaLafia</v>
      </c>
    </row>
    <row r="1380">
      <c r="AV1380" s="0" t="s">
        <v>471</v>
      </c>
      <c r="AW1380" s="0" t="s">
        <v>286</v>
      </c>
      <c r="AX1380" s="0" t="s">
        <v>582</v>
      </c>
      <c r="AY1380" s="0" t="s">
        <v>3806</v>
      </c>
      <c r="AZ1380" s="0" t="s">
        <v>3807</v>
      </c>
      <c r="BA1380" s="0" t="s">
        <v>708</v>
      </c>
      <c r="BB1380" s="0" t="str">
        <f t="shared" si="21"/>
        <v>IHVNnaLafia</v>
      </c>
    </row>
    <row r="1381">
      <c r="AV1381" s="0" t="s">
        <v>471</v>
      </c>
      <c r="AW1381" s="0" t="s">
        <v>286</v>
      </c>
      <c r="AX1381" s="0" t="s">
        <v>582</v>
      </c>
      <c r="AY1381" s="0" t="s">
        <v>3808</v>
      </c>
      <c r="AZ1381" s="0" t="s">
        <v>3809</v>
      </c>
      <c r="BA1381" s="0" t="s">
        <v>708</v>
      </c>
      <c r="BB1381" s="0" t="str">
        <f t="shared" si="21"/>
        <v>IHVNnaLafia</v>
      </c>
    </row>
    <row r="1382">
      <c r="AV1382" s="0" t="s">
        <v>471</v>
      </c>
      <c r="AW1382" s="0" t="s">
        <v>286</v>
      </c>
      <c r="AX1382" s="0" t="s">
        <v>582</v>
      </c>
      <c r="AY1382" s="0" t="s">
        <v>3810</v>
      </c>
      <c r="AZ1382" s="0" t="s">
        <v>3811</v>
      </c>
      <c r="BA1382" s="0" t="s">
        <v>708</v>
      </c>
      <c r="BB1382" s="0" t="str">
        <f t="shared" si="21"/>
        <v>IHVNnaLafia</v>
      </c>
    </row>
    <row r="1383">
      <c r="AV1383" s="0" t="s">
        <v>471</v>
      </c>
      <c r="AW1383" s="0" t="s">
        <v>286</v>
      </c>
      <c r="AX1383" s="0" t="s">
        <v>582</v>
      </c>
      <c r="AY1383" s="0" t="s">
        <v>3812</v>
      </c>
      <c r="AZ1383" s="0" t="s">
        <v>3813</v>
      </c>
      <c r="BA1383" s="0" t="s">
        <v>708</v>
      </c>
      <c r="BB1383" s="0" t="str">
        <f t="shared" si="21"/>
        <v>IHVNnaLafia</v>
      </c>
    </row>
    <row r="1384">
      <c r="AV1384" s="0" t="s">
        <v>471</v>
      </c>
      <c r="AW1384" s="0" t="s">
        <v>286</v>
      </c>
      <c r="AX1384" s="0" t="s">
        <v>582</v>
      </c>
      <c r="AY1384" s="0" t="s">
        <v>3814</v>
      </c>
      <c r="AZ1384" s="0" t="s">
        <v>3815</v>
      </c>
      <c r="BA1384" s="0" t="s">
        <v>708</v>
      </c>
      <c r="BB1384" s="0" t="str">
        <f t="shared" si="21"/>
        <v>IHVNnaLafia</v>
      </c>
    </row>
    <row r="1385">
      <c r="AV1385" s="0" t="s">
        <v>471</v>
      </c>
      <c r="AW1385" s="0" t="s">
        <v>286</v>
      </c>
      <c r="AX1385" s="0" t="s">
        <v>582</v>
      </c>
      <c r="AY1385" s="0" t="s">
        <v>3816</v>
      </c>
      <c r="AZ1385" s="0" t="s">
        <v>3817</v>
      </c>
      <c r="BA1385" s="0" t="s">
        <v>708</v>
      </c>
      <c r="BB1385" s="0" t="str">
        <f t="shared" si="21"/>
        <v>IHVNnaLafia</v>
      </c>
    </row>
    <row r="1386">
      <c r="AV1386" s="0" t="s">
        <v>471</v>
      </c>
      <c r="AW1386" s="0" t="s">
        <v>286</v>
      </c>
      <c r="AX1386" s="0" t="s">
        <v>582</v>
      </c>
      <c r="AY1386" s="0" t="s">
        <v>3818</v>
      </c>
      <c r="AZ1386" s="0" t="s">
        <v>3819</v>
      </c>
      <c r="BA1386" s="0" t="s">
        <v>708</v>
      </c>
      <c r="BB1386" s="0" t="str">
        <f t="shared" si="21"/>
        <v>IHVNnaLafia</v>
      </c>
    </row>
    <row r="1387">
      <c r="AV1387" s="0" t="s">
        <v>471</v>
      </c>
      <c r="AW1387" s="0" t="s">
        <v>286</v>
      </c>
      <c r="AX1387" s="0" t="s">
        <v>582</v>
      </c>
      <c r="AY1387" s="0" t="s">
        <v>3820</v>
      </c>
      <c r="AZ1387" s="0" t="s">
        <v>3821</v>
      </c>
      <c r="BA1387" s="0" t="s">
        <v>708</v>
      </c>
      <c r="BB1387" s="0" t="str">
        <f t="shared" si="21"/>
        <v>IHVNnaLafia</v>
      </c>
    </row>
    <row r="1388">
      <c r="AV1388" s="0" t="s">
        <v>471</v>
      </c>
      <c r="AW1388" s="0" t="s">
        <v>286</v>
      </c>
      <c r="AX1388" s="0" t="s">
        <v>582</v>
      </c>
      <c r="AY1388" s="0" t="s">
        <v>3822</v>
      </c>
      <c r="AZ1388" s="0" t="s">
        <v>3823</v>
      </c>
      <c r="BA1388" s="0" t="s">
        <v>708</v>
      </c>
      <c r="BB1388" s="0" t="str">
        <f t="shared" si="21"/>
        <v>IHVNnaLafia</v>
      </c>
    </row>
    <row r="1389">
      <c r="AV1389" s="0" t="s">
        <v>471</v>
      </c>
      <c r="AW1389" s="0" t="s">
        <v>286</v>
      </c>
      <c r="AX1389" s="0" t="s">
        <v>582</v>
      </c>
      <c r="AY1389" s="0" t="s">
        <v>3824</v>
      </c>
      <c r="AZ1389" s="0" t="s">
        <v>3825</v>
      </c>
      <c r="BA1389" s="0" t="s">
        <v>708</v>
      </c>
      <c r="BB1389" s="0" t="str">
        <f t="shared" si="21"/>
        <v>IHVNnaLafia</v>
      </c>
    </row>
    <row r="1390">
      <c r="AV1390" s="0" t="s">
        <v>471</v>
      </c>
      <c r="AW1390" s="0" t="s">
        <v>286</v>
      </c>
      <c r="AX1390" s="0" t="s">
        <v>582</v>
      </c>
      <c r="AY1390" s="0" t="s">
        <v>3826</v>
      </c>
      <c r="AZ1390" s="0" t="s">
        <v>3827</v>
      </c>
      <c r="BA1390" s="0" t="s">
        <v>708</v>
      </c>
      <c r="BB1390" s="0" t="str">
        <f t="shared" si="21"/>
        <v>IHVNnaLafia</v>
      </c>
    </row>
    <row r="1391">
      <c r="AV1391" s="0" t="s">
        <v>471</v>
      </c>
      <c r="AW1391" s="0" t="s">
        <v>286</v>
      </c>
      <c r="AX1391" s="0" t="s">
        <v>582</v>
      </c>
      <c r="AY1391" s="0" t="s">
        <v>3828</v>
      </c>
      <c r="AZ1391" s="0" t="s">
        <v>3829</v>
      </c>
      <c r="BA1391" s="0" t="s">
        <v>708</v>
      </c>
      <c r="BB1391" s="0" t="str">
        <f t="shared" si="21"/>
        <v>IHVNnaLafia</v>
      </c>
    </row>
    <row r="1392">
      <c r="AV1392" s="0" t="s">
        <v>471</v>
      </c>
      <c r="AW1392" s="0" t="s">
        <v>286</v>
      </c>
      <c r="AX1392" s="0" t="s">
        <v>582</v>
      </c>
      <c r="AY1392" s="0" t="s">
        <v>3830</v>
      </c>
      <c r="AZ1392" s="0" t="s">
        <v>3831</v>
      </c>
      <c r="BA1392" s="0" t="s">
        <v>708</v>
      </c>
      <c r="BB1392" s="0" t="str">
        <f t="shared" si="21"/>
        <v>IHVNnaLafia</v>
      </c>
    </row>
    <row r="1393">
      <c r="AV1393" s="0" t="s">
        <v>471</v>
      </c>
      <c r="AW1393" s="0" t="s">
        <v>286</v>
      </c>
      <c r="AX1393" s="0" t="s">
        <v>582</v>
      </c>
      <c r="AY1393" s="0" t="s">
        <v>3832</v>
      </c>
      <c r="AZ1393" s="0" t="s">
        <v>3833</v>
      </c>
      <c r="BA1393" s="0" t="s">
        <v>708</v>
      </c>
      <c r="BB1393" s="0" t="str">
        <f t="shared" si="21"/>
        <v>IHVNnaLafia</v>
      </c>
    </row>
    <row r="1394">
      <c r="AV1394" s="0" t="s">
        <v>471</v>
      </c>
      <c r="AW1394" s="0" t="s">
        <v>286</v>
      </c>
      <c r="AX1394" s="0" t="s">
        <v>582</v>
      </c>
      <c r="AY1394" s="0" t="s">
        <v>3834</v>
      </c>
      <c r="AZ1394" s="0" t="s">
        <v>3835</v>
      </c>
      <c r="BA1394" s="0" t="s">
        <v>708</v>
      </c>
      <c r="BB1394" s="0" t="str">
        <f t="shared" si="21"/>
        <v>IHVNnaLafia</v>
      </c>
    </row>
    <row r="1395">
      <c r="AV1395" s="0" t="s">
        <v>471</v>
      </c>
      <c r="AW1395" s="0" t="s">
        <v>286</v>
      </c>
      <c r="AX1395" s="0" t="s">
        <v>582</v>
      </c>
      <c r="AY1395" s="0" t="s">
        <v>3836</v>
      </c>
      <c r="AZ1395" s="0" t="s">
        <v>3837</v>
      </c>
      <c r="BA1395" s="0" t="s">
        <v>708</v>
      </c>
      <c r="BB1395" s="0" t="str">
        <f t="shared" si="21"/>
        <v>IHVNnaLafia</v>
      </c>
    </row>
    <row r="1396">
      <c r="AV1396" s="0" t="s">
        <v>471</v>
      </c>
      <c r="AW1396" s="0" t="s">
        <v>286</v>
      </c>
      <c r="AX1396" s="0" t="s">
        <v>582</v>
      </c>
      <c r="AY1396" s="0" t="s">
        <v>3838</v>
      </c>
      <c r="AZ1396" s="0" t="s">
        <v>3839</v>
      </c>
      <c r="BA1396" s="0" t="s">
        <v>708</v>
      </c>
      <c r="BB1396" s="0" t="str">
        <f t="shared" si="21"/>
        <v>IHVNnaLafia</v>
      </c>
    </row>
    <row r="1397">
      <c r="AV1397" s="0" t="s">
        <v>471</v>
      </c>
      <c r="AW1397" s="0" t="s">
        <v>286</v>
      </c>
      <c r="AX1397" s="0" t="s">
        <v>582</v>
      </c>
      <c r="AY1397" s="0" t="s">
        <v>3840</v>
      </c>
      <c r="AZ1397" s="0" t="s">
        <v>3841</v>
      </c>
      <c r="BA1397" s="0" t="s">
        <v>708</v>
      </c>
      <c r="BB1397" s="0" t="str">
        <f t="shared" si="21"/>
        <v>IHVNnaLafia</v>
      </c>
    </row>
    <row r="1398">
      <c r="AV1398" s="0" t="s">
        <v>471</v>
      </c>
      <c r="AW1398" s="0" t="s">
        <v>286</v>
      </c>
      <c r="AX1398" s="0" t="s">
        <v>582</v>
      </c>
      <c r="AY1398" s="0" t="s">
        <v>3842</v>
      </c>
      <c r="AZ1398" s="0" t="s">
        <v>3843</v>
      </c>
      <c r="BA1398" s="0" t="s">
        <v>708</v>
      </c>
      <c r="BB1398" s="0" t="str">
        <f t="shared" si="21"/>
        <v>IHVNnaLafia</v>
      </c>
    </row>
    <row r="1399">
      <c r="AV1399" s="0" t="s">
        <v>471</v>
      </c>
      <c r="AW1399" s="0" t="s">
        <v>286</v>
      </c>
      <c r="AX1399" s="0" t="s">
        <v>582</v>
      </c>
      <c r="AY1399" s="0" t="s">
        <v>3844</v>
      </c>
      <c r="AZ1399" s="0" t="s">
        <v>3845</v>
      </c>
      <c r="BA1399" s="0" t="s">
        <v>708</v>
      </c>
      <c r="BB1399" s="0" t="str">
        <f t="shared" si="21"/>
        <v>IHVNnaLafia</v>
      </c>
    </row>
    <row r="1400">
      <c r="AV1400" s="0" t="s">
        <v>471</v>
      </c>
      <c r="AW1400" s="0" t="s">
        <v>286</v>
      </c>
      <c r="AX1400" s="0" t="s">
        <v>582</v>
      </c>
      <c r="AY1400" s="0" t="s">
        <v>3846</v>
      </c>
      <c r="AZ1400" s="0" t="s">
        <v>3847</v>
      </c>
      <c r="BA1400" s="0" t="s">
        <v>708</v>
      </c>
      <c r="BB1400" s="0" t="str">
        <f t="shared" si="21"/>
        <v>IHVNnaLafia</v>
      </c>
    </row>
    <row r="1401">
      <c r="AV1401" s="0" t="s">
        <v>471</v>
      </c>
      <c r="AW1401" s="0" t="s">
        <v>286</v>
      </c>
      <c r="AX1401" s="0" t="s">
        <v>582</v>
      </c>
      <c r="AY1401" s="0" t="s">
        <v>3848</v>
      </c>
      <c r="AZ1401" s="0" t="s">
        <v>3849</v>
      </c>
      <c r="BA1401" s="0" t="s">
        <v>708</v>
      </c>
      <c r="BB1401" s="0" t="str">
        <f t="shared" si="21"/>
        <v>IHVNnaLafia</v>
      </c>
    </row>
    <row r="1402">
      <c r="AV1402" s="0" t="s">
        <v>471</v>
      </c>
      <c r="AW1402" s="0" t="s">
        <v>286</v>
      </c>
      <c r="AX1402" s="0" t="s">
        <v>762</v>
      </c>
      <c r="AY1402" s="0" t="s">
        <v>3850</v>
      </c>
      <c r="AZ1402" s="0" t="s">
        <v>3851</v>
      </c>
      <c r="BA1402" s="0" t="s">
        <v>708</v>
      </c>
      <c r="BB1402" s="0" t="str">
        <f t="shared" si="21"/>
        <v>IHVNnaNasarawa</v>
      </c>
    </row>
    <row r="1403">
      <c r="AV1403" s="0" t="s">
        <v>471</v>
      </c>
      <c r="AW1403" s="0" t="s">
        <v>286</v>
      </c>
      <c r="AX1403" s="0" t="s">
        <v>762</v>
      </c>
      <c r="AY1403" s="0" t="s">
        <v>3852</v>
      </c>
      <c r="AZ1403" s="0" t="s">
        <v>3853</v>
      </c>
      <c r="BA1403" s="0" t="s">
        <v>708</v>
      </c>
      <c r="BB1403" s="0" t="str">
        <f t="shared" si="21"/>
        <v>IHVNnaNasarawa</v>
      </c>
    </row>
    <row r="1404">
      <c r="AV1404" s="0" t="s">
        <v>471</v>
      </c>
      <c r="AW1404" s="0" t="s">
        <v>286</v>
      </c>
      <c r="AX1404" s="0" t="s">
        <v>762</v>
      </c>
      <c r="AY1404" s="0" t="s">
        <v>3854</v>
      </c>
      <c r="AZ1404" s="0" t="s">
        <v>3855</v>
      </c>
      <c r="BA1404" s="0" t="s">
        <v>708</v>
      </c>
      <c r="BB1404" s="0" t="str">
        <f t="shared" si="21"/>
        <v>IHVNnaNasarawa</v>
      </c>
    </row>
    <row r="1405">
      <c r="AV1405" s="0" t="s">
        <v>471</v>
      </c>
      <c r="AW1405" s="0" t="s">
        <v>286</v>
      </c>
      <c r="AX1405" s="0" t="s">
        <v>762</v>
      </c>
      <c r="AY1405" s="0" t="s">
        <v>3856</v>
      </c>
      <c r="AZ1405" s="0" t="s">
        <v>3857</v>
      </c>
      <c r="BA1405" s="0" t="s">
        <v>708</v>
      </c>
      <c r="BB1405" s="0" t="str">
        <f t="shared" si="21"/>
        <v>IHVNnaNasarawa</v>
      </c>
    </row>
    <row r="1406">
      <c r="AV1406" s="0" t="s">
        <v>471</v>
      </c>
      <c r="AW1406" s="0" t="s">
        <v>286</v>
      </c>
      <c r="AX1406" s="0" t="s">
        <v>762</v>
      </c>
      <c r="AY1406" s="0" t="s">
        <v>3858</v>
      </c>
      <c r="AZ1406" s="0" t="s">
        <v>3859</v>
      </c>
      <c r="BA1406" s="0" t="s">
        <v>708</v>
      </c>
      <c r="BB1406" s="0" t="str">
        <f t="shared" si="21"/>
        <v>IHVNnaNasarawa</v>
      </c>
    </row>
    <row r="1407">
      <c r="AV1407" s="0" t="s">
        <v>471</v>
      </c>
      <c r="AW1407" s="0" t="s">
        <v>286</v>
      </c>
      <c r="AX1407" s="0" t="s">
        <v>762</v>
      </c>
      <c r="AY1407" s="0" t="s">
        <v>3860</v>
      </c>
      <c r="AZ1407" s="0" t="s">
        <v>3861</v>
      </c>
      <c r="BA1407" s="0" t="s">
        <v>708</v>
      </c>
      <c r="BB1407" s="0" t="str">
        <f t="shared" si="21"/>
        <v>IHVNnaNasarawa</v>
      </c>
    </row>
    <row r="1408">
      <c r="AV1408" s="0" t="s">
        <v>471</v>
      </c>
      <c r="AW1408" s="0" t="s">
        <v>286</v>
      </c>
      <c r="AX1408" s="0" t="s">
        <v>762</v>
      </c>
      <c r="AY1408" s="0" t="s">
        <v>3862</v>
      </c>
      <c r="AZ1408" s="0" t="s">
        <v>3863</v>
      </c>
      <c r="BA1408" s="0" t="s">
        <v>708</v>
      </c>
      <c r="BB1408" s="0" t="str">
        <f t="shared" si="21"/>
        <v>IHVNnaNasarawa</v>
      </c>
    </row>
    <row r="1409">
      <c r="AV1409" s="0" t="s">
        <v>471</v>
      </c>
      <c r="AW1409" s="0" t="s">
        <v>286</v>
      </c>
      <c r="AX1409" s="0" t="s">
        <v>762</v>
      </c>
      <c r="AY1409" s="0" t="s">
        <v>3864</v>
      </c>
      <c r="AZ1409" s="0" t="s">
        <v>3865</v>
      </c>
      <c r="BA1409" s="0" t="s">
        <v>708</v>
      </c>
      <c r="BB1409" s="0" t="str">
        <f t="shared" si="21"/>
        <v>IHVNnaNasarawa</v>
      </c>
    </row>
    <row r="1410">
      <c r="AV1410" s="0" t="s">
        <v>471</v>
      </c>
      <c r="AW1410" s="0" t="s">
        <v>286</v>
      </c>
      <c r="AX1410" s="0" t="s">
        <v>762</v>
      </c>
      <c r="AY1410" s="0" t="s">
        <v>3866</v>
      </c>
      <c r="AZ1410" s="0" t="s">
        <v>3867</v>
      </c>
      <c r="BA1410" s="0" t="s">
        <v>708</v>
      </c>
      <c r="BB1410" s="0" t="str">
        <f t="shared" si="21"/>
        <v>IHVNnaNasarawa</v>
      </c>
    </row>
    <row r="1411">
      <c r="AV1411" s="0" t="s">
        <v>471</v>
      </c>
      <c r="AW1411" s="0" t="s">
        <v>286</v>
      </c>
      <c r="AX1411" s="0" t="s">
        <v>762</v>
      </c>
      <c r="AY1411" s="0" t="s">
        <v>3868</v>
      </c>
      <c r="AZ1411" s="0" t="s">
        <v>3869</v>
      </c>
      <c r="BA1411" s="0" t="s">
        <v>708</v>
      </c>
      <c r="BB1411" s="0" t="str">
        <f ref="BB1411:BB1474" t="shared" si="22">SUBSTITUTE(SUBSTITUTE(BA1411&amp;AX1411," ",""),"-","")</f>
        <v>IHVNnaNasarawa</v>
      </c>
    </row>
    <row r="1412">
      <c r="AV1412" s="0" t="s">
        <v>471</v>
      </c>
      <c r="AW1412" s="0" t="s">
        <v>286</v>
      </c>
      <c r="AX1412" s="0" t="s">
        <v>762</v>
      </c>
      <c r="AY1412" s="0" t="s">
        <v>3870</v>
      </c>
      <c r="AZ1412" s="0" t="s">
        <v>3871</v>
      </c>
      <c r="BA1412" s="0" t="s">
        <v>708</v>
      </c>
      <c r="BB1412" s="0" t="str">
        <f t="shared" si="22"/>
        <v>IHVNnaNasarawa</v>
      </c>
    </row>
    <row r="1413">
      <c r="AV1413" s="0" t="s">
        <v>471</v>
      </c>
      <c r="AW1413" s="0" t="s">
        <v>286</v>
      </c>
      <c r="AX1413" s="0" t="s">
        <v>762</v>
      </c>
      <c r="AY1413" s="0" t="s">
        <v>3872</v>
      </c>
      <c r="AZ1413" s="0" t="s">
        <v>3873</v>
      </c>
      <c r="BA1413" s="0" t="s">
        <v>708</v>
      </c>
      <c r="BB1413" s="0" t="str">
        <f t="shared" si="22"/>
        <v>IHVNnaNasarawa</v>
      </c>
    </row>
    <row r="1414">
      <c r="AV1414" s="0" t="s">
        <v>471</v>
      </c>
      <c r="AW1414" s="0" t="s">
        <v>286</v>
      </c>
      <c r="AX1414" s="0" t="s">
        <v>762</v>
      </c>
      <c r="AY1414" s="0" t="s">
        <v>3874</v>
      </c>
      <c r="AZ1414" s="0" t="s">
        <v>3875</v>
      </c>
      <c r="BA1414" s="0" t="s">
        <v>708</v>
      </c>
      <c r="BB1414" s="0" t="str">
        <f t="shared" si="22"/>
        <v>IHVNnaNasarawa</v>
      </c>
    </row>
    <row r="1415">
      <c r="AV1415" s="0" t="s">
        <v>471</v>
      </c>
      <c r="AW1415" s="0" t="s">
        <v>286</v>
      </c>
      <c r="AX1415" s="0" t="s">
        <v>762</v>
      </c>
      <c r="AY1415" s="0" t="s">
        <v>3876</v>
      </c>
      <c r="AZ1415" s="0" t="s">
        <v>3877</v>
      </c>
      <c r="BA1415" s="0" t="s">
        <v>708</v>
      </c>
      <c r="BB1415" s="0" t="str">
        <f t="shared" si="22"/>
        <v>IHVNnaNasarawa</v>
      </c>
    </row>
    <row r="1416">
      <c r="AV1416" s="0" t="s">
        <v>471</v>
      </c>
      <c r="AW1416" s="0" t="s">
        <v>286</v>
      </c>
      <c r="AX1416" s="0" t="s">
        <v>762</v>
      </c>
      <c r="AY1416" s="0" t="s">
        <v>3878</v>
      </c>
      <c r="AZ1416" s="0" t="s">
        <v>3879</v>
      </c>
      <c r="BA1416" s="0" t="s">
        <v>708</v>
      </c>
      <c r="BB1416" s="0" t="str">
        <f t="shared" si="22"/>
        <v>IHVNnaNasarawa</v>
      </c>
    </row>
    <row r="1417">
      <c r="AV1417" s="0" t="s">
        <v>471</v>
      </c>
      <c r="AW1417" s="0" t="s">
        <v>286</v>
      </c>
      <c r="AX1417" s="0" t="s">
        <v>762</v>
      </c>
      <c r="AY1417" s="0" t="s">
        <v>3880</v>
      </c>
      <c r="AZ1417" s="0" t="s">
        <v>3881</v>
      </c>
      <c r="BA1417" s="0" t="s">
        <v>708</v>
      </c>
      <c r="BB1417" s="0" t="str">
        <f t="shared" si="22"/>
        <v>IHVNnaNasarawa</v>
      </c>
    </row>
    <row r="1418">
      <c r="AV1418" s="0" t="s">
        <v>471</v>
      </c>
      <c r="AW1418" s="0" t="s">
        <v>286</v>
      </c>
      <c r="AX1418" s="0" t="s">
        <v>762</v>
      </c>
      <c r="AY1418" s="0" t="s">
        <v>3882</v>
      </c>
      <c r="AZ1418" s="0" t="s">
        <v>3883</v>
      </c>
      <c r="BA1418" s="0" t="s">
        <v>708</v>
      </c>
      <c r="BB1418" s="0" t="str">
        <f t="shared" si="22"/>
        <v>IHVNnaNasarawa</v>
      </c>
    </row>
    <row r="1419">
      <c r="AV1419" s="0" t="s">
        <v>471</v>
      </c>
      <c r="AW1419" s="0" t="s">
        <v>286</v>
      </c>
      <c r="AX1419" s="0" t="s">
        <v>762</v>
      </c>
      <c r="AY1419" s="0" t="s">
        <v>3884</v>
      </c>
      <c r="AZ1419" s="0" t="s">
        <v>3885</v>
      </c>
      <c r="BA1419" s="0" t="s">
        <v>708</v>
      </c>
      <c r="BB1419" s="0" t="str">
        <f t="shared" si="22"/>
        <v>IHVNnaNasarawa</v>
      </c>
    </row>
    <row r="1420">
      <c r="AV1420" s="0" t="s">
        <v>471</v>
      </c>
      <c r="AW1420" s="0" t="s">
        <v>286</v>
      </c>
      <c r="AX1420" s="0" t="s">
        <v>762</v>
      </c>
      <c r="AY1420" s="0" t="s">
        <v>3886</v>
      </c>
      <c r="AZ1420" s="0" t="s">
        <v>3887</v>
      </c>
      <c r="BA1420" s="0" t="s">
        <v>708</v>
      </c>
      <c r="BB1420" s="0" t="str">
        <f t="shared" si="22"/>
        <v>IHVNnaNasarawa</v>
      </c>
    </row>
    <row r="1421">
      <c r="AV1421" s="0" t="s">
        <v>471</v>
      </c>
      <c r="AW1421" s="0" t="s">
        <v>286</v>
      </c>
      <c r="AX1421" s="0" t="s">
        <v>762</v>
      </c>
      <c r="AY1421" s="0" t="s">
        <v>3888</v>
      </c>
      <c r="AZ1421" s="0" t="s">
        <v>3889</v>
      </c>
      <c r="BA1421" s="0" t="s">
        <v>708</v>
      </c>
      <c r="BB1421" s="0" t="str">
        <f t="shared" si="22"/>
        <v>IHVNnaNasarawa</v>
      </c>
    </row>
    <row r="1422">
      <c r="AV1422" s="0" t="s">
        <v>471</v>
      </c>
      <c r="AW1422" s="0" t="s">
        <v>286</v>
      </c>
      <c r="AX1422" s="0" t="s">
        <v>762</v>
      </c>
      <c r="AY1422" s="0" t="s">
        <v>3890</v>
      </c>
      <c r="AZ1422" s="0" t="s">
        <v>3891</v>
      </c>
      <c r="BA1422" s="0" t="s">
        <v>708</v>
      </c>
      <c r="BB1422" s="0" t="str">
        <f t="shared" si="22"/>
        <v>IHVNnaNasarawa</v>
      </c>
    </row>
    <row r="1423">
      <c r="AV1423" s="0" t="s">
        <v>471</v>
      </c>
      <c r="AW1423" s="0" t="s">
        <v>286</v>
      </c>
      <c r="AX1423" s="0" t="s">
        <v>762</v>
      </c>
      <c r="AY1423" s="0" t="s">
        <v>3892</v>
      </c>
      <c r="AZ1423" s="0" t="s">
        <v>3893</v>
      </c>
      <c r="BA1423" s="0" t="s">
        <v>708</v>
      </c>
      <c r="BB1423" s="0" t="str">
        <f t="shared" si="22"/>
        <v>IHVNnaNasarawa</v>
      </c>
    </row>
    <row r="1424">
      <c r="AV1424" s="0" t="s">
        <v>471</v>
      </c>
      <c r="AW1424" s="0" t="s">
        <v>286</v>
      </c>
      <c r="AX1424" s="0" t="s">
        <v>762</v>
      </c>
      <c r="AY1424" s="0" t="s">
        <v>3894</v>
      </c>
      <c r="AZ1424" s="0" t="s">
        <v>3895</v>
      </c>
      <c r="BA1424" s="0" t="s">
        <v>708</v>
      </c>
      <c r="BB1424" s="0" t="str">
        <f t="shared" si="22"/>
        <v>IHVNnaNasarawa</v>
      </c>
    </row>
    <row r="1425">
      <c r="AV1425" s="0" t="s">
        <v>471</v>
      </c>
      <c r="AW1425" s="0" t="s">
        <v>286</v>
      </c>
      <c r="AX1425" s="0" t="s">
        <v>762</v>
      </c>
      <c r="AY1425" s="0" t="s">
        <v>3896</v>
      </c>
      <c r="AZ1425" s="0" t="s">
        <v>3897</v>
      </c>
      <c r="BA1425" s="0" t="s">
        <v>708</v>
      </c>
      <c r="BB1425" s="0" t="str">
        <f t="shared" si="22"/>
        <v>IHVNnaNasarawa</v>
      </c>
    </row>
    <row r="1426">
      <c r="AV1426" s="0" t="s">
        <v>471</v>
      </c>
      <c r="AW1426" s="0" t="s">
        <v>286</v>
      </c>
      <c r="AX1426" s="0" t="s">
        <v>762</v>
      </c>
      <c r="AY1426" s="0" t="s">
        <v>3898</v>
      </c>
      <c r="AZ1426" s="0" t="s">
        <v>3899</v>
      </c>
      <c r="BA1426" s="0" t="s">
        <v>708</v>
      </c>
      <c r="BB1426" s="0" t="str">
        <f t="shared" si="22"/>
        <v>IHVNnaNasarawa</v>
      </c>
    </row>
    <row r="1427">
      <c r="AV1427" s="0" t="s">
        <v>471</v>
      </c>
      <c r="AW1427" s="0" t="s">
        <v>286</v>
      </c>
      <c r="AX1427" s="0" t="s">
        <v>762</v>
      </c>
      <c r="AY1427" s="0" t="s">
        <v>3900</v>
      </c>
      <c r="AZ1427" s="0" t="s">
        <v>3901</v>
      </c>
      <c r="BA1427" s="0" t="s">
        <v>708</v>
      </c>
      <c r="BB1427" s="0" t="str">
        <f t="shared" si="22"/>
        <v>IHVNnaNasarawa</v>
      </c>
    </row>
    <row r="1428">
      <c r="AV1428" s="0" t="s">
        <v>471</v>
      </c>
      <c r="AW1428" s="0" t="s">
        <v>286</v>
      </c>
      <c r="AX1428" s="0" t="s">
        <v>762</v>
      </c>
      <c r="AY1428" s="0" t="s">
        <v>3902</v>
      </c>
      <c r="AZ1428" s="0" t="s">
        <v>3903</v>
      </c>
      <c r="BA1428" s="0" t="s">
        <v>708</v>
      </c>
      <c r="BB1428" s="0" t="str">
        <f t="shared" si="22"/>
        <v>IHVNnaNasarawa</v>
      </c>
    </row>
    <row r="1429">
      <c r="AV1429" s="0" t="s">
        <v>471</v>
      </c>
      <c r="AW1429" s="0" t="s">
        <v>286</v>
      </c>
      <c r="AX1429" s="0" t="s">
        <v>794</v>
      </c>
      <c r="AY1429" s="0" t="s">
        <v>3904</v>
      </c>
      <c r="AZ1429" s="0" t="s">
        <v>3905</v>
      </c>
      <c r="BA1429" s="0" t="s">
        <v>708</v>
      </c>
      <c r="BB1429" s="0" t="str">
        <f t="shared" si="22"/>
        <v>IHVNnaNasarawaEggon</v>
      </c>
    </row>
    <row r="1430">
      <c r="AV1430" s="0" t="s">
        <v>471</v>
      </c>
      <c r="AW1430" s="0" t="s">
        <v>286</v>
      </c>
      <c r="AX1430" s="0" t="s">
        <v>620</v>
      </c>
      <c r="AY1430" s="0" t="s">
        <v>3906</v>
      </c>
      <c r="AZ1430" s="0" t="s">
        <v>3907</v>
      </c>
      <c r="BA1430" s="0" t="s">
        <v>708</v>
      </c>
      <c r="BB1430" s="0" t="str">
        <f t="shared" si="22"/>
        <v>IHVNnaObi</v>
      </c>
    </row>
    <row r="1431">
      <c r="AV1431" s="0" t="s">
        <v>471</v>
      </c>
      <c r="AW1431" s="0" t="s">
        <v>286</v>
      </c>
      <c r="AX1431" s="0" t="s">
        <v>620</v>
      </c>
      <c r="AY1431" s="0" t="s">
        <v>3908</v>
      </c>
      <c r="AZ1431" s="0" t="s">
        <v>3909</v>
      </c>
      <c r="BA1431" s="0" t="s">
        <v>708</v>
      </c>
      <c r="BB1431" s="0" t="str">
        <f t="shared" si="22"/>
        <v>IHVNnaObi</v>
      </c>
    </row>
    <row r="1432">
      <c r="AV1432" s="0" t="s">
        <v>471</v>
      </c>
      <c r="AW1432" s="0" t="s">
        <v>286</v>
      </c>
      <c r="AX1432" s="0" t="s">
        <v>620</v>
      </c>
      <c r="AY1432" s="0" t="s">
        <v>3910</v>
      </c>
      <c r="AZ1432" s="0" t="s">
        <v>3911</v>
      </c>
      <c r="BA1432" s="0" t="s">
        <v>708</v>
      </c>
      <c r="BB1432" s="0" t="str">
        <f t="shared" si="22"/>
        <v>IHVNnaObi</v>
      </c>
    </row>
    <row r="1433">
      <c r="AV1433" s="0" t="s">
        <v>471</v>
      </c>
      <c r="AW1433" s="0" t="s">
        <v>286</v>
      </c>
      <c r="AX1433" s="0" t="s">
        <v>620</v>
      </c>
      <c r="AY1433" s="0" t="s">
        <v>3912</v>
      </c>
      <c r="AZ1433" s="0" t="s">
        <v>3913</v>
      </c>
      <c r="BA1433" s="0" t="s">
        <v>708</v>
      </c>
      <c r="BB1433" s="0" t="str">
        <f t="shared" si="22"/>
        <v>IHVNnaObi</v>
      </c>
    </row>
    <row r="1434">
      <c r="AV1434" s="0" t="s">
        <v>471</v>
      </c>
      <c r="AW1434" s="0" t="s">
        <v>286</v>
      </c>
      <c r="AX1434" s="0" t="s">
        <v>620</v>
      </c>
      <c r="AY1434" s="0" t="s">
        <v>3914</v>
      </c>
      <c r="AZ1434" s="0" t="s">
        <v>3915</v>
      </c>
      <c r="BA1434" s="0" t="s">
        <v>708</v>
      </c>
      <c r="BB1434" s="0" t="str">
        <f t="shared" si="22"/>
        <v>IHVNnaObi</v>
      </c>
    </row>
    <row r="1435">
      <c r="AV1435" s="0" t="s">
        <v>471</v>
      </c>
      <c r="AW1435" s="0" t="s">
        <v>286</v>
      </c>
      <c r="AX1435" s="0" t="s">
        <v>620</v>
      </c>
      <c r="AY1435" s="0" t="s">
        <v>3916</v>
      </c>
      <c r="AZ1435" s="0" t="s">
        <v>3917</v>
      </c>
      <c r="BA1435" s="0" t="s">
        <v>708</v>
      </c>
      <c r="BB1435" s="0" t="str">
        <f t="shared" si="22"/>
        <v>IHVNnaObi</v>
      </c>
    </row>
    <row r="1436">
      <c r="AV1436" s="0" t="s">
        <v>471</v>
      </c>
      <c r="AW1436" s="0" t="s">
        <v>286</v>
      </c>
      <c r="AX1436" s="0" t="s">
        <v>620</v>
      </c>
      <c r="AY1436" s="0" t="s">
        <v>3918</v>
      </c>
      <c r="AZ1436" s="0" t="s">
        <v>3919</v>
      </c>
      <c r="BA1436" s="0" t="s">
        <v>708</v>
      </c>
      <c r="BB1436" s="0" t="str">
        <f t="shared" si="22"/>
        <v>IHVNnaObi</v>
      </c>
    </row>
    <row r="1437">
      <c r="AV1437" s="0" t="s">
        <v>471</v>
      </c>
      <c r="AW1437" s="0" t="s">
        <v>286</v>
      </c>
      <c r="AX1437" s="0" t="s">
        <v>620</v>
      </c>
      <c r="AY1437" s="0" t="s">
        <v>3920</v>
      </c>
      <c r="AZ1437" s="0" t="s">
        <v>3921</v>
      </c>
      <c r="BA1437" s="0" t="s">
        <v>708</v>
      </c>
      <c r="BB1437" s="0" t="str">
        <f t="shared" si="22"/>
        <v>IHVNnaObi</v>
      </c>
    </row>
    <row r="1438">
      <c r="AV1438" s="0" t="s">
        <v>471</v>
      </c>
      <c r="AW1438" s="0" t="s">
        <v>286</v>
      </c>
      <c r="AX1438" s="0" t="s">
        <v>620</v>
      </c>
      <c r="AY1438" s="0" t="s">
        <v>3922</v>
      </c>
      <c r="AZ1438" s="0" t="s">
        <v>3923</v>
      </c>
      <c r="BA1438" s="0" t="s">
        <v>708</v>
      </c>
      <c r="BB1438" s="0" t="str">
        <f t="shared" si="22"/>
        <v>IHVNnaObi</v>
      </c>
    </row>
    <row r="1439">
      <c r="AV1439" s="0" t="s">
        <v>471</v>
      </c>
      <c r="AW1439" s="0" t="s">
        <v>286</v>
      </c>
      <c r="AX1439" s="0" t="s">
        <v>620</v>
      </c>
      <c r="AY1439" s="0" t="s">
        <v>3924</v>
      </c>
      <c r="AZ1439" s="0" t="s">
        <v>3925</v>
      </c>
      <c r="BA1439" s="0" t="s">
        <v>708</v>
      </c>
      <c r="BB1439" s="0" t="str">
        <f t="shared" si="22"/>
        <v>IHVNnaObi</v>
      </c>
    </row>
    <row r="1440">
      <c r="AV1440" s="0" t="s">
        <v>471</v>
      </c>
      <c r="AW1440" s="0" t="s">
        <v>286</v>
      </c>
      <c r="AX1440" s="0" t="s">
        <v>620</v>
      </c>
      <c r="AY1440" s="0" t="s">
        <v>3926</v>
      </c>
      <c r="AZ1440" s="0" t="s">
        <v>3927</v>
      </c>
      <c r="BA1440" s="0" t="s">
        <v>708</v>
      </c>
      <c r="BB1440" s="0" t="str">
        <f t="shared" si="22"/>
        <v>IHVNnaObi</v>
      </c>
    </row>
    <row r="1441">
      <c r="AV1441" s="0" t="s">
        <v>471</v>
      </c>
      <c r="AW1441" s="0" t="s">
        <v>286</v>
      </c>
      <c r="AX1441" s="0" t="s">
        <v>620</v>
      </c>
      <c r="AY1441" s="0" t="s">
        <v>3928</v>
      </c>
      <c r="AZ1441" s="0" t="s">
        <v>3929</v>
      </c>
      <c r="BA1441" s="0" t="s">
        <v>708</v>
      </c>
      <c r="BB1441" s="0" t="str">
        <f t="shared" si="22"/>
        <v>IHVNnaObi</v>
      </c>
    </row>
    <row r="1442">
      <c r="AV1442" s="0" t="s">
        <v>471</v>
      </c>
      <c r="AW1442" s="0" t="s">
        <v>286</v>
      </c>
      <c r="AX1442" s="0" t="s">
        <v>620</v>
      </c>
      <c r="AY1442" s="0" t="s">
        <v>3930</v>
      </c>
      <c r="AZ1442" s="0" t="s">
        <v>3931</v>
      </c>
      <c r="BA1442" s="0" t="s">
        <v>708</v>
      </c>
      <c r="BB1442" s="0" t="str">
        <f t="shared" si="22"/>
        <v>IHVNnaObi</v>
      </c>
    </row>
    <row r="1443">
      <c r="AV1443" s="0" t="s">
        <v>471</v>
      </c>
      <c r="AW1443" s="0" t="s">
        <v>286</v>
      </c>
      <c r="AX1443" s="0" t="s">
        <v>823</v>
      </c>
      <c r="AY1443" s="0" t="s">
        <v>3932</v>
      </c>
      <c r="AZ1443" s="0" t="s">
        <v>3933</v>
      </c>
      <c r="BA1443" s="0" t="s">
        <v>708</v>
      </c>
      <c r="BB1443" s="0" t="str">
        <f t="shared" si="22"/>
        <v>IHVNnaToto</v>
      </c>
    </row>
    <row r="1444">
      <c r="AV1444" s="0" t="s">
        <v>471</v>
      </c>
      <c r="AW1444" s="0" t="s">
        <v>286</v>
      </c>
      <c r="AX1444" s="0" t="s">
        <v>823</v>
      </c>
      <c r="AY1444" s="0" t="s">
        <v>3934</v>
      </c>
      <c r="AZ1444" s="0" t="s">
        <v>3935</v>
      </c>
      <c r="BA1444" s="0" t="s">
        <v>708</v>
      </c>
      <c r="BB1444" s="0" t="str">
        <f t="shared" si="22"/>
        <v>IHVNnaToto</v>
      </c>
    </row>
    <row r="1445">
      <c r="AV1445" s="0" t="s">
        <v>471</v>
      </c>
      <c r="AW1445" s="0" t="s">
        <v>286</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