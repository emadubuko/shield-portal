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ellesh\Documents\Henriatta's Documents\UMB\Shield documents\DQA tool\Q1 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7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91" i="10"/>
  <c r="S16" i="12"/>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E5" i="11"/>
  <c r="F5" i="11"/>
  <c r="G5" i="11"/>
  <c r="E6" i="11"/>
  <c r="F6" i="11"/>
  <c r="G6" i="11"/>
  <c r="E7" i="11"/>
  <c r="F7" i="11"/>
  <c r="G7" i="11"/>
  <c r="E8" i="11"/>
  <c r="F8" i="11"/>
  <c r="G8"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2" i="11"/>
  <c r="F22" i="11"/>
  <c r="G22" i="11"/>
  <c r="E23" i="11"/>
  <c r="F23" i="11"/>
  <c r="G23" i="11"/>
  <c r="E24" i="11"/>
  <c r="F24" i="11"/>
  <c r="G24" i="11"/>
</calcChain>
</file>

<file path=xl/sharedStrings.xml><?xml version="1.0" encoding="utf-8"?>
<sst xmlns="http://schemas.openxmlformats.org/spreadsheetml/2006/main" count="27076" uniqueCount="4024">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</sst>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29.125</c:v>
                </c:pt>
                <c:pt idx="1">
                  <c:v>6.2142857142857144</c:v>
                </c:pt>
                <c:pt idx="2">
                  <c:v>4.9848484848484844</c:v>
                </c:pt>
                <c:pt idx="3">
                  <c:v>9.1125000000000007</c:v>
                </c:pt>
                <c:pt idx="4">
                  <c:v>9</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20.175000000000001</c:v>
                </c:pt>
                <c:pt idx="1">
                  <c:v>3.6607142857142856</c:v>
                </c:pt>
                <c:pt idx="2">
                  <c:v>2.4848484848484849</c:v>
                </c:pt>
                <c:pt idx="3">
                  <c:v>5.7625000000000002</c:v>
                </c:pt>
                <c:pt idx="4">
                  <c:v>3.1111111111111112</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27.4</c:v>
                </c:pt>
                <c:pt idx="1">
                  <c:v>6.8869047619047619</c:v>
                </c:pt>
                <c:pt idx="2">
                  <c:v>9.4242424242424239</c:v>
                </c:pt>
                <c:pt idx="3">
                  <c:v>8.8208333333333346</c:v>
                </c:pt>
                <c:pt idx="4">
                  <c:v>8.851851851851853</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85773864"/>
        <c:axId val="85774256"/>
      </c:radarChart>
      <c:catAx>
        <c:axId val="8577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5774256"/>
        <c:crosses val="autoZero"/>
        <c:auto val="1"/>
        <c:lblAlgn val="ctr"/>
        <c:lblOffset val="100"/>
        <c:noMultiLvlLbl val="0"/>
      </c:catAx>
      <c:valAx>
        <c:axId val="857742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77386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PHI</v>
      </c>
      <c r="E2" s="311"/>
      <c r="F2" s="311"/>
      <c r="G2" s="311"/>
      <c r="H2" s="311"/>
      <c r="I2" s="311"/>
      <c r="J2" s="312"/>
      <c r="K2" s="313" t="s">
        <v>4021</v>
      </c>
      <c r="L2" s="314"/>
      <c r="M2" s="314"/>
      <c r="N2" s="314"/>
      <c r="O2" s="315" t="str">
        <f>Worksheet!M18</f>
        <v>John Doe</v>
      </c>
      <c r="P2" s="316"/>
      <c r="Q2" s="316"/>
      <c r="R2" s="316"/>
      <c r="S2" s="316"/>
      <c r="T2" s="317"/>
    </row>
    <row r="3" spans="1:20" ht="24" thickBot="1" x14ac:dyDescent="0.4">
      <c r="A3" s="307" t="s">
        <v>94</v>
      </c>
      <c r="B3" s="308" t="s">
        <v>1</v>
      </c>
      <c r="C3" s="309"/>
      <c r="D3" s="310" t="str">
        <f>Worksheet!R2</f>
        <v>Plateau</v>
      </c>
      <c r="E3" s="311"/>
      <c r="F3" s="311"/>
      <c r="G3" s="311"/>
      <c r="H3" s="311"/>
      <c r="I3" s="311"/>
      <c r="J3" s="312"/>
      <c r="K3" s="313" t="s">
        <v>3968</v>
      </c>
      <c r="L3" s="314"/>
      <c r="M3" s="314"/>
      <c r="N3" s="314"/>
      <c r="O3" s="315" t="str">
        <f>Worksheet!W18</f>
        <v>10th Feb 2017</v>
      </c>
      <c r="P3" s="316"/>
      <c r="Q3" s="316"/>
      <c r="R3" s="316"/>
      <c r="S3" s="316"/>
      <c r="T3" s="317"/>
    </row>
    <row r="4" spans="1:20" ht="24" thickBot="1" x14ac:dyDescent="0.4">
      <c r="A4" s="307" t="s">
        <v>93</v>
      </c>
      <c r="B4" s="308"/>
      <c r="C4" s="309" t="s">
        <v>3</v>
      </c>
      <c r="D4" s="310" t="str">
        <f>Worksheet!T2</f>
        <v>pl Langtang South</v>
      </c>
      <c r="E4" s="311"/>
      <c r="F4" s="311"/>
      <c r="G4" s="311"/>
      <c r="H4" s="311"/>
      <c r="I4" s="311"/>
      <c r="J4" s="312"/>
      <c r="K4" s="313" t="s">
        <v>4022</v>
      </c>
      <c r="L4" s="314"/>
      <c r="M4" s="314"/>
      <c r="N4" s="314"/>
      <c r="O4" s="315">
        <f>Worksheet!M19</f>
        <v>0</v>
      </c>
      <c r="P4" s="316"/>
      <c r="Q4" s="316"/>
      <c r="R4" s="316"/>
      <c r="S4" s="316"/>
      <c r="T4" s="317"/>
    </row>
    <row r="5" spans="1:20" ht="24" thickBot="1" x14ac:dyDescent="0.4">
      <c r="A5" s="307" t="s">
        <v>92</v>
      </c>
      <c r="B5" s="308"/>
      <c r="C5" s="309" t="s">
        <v>6</v>
      </c>
      <c r="D5" s="310" t="str">
        <f>Worksheet!V2</f>
        <v>Mabudi Primary Health Care Center</v>
      </c>
      <c r="E5" s="311"/>
      <c r="F5" s="311"/>
      <c r="G5" s="311"/>
      <c r="H5" s="311"/>
      <c r="I5" s="311"/>
      <c r="J5" s="312"/>
      <c r="K5" s="313" t="s">
        <v>3968</v>
      </c>
      <c r="L5" s="314"/>
      <c r="M5" s="314"/>
      <c r="N5" s="314"/>
      <c r="O5" s="315">
        <f>Worksheet!W19</f>
        <v>0</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3969</v>
      </c>
      <c r="D8" s="152">
        <f ca="1">(SUM('All Questions'!D10:D14)/5)+D12</f>
        <v>116.5</v>
      </c>
      <c r="E8" s="152">
        <f ca="1">SUM('All Questions'!D15:D21)/7+E12</f>
        <v>24.857142857142858</v>
      </c>
      <c r="F8" s="152">
        <f ca="1">SUM('All Questions'!D23:D30)/4+F12</f>
        <v>27.416666666666664</v>
      </c>
      <c r="G8" s="152">
        <f ca="1">SUM('All Questions'!D31:D35)/5+G12</f>
        <v>36.450000000000003</v>
      </c>
      <c r="H8" s="153">
        <f ca="1">SUM('All Questions'!D37,'All Questions'!D40)/2+'All Questions'!D26+H12</f>
        <v>40.5</v>
      </c>
      <c r="I8" s="154">
        <f ca="1">(SUM('All Questions'!E10:E14)/5)+I12</f>
        <v>80.7</v>
      </c>
      <c r="J8" s="152">
        <f ca="1">SUM('All Questions'!E15:E21)/7+J12</f>
        <v>14.642857142857142</v>
      </c>
      <c r="K8" s="152">
        <f ca="1">SUM('All Questions'!E23:E30)/4+K12</f>
        <v>12.666666666666668</v>
      </c>
      <c r="L8" s="152">
        <f ca="1">SUM('All Questions'!E31:E35)/5+L12</f>
        <v>23.05</v>
      </c>
      <c r="M8" s="153">
        <f ca="1">('All Questions'!E37+'All Questions'!E40)/2+'All Questions'!E26+M12</f>
        <v>14</v>
      </c>
      <c r="N8" s="154">
        <f ca="1">(SUM('All Questions'!F10:F14)/5)+N12</f>
        <v>108.1</v>
      </c>
      <c r="O8" s="152">
        <f ca="1">SUM('All Questions'!F15:F21)/7+O12</f>
        <v>26.047619047619047</v>
      </c>
      <c r="P8" s="152">
        <f ca="1">SUM('All Questions'!F23:F30)/4+P12</f>
        <v>26.333333333333336</v>
      </c>
      <c r="Q8" s="152">
        <f ca="1">SUM('All Questions'!F31:F35)/5+Q12</f>
        <v>33.950000000000003</v>
      </c>
      <c r="R8" s="153">
        <f ca="1">('All Questions'!F37+'All Questions'!F40)/2+'All Questions'!F26+R12</f>
        <v>39</v>
      </c>
      <c r="S8" s="138">
        <f ca="1">'All Questions'!F2</f>
        <v>98</v>
      </c>
      <c r="T8" s="139">
        <f t="shared" ref="T8:T17" ca="1" si="0">(((SUM(D8:H8)/5)+(SUM(I8:M8)/5)+(SUM(N8:R8)/5)))/S8</f>
        <v>1.2739067055393587</v>
      </c>
    </row>
    <row r="9" spans="1:20" ht="72.599999999999994" customHeight="1" thickBot="1" x14ac:dyDescent="0.3">
      <c r="A9" s="105">
        <v>1.1000000000000001</v>
      </c>
      <c r="B9" s="106" t="s">
        <v>89</v>
      </c>
      <c r="C9" s="107" t="s">
        <v>3970</v>
      </c>
      <c r="D9" s="155"/>
      <c r="E9" s="155"/>
      <c r="F9" s="156">
        <f ca="1">'All Questions'!D29</f>
        <v>0</v>
      </c>
      <c r="G9" s="155"/>
      <c r="H9" s="157"/>
      <c r="I9" s="158"/>
      <c r="J9" s="155"/>
      <c r="K9" s="156">
        <f ca="1">'All Questions'!E29</f>
        <v>1</v>
      </c>
      <c r="L9" s="155"/>
      <c r="M9" s="157"/>
      <c r="N9" s="158"/>
      <c r="O9" s="155"/>
      <c r="P9" s="156">
        <f ca="1">'All Questions'!F29</f>
        <v>3</v>
      </c>
      <c r="Q9" s="155"/>
      <c r="R9" s="157"/>
      <c r="S9" s="138">
        <f ca="1">'All Questions'!F3</f>
        <v>6</v>
      </c>
      <c r="T9" s="140">
        <f t="shared" ca="1" si="0"/>
        <v>0.13333333333333333</v>
      </c>
    </row>
    <row r="10" spans="1:20" ht="72.599999999999994" customHeight="1" thickBot="1" x14ac:dyDescent="0.3">
      <c r="A10" s="105" t="s">
        <v>141</v>
      </c>
      <c r="B10" s="106" t="s">
        <v>79</v>
      </c>
      <c r="C10" s="107" t="s">
        <v>3971</v>
      </c>
      <c r="D10" s="156">
        <f ca="1">(SUM('All Questions'!D10:D14)/5)</f>
        <v>54</v>
      </c>
      <c r="E10" s="156">
        <f ca="1">SUM('All Questions'!D15:D21)/7</f>
        <v>9.8571428571428577</v>
      </c>
      <c r="F10" s="156">
        <f ca="1">(SUM('All Questions'!D23:D24)+SUM('All Questions'!D25:D26)+SUM('All Questions'!D27:D28)+SUM('All Questions'!D29:D30))/4</f>
        <v>11.75</v>
      </c>
      <c r="G10" s="156">
        <f ca="1">SUM('All Questions'!D31:D35)/5</f>
        <v>15.2</v>
      </c>
      <c r="H10" s="159">
        <f ca="1">('All Questions'!D37+'All Questions'!D40)/2+'All Questions'!D26</f>
        <v>17</v>
      </c>
      <c r="I10" s="160">
        <f ca="1">(SUM('All Questions'!E10:E14)/5)</f>
        <v>15.2</v>
      </c>
      <c r="J10" s="161">
        <f ca="1">SUM('All Questions'!E15:E21)/7</f>
        <v>4.1428571428571432</v>
      </c>
      <c r="K10" s="161">
        <f ca="1">(SUM('All Questions'!E23:E24)+SUM('All Questions'!E25:E26)+SUM('All Questions'!E27:E28)+SUM('All Questions'!E29:E30))/4</f>
        <v>6</v>
      </c>
      <c r="L10" s="161">
        <f ca="1">SUM('All Questions'!E31:E35)/5</f>
        <v>7.8</v>
      </c>
      <c r="M10" s="162">
        <f ca="1">('All Questions'!E37+'All Questions'!E40)/2+'All Questions'!E26</f>
        <v>1</v>
      </c>
      <c r="N10" s="163">
        <f ca="1">(SUM('All Questions'!F10:F14)/5)</f>
        <v>40.6</v>
      </c>
      <c r="O10" s="161">
        <f ca="1">SUM('All Questions'!F15:F21)/7</f>
        <v>12.714285714285714</v>
      </c>
      <c r="P10" s="161">
        <f ca="1">(SUM('All Questions'!F23:F24)+SUM('All Questions'!F25:F26)+SUM('All Questions'!F27:F28)+SUM('All Questions'!F29:F30))/4</f>
        <v>14</v>
      </c>
      <c r="Q10" s="161">
        <f ca="1">SUM('All Questions'!F31:F35)/5</f>
        <v>14.2</v>
      </c>
      <c r="R10" s="162">
        <f ca="1">('All Questions'!F37+'All Questions'!F40)/2+'All Questions'!F26</f>
        <v>11.5</v>
      </c>
      <c r="S10" s="138">
        <f ca="1">'All Questions'!F4</f>
        <v>38</v>
      </c>
      <c r="T10" s="140">
        <f t="shared" ca="1" si="0"/>
        <v>1.236654135338346</v>
      </c>
    </row>
    <row r="11" spans="1:20" ht="72.599999999999994" customHeight="1" thickBot="1" x14ac:dyDescent="0.3">
      <c r="A11" s="108" t="s">
        <v>3972</v>
      </c>
      <c r="B11" s="109" t="s">
        <v>79</v>
      </c>
      <c r="C11" s="110" t="s">
        <v>88</v>
      </c>
      <c r="D11" s="164"/>
      <c r="E11" s="164"/>
      <c r="F11" s="165">
        <f ca="1">'All Questions'!D29</f>
        <v>0</v>
      </c>
      <c r="G11" s="164"/>
      <c r="H11" s="166"/>
      <c r="I11" s="167"/>
      <c r="J11" s="164"/>
      <c r="K11" s="168">
        <f ca="1">'All Questions'!E29</f>
        <v>1</v>
      </c>
      <c r="L11" s="164"/>
      <c r="M11" s="166"/>
      <c r="N11" s="167"/>
      <c r="O11" s="164"/>
      <c r="P11" s="168">
        <f ca="1">'All Questions'!F29</f>
        <v>3</v>
      </c>
      <c r="Q11" s="164"/>
      <c r="R11" s="166"/>
      <c r="S11" s="138">
        <f ca="1">'All Questions'!F5</f>
        <v>4</v>
      </c>
      <c r="T11" s="141">
        <f t="shared" ca="1" si="0"/>
        <v>0.2</v>
      </c>
    </row>
    <row r="12" spans="1:20" ht="72.599999999999994" customHeight="1" x14ac:dyDescent="0.25">
      <c r="A12" s="111">
        <v>2</v>
      </c>
      <c r="B12" s="112" t="s">
        <v>83</v>
      </c>
      <c r="C12" s="113" t="s">
        <v>3973</v>
      </c>
      <c r="D12" s="169">
        <f ca="1">SUM('All Questions'!D55:D58)/4</f>
        <v>62.5</v>
      </c>
      <c r="E12" s="170">
        <f ca="1">SUM('All Questions'!D60:D75)/6</f>
        <v>15</v>
      </c>
      <c r="F12" s="170">
        <f ca="1">SUM('All Questions'!D67:D72)/3</f>
        <v>15.666666666666666</v>
      </c>
      <c r="G12" s="170">
        <f ca="1">SUM('All Questions'!D73:D80)/4</f>
        <v>21.25</v>
      </c>
      <c r="H12" s="171">
        <f ca="1">SUM('All Questions'!D82:D83)/2</f>
        <v>23.5</v>
      </c>
      <c r="I12" s="172">
        <f ca="1">SUM('All Questions'!E55:E58)/4</f>
        <v>65.5</v>
      </c>
      <c r="J12" s="173">
        <f ca="1">SUM('All Questions'!E60:E75)/6</f>
        <v>10.5</v>
      </c>
      <c r="K12" s="173">
        <f ca="1">SUM('All Questions'!E67:E72)/3</f>
        <v>6.666666666666667</v>
      </c>
      <c r="L12" s="173">
        <f ca="1">SUM('All Questions'!E73:E80)/4</f>
        <v>15.25</v>
      </c>
      <c r="M12" s="174">
        <f ca="1">SUM('All Questions'!E82:E83)/2</f>
        <v>13</v>
      </c>
      <c r="N12" s="175">
        <f ca="1">SUM('All Questions'!F55:F58)/4</f>
        <v>67.5</v>
      </c>
      <c r="O12" s="173">
        <f ca="1">SUM('All Questions'!F60:F75)/6</f>
        <v>13.333333333333334</v>
      </c>
      <c r="P12" s="173">
        <f ca="1">SUM('All Questions'!F67:F72)/3</f>
        <v>12.333333333333334</v>
      </c>
      <c r="Q12" s="173">
        <f ca="1">SUM('All Questions'!F73:F80)/4</f>
        <v>19.75</v>
      </c>
      <c r="R12" s="174">
        <f ca="1">SUM('All Questions'!F82:F83)/2</f>
        <v>27.5</v>
      </c>
      <c r="S12" s="142">
        <f ca="1">'All Questions'!F46</f>
        <v>66</v>
      </c>
      <c r="T12" s="143">
        <f t="shared" ca="1" si="0"/>
        <v>1.1795454545454545</v>
      </c>
    </row>
    <row r="13" spans="1:20" ht="72.599999999999994" customHeight="1" x14ac:dyDescent="0.25">
      <c r="A13" s="105">
        <v>2.1</v>
      </c>
      <c r="B13" s="106" t="s">
        <v>83</v>
      </c>
      <c r="C13" s="114" t="s">
        <v>3974</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1</v>
      </c>
      <c r="Q13" s="179"/>
      <c r="R13" s="181">
        <f ca="1">SUM('All Questions'!F85:F86)/2</f>
        <v>0</v>
      </c>
      <c r="S13" s="142">
        <f ca="1">'All Questions'!F47</f>
        <v>2</v>
      </c>
      <c r="T13" s="144">
        <f t="shared" ca="1" si="0"/>
        <v>0.1</v>
      </c>
    </row>
    <row r="14" spans="1:20" ht="72.599999999999994" customHeight="1" x14ac:dyDescent="0.25">
      <c r="A14" s="105">
        <v>2.2000000000000002</v>
      </c>
      <c r="B14" s="106" t="s">
        <v>83</v>
      </c>
      <c r="C14" s="114" t="s">
        <v>3975</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43</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1</v>
      </c>
      <c r="O15" s="161">
        <f ca="1">SUM('All Questions'!F121+'All Questions'!F124)/2</f>
        <v>1</v>
      </c>
      <c r="P15" s="161">
        <f ca="1">SUM('All Questions'!F126:F130)/2</f>
        <v>1</v>
      </c>
      <c r="Q15" s="161">
        <f ca="1">SUM('All Questions'!F131:F133)/3</f>
        <v>0.66666666666666663</v>
      </c>
      <c r="R15" s="162">
        <f ca="1">SUM('All Questions'!F131:F133)/3</f>
        <v>0.66666666666666663</v>
      </c>
      <c r="S15" s="145">
        <f ca="1">'All Questions'!F117</f>
        <v>3</v>
      </c>
      <c r="T15" s="144">
        <f ca="1">(((SUM(D15:H15)/5)+(SUM(I15:M15)/5)+(SUM(N15:R15)/5)))/S15</f>
        <v>0.28888888888888886</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2</v>
      </c>
      <c r="O16" s="191">
        <f ca="1">SUM('All Questions'!F97:F100)/4</f>
        <v>2</v>
      </c>
      <c r="P16" s="191">
        <f ca="1">SUM('All Questions'!F101:F105)/2</f>
        <v>0</v>
      </c>
      <c r="Q16" s="191">
        <f ca="1">SUM('All Questions'!F106:F108)/3</f>
        <v>2</v>
      </c>
      <c r="R16" s="192">
        <f ca="1">SUM('All Questions'!F111+'All Questions'!F112+'All Questions'!F114+'All Questions'!F115)/4</f>
        <v>1</v>
      </c>
      <c r="S16" s="146">
        <f>'All Questions'!F91</f>
        <v>2</v>
      </c>
      <c r="T16" s="147">
        <f t="shared" ca="1" si="0"/>
        <v>0.7</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2"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3976</v>
      </c>
      <c r="D1" s="213"/>
      <c r="E1" s="214"/>
      <c r="F1" s="332">
        <v>20170218</v>
      </c>
      <c r="G1" s="333"/>
      <c r="H1" s="63"/>
      <c r="I1" s="63"/>
      <c r="J1" s="63"/>
      <c r="K1" s="335" t="s">
        <v>4023</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3803</v>
      </c>
      <c r="C2" s="218" t="s">
        <v>4007</v>
      </c>
      <c r="D2" s="219" t="s">
        <v>3977</v>
      </c>
      <c r="E2" s="220"/>
      <c r="F2" s="221" t="s">
        <v>4008</v>
      </c>
      <c r="G2" s="222"/>
      <c r="H2" s="223"/>
      <c r="I2" s="63"/>
      <c r="J2" s="63"/>
      <c r="K2" s="334" t="s">
        <v>157</v>
      </c>
      <c r="L2" s="334"/>
      <c r="M2" s="66" t="s">
        <v>155</v>
      </c>
      <c r="N2" s="334" t="s">
        <v>158</v>
      </c>
      <c r="O2" s="334"/>
      <c r="P2" s="66" t="s">
        <v>571</v>
      </c>
      <c r="Q2" s="306" t="s">
        <v>1</v>
      </c>
      <c r="R2" s="66" t="s">
        <v>192</v>
      </c>
      <c r="S2" s="306" t="s">
        <v>3</v>
      </c>
      <c r="T2" s="66" t="s">
        <v>817</v>
      </c>
      <c r="U2" s="67" t="s">
        <v>159</v>
      </c>
      <c r="V2" s="66" t="s">
        <v>3792</v>
      </c>
      <c r="W2" s="66"/>
      <c r="X2" s="67" t="s">
        <v>160</v>
      </c>
      <c r="Y2" s="66" t="s">
        <v>149</v>
      </c>
      <c r="Z2" s="96" t="s">
        <v>3802</v>
      </c>
      <c r="AA2" s="68" t="str">
        <f>VLOOKUP(V2,[2]Data_donotedit!AY2:AZ1504,2,FALSE)</f>
        <v>KSn1AS9deG0</v>
      </c>
      <c r="AB2" s="68"/>
      <c r="AC2" s="68"/>
      <c r="AD2" s="68"/>
    </row>
    <row r="3" spans="1:30" ht="40.15" customHeight="1" x14ac:dyDescent="0.25">
      <c r="A3" s="63"/>
      <c r="B3" s="224"/>
      <c r="C3" s="218" t="s">
        <v>155</v>
      </c>
      <c r="D3" s="258" t="s">
        <v>3989</v>
      </c>
      <c r="E3" s="226"/>
      <c r="F3" s="229"/>
      <c r="G3" s="302">
        <v>2</v>
      </c>
      <c r="H3" s="264" t="s">
        <v>155</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36"/>
      <c r="D4" s="260" t="s">
        <v>3880</v>
      </c>
      <c r="E4" s="265" t="s">
        <v>3990</v>
      </c>
      <c r="F4" s="266" t="s">
        <v>77</v>
      </c>
      <c r="G4" s="266" t="s">
        <v>78</v>
      </c>
      <c r="H4" s="264" t="s">
        <v>155</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36">
        <v>1313</v>
      </c>
      <c r="D5" s="240" t="s">
        <v>3881</v>
      </c>
      <c r="E5" s="303">
        <f ca="1">_xlfn.IFNA(VLOOKUP(C5,Worksheet!$C$3:$G$46,3,FALSE),E5)</f>
        <v>0</v>
      </c>
      <c r="F5" s="303">
        <f ca="1">_xlfn.IFNA(VLOOKUP(C5,Worksheet!$C$3:$G$46,4,FALSE),F5)</f>
        <v>0</v>
      </c>
      <c r="G5" s="303">
        <f ca="1">_xlfn.IFNA(VLOOKUP(C5,Worksheet!$C$3:$G$46,5,FALSE),G5)</f>
        <v>2</v>
      </c>
      <c r="H5" s="264" t="s">
        <v>155</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36">
        <v>1314</v>
      </c>
      <c r="D6" s="267" t="s">
        <v>3882</v>
      </c>
      <c r="E6" s="303">
        <f ca="1">_xlfn.IFNA(VLOOKUP(C6,Worksheet!$C$3:$G$46,3,FALSE),E6)</f>
        <v>0</v>
      </c>
      <c r="F6" s="303">
        <f ca="1">_xlfn.IFNA(VLOOKUP(C6,Worksheet!$C$3:$G$46,4,FALSE),F6)</f>
        <v>0</v>
      </c>
      <c r="G6" s="303">
        <f ca="1">_xlfn.IFNA(VLOOKUP(C6,Worksheet!$C$3:$G$46,5,FALSE),G6)</f>
        <v>2</v>
      </c>
      <c r="H6" s="264" t="s">
        <v>155</v>
      </c>
      <c r="I6" s="63"/>
      <c r="J6" s="63"/>
      <c r="K6" s="132" t="s">
        <v>89</v>
      </c>
      <c r="L6" s="342" t="s">
        <v>3969</v>
      </c>
      <c r="M6" s="343"/>
      <c r="N6" s="71">
        <v>116.5</v>
      </c>
      <c r="O6" s="71">
        <v>24.857142857142858</v>
      </c>
      <c r="P6" s="71">
        <v>27.416666666666664</v>
      </c>
      <c r="Q6" s="71">
        <v>36.450000000000003</v>
      </c>
      <c r="R6" s="72">
        <v>40.5</v>
      </c>
      <c r="S6" s="71">
        <v>80.7</v>
      </c>
      <c r="T6" s="71">
        <v>14.642857142857142</v>
      </c>
      <c r="U6" s="71">
        <v>12.666666666666668</v>
      </c>
      <c r="V6" s="71">
        <v>23.05</v>
      </c>
      <c r="W6" s="72">
        <v>14</v>
      </c>
      <c r="X6" s="71">
        <v>108.1</v>
      </c>
      <c r="Y6" s="71">
        <v>26.047619047619047</v>
      </c>
      <c r="Z6" s="71">
        <v>26.333333333333336</v>
      </c>
      <c r="AA6" s="71">
        <v>33.950000000000003</v>
      </c>
      <c r="AB6" s="71">
        <v>39</v>
      </c>
      <c r="AC6" s="73">
        <v>98</v>
      </c>
      <c r="AD6" s="74">
        <v>1.2739067055393587</v>
      </c>
    </row>
    <row r="7" spans="1:30" ht="40.15" customHeight="1" x14ac:dyDescent="0.25">
      <c r="A7" s="63"/>
      <c r="B7" s="224"/>
      <c r="C7" s="236">
        <v>1315</v>
      </c>
      <c r="D7" s="241" t="s">
        <v>3883</v>
      </c>
      <c r="E7" s="303">
        <f ca="1">_xlfn.IFNA(VLOOKUP(C7,Worksheet!$C$3:$G$46,3,FALSE),E7)</f>
        <v>0</v>
      </c>
      <c r="F7" s="303">
        <f ca="1">_xlfn.IFNA(VLOOKUP(C7,Worksheet!$C$3:$G$46,4,FALSE),F7)</f>
        <v>0</v>
      </c>
      <c r="G7" s="303">
        <f ca="1">_xlfn.IFNA(VLOOKUP(C7,Worksheet!$C$3:$G$46,5,FALSE),G7)</f>
        <v>2</v>
      </c>
      <c r="H7" s="264" t="s">
        <v>155</v>
      </c>
      <c r="I7" s="63"/>
      <c r="J7" s="65"/>
      <c r="K7" s="59" t="s">
        <v>89</v>
      </c>
      <c r="L7" s="344" t="s">
        <v>3970</v>
      </c>
      <c r="M7" s="345"/>
      <c r="N7" s="133"/>
      <c r="O7" s="133"/>
      <c r="P7" s="78">
        <v>0</v>
      </c>
      <c r="Q7" s="133"/>
      <c r="R7" s="134"/>
      <c r="S7" s="133"/>
      <c r="T7" s="133"/>
      <c r="U7" s="78">
        <v>1</v>
      </c>
      <c r="V7" s="133"/>
      <c r="W7" s="134"/>
      <c r="X7" s="133"/>
      <c r="Y7" s="133"/>
      <c r="Z7" s="78">
        <v>3</v>
      </c>
      <c r="AA7" s="133"/>
      <c r="AB7" s="133"/>
      <c r="AC7" s="80">
        <v>6</v>
      </c>
      <c r="AD7" s="81">
        <v>0.13333333333333333</v>
      </c>
    </row>
    <row r="8" spans="1:30" ht="40.15" customHeight="1" x14ac:dyDescent="0.25">
      <c r="A8" s="63"/>
      <c r="B8" s="224"/>
      <c r="C8" s="236">
        <v>1316</v>
      </c>
      <c r="D8" s="241" t="s">
        <v>3884</v>
      </c>
      <c r="E8" s="303">
        <f ca="1">_xlfn.IFNA(VLOOKUP(C8,Worksheet!$C$3:$G$46,3,FALSE),E8)</f>
        <v>0</v>
      </c>
      <c r="F8" s="303">
        <f ca="1">_xlfn.IFNA(VLOOKUP(C8,Worksheet!$C$3:$G$46,4,FALSE),F8)</f>
        <v>0</v>
      </c>
      <c r="G8" s="303">
        <f ca="1">_xlfn.IFNA(VLOOKUP(C8,Worksheet!$C$3:$G$46,5,FALSE),G8)</f>
        <v>0</v>
      </c>
      <c r="H8" s="264" t="s">
        <v>155</v>
      </c>
      <c r="I8" s="63"/>
      <c r="J8" s="70"/>
      <c r="K8" s="58" t="s">
        <v>79</v>
      </c>
      <c r="L8" s="357" t="s">
        <v>3971</v>
      </c>
      <c r="M8" s="358"/>
      <c r="N8" s="71">
        <v>54</v>
      </c>
      <c r="O8" s="71">
        <v>9.8571428571428577</v>
      </c>
      <c r="P8" s="71">
        <v>11.75</v>
      </c>
      <c r="Q8" s="71">
        <v>15.2</v>
      </c>
      <c r="R8" s="72">
        <v>17</v>
      </c>
      <c r="S8" s="71">
        <v>15.2</v>
      </c>
      <c r="T8" s="71">
        <v>4.1428571428571432</v>
      </c>
      <c r="U8" s="71">
        <v>6</v>
      </c>
      <c r="V8" s="71">
        <v>7.8</v>
      </c>
      <c r="W8" s="72">
        <v>1</v>
      </c>
      <c r="X8" s="71">
        <v>40.6</v>
      </c>
      <c r="Y8" s="71">
        <v>12.714285714285714</v>
      </c>
      <c r="Z8" s="71">
        <v>14</v>
      </c>
      <c r="AA8" s="71">
        <v>14.2</v>
      </c>
      <c r="AB8" s="71">
        <v>11.5</v>
      </c>
      <c r="AC8" s="75">
        <v>38</v>
      </c>
      <c r="AD8" s="76">
        <v>1.236654135338346</v>
      </c>
    </row>
    <row r="9" spans="1:30" ht="40.15" customHeight="1" x14ac:dyDescent="0.25">
      <c r="A9" s="63"/>
      <c r="B9" s="224"/>
      <c r="C9" s="236">
        <v>1321</v>
      </c>
      <c r="D9" s="240" t="s">
        <v>3885</v>
      </c>
      <c r="E9" s="303">
        <f ca="1">_xlfn.IFNA(VLOOKUP(C9,Worksheet!$C$3:$G$46,3,FALSE),E9)</f>
        <v>0</v>
      </c>
      <c r="F9" s="303">
        <f ca="1">_xlfn.IFNA(VLOOKUP(C9,Worksheet!$C$3:$G$46,4,FALSE),F9)</f>
        <v>0</v>
      </c>
      <c r="G9" s="303">
        <f ca="1">_xlfn.IFNA(VLOOKUP(C9,Worksheet!$C$3:$G$46,5,FALSE),G9)</f>
        <v>2</v>
      </c>
      <c r="H9" s="264" t="s">
        <v>155</v>
      </c>
      <c r="I9" s="63"/>
      <c r="J9" s="70"/>
      <c r="K9" s="59" t="s">
        <v>79</v>
      </c>
      <c r="L9" s="344" t="s">
        <v>88</v>
      </c>
      <c r="M9" s="345"/>
      <c r="N9" s="133"/>
      <c r="O9" s="133"/>
      <c r="P9" s="78">
        <v>0</v>
      </c>
      <c r="Q9" s="133"/>
      <c r="R9" s="134"/>
      <c r="S9" s="133"/>
      <c r="T9" s="133"/>
      <c r="U9" s="78">
        <v>1</v>
      </c>
      <c r="V9" s="133"/>
      <c r="W9" s="134"/>
      <c r="X9" s="133"/>
      <c r="Y9" s="133"/>
      <c r="Z9" s="78">
        <v>3</v>
      </c>
      <c r="AA9" s="133"/>
      <c r="AB9" s="133"/>
      <c r="AC9" s="80">
        <v>4</v>
      </c>
      <c r="AD9" s="81">
        <v>0.2</v>
      </c>
    </row>
    <row r="10" spans="1:30" ht="40.15" customHeight="1" x14ac:dyDescent="0.25">
      <c r="A10" s="63"/>
      <c r="B10" s="224"/>
      <c r="C10" s="236">
        <v>1322</v>
      </c>
      <c r="D10" s="240" t="s">
        <v>3886</v>
      </c>
      <c r="E10" s="303">
        <f ca="1">_xlfn.IFNA(VLOOKUP(C10,Worksheet!$C$3:$G$46,3,FALSE),E10)</f>
        <v>0</v>
      </c>
      <c r="F10" s="303">
        <f ca="1">_xlfn.IFNA(VLOOKUP(C10,Worksheet!$C$3:$G$46,4,FALSE),F10)</f>
        <v>0</v>
      </c>
      <c r="G10" s="303">
        <f ca="1">_xlfn.IFNA(VLOOKUP(C10,Worksheet!$C$3:$G$46,5,FALSE),G10)</f>
        <v>2</v>
      </c>
      <c r="H10" s="264" t="s">
        <v>155</v>
      </c>
      <c r="I10" s="63"/>
      <c r="J10" s="70"/>
      <c r="K10" s="121" t="s">
        <v>83</v>
      </c>
      <c r="L10" s="359" t="s">
        <v>3973</v>
      </c>
      <c r="M10" s="360"/>
      <c r="N10" s="122">
        <v>62.5</v>
      </c>
      <c r="O10" s="71">
        <v>15</v>
      </c>
      <c r="P10" s="71">
        <v>15.666666666666666</v>
      </c>
      <c r="Q10" s="71">
        <v>21.25</v>
      </c>
      <c r="R10" s="71">
        <v>23.5</v>
      </c>
      <c r="S10" s="122">
        <v>65.5</v>
      </c>
      <c r="T10" s="71">
        <v>10.5</v>
      </c>
      <c r="U10" s="71">
        <v>6.666666666666667</v>
      </c>
      <c r="V10" s="71">
        <v>15.25</v>
      </c>
      <c r="W10" s="71">
        <v>13</v>
      </c>
      <c r="X10" s="122">
        <v>67.5</v>
      </c>
      <c r="Y10" s="71">
        <v>13.333333333333334</v>
      </c>
      <c r="Z10" s="71">
        <v>12.333333333333334</v>
      </c>
      <c r="AA10" s="71">
        <v>19.75</v>
      </c>
      <c r="AB10" s="71">
        <v>27.5</v>
      </c>
      <c r="AC10" s="124">
        <v>66</v>
      </c>
      <c r="AD10" s="125">
        <v>1.1795454545454545</v>
      </c>
    </row>
    <row r="11" spans="1:30" ht="50.45" customHeight="1" x14ac:dyDescent="0.25">
      <c r="A11" s="63"/>
      <c r="B11" s="224"/>
      <c r="C11" s="236">
        <v>1323</v>
      </c>
      <c r="D11" s="240" t="s">
        <v>3887</v>
      </c>
      <c r="E11" s="303">
        <f ca="1">_xlfn.IFNA(VLOOKUP(C11,Worksheet!$C$3:$G$46,3,FALSE),E11)</f>
        <v>0</v>
      </c>
      <c r="F11" s="303">
        <f ca="1">_xlfn.IFNA(VLOOKUP(C11,Worksheet!$C$3:$G$46,4,FALSE),F11)</f>
        <v>0</v>
      </c>
      <c r="G11" s="303">
        <f ca="1">_xlfn.IFNA(VLOOKUP(C11,Worksheet!$C$3:$G$46,5,FALSE),G11)</f>
        <v>2</v>
      </c>
      <c r="H11" s="264" t="s">
        <v>155</v>
      </c>
      <c r="I11" s="63"/>
      <c r="J11" s="65"/>
      <c r="K11" s="120" t="s">
        <v>83</v>
      </c>
      <c r="L11" s="361" t="s">
        <v>3974</v>
      </c>
      <c r="M11" s="362"/>
      <c r="N11" s="135"/>
      <c r="O11" s="136"/>
      <c r="P11" s="71">
        <v>0</v>
      </c>
      <c r="Q11" s="136"/>
      <c r="R11" s="71">
        <v>0</v>
      </c>
      <c r="S11" s="135"/>
      <c r="T11" s="136"/>
      <c r="U11" s="71">
        <v>0</v>
      </c>
      <c r="V11" s="136"/>
      <c r="W11" s="71">
        <v>0</v>
      </c>
      <c r="X11" s="135"/>
      <c r="Y11" s="136"/>
      <c r="Z11" s="71">
        <v>1</v>
      </c>
      <c r="AA11" s="136"/>
      <c r="AB11" s="71">
        <v>0</v>
      </c>
      <c r="AC11" s="123">
        <v>2</v>
      </c>
      <c r="AD11" s="126">
        <v>0.1</v>
      </c>
    </row>
    <row r="12" spans="1:30" ht="48.6" customHeight="1" x14ac:dyDescent="0.25">
      <c r="A12" s="63"/>
      <c r="B12" s="224"/>
      <c r="C12" s="236">
        <v>1324</v>
      </c>
      <c r="D12" s="240" t="s">
        <v>3888</v>
      </c>
      <c r="E12" s="303">
        <f ca="1">_xlfn.IFNA(VLOOKUP(C12,Worksheet!$C$3:$G$46,3,FALSE),E12)</f>
        <v>0</v>
      </c>
      <c r="F12" s="303">
        <f ca="1">_xlfn.IFNA(VLOOKUP(C12,Worksheet!$C$3:$G$46,4,FALSE),F12)</f>
        <v>0</v>
      </c>
      <c r="G12" s="303">
        <f ca="1">_xlfn.IFNA(VLOOKUP(C12,Worksheet!$C$3:$G$46,5,FALSE),G12)</f>
        <v>2</v>
      </c>
      <c r="H12" s="264" t="s">
        <v>155</v>
      </c>
      <c r="I12" s="63"/>
      <c r="J12" s="65"/>
      <c r="K12" s="127" t="s">
        <v>83</v>
      </c>
      <c r="L12" s="353" t="s">
        <v>3975</v>
      </c>
      <c r="M12" s="363"/>
      <c r="N12" s="77">
        <v>0</v>
      </c>
      <c r="O12" s="78">
        <v>0</v>
      </c>
      <c r="P12" s="78">
        <v>0</v>
      </c>
      <c r="Q12" s="78">
        <v>0</v>
      </c>
      <c r="R12" s="78">
        <v>0</v>
      </c>
      <c r="S12" s="77">
        <v>0</v>
      </c>
      <c r="T12" s="78">
        <v>0</v>
      </c>
      <c r="U12" s="78">
        <v>0</v>
      </c>
      <c r="V12" s="78">
        <v>0</v>
      </c>
      <c r="W12" s="78">
        <v>0</v>
      </c>
      <c r="X12" s="77">
        <v>0</v>
      </c>
      <c r="Y12" s="78">
        <v>0</v>
      </c>
      <c r="Z12" s="78">
        <v>43</v>
      </c>
      <c r="AA12" s="78">
        <v>0</v>
      </c>
      <c r="AB12" s="78">
        <v>0</v>
      </c>
      <c r="AC12" s="128">
        <v>0</v>
      </c>
      <c r="AD12" s="129" t="e">
        <v>#DIV/0!</v>
      </c>
    </row>
    <row r="13" spans="1:30" ht="48.6" customHeight="1" x14ac:dyDescent="0.25">
      <c r="A13" s="63"/>
      <c r="B13" s="224"/>
      <c r="C13" s="236">
        <v>1331</v>
      </c>
      <c r="D13" s="240" t="s">
        <v>3889</v>
      </c>
      <c r="E13" s="303">
        <f ca="1">_xlfn.IFNA(VLOOKUP(C13,Worksheet!$C$3:$G$46,3,FALSE),E13)</f>
        <v>0</v>
      </c>
      <c r="F13" s="303">
        <f ca="1">_xlfn.IFNA(VLOOKUP(C13,Worksheet!$C$3:$G$46,4,FALSE),F13)</f>
        <v>0</v>
      </c>
      <c r="G13" s="303">
        <f ca="1">_xlfn.IFNA(VLOOKUP(C13,Worksheet!$C$3:$G$46,5,FALSE),G13)</f>
        <v>0</v>
      </c>
      <c r="H13" s="264" t="s">
        <v>155</v>
      </c>
      <c r="I13" s="63"/>
      <c r="J13" s="65"/>
      <c r="K13" s="60" t="s">
        <v>86</v>
      </c>
      <c r="L13" s="351" t="s">
        <v>87</v>
      </c>
      <c r="M13" s="356"/>
      <c r="N13" s="82">
        <v>0</v>
      </c>
      <c r="O13" s="83">
        <v>0</v>
      </c>
      <c r="P13" s="83">
        <v>0</v>
      </c>
      <c r="Q13" s="83">
        <v>0</v>
      </c>
      <c r="R13" s="83">
        <v>0</v>
      </c>
      <c r="S13" s="82">
        <v>0</v>
      </c>
      <c r="T13" s="83">
        <v>0</v>
      </c>
      <c r="U13" s="83">
        <v>0</v>
      </c>
      <c r="V13" s="83">
        <v>0</v>
      </c>
      <c r="W13" s="84">
        <v>0</v>
      </c>
      <c r="X13" s="83">
        <v>1</v>
      </c>
      <c r="Y13" s="83">
        <v>1</v>
      </c>
      <c r="Z13" s="83">
        <v>1</v>
      </c>
      <c r="AA13" s="83">
        <v>0.66666666666666663</v>
      </c>
      <c r="AB13" s="83">
        <v>0.66666666666666663</v>
      </c>
      <c r="AC13" s="130">
        <v>3</v>
      </c>
      <c r="AD13" s="131">
        <v>0.28888888888888886</v>
      </c>
    </row>
    <row r="14" spans="1:30" ht="40.15" customHeight="1" x14ac:dyDescent="0.25">
      <c r="A14" s="63"/>
      <c r="B14" s="224"/>
      <c r="C14" s="236">
        <v>1332</v>
      </c>
      <c r="D14" s="240" t="s">
        <v>3890</v>
      </c>
      <c r="E14" s="303">
        <f ca="1">_xlfn.IFNA(VLOOKUP(C14,Worksheet!$C$3:$G$46,3,FALSE),E14)</f>
        <v>0</v>
      </c>
      <c r="F14" s="303">
        <f ca="1">_xlfn.IFNA(VLOOKUP(C14,Worksheet!$C$3:$G$46,4,FALSE),F14)</f>
        <v>0</v>
      </c>
      <c r="G14" s="303">
        <f ca="1">_xlfn.IFNA(VLOOKUP(C14,Worksheet!$C$3:$G$46,5,FALSE),G14)</f>
        <v>0</v>
      </c>
      <c r="H14" s="264" t="s">
        <v>155</v>
      </c>
      <c r="I14" s="63"/>
      <c r="J14" s="70"/>
      <c r="K14" s="59" t="s">
        <v>84</v>
      </c>
      <c r="L14" s="353" t="s">
        <v>85</v>
      </c>
      <c r="M14" s="354"/>
      <c r="N14" s="77">
        <v>0</v>
      </c>
      <c r="O14" s="78">
        <v>0</v>
      </c>
      <c r="P14" s="78">
        <v>0</v>
      </c>
      <c r="Q14" s="78">
        <v>0</v>
      </c>
      <c r="R14" s="79">
        <v>0</v>
      </c>
      <c r="S14" s="78">
        <v>0</v>
      </c>
      <c r="T14" s="78">
        <v>0</v>
      </c>
      <c r="U14" s="78">
        <v>0</v>
      </c>
      <c r="V14" s="78">
        <v>0</v>
      </c>
      <c r="W14" s="79">
        <v>0</v>
      </c>
      <c r="X14" s="78">
        <v>2</v>
      </c>
      <c r="Y14" s="78">
        <v>2</v>
      </c>
      <c r="Z14" s="78">
        <v>0</v>
      </c>
      <c r="AA14" s="78">
        <v>2</v>
      </c>
      <c r="AB14" s="78">
        <v>1</v>
      </c>
      <c r="AC14" s="80">
        <v>2</v>
      </c>
      <c r="AD14" s="81">
        <v>0.7</v>
      </c>
    </row>
    <row r="15" spans="1:30" ht="47.45" customHeight="1" x14ac:dyDescent="0.25">
      <c r="A15" s="63"/>
      <c r="B15" s="224"/>
      <c r="C15" s="236">
        <v>1333</v>
      </c>
      <c r="D15" s="240" t="s">
        <v>3891</v>
      </c>
      <c r="E15" s="303">
        <f ca="1">_xlfn.IFNA(VLOOKUP(C15,Worksheet!$C$3:$G$46,3,FALSE),E15)</f>
        <v>0</v>
      </c>
      <c r="F15" s="303">
        <f ca="1">_xlfn.IFNA(VLOOKUP(C15,Worksheet!$C$3:$G$46,4,FALSE),F15)</f>
        <v>0</v>
      </c>
      <c r="G15" s="303">
        <f ca="1">_xlfn.IFNA(VLOOKUP(C15,Worksheet!$C$3:$G$46,5,FALSE),G15)</f>
        <v>0</v>
      </c>
      <c r="H15" s="264" t="s">
        <v>155</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1334</v>
      </c>
      <c r="D16" s="240" t="s">
        <v>3892</v>
      </c>
      <c r="E16" s="303">
        <f ca="1">_xlfn.IFNA(VLOOKUP(C16,Worksheet!$C$3:$G$46,3,FALSE),E16)</f>
        <v>0</v>
      </c>
      <c r="F16" s="303">
        <f ca="1">_xlfn.IFNA(VLOOKUP(C16,Worksheet!$C$3:$G$46,4,FALSE),F16)</f>
        <v>0</v>
      </c>
      <c r="G16" s="303">
        <f ca="1">_xlfn.IFNA(VLOOKUP(C16,Worksheet!$C$3:$G$46,5,FALSE),G16)</f>
        <v>0</v>
      </c>
      <c r="H16" s="264" t="s">
        <v>155</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1335</v>
      </c>
      <c r="D17" s="240" t="s">
        <v>3893</v>
      </c>
      <c r="E17" s="303">
        <f ca="1">_xlfn.IFNA(VLOOKUP(C17,Worksheet!$C$3:$G$46,3,FALSE),E17)</f>
        <v>0</v>
      </c>
      <c r="F17" s="303">
        <f ca="1">_xlfn.IFNA(VLOOKUP(C17,Worksheet!$C$3:$G$46,4,FALSE),F17)</f>
        <v>0</v>
      </c>
      <c r="G17" s="303">
        <f ca="1">_xlfn.IFNA(VLOOKUP(C17,Worksheet!$C$3:$G$46,5,FALSE),G17)</f>
        <v>0</v>
      </c>
      <c r="H17" s="264" t="s">
        <v>155</v>
      </c>
      <c r="I17" s="63"/>
      <c r="J17" s="65"/>
      <c r="K17" s="63"/>
      <c r="L17" s="63"/>
      <c r="M17" s="63"/>
      <c r="N17" s="87">
        <f>AVERAGE(N6:N16)</f>
        <v>29.125</v>
      </c>
      <c r="O17" s="87">
        <f t="shared" ref="O17:AB17" si="0">AVERAGE(O6:O16)</f>
        <v>6.2142857142857144</v>
      </c>
      <c r="P17" s="87">
        <f t="shared" si="0"/>
        <v>4.9848484848484844</v>
      </c>
      <c r="Q17" s="87">
        <f t="shared" si="0"/>
        <v>9.1125000000000007</v>
      </c>
      <c r="R17" s="87">
        <f t="shared" si="0"/>
        <v>9</v>
      </c>
      <c r="S17" s="87">
        <f t="shared" si="0"/>
        <v>20.175000000000001</v>
      </c>
      <c r="T17" s="87">
        <f t="shared" si="0"/>
        <v>3.6607142857142856</v>
      </c>
      <c r="U17" s="87">
        <f t="shared" si="0"/>
        <v>2.4848484848484849</v>
      </c>
      <c r="V17" s="87">
        <f t="shared" si="0"/>
        <v>5.7625000000000002</v>
      </c>
      <c r="W17" s="87">
        <f t="shared" si="0"/>
        <v>3.1111111111111112</v>
      </c>
      <c r="X17" s="87">
        <f t="shared" si="0"/>
        <v>27.4</v>
      </c>
      <c r="Y17" s="87">
        <f t="shared" si="0"/>
        <v>6.8869047619047619</v>
      </c>
      <c r="Z17" s="87">
        <f t="shared" si="0"/>
        <v>9.4242424242424239</v>
      </c>
      <c r="AA17" s="87">
        <f t="shared" si="0"/>
        <v>8.8208333333333346</v>
      </c>
      <c r="AB17" s="87">
        <f t="shared" si="0"/>
        <v>8.851851851851853</v>
      </c>
      <c r="AC17" s="63"/>
      <c r="AD17" s="63"/>
    </row>
    <row r="18" spans="1:30" ht="40.15" customHeight="1" x14ac:dyDescent="0.3">
      <c r="A18" s="63"/>
      <c r="B18" s="224"/>
      <c r="C18" s="236">
        <v>1341</v>
      </c>
      <c r="D18" s="240" t="s">
        <v>3894</v>
      </c>
      <c r="E18" s="303">
        <f ca="1">_xlfn.IFNA(VLOOKUP(C18,Worksheet!$C$3:$G$46,3,FALSE),E18)</f>
        <v>0</v>
      </c>
      <c r="F18" s="303">
        <f ca="1">_xlfn.IFNA(VLOOKUP(C18,Worksheet!$C$3:$G$46,4,FALSE),F18)</f>
        <v>0</v>
      </c>
      <c r="G18" s="303">
        <f ca="1">_xlfn.IFNA(VLOOKUP(C18,Worksheet!$C$3:$G$46,5,FALSE),G18)</f>
        <v>2</v>
      </c>
      <c r="H18" s="264" t="s">
        <v>155</v>
      </c>
      <c r="I18" s="63"/>
      <c r="J18" s="65"/>
      <c r="K18" s="355" t="s">
        <v>563</v>
      </c>
      <c r="L18" s="355"/>
      <c r="M18" s="206" t="s">
        <v>564</v>
      </c>
      <c r="N18" s="207"/>
      <c r="O18" s="208"/>
      <c r="P18" s="208"/>
      <c r="Q18" s="208"/>
      <c r="R18" s="305" t="s">
        <v>561</v>
      </c>
      <c r="S18" s="304" t="s">
        <v>566</v>
      </c>
      <c r="T18" s="209"/>
      <c r="U18" s="350" t="s">
        <v>562</v>
      </c>
      <c r="V18" s="350"/>
      <c r="W18" s="210" t="s">
        <v>565</v>
      </c>
      <c r="X18" s="210"/>
      <c r="Y18" s="88"/>
      <c r="Z18" s="88"/>
      <c r="AA18" s="88"/>
      <c r="AB18" s="88"/>
      <c r="AC18" s="63"/>
      <c r="AD18" s="63"/>
    </row>
    <row r="19" spans="1:30" ht="40.15" customHeight="1" x14ac:dyDescent="0.3">
      <c r="A19" s="63"/>
      <c r="B19" s="224"/>
      <c r="C19" s="236">
        <v>1343</v>
      </c>
      <c r="D19" s="240" t="s">
        <v>3896</v>
      </c>
      <c r="E19" s="303">
        <f ca="1">_xlfn.IFNA(VLOOKUP(C19,Worksheet!$C$3:$G$46,3,FALSE),E19)</f>
        <v>0</v>
      </c>
      <c r="F19" s="303">
        <f ca="1">_xlfn.IFNA(VLOOKUP(C19,Worksheet!$C$3:$G$46,4,FALSE),F19)</f>
        <v>0</v>
      </c>
      <c r="G19" s="303">
        <f ca="1">_xlfn.IFNA(VLOOKUP(C19,Worksheet!$C$3:$G$46,5,FALSE),G19)</f>
        <v>2</v>
      </c>
      <c r="H19" s="264" t="s">
        <v>155</v>
      </c>
      <c r="I19" s="63"/>
      <c r="J19" s="65"/>
      <c r="K19" s="349" t="s">
        <v>61</v>
      </c>
      <c r="L19" s="349"/>
      <c r="M19" s="206"/>
      <c r="N19" s="206"/>
      <c r="O19" s="206"/>
      <c r="P19" s="206"/>
      <c r="Q19" s="206"/>
      <c r="R19" s="305" t="s">
        <v>561</v>
      </c>
      <c r="S19" s="209"/>
      <c r="T19" s="209"/>
      <c r="U19" s="350" t="s">
        <v>562</v>
      </c>
      <c r="V19" s="350"/>
      <c r="W19" s="210"/>
      <c r="X19" s="210"/>
      <c r="Y19" s="63"/>
      <c r="Z19" s="63"/>
      <c r="AA19" s="63"/>
      <c r="AB19" s="63"/>
      <c r="AC19" s="63"/>
      <c r="AD19" s="63"/>
    </row>
    <row r="20" spans="1:30" ht="40.15" customHeight="1" x14ac:dyDescent="0.25">
      <c r="A20" s="63"/>
      <c r="B20" s="224"/>
      <c r="C20" s="236">
        <v>1344</v>
      </c>
      <c r="D20" s="240" t="s">
        <v>3897</v>
      </c>
      <c r="E20" s="303">
        <f ca="1">_xlfn.IFNA(VLOOKUP(C20,Worksheet!$C$3:$G$46,3,FALSE),E20)</f>
        <v>0</v>
      </c>
      <c r="F20" s="303">
        <f ca="1">_xlfn.IFNA(VLOOKUP(C20,Worksheet!$C$3:$G$46,4,FALSE),F20)</f>
        <v>0</v>
      </c>
      <c r="G20" s="303">
        <f ca="1">_xlfn.IFNA(VLOOKUP(C20,Worksheet!$C$3:$G$46,5,FALSE),G20)</f>
        <v>0</v>
      </c>
      <c r="H20" s="264" t="s">
        <v>155</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1352</v>
      </c>
      <c r="D21" s="240" t="s">
        <v>3899</v>
      </c>
      <c r="E21" s="303">
        <f ca="1">_xlfn.IFNA(VLOOKUP(C21,Worksheet!$C$3:$G$46,3,FALSE),E21)</f>
        <v>0</v>
      </c>
      <c r="F21" s="303">
        <f ca="1">_xlfn.IFNA(VLOOKUP(C21,Worksheet!$C$3:$G$46,4,FALSE),F21)</f>
        <v>0</v>
      </c>
      <c r="G21" s="303">
        <f ca="1">_xlfn.IFNA(VLOOKUP(C21,Worksheet!$C$3:$G$46,5,FALSE),G21)</f>
        <v>2</v>
      </c>
      <c r="H21" s="264" t="s">
        <v>155</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1353</v>
      </c>
      <c r="D22" s="240" t="s">
        <v>3900</v>
      </c>
      <c r="E22" s="303">
        <f ca="1">_xlfn.IFNA(VLOOKUP(C22,Worksheet!$C$3:$G$46,3,FALSE),E22)</f>
        <v>0</v>
      </c>
      <c r="F22" s="303">
        <f ca="1">_xlfn.IFNA(VLOOKUP(C22,Worksheet!$C$3:$G$46,4,FALSE),F22)</f>
        <v>0</v>
      </c>
      <c r="G22" s="303">
        <f ca="1">_xlfn.IFNA(VLOOKUP(C22,Worksheet!$C$3:$G$46,5,FALSE),G22)</f>
        <v>0</v>
      </c>
      <c r="H22" s="264" t="s">
        <v>155</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1355</v>
      </c>
      <c r="D23" s="240" t="s">
        <v>3899</v>
      </c>
      <c r="E23" s="303">
        <f ca="1">_xlfn.IFNA(VLOOKUP(C23,Worksheet!$C$3:$G$46,3,FALSE),E23)</f>
        <v>0</v>
      </c>
      <c r="F23" s="303">
        <f ca="1">_xlfn.IFNA(VLOOKUP(C23,Worksheet!$C$3:$G$46,4,FALSE),F23)</f>
        <v>0</v>
      </c>
      <c r="G23" s="303">
        <f ca="1">_xlfn.IFNA(VLOOKUP(C23,Worksheet!$C$3:$G$46,5,FALSE),G23)</f>
        <v>2</v>
      </c>
      <c r="H23" s="264" t="s">
        <v>155</v>
      </c>
      <c r="I23" s="63"/>
      <c r="J23" s="65"/>
      <c r="K23" s="63"/>
      <c r="L23" s="63"/>
      <c r="M23" s="63"/>
      <c r="N23" s="63"/>
      <c r="O23" s="91">
        <v>42644</v>
      </c>
      <c r="P23" s="92">
        <f>N17</f>
        <v>29.125</v>
      </c>
      <c r="Q23" s="93">
        <f>O17</f>
        <v>6.2142857142857144</v>
      </c>
      <c r="R23" s="93">
        <f>P17</f>
        <v>4.9848484848484844</v>
      </c>
      <c r="S23" s="93">
        <f>Q17</f>
        <v>9.1125000000000007</v>
      </c>
      <c r="T23" s="93">
        <f>R17</f>
        <v>9</v>
      </c>
      <c r="U23" s="63"/>
      <c r="V23" s="63"/>
      <c r="W23" s="63"/>
      <c r="X23" s="63"/>
      <c r="Y23" s="63"/>
      <c r="Z23" s="63"/>
      <c r="AA23" s="63"/>
      <c r="AB23" s="63"/>
      <c r="AC23" s="63"/>
      <c r="AD23" s="63"/>
    </row>
    <row r="24" spans="1:30" ht="40.15" customHeight="1" x14ac:dyDescent="0.25">
      <c r="A24" s="63"/>
      <c r="B24" s="224"/>
      <c r="C24" s="236">
        <v>1356</v>
      </c>
      <c r="D24" s="240" t="s">
        <v>3902</v>
      </c>
      <c r="E24" s="303">
        <f ca="1">_xlfn.IFNA(VLOOKUP(C24,Worksheet!$C$3:$G$46,3,FALSE),E24)</f>
        <v>0</v>
      </c>
      <c r="F24" s="303">
        <f ca="1">_xlfn.IFNA(VLOOKUP(C24,Worksheet!$C$3:$G$46,4,FALSE),F24)</f>
        <v>0</v>
      </c>
      <c r="G24" s="303">
        <f ca="1">_xlfn.IFNA(VLOOKUP(C24,Worksheet!$C$3:$G$46,5,FALSE),G24)</f>
        <v>0</v>
      </c>
      <c r="H24" s="264" t="s">
        <v>155</v>
      </c>
      <c r="I24" s="63"/>
      <c r="J24" s="65"/>
      <c r="K24" s="63"/>
      <c r="L24" s="63"/>
      <c r="M24" s="63"/>
      <c r="N24" s="63"/>
      <c r="O24" s="91">
        <v>42675</v>
      </c>
      <c r="P24" s="92">
        <f>S17</f>
        <v>20.175000000000001</v>
      </c>
      <c r="Q24" s="93">
        <f>T17</f>
        <v>3.6607142857142856</v>
      </c>
      <c r="R24" s="93">
        <f>U17</f>
        <v>2.4848484848484849</v>
      </c>
      <c r="S24" s="93">
        <f>V17</f>
        <v>5.7625000000000002</v>
      </c>
      <c r="T24" s="93">
        <f>W17</f>
        <v>3.1111111111111112</v>
      </c>
      <c r="U24" s="63"/>
      <c r="V24" s="63"/>
      <c r="W24" s="63"/>
      <c r="X24" s="63"/>
      <c r="Y24" s="63"/>
      <c r="Z24" s="63"/>
      <c r="AA24" s="63"/>
      <c r="AB24" s="63"/>
      <c r="AC24" s="63"/>
      <c r="AD24" s="63"/>
    </row>
    <row r="25" spans="1:30" ht="40.15" customHeight="1" x14ac:dyDescent="0.25">
      <c r="A25" s="63"/>
      <c r="B25" s="211"/>
      <c r="C25" s="211"/>
      <c r="D25" s="211"/>
      <c r="E25" s="211"/>
      <c r="F25" s="211"/>
      <c r="G25" s="211"/>
      <c r="H25" s="205" t="s">
        <v>83</v>
      </c>
      <c r="I25" s="63"/>
      <c r="J25" s="63"/>
      <c r="K25" s="63"/>
      <c r="L25" s="63"/>
      <c r="M25" s="63"/>
      <c r="N25" s="63"/>
      <c r="O25" s="91">
        <v>42705</v>
      </c>
      <c r="P25" s="92">
        <f>X17</f>
        <v>27.4</v>
      </c>
      <c r="Q25" s="93">
        <f>Y17</f>
        <v>6.8869047619047619</v>
      </c>
      <c r="R25" s="93">
        <f>Z17</f>
        <v>9.4242424242424239</v>
      </c>
      <c r="S25" s="93">
        <f>AA17</f>
        <v>8.8208333333333346</v>
      </c>
      <c r="T25" s="93">
        <f>AB17</f>
        <v>8.851851851851853</v>
      </c>
      <c r="U25" s="63"/>
      <c r="V25" s="63"/>
      <c r="W25" s="63"/>
      <c r="X25" s="63"/>
      <c r="Y25" s="63"/>
      <c r="Z25" s="63"/>
      <c r="AA25" s="63"/>
      <c r="AB25" s="63"/>
      <c r="AC25" s="63"/>
      <c r="AD25" s="63"/>
    </row>
    <row r="26" spans="1:30" ht="40.15" customHeight="1" x14ac:dyDescent="0.25">
      <c r="A26" s="63"/>
      <c r="B26" s="211"/>
      <c r="C26" s="211"/>
      <c r="D26" s="211"/>
      <c r="E26" s="211"/>
      <c r="F26" s="211"/>
      <c r="G26" s="211"/>
      <c r="H26" s="205" t="s">
        <v>83</v>
      </c>
      <c r="I26" s="63"/>
      <c r="J26" s="63"/>
      <c r="K26" s="63" t="s">
        <v>567</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11"/>
      <c r="C27" s="211"/>
      <c r="D27" s="211"/>
      <c r="E27" s="211"/>
      <c r="F27" s="211"/>
      <c r="G27" s="211"/>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11"/>
      <c r="C28" s="211"/>
      <c r="D28" s="211"/>
      <c r="E28" s="211"/>
      <c r="F28" s="211"/>
      <c r="G28" s="211"/>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11"/>
      <c r="C29" s="211"/>
      <c r="D29" s="211"/>
      <c r="E29" s="211"/>
      <c r="F29" s="211"/>
      <c r="G29" s="211"/>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11"/>
      <c r="C30" s="211"/>
      <c r="D30" s="211"/>
      <c r="E30" s="211"/>
      <c r="F30" s="211"/>
      <c r="G30" s="211"/>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11"/>
      <c r="C31" s="211"/>
      <c r="D31" s="211"/>
      <c r="E31" s="211"/>
      <c r="F31" s="211"/>
      <c r="G31" s="211"/>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11"/>
      <c r="C32" s="211"/>
      <c r="D32" s="211"/>
      <c r="E32" s="211"/>
      <c r="F32" s="211"/>
      <c r="G32" s="211"/>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11"/>
      <c r="C33" s="211"/>
      <c r="D33" s="211"/>
      <c r="E33" s="211"/>
      <c r="F33" s="211"/>
      <c r="G33" s="211"/>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11"/>
      <c r="C34" s="211"/>
      <c r="D34" s="211"/>
      <c r="E34" s="211"/>
      <c r="F34" s="211"/>
      <c r="G34" s="211"/>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iKoIpjUuNJLfdjPhzgs4GBQfxr7ccKg4FiizuwNt49hX43gwyTUB0ddQmPMZQIA9fp8w9Tn9C3NbTdPmbWqnKA==" saltValue="G3v+p/zqY8nH6zaQVIZ5ZA=="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3803</v>
      </c>
      <c r="B1" s="218" t="s">
        <v>4007</v>
      </c>
      <c r="C1" s="219" t="s">
        <v>3977</v>
      </c>
      <c r="D1" s="220"/>
      <c r="E1" s="221" t="s">
        <v>4008</v>
      </c>
      <c r="F1" s="222"/>
    </row>
    <row r="2" spans="1:7" ht="45" hidden="1" customHeight="1" x14ac:dyDescent="0.25">
      <c r="A2" s="224"/>
      <c r="B2" s="225" t="s">
        <v>150</v>
      </c>
      <c r="C2" s="226" t="s">
        <v>3978</v>
      </c>
      <c r="D2" s="226"/>
      <c r="E2" s="227"/>
      <c r="F2" s="298">
        <f ca="1">_xlfn.IFNA(VLOOKUP(B2,Worksheet!$C$3:$G$46,5,FALSE),F2)</f>
        <v>98</v>
      </c>
      <c r="G2" s="205" t="s">
        <v>150</v>
      </c>
    </row>
    <row r="3" spans="1:7" ht="45" hidden="1" customHeight="1" x14ac:dyDescent="0.25">
      <c r="A3" s="224"/>
      <c r="B3" s="228" t="s">
        <v>4009</v>
      </c>
      <c r="C3" s="226" t="s">
        <v>3979</v>
      </c>
      <c r="D3" s="226"/>
      <c r="E3" s="229"/>
      <c r="F3" s="298">
        <f ca="1">_xlfn.IFNA(VLOOKUP(B3,Worksheet!$C$3:$G$46,5,FALSE),F3)</f>
        <v>6</v>
      </c>
      <c r="G3" s="205" t="s">
        <v>150</v>
      </c>
    </row>
    <row r="4" spans="1:7" ht="45" hidden="1" customHeight="1" x14ac:dyDescent="0.25">
      <c r="A4" s="224"/>
      <c r="B4" s="228" t="s">
        <v>4010</v>
      </c>
      <c r="C4" s="226" t="s">
        <v>3980</v>
      </c>
      <c r="D4" s="230"/>
      <c r="E4" s="229"/>
      <c r="F4" s="298">
        <f ca="1">_xlfn.IFNA(VLOOKUP(B4,Worksheet!$C$3:$G$46,5,FALSE),F4)</f>
        <v>38</v>
      </c>
      <c r="G4" s="205" t="s">
        <v>150</v>
      </c>
    </row>
    <row r="5" spans="1:7" ht="45" hidden="1" customHeight="1" x14ac:dyDescent="0.25">
      <c r="A5" s="224"/>
      <c r="B5" s="228" t="s">
        <v>4011</v>
      </c>
      <c r="C5" s="226" t="s">
        <v>3981</v>
      </c>
      <c r="D5" s="226"/>
      <c r="E5" s="229"/>
      <c r="F5" s="298">
        <f ca="1">_xlfn.IFNA(VLOOKUP(B5,Worksheet!$C$3:$G$46,5,FALSE),F5)</f>
        <v>4</v>
      </c>
      <c r="G5" s="205" t="s">
        <v>150</v>
      </c>
    </row>
    <row r="6" spans="1:7" ht="45" hidden="1" customHeight="1" x14ac:dyDescent="0.25">
      <c r="A6" s="224"/>
      <c r="B6" s="231" t="s">
        <v>4012</v>
      </c>
      <c r="C6" s="232" t="s">
        <v>3982</v>
      </c>
      <c r="D6" s="233"/>
      <c r="E6" s="234"/>
      <c r="F6" s="235">
        <f ca="1">_xlfn.IFNA(VLOOKUP(F2,Data_donotedit!$BE$2:$BG$25,3,TRUE),0)</f>
        <v>52</v>
      </c>
      <c r="G6" s="205" t="s">
        <v>150</v>
      </c>
    </row>
    <row r="7" spans="1:7" ht="45" hidden="1" customHeight="1" x14ac:dyDescent="0.25">
      <c r="A7" s="224"/>
      <c r="B7" s="236"/>
      <c r="C7" s="237" t="s">
        <v>3983</v>
      </c>
      <c r="D7" s="238" t="s">
        <v>3984</v>
      </c>
      <c r="E7" s="238" t="s">
        <v>77</v>
      </c>
      <c r="F7" s="239" t="s">
        <v>78</v>
      </c>
      <c r="G7" s="205" t="s">
        <v>150</v>
      </c>
    </row>
    <row r="8" spans="1:7" ht="45" hidden="1" customHeight="1" x14ac:dyDescent="0.25">
      <c r="A8" s="224"/>
      <c r="B8" s="236">
        <v>1111</v>
      </c>
      <c r="C8" s="240" t="s">
        <v>3804</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3805</v>
      </c>
      <c r="D9" s="299">
        <f ca="1">_xlfn.IFNA(VLOOKUP(B9,Worksheet!$C$3:$G$46,3,FALSE),D9)</f>
        <v>0</v>
      </c>
      <c r="E9" s="299">
        <f ca="1">_xlfn.IFNA(VLOOKUP(B9,Worksheet!$C$3:$G$46,4,FALSE),E9)</f>
        <v>0</v>
      </c>
      <c r="F9" s="299">
        <f ca="1">_xlfn.IFNA(VLOOKUP(B9,Worksheet!$C$3:$G$46,5,FALSE),F9)</f>
        <v>0</v>
      </c>
      <c r="G9" s="205" t="s">
        <v>150</v>
      </c>
    </row>
    <row r="10" spans="1:7" ht="45" hidden="1" customHeight="1" x14ac:dyDescent="0.25">
      <c r="A10" s="224"/>
      <c r="B10" s="236">
        <v>1113</v>
      </c>
      <c r="C10" s="240" t="s">
        <v>3806</v>
      </c>
      <c r="D10" s="299">
        <f ca="1">_xlfn.IFNA(VLOOKUP(B10,Worksheet!$C$3:$G$46,3,FALSE),D10)</f>
        <v>225</v>
      </c>
      <c r="E10" s="299">
        <f ca="1">_xlfn.IFNA(VLOOKUP(B10,Worksheet!$C$3:$G$46,4,FALSE),E10)</f>
        <v>50</v>
      </c>
      <c r="F10" s="299">
        <f ca="1">_xlfn.IFNA(VLOOKUP(B10,Worksheet!$C$3:$G$46,5,FALSE),F10)</f>
        <v>150</v>
      </c>
      <c r="G10" s="205" t="s">
        <v>150</v>
      </c>
    </row>
    <row r="11" spans="1:7" ht="45" hidden="1" customHeight="1" x14ac:dyDescent="0.25">
      <c r="A11" s="224"/>
      <c r="B11" s="236">
        <v>1114</v>
      </c>
      <c r="C11" s="241" t="s">
        <v>3807</v>
      </c>
      <c r="D11" s="299">
        <f ca="1">_xlfn.IFNA(VLOOKUP(B11,Worksheet!$C$3:$G$46,3,FALSE),D11)</f>
        <v>0</v>
      </c>
      <c r="E11" s="299">
        <f ca="1">_xlfn.IFNA(VLOOKUP(B11,Worksheet!$C$3:$G$46,4,FALSE),E11)</f>
        <v>0</v>
      </c>
      <c r="F11" s="299">
        <f ca="1">_xlfn.IFNA(VLOOKUP(B11,Worksheet!$C$3:$G$46,5,FALSE),F11)</f>
        <v>0</v>
      </c>
      <c r="G11" s="205" t="s">
        <v>150</v>
      </c>
    </row>
    <row r="12" spans="1:7" ht="45" hidden="1" customHeight="1" x14ac:dyDescent="0.25">
      <c r="A12" s="224"/>
      <c r="B12" s="236">
        <v>1115</v>
      </c>
      <c r="C12" s="240" t="s">
        <v>3808</v>
      </c>
      <c r="D12" s="299">
        <f ca="1">_xlfn.IFNA(VLOOKUP(B12,Worksheet!$C$3:$G$46,3,FALSE),D12)</f>
        <v>17</v>
      </c>
      <c r="E12" s="299">
        <f ca="1">_xlfn.IFNA(VLOOKUP(B12,Worksheet!$C$3:$G$46,4,FALSE),E12)</f>
        <v>2</v>
      </c>
      <c r="F12" s="299">
        <f ca="1">_xlfn.IFNA(VLOOKUP(B12,Worksheet!$C$3:$G$46,5,FALSE),F12)</f>
        <v>19</v>
      </c>
      <c r="G12" s="205" t="s">
        <v>150</v>
      </c>
    </row>
    <row r="13" spans="1:7" ht="45" hidden="1" customHeight="1" x14ac:dyDescent="0.25">
      <c r="A13" s="224" t="s">
        <v>3809</v>
      </c>
      <c r="B13" s="236">
        <v>1116</v>
      </c>
      <c r="C13" s="240" t="s">
        <v>3810</v>
      </c>
      <c r="D13" s="299">
        <f ca="1">_xlfn.IFNA(VLOOKUP(B13,Worksheet!$C$3:$G$46,3,FALSE),D13)</f>
        <v>14</v>
      </c>
      <c r="E13" s="299">
        <f ca="1">_xlfn.IFNA(VLOOKUP(B13,Worksheet!$C$3:$G$46,4,FALSE),E13)</f>
        <v>12</v>
      </c>
      <c r="F13" s="299">
        <f ca="1">_xlfn.IFNA(VLOOKUP(B13,Worksheet!$C$3:$G$46,5,FALSE),F13)</f>
        <v>17</v>
      </c>
      <c r="G13" s="205" t="s">
        <v>150</v>
      </c>
    </row>
    <row r="14" spans="1:7" ht="45" hidden="1" customHeight="1" x14ac:dyDescent="0.25">
      <c r="A14" s="224"/>
      <c r="B14" s="236">
        <v>1117</v>
      </c>
      <c r="C14" s="240" t="s">
        <v>3811</v>
      </c>
      <c r="D14" s="299">
        <f ca="1">_xlfn.IFNA(VLOOKUP(B14,Worksheet!$C$3:$G$46,3,FALSE),D14)</f>
        <v>14</v>
      </c>
      <c r="E14" s="299">
        <f ca="1">_xlfn.IFNA(VLOOKUP(B14,Worksheet!$C$3:$G$46,4,FALSE),E14)</f>
        <v>12</v>
      </c>
      <c r="F14" s="299">
        <f ca="1">_xlfn.IFNA(VLOOKUP(B14,Worksheet!$C$3:$G$46,5,FALSE),F14)</f>
        <v>17</v>
      </c>
      <c r="G14" s="205" t="s">
        <v>150</v>
      </c>
    </row>
    <row r="15" spans="1:7" ht="45" hidden="1" customHeight="1" x14ac:dyDescent="0.25">
      <c r="A15" s="224">
        <v>1116</v>
      </c>
      <c r="B15" s="236">
        <v>1121</v>
      </c>
      <c r="C15" s="241" t="str">
        <f>C13</f>
        <v xml:space="preserve">How many HTC clients have a completed Client intake form </v>
      </c>
      <c r="D15" s="300">
        <f ca="1">D13</f>
        <v>14</v>
      </c>
      <c r="E15" s="300">
        <f t="shared" ref="E15:F15" ca="1" si="0">E13</f>
        <v>12</v>
      </c>
      <c r="F15" s="300">
        <f t="shared" ca="1" si="0"/>
        <v>17</v>
      </c>
      <c r="G15" s="205"/>
    </row>
    <row r="16" spans="1:7" ht="45" hidden="1" customHeight="1" x14ac:dyDescent="0.25">
      <c r="A16" s="224"/>
      <c r="B16" s="236">
        <v>1122</v>
      </c>
      <c r="C16" s="241" t="s">
        <v>3812</v>
      </c>
      <c r="D16" s="299">
        <f ca="1">_xlfn.IFNA(VLOOKUP(B16,Worksheet!$C$3:$G$46,3,FALSE),D16)</f>
        <v>14</v>
      </c>
      <c r="E16" s="299">
        <f ca="1">_xlfn.IFNA(VLOOKUP(B16,Worksheet!$C$3:$G$46,4,FALSE),E16)</f>
        <v>12</v>
      </c>
      <c r="F16" s="299">
        <f ca="1">_xlfn.IFNA(VLOOKUP(B16,Worksheet!$C$3:$G$46,5,FALSE),F16)</f>
        <v>17</v>
      </c>
      <c r="G16" s="205" t="s">
        <v>150</v>
      </c>
    </row>
    <row r="17" spans="1:7" ht="45" hidden="1" customHeight="1" x14ac:dyDescent="0.25">
      <c r="A17" s="224"/>
      <c r="B17" s="236">
        <v>1123</v>
      </c>
      <c r="C17" s="240" t="s">
        <v>3813</v>
      </c>
      <c r="D17" s="299">
        <f ca="1">_xlfn.IFNA(VLOOKUP(B17,Worksheet!$C$3:$G$46,3,FALSE),D17)</f>
        <v>14</v>
      </c>
      <c r="E17" s="299">
        <f ca="1">_xlfn.IFNA(VLOOKUP(B17,Worksheet!$C$3:$G$46,4,FALSE),E17)</f>
        <v>2</v>
      </c>
      <c r="F17" s="299">
        <f ca="1">_xlfn.IFNA(VLOOKUP(B17,Worksheet!$C$3:$G$46,5,FALSE),F17)</f>
        <v>17</v>
      </c>
      <c r="G17" s="205" t="s">
        <v>150</v>
      </c>
    </row>
    <row r="18" spans="1:7" ht="45" hidden="1" customHeight="1" x14ac:dyDescent="0.25">
      <c r="A18" s="224"/>
      <c r="B18" s="236">
        <v>1124</v>
      </c>
      <c r="C18" s="240" t="s">
        <v>3814</v>
      </c>
      <c r="D18" s="299">
        <f ca="1">_xlfn.IFNA(VLOOKUP(B18,Worksheet!$C$3:$G$46,3,FALSE),D18)</f>
        <v>14</v>
      </c>
      <c r="E18" s="299">
        <f ca="1">_xlfn.IFNA(VLOOKUP(B18,Worksheet!$C$3:$G$46,4,FALSE),E18)</f>
        <v>2</v>
      </c>
      <c r="F18" s="299">
        <f ca="1">_xlfn.IFNA(VLOOKUP(B18,Worksheet!$C$3:$G$46,5,FALSE),F18)</f>
        <v>17</v>
      </c>
      <c r="G18" s="205" t="s">
        <v>150</v>
      </c>
    </row>
    <row r="19" spans="1:7" ht="45" hidden="1" customHeight="1" x14ac:dyDescent="0.25">
      <c r="A19" s="224"/>
      <c r="B19" s="236">
        <v>1125</v>
      </c>
      <c r="C19" s="240" t="s">
        <v>3815</v>
      </c>
      <c r="D19" s="299">
        <f ca="1">_xlfn.IFNA(VLOOKUP(B19,Worksheet!$C$3:$G$46,3,FALSE),D19)</f>
        <v>13</v>
      </c>
      <c r="E19" s="299">
        <f ca="1">_xlfn.IFNA(VLOOKUP(B19,Worksheet!$C$3:$G$46,4,FALSE),E19)</f>
        <v>1</v>
      </c>
      <c r="F19" s="299">
        <f ca="1">_xlfn.IFNA(VLOOKUP(B19,Worksheet!$C$3:$G$46,5,FALSE),F19)</f>
        <v>17</v>
      </c>
      <c r="G19" s="205" t="s">
        <v>150</v>
      </c>
    </row>
    <row r="20" spans="1:7" ht="45" hidden="1" customHeight="1" x14ac:dyDescent="0.25">
      <c r="A20" s="224"/>
      <c r="B20" s="236">
        <v>1126</v>
      </c>
      <c r="C20" s="240" t="s">
        <v>3816</v>
      </c>
      <c r="D20" s="299">
        <f ca="1">_xlfn.IFNA(VLOOKUP(B20,Worksheet!$C$3:$G$46,3,FALSE),D20)</f>
        <v>0</v>
      </c>
      <c r="E20" s="299">
        <f ca="1">_xlfn.IFNA(VLOOKUP(B20,Worksheet!$C$3:$G$46,4,FALSE),E20)</f>
        <v>0</v>
      </c>
      <c r="F20" s="299">
        <f ca="1">_xlfn.IFNA(VLOOKUP(B20,Worksheet!$C$3:$G$46,5,FALSE),F20)</f>
        <v>2</v>
      </c>
      <c r="G20" s="205" t="s">
        <v>150</v>
      </c>
    </row>
    <row r="21" spans="1:7" ht="45" hidden="1" customHeight="1" x14ac:dyDescent="0.25">
      <c r="A21" s="224"/>
      <c r="B21" s="236">
        <v>1127</v>
      </c>
      <c r="C21" s="240" t="s">
        <v>3817</v>
      </c>
      <c r="D21" s="299">
        <f ca="1">_xlfn.IFNA(VLOOKUP(B21,Worksheet!$C$3:$G$46,3,FALSE),D21)</f>
        <v>0</v>
      </c>
      <c r="E21" s="299">
        <f ca="1">_xlfn.IFNA(VLOOKUP(B21,Worksheet!$C$3:$G$46,4,FALSE),E21)</f>
        <v>0</v>
      </c>
      <c r="F21" s="299">
        <f ca="1">_xlfn.IFNA(VLOOKUP(B21,Worksheet!$C$3:$G$46,5,FALSE),F21)</f>
        <v>2</v>
      </c>
      <c r="G21" s="205" t="s">
        <v>150</v>
      </c>
    </row>
    <row r="22" spans="1:7" ht="45" hidden="1" customHeight="1" x14ac:dyDescent="0.25">
      <c r="A22" s="224"/>
      <c r="B22" s="236"/>
      <c r="C22" s="243" t="s">
        <v>3985</v>
      </c>
      <c r="D22" s="244"/>
      <c r="E22" s="244"/>
      <c r="F22" s="245"/>
      <c r="G22" s="205" t="s">
        <v>150</v>
      </c>
    </row>
    <row r="23" spans="1:7" ht="45" hidden="1" customHeight="1" x14ac:dyDescent="0.25">
      <c r="A23" s="224"/>
      <c r="B23" s="236">
        <v>1131</v>
      </c>
      <c r="C23" s="240" t="s">
        <v>3818</v>
      </c>
      <c r="D23" s="299">
        <f ca="1">_xlfn.IFNA(VLOOKUP(B23,Worksheet!$C$3:$G$46,3,FALSE),D23)</f>
        <v>6</v>
      </c>
      <c r="E23" s="299">
        <f ca="1">_xlfn.IFNA(VLOOKUP(B23,Worksheet!$C$3:$G$46,4,FALSE),E23)</f>
        <v>2</v>
      </c>
      <c r="F23" s="299">
        <f ca="1">_xlfn.IFNA(VLOOKUP(B23,Worksheet!$C$3:$G$46,5,FALSE),F23)</f>
        <v>8</v>
      </c>
      <c r="G23" s="205" t="s">
        <v>150</v>
      </c>
    </row>
    <row r="24" spans="1:7" ht="45" hidden="1" customHeight="1" x14ac:dyDescent="0.25">
      <c r="A24" s="224"/>
      <c r="B24" s="236">
        <v>1132</v>
      </c>
      <c r="C24" s="240" t="s">
        <v>3819</v>
      </c>
      <c r="D24" s="299">
        <f ca="1">_xlfn.IFNA(VLOOKUP(B24,Worksheet!$C$3:$G$46,3,FALSE),D24)</f>
        <v>8</v>
      </c>
      <c r="E24" s="299">
        <f ca="1">_xlfn.IFNA(VLOOKUP(B24,Worksheet!$C$3:$G$46,4,FALSE),E24)</f>
        <v>10</v>
      </c>
      <c r="F24" s="299">
        <f ca="1">_xlfn.IFNA(VLOOKUP(B24,Worksheet!$C$3:$G$46,5,FALSE),F24)</f>
        <v>9</v>
      </c>
      <c r="G24" s="205" t="s">
        <v>150</v>
      </c>
    </row>
    <row r="25" spans="1:7" ht="45" hidden="1" customHeight="1" x14ac:dyDescent="0.25">
      <c r="A25" s="224"/>
      <c r="B25" s="236">
        <v>1133</v>
      </c>
      <c r="C25" s="240" t="s">
        <v>3820</v>
      </c>
      <c r="D25" s="299">
        <f ca="1">_xlfn.IFNA(VLOOKUP(B25,Worksheet!$C$3:$G$46,3,FALSE),D25)</f>
        <v>10</v>
      </c>
      <c r="E25" s="299">
        <f ca="1">_xlfn.IFNA(VLOOKUP(B25,Worksheet!$C$3:$G$46,4,FALSE),E25)</f>
        <v>2</v>
      </c>
      <c r="F25" s="299">
        <f ca="1">_xlfn.IFNA(VLOOKUP(B25,Worksheet!$C$3:$G$46,5,FALSE),F25)</f>
        <v>17</v>
      </c>
      <c r="G25" s="205" t="s">
        <v>150</v>
      </c>
    </row>
    <row r="26" spans="1:7" ht="45" hidden="1" customHeight="1" x14ac:dyDescent="0.25">
      <c r="A26" s="224"/>
      <c r="B26" s="236">
        <v>1134</v>
      </c>
      <c r="C26" s="240" t="s">
        <v>3821</v>
      </c>
      <c r="D26" s="299">
        <f ca="1">_xlfn.IFNA(VLOOKUP(B26,Worksheet!$C$3:$G$46,3,FALSE),D26)</f>
        <v>8</v>
      </c>
      <c r="E26" s="299">
        <f ca="1">_xlfn.IFNA(VLOOKUP(B26,Worksheet!$C$3:$G$46,4,FALSE),E26)</f>
        <v>0</v>
      </c>
      <c r="F26" s="299">
        <f ca="1">_xlfn.IFNA(VLOOKUP(B26,Worksheet!$C$3:$G$46,5,FALSE),F26)</f>
        <v>2</v>
      </c>
      <c r="G26" s="205" t="s">
        <v>150</v>
      </c>
    </row>
    <row r="27" spans="1:7" ht="45" hidden="1" customHeight="1" x14ac:dyDescent="0.25">
      <c r="A27" s="224"/>
      <c r="B27" s="236">
        <v>1135</v>
      </c>
      <c r="C27" s="240" t="s">
        <v>3822</v>
      </c>
      <c r="D27" s="299">
        <f ca="1">_xlfn.IFNA(VLOOKUP(B27,Worksheet!$C$3:$G$46,3,FALSE),D27)</f>
        <v>0</v>
      </c>
      <c r="E27" s="299">
        <f ca="1">_xlfn.IFNA(VLOOKUP(B27,Worksheet!$C$3:$G$46,4,FALSE),E27)</f>
        <v>0</v>
      </c>
      <c r="F27" s="299">
        <f ca="1">_xlfn.IFNA(VLOOKUP(B27,Worksheet!$C$3:$G$46,5,FALSE),F27)</f>
        <v>2</v>
      </c>
      <c r="G27" s="205" t="s">
        <v>150</v>
      </c>
    </row>
    <row r="28" spans="1:7" ht="45" hidden="1" customHeight="1" x14ac:dyDescent="0.25">
      <c r="A28" s="224"/>
      <c r="B28" s="236">
        <v>1136</v>
      </c>
      <c r="C28" s="240" t="s">
        <v>3823</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3824</v>
      </c>
      <c r="D29" s="299">
        <f ca="1">_xlfn.IFNA(VLOOKUP(B29,Worksheet!$C$3:$G$46,3,FALSE),D29)</f>
        <v>0</v>
      </c>
      <c r="E29" s="299">
        <f ca="1">_xlfn.IFNA(VLOOKUP(B29,Worksheet!$C$3:$G$46,4,FALSE),E29)</f>
        <v>1</v>
      </c>
      <c r="F29" s="299">
        <f ca="1">_xlfn.IFNA(VLOOKUP(B29,Worksheet!$C$3:$G$46,5,FALSE),F29)</f>
        <v>3</v>
      </c>
      <c r="G29" s="205" t="s">
        <v>150</v>
      </c>
    </row>
    <row r="30" spans="1:7" ht="45" hidden="1" customHeight="1" x14ac:dyDescent="0.25">
      <c r="A30" s="224"/>
      <c r="B30" s="236">
        <v>1138</v>
      </c>
      <c r="C30" s="240" t="s">
        <v>3825</v>
      </c>
      <c r="D30" s="299">
        <f ca="1">_xlfn.IFNA(VLOOKUP(B30,Worksheet!$C$3:$G$46,3,FALSE),D30)</f>
        <v>15</v>
      </c>
      <c r="E30" s="299">
        <f ca="1">_xlfn.IFNA(VLOOKUP(B30,Worksheet!$C$3:$G$46,4,FALSE),E30)</f>
        <v>9</v>
      </c>
      <c r="F30" s="299">
        <f ca="1">_xlfn.IFNA(VLOOKUP(B30,Worksheet!$C$3:$G$46,5,FALSE),F30)</f>
        <v>15</v>
      </c>
      <c r="G30" s="205" t="s">
        <v>150</v>
      </c>
    </row>
    <row r="31" spans="1:7" ht="45" hidden="1" customHeight="1" x14ac:dyDescent="0.25">
      <c r="A31" s="224">
        <v>1116</v>
      </c>
      <c r="B31" s="236">
        <v>1141</v>
      </c>
      <c r="C31" s="240" t="s">
        <v>3826</v>
      </c>
      <c r="D31" s="300">
        <f ca="1">D13</f>
        <v>14</v>
      </c>
      <c r="E31" s="300">
        <f ca="1">E13</f>
        <v>12</v>
      </c>
      <c r="F31" s="300">
        <f ca="1">F13</f>
        <v>17</v>
      </c>
      <c r="G31" s="205"/>
    </row>
    <row r="32" spans="1:7" ht="45" hidden="1" customHeight="1" x14ac:dyDescent="0.25">
      <c r="A32" s="224"/>
      <c r="B32" s="236">
        <v>1142</v>
      </c>
      <c r="C32" s="241" t="s">
        <v>3827</v>
      </c>
      <c r="D32" s="300">
        <f ca="1">D18</f>
        <v>14</v>
      </c>
      <c r="E32" s="300">
        <f ca="1">E18</f>
        <v>2</v>
      </c>
      <c r="F32" s="300">
        <f ca="1">F18</f>
        <v>17</v>
      </c>
      <c r="G32" s="205"/>
    </row>
    <row r="33" spans="1:7" ht="45" hidden="1" customHeight="1" x14ac:dyDescent="0.25">
      <c r="A33" s="224"/>
      <c r="B33" s="236">
        <v>1143</v>
      </c>
      <c r="C33" s="240" t="s">
        <v>3828</v>
      </c>
      <c r="D33" s="299">
        <f ca="1">_xlfn.IFNA(VLOOKUP(B33,Worksheet!$C$3:$G$46,3,FALSE),D33)</f>
        <v>18</v>
      </c>
      <c r="E33" s="299">
        <f ca="1">_xlfn.IFNA(VLOOKUP(B33,Worksheet!$C$3:$G$46,4,FALSE),E33)</f>
        <v>2</v>
      </c>
      <c r="F33" s="299">
        <f ca="1">_xlfn.IFNA(VLOOKUP(B33,Worksheet!$C$3:$G$46,5,FALSE),F33)</f>
        <v>19</v>
      </c>
      <c r="G33" s="205" t="s">
        <v>150</v>
      </c>
    </row>
    <row r="34" spans="1:7" ht="45" hidden="1" customHeight="1" x14ac:dyDescent="0.25">
      <c r="A34" s="224"/>
      <c r="B34" s="236">
        <v>1144</v>
      </c>
      <c r="C34" s="240" t="s">
        <v>3829</v>
      </c>
      <c r="D34" s="299">
        <f ca="1">_xlfn.IFNA(VLOOKUP(B34,Worksheet!$C$3:$G$46,3,FALSE),D34)</f>
        <v>15</v>
      </c>
      <c r="E34" s="299">
        <f ca="1">_xlfn.IFNA(VLOOKUP(B34,Worksheet!$C$3:$G$46,4,FALSE),E34)</f>
        <v>10</v>
      </c>
      <c r="F34" s="299">
        <f ca="1">_xlfn.IFNA(VLOOKUP(B34,Worksheet!$C$3:$G$46,5,FALSE),F34)</f>
        <v>18</v>
      </c>
      <c r="G34" s="205" t="s">
        <v>150</v>
      </c>
    </row>
    <row r="35" spans="1:7" ht="45" hidden="1" customHeight="1" x14ac:dyDescent="0.25">
      <c r="A35" s="224"/>
      <c r="B35" s="236">
        <v>1145</v>
      </c>
      <c r="C35" s="240" t="s">
        <v>3830</v>
      </c>
      <c r="D35" s="299">
        <f ca="1">_xlfn.IFNA(VLOOKUP(B35,Worksheet!$C$3:$G$46,3,FALSE),D35)</f>
        <v>15</v>
      </c>
      <c r="E35" s="299">
        <f ca="1">_xlfn.IFNA(VLOOKUP(B35,Worksheet!$C$3:$G$46,4,FALSE),E35)</f>
        <v>13</v>
      </c>
      <c r="F35" s="299">
        <f ca="1">_xlfn.IFNA(VLOOKUP(B35,Worksheet!$C$3:$G$46,5,FALSE),F35)</f>
        <v>0</v>
      </c>
      <c r="G35" s="205" t="s">
        <v>150</v>
      </c>
    </row>
    <row r="36" spans="1:7" ht="45" hidden="1" customHeight="1" x14ac:dyDescent="0.25">
      <c r="A36" s="224"/>
      <c r="B36" s="236">
        <v>1151</v>
      </c>
      <c r="C36" s="246" t="s">
        <v>3831</v>
      </c>
      <c r="D36" s="247">
        <f ca="1">D37/D38</f>
        <v>1</v>
      </c>
      <c r="E36" s="247">
        <f t="shared" ref="E36:F36" ca="1" si="1">E37/E38</f>
        <v>0.15384615384615385</v>
      </c>
      <c r="F36" s="247" t="e">
        <f t="shared" ca="1" si="1"/>
        <v>#DIV/0!</v>
      </c>
      <c r="G36" s="205"/>
    </row>
    <row r="37" spans="1:7" ht="45" hidden="1" customHeight="1" x14ac:dyDescent="0.25">
      <c r="A37" s="224"/>
      <c r="B37" s="236">
        <v>1152</v>
      </c>
      <c r="C37" s="240" t="s">
        <v>3832</v>
      </c>
      <c r="D37" s="299">
        <f ca="1">_xlfn.IFNA(VLOOKUP(B37,Worksheet!$C$3:$G$46,3,FALSE),D37)</f>
        <v>10</v>
      </c>
      <c r="E37" s="299">
        <f ca="1">_xlfn.IFNA(VLOOKUP(B37,Worksheet!$C$3:$G$46,4,FALSE),E37)</f>
        <v>2</v>
      </c>
      <c r="F37" s="299">
        <f ca="1">_xlfn.IFNA(VLOOKUP(B37,Worksheet!$C$3:$G$46,5,FALSE),F37)</f>
        <v>17</v>
      </c>
      <c r="G37" s="205" t="s">
        <v>150</v>
      </c>
    </row>
    <row r="38" spans="1:7" ht="45" hidden="1" customHeight="1" x14ac:dyDescent="0.25">
      <c r="A38" s="224"/>
      <c r="B38" s="236">
        <v>1153</v>
      </c>
      <c r="C38" s="240" t="s">
        <v>3833</v>
      </c>
      <c r="D38" s="299">
        <f ca="1">_xlfn.IFNA(VLOOKUP(B38,Worksheet!$C$3:$G$46,3,FALSE),D38)</f>
        <v>10</v>
      </c>
      <c r="E38" s="299">
        <f ca="1">_xlfn.IFNA(VLOOKUP(B38,Worksheet!$C$3:$G$46,4,FALSE),E38)</f>
        <v>13</v>
      </c>
      <c r="F38" s="299">
        <f ca="1">_xlfn.IFNA(VLOOKUP(B38,Worksheet!$C$3:$G$46,5,FALSE),F38)</f>
        <v>0</v>
      </c>
      <c r="G38" s="205" t="s">
        <v>150</v>
      </c>
    </row>
    <row r="39" spans="1:7" ht="45" hidden="1" customHeight="1" x14ac:dyDescent="0.25">
      <c r="A39" s="224"/>
      <c r="B39" s="236">
        <v>1154</v>
      </c>
      <c r="C39" s="246" t="s">
        <v>3834</v>
      </c>
      <c r="D39" s="247">
        <f ca="1">D40/D41</f>
        <v>1.6</v>
      </c>
      <c r="E39" s="247" t="e">
        <f t="shared" ref="E39:F39" ca="1" si="2">E40/E41</f>
        <v>#DIV/0!</v>
      </c>
      <c r="F39" s="247" t="e">
        <f t="shared" ca="1" si="2"/>
        <v>#DIV/0!</v>
      </c>
      <c r="G39" s="205"/>
    </row>
    <row r="40" spans="1:7" ht="45" hidden="1" customHeight="1" x14ac:dyDescent="0.25">
      <c r="A40" s="224"/>
      <c r="B40" s="236">
        <v>1155</v>
      </c>
      <c r="C40" s="240" t="s">
        <v>3832</v>
      </c>
      <c r="D40" s="299">
        <f ca="1">_xlfn.IFNA(VLOOKUP(B40,Worksheet!$C$3:$G$46,3,FALSE),D40)</f>
        <v>8</v>
      </c>
      <c r="E40" s="299">
        <f ca="1">_xlfn.IFNA(VLOOKUP(B40,Worksheet!$C$3:$G$46,4,FALSE),E40)</f>
        <v>0</v>
      </c>
      <c r="F40" s="299">
        <f ca="1">_xlfn.IFNA(VLOOKUP(B40,Worksheet!$C$3:$G$46,5,FALSE),F40)</f>
        <v>2</v>
      </c>
      <c r="G40" s="205" t="s">
        <v>150</v>
      </c>
    </row>
    <row r="41" spans="1:7" ht="45" hidden="1" customHeight="1" x14ac:dyDescent="0.25">
      <c r="A41" s="224"/>
      <c r="B41" s="236">
        <v>1156</v>
      </c>
      <c r="C41" s="240" t="s">
        <v>3835</v>
      </c>
      <c r="D41" s="299">
        <f ca="1">_xlfn.IFNA(VLOOKUP(B41,Worksheet!$C$3:$G$46,3,FALSE),D41)</f>
        <v>5</v>
      </c>
      <c r="E41" s="299">
        <f ca="1">_xlfn.IFNA(VLOOKUP(B41,Worksheet!$C$3:$G$46,4,FALSE),E41)</f>
        <v>0</v>
      </c>
      <c r="F41" s="299">
        <f ca="1">_xlfn.IFNA(VLOOKUP(B41,Worksheet!$C$3:$G$46,5,FALSE),F41)</f>
        <v>0</v>
      </c>
      <c r="G41" s="205" t="s">
        <v>150</v>
      </c>
    </row>
    <row r="42" spans="1:7" ht="45" hidden="1" customHeight="1" x14ac:dyDescent="0.25">
      <c r="A42" s="224"/>
      <c r="B42" s="236">
        <v>1157</v>
      </c>
      <c r="C42" s="246" t="s">
        <v>3836</v>
      </c>
      <c r="D42" s="247" t="e">
        <f ca="1">D43/D44</f>
        <v>#DIV/0!</v>
      </c>
      <c r="E42" s="247" t="e">
        <f t="shared" ref="E42:F42" ca="1" si="3">E43/E44</f>
        <v>#DIV/0!</v>
      </c>
      <c r="F42" s="247" t="e">
        <f t="shared" ca="1" si="3"/>
        <v>#DIV/0!</v>
      </c>
      <c r="G42" s="205"/>
    </row>
    <row r="43" spans="1:7" ht="45" hidden="1" customHeight="1" x14ac:dyDescent="0.25">
      <c r="A43" s="224"/>
      <c r="B43" s="236">
        <v>1158</v>
      </c>
      <c r="C43" s="240" t="s">
        <v>3837</v>
      </c>
      <c r="D43" s="299">
        <f ca="1">_xlfn.IFNA(VLOOKUP(B43,Worksheet!$C$3:$G$46,3,FALSE),D43)</f>
        <v>1</v>
      </c>
      <c r="E43" s="299">
        <f ca="1">_xlfn.IFNA(VLOOKUP(B43,Worksheet!$C$3:$G$46,4,FALSE),E43)</f>
        <v>0</v>
      </c>
      <c r="F43" s="299">
        <f ca="1">_xlfn.IFNA(VLOOKUP(B43,Worksheet!$C$3:$G$46,5,FALSE),F43)</f>
        <v>2</v>
      </c>
      <c r="G43" s="205" t="s">
        <v>150</v>
      </c>
    </row>
    <row r="44" spans="1:7" s="248" customFormat="1" ht="45" hidden="1" customHeight="1" x14ac:dyDescent="0.25">
      <c r="A44" s="224"/>
      <c r="B44" s="236">
        <v>1159</v>
      </c>
      <c r="C44" s="240" t="s">
        <v>3838</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3986</v>
      </c>
      <c r="D46" s="226"/>
      <c r="E46" s="229"/>
      <c r="F46" s="298">
        <f ca="1">_xlfn.IFNA(VLOOKUP(B46,Worksheet!$C$3:$G$46,5,FALSE),F46)</f>
        <v>66</v>
      </c>
      <c r="G46" s="205" t="s">
        <v>83</v>
      </c>
    </row>
    <row r="47" spans="1:7" s="248" customFormat="1" ht="45" hidden="1" customHeight="1" x14ac:dyDescent="0.25">
      <c r="A47" s="224"/>
      <c r="B47" s="255" t="s">
        <v>4013</v>
      </c>
      <c r="C47" s="226" t="s">
        <v>3974</v>
      </c>
      <c r="D47" s="230"/>
      <c r="E47" s="229"/>
      <c r="F47" s="298">
        <f ca="1">_xlfn.IFNA(VLOOKUP(B47,Worksheet!$C$3:$G$46,5,FALSE),F47)</f>
        <v>2</v>
      </c>
      <c r="G47" s="205" t="s">
        <v>83</v>
      </c>
    </row>
    <row r="48" spans="1:7" ht="45" hidden="1" customHeight="1" x14ac:dyDescent="0.25">
      <c r="A48" s="224"/>
      <c r="B48" s="255" t="s">
        <v>4014</v>
      </c>
      <c r="C48" s="226" t="s">
        <v>3975</v>
      </c>
      <c r="D48" s="226"/>
      <c r="E48" s="256"/>
      <c r="F48" s="298">
        <f ca="1">_xlfn.IFNA(VLOOKUP(B48,Worksheet!$C$3:$G$46,5,FALSE),F48)</f>
        <v>0</v>
      </c>
      <c r="G48" s="205" t="s">
        <v>83</v>
      </c>
    </row>
    <row r="49" spans="1:7" ht="45" hidden="1" customHeight="1" x14ac:dyDescent="0.25">
      <c r="A49" s="224"/>
      <c r="B49" s="257" t="s">
        <v>4015</v>
      </c>
      <c r="C49" s="258" t="s">
        <v>3987</v>
      </c>
      <c r="D49" s="233"/>
      <c r="E49" s="259"/>
      <c r="F49" s="235">
        <f ca="1">_xlfn.IFNA(VLOOKUP(F46,Data_donotedit!$BE$2:$BG$25,3,TRUE),0)</f>
        <v>43</v>
      </c>
      <c r="G49" s="205" t="s">
        <v>83</v>
      </c>
    </row>
    <row r="50" spans="1:7" ht="45" hidden="1" customHeight="1" x14ac:dyDescent="0.25">
      <c r="A50" s="224"/>
      <c r="B50" s="236"/>
      <c r="C50" s="260" t="s">
        <v>3839</v>
      </c>
      <c r="D50" s="238" t="s">
        <v>76</v>
      </c>
      <c r="E50" s="238" t="s">
        <v>77</v>
      </c>
      <c r="F50" s="239" t="s">
        <v>78</v>
      </c>
      <c r="G50" s="205" t="s">
        <v>83</v>
      </c>
    </row>
    <row r="51" spans="1:7" ht="45" hidden="1" customHeight="1" x14ac:dyDescent="0.25">
      <c r="A51" s="261" t="s">
        <v>3840</v>
      </c>
      <c r="B51" s="236">
        <v>1211</v>
      </c>
      <c r="C51" s="240" t="s">
        <v>3841</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3842</v>
      </c>
      <c r="B52" s="236">
        <v>1212</v>
      </c>
      <c r="C52" s="240" t="s">
        <v>3843</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3844</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3845</v>
      </c>
      <c r="D54" s="299">
        <f ca="1">_xlfn.IFNA(VLOOKUP(B54,Worksheet!$C$3:$G$46,3,FALSE),D54)</f>
        <v>43</v>
      </c>
      <c r="E54" s="299">
        <f ca="1">_xlfn.IFNA(VLOOKUP(B54,Worksheet!$C$3:$G$46,4,FALSE),E54)</f>
        <v>43</v>
      </c>
      <c r="F54" s="299">
        <f ca="1">_xlfn.IFNA(VLOOKUP(B54,Worksheet!$C$3:$G$46,5,FALSE),F54)</f>
        <v>43</v>
      </c>
      <c r="G54" s="205" t="s">
        <v>83</v>
      </c>
    </row>
    <row r="55" spans="1:7" ht="45" hidden="1" customHeight="1" x14ac:dyDescent="0.25">
      <c r="A55" s="224"/>
      <c r="B55" s="236">
        <v>1215</v>
      </c>
      <c r="C55" s="240" t="s">
        <v>3846</v>
      </c>
      <c r="D55" s="299">
        <f ca="1">_xlfn.IFNA(VLOOKUP(B55,Worksheet!$C$3:$G$46,3,FALSE),D55)</f>
        <v>207</v>
      </c>
      <c r="E55" s="299">
        <f ca="1">_xlfn.IFNA(VLOOKUP(B55,Worksheet!$C$3:$G$46,4,FALSE),E55)</f>
        <v>219</v>
      </c>
      <c r="F55" s="299">
        <f ca="1">_xlfn.IFNA(VLOOKUP(B55,Worksheet!$C$3:$G$46,5,FALSE),F55)</f>
        <v>225</v>
      </c>
      <c r="G55" s="205" t="s">
        <v>83</v>
      </c>
    </row>
    <row r="56" spans="1:7" ht="45" hidden="1" customHeight="1" x14ac:dyDescent="0.25">
      <c r="A56" s="224"/>
      <c r="B56" s="236">
        <v>1216</v>
      </c>
      <c r="C56" s="241" t="s">
        <v>3847</v>
      </c>
      <c r="D56" s="299">
        <f ca="1">_xlfn.IFNA(VLOOKUP(B56,Worksheet!$C$3:$G$46,3,FALSE),D56)</f>
        <v>43</v>
      </c>
      <c r="E56" s="299">
        <f ca="1">_xlfn.IFNA(VLOOKUP(B56,Worksheet!$C$3:$G$46,4,FALSE),E56)</f>
        <v>43</v>
      </c>
      <c r="F56" s="299">
        <f ca="1">_xlfn.IFNA(VLOOKUP(B56,Worksheet!$C$3:$G$46,5,FALSE),F56)</f>
        <v>43</v>
      </c>
      <c r="G56" s="205" t="s">
        <v>83</v>
      </c>
    </row>
    <row r="57" spans="1:7" ht="45" hidden="1" customHeight="1" x14ac:dyDescent="0.25">
      <c r="A57" s="224"/>
      <c r="B57" s="236">
        <v>1217</v>
      </c>
      <c r="C57" s="241" t="s">
        <v>3848</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3849</v>
      </c>
      <c r="D58" s="299">
        <f ca="1">_xlfn.IFNA(VLOOKUP(B58,Worksheet!$C$3:$G$46,3,FALSE),D58)</f>
        <v>0</v>
      </c>
      <c r="E58" s="299">
        <f ca="1">_xlfn.IFNA(VLOOKUP(B58,Worksheet!$C$3:$G$46,4,FALSE),E58)</f>
        <v>0</v>
      </c>
      <c r="F58" s="299">
        <f ca="1">_xlfn.IFNA(VLOOKUP(B58,Worksheet!$C$3:$G$46,5,FALSE),F58)</f>
        <v>2</v>
      </c>
      <c r="G58" s="205" t="s">
        <v>83</v>
      </c>
    </row>
    <row r="59" spans="1:7" ht="45" hidden="1" customHeight="1" x14ac:dyDescent="0.25">
      <c r="A59" s="224"/>
      <c r="B59" s="236">
        <v>1221</v>
      </c>
      <c r="C59" s="262" t="s">
        <v>3850</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3851</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3852</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3853</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3854</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3855</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3856</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3988</v>
      </c>
      <c r="D66" s="244"/>
      <c r="E66" s="244"/>
      <c r="F66" s="245"/>
      <c r="G66" s="205" t="s">
        <v>83</v>
      </c>
    </row>
    <row r="67" spans="1:7" ht="45" hidden="1" customHeight="1" x14ac:dyDescent="0.25">
      <c r="A67" s="224"/>
      <c r="B67" s="236">
        <v>1231</v>
      </c>
      <c r="C67" s="240" t="s">
        <v>3857</v>
      </c>
      <c r="D67" s="299">
        <f ca="1">_xlfn.IFNA(VLOOKUP(B67,Worksheet!$C$3:$G$46,3,FALSE),D67)</f>
        <v>26</v>
      </c>
      <c r="E67" s="299">
        <f ca="1">_xlfn.IFNA(VLOOKUP(B67,Worksheet!$C$3:$G$46,4,FALSE),E67)</f>
        <v>14</v>
      </c>
      <c r="F67" s="299">
        <f ca="1">_xlfn.IFNA(VLOOKUP(B67,Worksheet!$C$3:$G$46,5,FALSE),F67)</f>
        <v>28</v>
      </c>
      <c r="G67" s="205" t="s">
        <v>83</v>
      </c>
    </row>
    <row r="68" spans="1:7" ht="42" hidden="1" customHeight="1" x14ac:dyDescent="0.25">
      <c r="A68" s="224"/>
      <c r="B68" s="236">
        <v>1232</v>
      </c>
      <c r="C68" s="240" t="s">
        <v>3858</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3859</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3860</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3861</v>
      </c>
      <c r="D71" s="299">
        <f ca="1">_xlfn.IFNA(VLOOKUP(B71,Worksheet!$C$3:$G$46,3,FALSE),D71)</f>
        <v>21</v>
      </c>
      <c r="E71" s="299">
        <f ca="1">_xlfn.IFNA(VLOOKUP(B71,Worksheet!$C$3:$G$46,4,FALSE),E71)</f>
        <v>6</v>
      </c>
      <c r="F71" s="299">
        <f ca="1">_xlfn.IFNA(VLOOKUP(B71,Worksheet!$C$3:$G$46,5,FALSE),F71)</f>
        <v>8</v>
      </c>
      <c r="G71" s="205" t="s">
        <v>83</v>
      </c>
    </row>
    <row r="72" spans="1:7" ht="45" hidden="1" customHeight="1" x14ac:dyDescent="0.25">
      <c r="A72" s="224"/>
      <c r="B72" s="236">
        <v>1236</v>
      </c>
      <c r="C72" s="240" t="s">
        <v>3862</v>
      </c>
      <c r="D72" s="299">
        <f ca="1">_xlfn.IFNA(VLOOKUP(B72,Worksheet!$C$3:$G$46,3,FALSE),D72)</f>
        <v>0</v>
      </c>
      <c r="E72" s="299">
        <f ca="1">_xlfn.IFNA(VLOOKUP(B72,Worksheet!$C$3:$G$46,4,FALSE),E72)</f>
        <v>0</v>
      </c>
      <c r="F72" s="299">
        <f ca="1">_xlfn.IFNA(VLOOKUP(B72,Worksheet!$C$3:$G$46,5,FALSE),F72)</f>
        <v>1</v>
      </c>
      <c r="G72" s="205" t="s">
        <v>83</v>
      </c>
    </row>
    <row r="73" spans="1:7" ht="45" hidden="1" customHeight="1" x14ac:dyDescent="0.25">
      <c r="A73" s="224"/>
      <c r="B73" s="236">
        <v>1241</v>
      </c>
      <c r="C73" s="240" t="s">
        <v>3863</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3864</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3865</v>
      </c>
      <c r="D75" s="299">
        <f ca="1">_xlfn.IFNA(VLOOKUP(B75,Worksheet!$C$3:$G$46,3,FALSE),D75)</f>
        <v>43</v>
      </c>
      <c r="E75" s="299">
        <f ca="1">_xlfn.IFNA(VLOOKUP(B75,Worksheet!$C$3:$G$46,4,FALSE),E75)</f>
        <v>43</v>
      </c>
      <c r="F75" s="299">
        <f ca="1">_xlfn.IFNA(VLOOKUP(B75,Worksheet!$C$3:$G$46,5,FALSE),F75)</f>
        <v>43</v>
      </c>
      <c r="G75" s="205" t="s">
        <v>83</v>
      </c>
    </row>
    <row r="76" spans="1:7" ht="45" hidden="1" customHeight="1" x14ac:dyDescent="0.25">
      <c r="A76" s="224"/>
      <c r="B76" s="236">
        <v>1244</v>
      </c>
      <c r="C76" s="241" t="s">
        <v>3866</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3867</v>
      </c>
      <c r="D77" s="299">
        <f ca="1">_xlfn.IFNA(VLOOKUP(B77,Worksheet!$C$3:$G$46,3,FALSE),D77)</f>
        <v>21</v>
      </c>
      <c r="E77" s="299">
        <f ca="1">_xlfn.IFNA(VLOOKUP(B77,Worksheet!$C$3:$G$46,4,FALSE),E77)</f>
        <v>6</v>
      </c>
      <c r="F77" s="299">
        <f ca="1">_xlfn.IFNA(VLOOKUP(B77,Worksheet!$C$3:$G$46,5,FALSE),F77)</f>
        <v>9</v>
      </c>
      <c r="G77" s="205" t="s">
        <v>83</v>
      </c>
    </row>
    <row r="78" spans="1:7" ht="45" hidden="1" customHeight="1" x14ac:dyDescent="0.25">
      <c r="A78" s="224"/>
      <c r="B78" s="236">
        <v>1246</v>
      </c>
      <c r="C78" s="241" t="s">
        <v>3868</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3869</v>
      </c>
      <c r="D79" s="299">
        <f ca="1">_xlfn.IFNA(VLOOKUP(B79,Worksheet!$C$3:$G$46,3,FALSE),D79)</f>
        <v>21</v>
      </c>
      <c r="E79" s="299">
        <f ca="1">_xlfn.IFNA(VLOOKUP(B79,Worksheet!$C$3:$G$46,4,FALSE),E79)</f>
        <v>12</v>
      </c>
      <c r="F79" s="299">
        <f ca="1">_xlfn.IFNA(VLOOKUP(B79,Worksheet!$C$3:$G$46,5,FALSE),F79)</f>
        <v>27</v>
      </c>
      <c r="G79" s="205" t="s">
        <v>83</v>
      </c>
    </row>
    <row r="80" spans="1:7" ht="45" hidden="1" customHeight="1" x14ac:dyDescent="0.25">
      <c r="A80" s="224"/>
      <c r="B80" s="236">
        <v>1248</v>
      </c>
      <c r="C80" s="240" t="s">
        <v>3870</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3871</v>
      </c>
      <c r="D81" s="263">
        <f ca="1">D82</f>
        <v>26</v>
      </c>
      <c r="E81" s="263">
        <f t="shared" ref="E81:F81" ca="1" si="4">E82</f>
        <v>14</v>
      </c>
      <c r="F81" s="263">
        <f t="shared" ca="1" si="4"/>
        <v>28</v>
      </c>
      <c r="G81" s="205"/>
    </row>
    <row r="82" spans="1:7" ht="45" hidden="1" customHeight="1" x14ac:dyDescent="0.25">
      <c r="A82" s="224"/>
      <c r="B82" s="236">
        <v>1252</v>
      </c>
      <c r="C82" s="240" t="s">
        <v>3872</v>
      </c>
      <c r="D82" s="299">
        <f ca="1">_xlfn.IFNA(VLOOKUP(B82,Worksheet!$C$3:$G$46,3,FALSE),D82)</f>
        <v>26</v>
      </c>
      <c r="E82" s="299">
        <f ca="1">_xlfn.IFNA(VLOOKUP(B82,Worksheet!$C$3:$G$46,4,FALSE),E82)</f>
        <v>14</v>
      </c>
      <c r="F82" s="299">
        <f ca="1">_xlfn.IFNA(VLOOKUP(B82,Worksheet!$C$3:$G$46,5,FALSE),F82)</f>
        <v>28</v>
      </c>
      <c r="G82" s="205" t="s">
        <v>83</v>
      </c>
    </row>
    <row r="83" spans="1:7" ht="45" hidden="1" customHeight="1" x14ac:dyDescent="0.25">
      <c r="A83" s="224"/>
      <c r="B83" s="236">
        <v>1253</v>
      </c>
      <c r="C83" s="240" t="s">
        <v>3873</v>
      </c>
      <c r="D83" s="299">
        <f ca="1">_xlfn.IFNA(VLOOKUP(B83,Worksheet!$C$3:$G$46,3,FALSE),D83)</f>
        <v>21</v>
      </c>
      <c r="E83" s="299">
        <f ca="1">_xlfn.IFNA(VLOOKUP(B83,Worksheet!$C$3:$G$46,4,FALSE),E83)</f>
        <v>12</v>
      </c>
      <c r="F83" s="299">
        <f ca="1">_xlfn.IFNA(VLOOKUP(B83,Worksheet!$C$3:$G$46,5,FALSE),F83)</f>
        <v>27</v>
      </c>
      <c r="G83" s="205" t="s">
        <v>83</v>
      </c>
    </row>
    <row r="84" spans="1:7" ht="45" hidden="1" customHeight="1" x14ac:dyDescent="0.25">
      <c r="A84" s="217"/>
      <c r="B84" s="236">
        <v>1254</v>
      </c>
      <c r="C84" s="219" t="s">
        <v>3874</v>
      </c>
      <c r="D84" s="263"/>
      <c r="E84" s="263"/>
      <c r="F84" s="263"/>
      <c r="G84" s="205"/>
    </row>
    <row r="85" spans="1:7" ht="45" hidden="1" customHeight="1" x14ac:dyDescent="0.25">
      <c r="A85" s="224"/>
      <c r="B85" s="236">
        <v>1255</v>
      </c>
      <c r="C85" s="240" t="s">
        <v>3875</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3876</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3877</v>
      </c>
      <c r="D87" s="263"/>
      <c r="E87" s="263"/>
      <c r="F87" s="263"/>
      <c r="G87" s="205"/>
    </row>
    <row r="88" spans="1:7" ht="45" hidden="1" customHeight="1" x14ac:dyDescent="0.25">
      <c r="A88" s="224"/>
      <c r="B88" s="236">
        <v>1258</v>
      </c>
      <c r="C88" s="240" t="s">
        <v>3878</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3879</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customHeight="1" x14ac:dyDescent="0.25">
      <c r="A91" s="224"/>
      <c r="B91" s="218" t="s">
        <v>155</v>
      </c>
      <c r="C91" s="258" t="s">
        <v>3989</v>
      </c>
      <c r="D91" s="226"/>
      <c r="E91" s="229"/>
      <c r="F91" s="298">
        <f>_xlfn.IFNA(VLOOKUP(B91,Worksheet!$C$3:$G$46,5,FALSE),F91)</f>
        <v>2</v>
      </c>
      <c r="G91" s="264" t="s">
        <v>155</v>
      </c>
    </row>
    <row r="92" spans="1:7" ht="45" customHeight="1" x14ac:dyDescent="0.25">
      <c r="A92" s="224"/>
      <c r="B92" s="236"/>
      <c r="C92" s="260" t="s">
        <v>3880</v>
      </c>
      <c r="D92" s="265" t="s">
        <v>3990</v>
      </c>
      <c r="E92" s="266" t="s">
        <v>77</v>
      </c>
      <c r="F92" s="266" t="s">
        <v>78</v>
      </c>
      <c r="G92" s="264" t="s">
        <v>155</v>
      </c>
    </row>
    <row r="93" spans="1:7" ht="45" customHeight="1" x14ac:dyDescent="0.25">
      <c r="A93" s="224"/>
      <c r="B93" s="236">
        <v>1313</v>
      </c>
      <c r="C93" s="240" t="s">
        <v>3881</v>
      </c>
      <c r="D93" s="299">
        <f ca="1">_xlfn.IFNA(VLOOKUP(B93,Worksheet!$C$3:$G$46,3,FALSE),D93)</f>
        <v>0</v>
      </c>
      <c r="E93" s="299">
        <f ca="1">_xlfn.IFNA(VLOOKUP(B93,Worksheet!$C$3:$G$46,4,FALSE),E93)</f>
        <v>0</v>
      </c>
      <c r="F93" s="299">
        <f ca="1">_xlfn.IFNA(VLOOKUP(B93,Worksheet!$C$3:$G$46,5,FALSE),F93)</f>
        <v>2</v>
      </c>
      <c r="G93" s="264" t="s">
        <v>155</v>
      </c>
    </row>
    <row r="94" spans="1:7" ht="45" customHeight="1" x14ac:dyDescent="0.25">
      <c r="A94" s="224"/>
      <c r="B94" s="236">
        <v>1314</v>
      </c>
      <c r="C94" s="267" t="s">
        <v>3882</v>
      </c>
      <c r="D94" s="299">
        <f ca="1">_xlfn.IFNA(VLOOKUP(B94,Worksheet!$C$3:$G$46,3,FALSE),D94)</f>
        <v>0</v>
      </c>
      <c r="E94" s="299">
        <f ca="1">_xlfn.IFNA(VLOOKUP(B94,Worksheet!$C$3:$G$46,4,FALSE),E94)</f>
        <v>0</v>
      </c>
      <c r="F94" s="299">
        <f ca="1">_xlfn.IFNA(VLOOKUP(B94,Worksheet!$C$3:$G$46,5,FALSE),F94)</f>
        <v>2</v>
      </c>
      <c r="G94" s="264" t="s">
        <v>155</v>
      </c>
    </row>
    <row r="95" spans="1:7" ht="45" customHeight="1" x14ac:dyDescent="0.25">
      <c r="A95" s="224"/>
      <c r="B95" s="236">
        <v>1315</v>
      </c>
      <c r="C95" s="241" t="s">
        <v>3883</v>
      </c>
      <c r="D95" s="299">
        <f ca="1">_xlfn.IFNA(VLOOKUP(B95,Worksheet!$C$3:$G$46,3,FALSE),D95)</f>
        <v>0</v>
      </c>
      <c r="E95" s="299">
        <f ca="1">_xlfn.IFNA(VLOOKUP(B95,Worksheet!$C$3:$G$46,4,FALSE),E95)</f>
        <v>0</v>
      </c>
      <c r="F95" s="299">
        <f ca="1">_xlfn.IFNA(VLOOKUP(B95,Worksheet!$C$3:$G$46,5,FALSE),F95)</f>
        <v>2</v>
      </c>
      <c r="G95" s="264" t="s">
        <v>155</v>
      </c>
    </row>
    <row r="96" spans="1:7" s="268" customFormat="1" ht="45" customHeight="1" x14ac:dyDescent="0.25">
      <c r="A96" s="224"/>
      <c r="B96" s="236">
        <v>1316</v>
      </c>
      <c r="C96" s="241" t="s">
        <v>3884</v>
      </c>
      <c r="D96" s="299">
        <f ca="1">_xlfn.IFNA(VLOOKUP(B96,Worksheet!$C$3:$G$46,3,FALSE),D96)</f>
        <v>0</v>
      </c>
      <c r="E96" s="299">
        <f ca="1">_xlfn.IFNA(VLOOKUP(B96,Worksheet!$C$3:$G$46,4,FALSE),E96)</f>
        <v>0</v>
      </c>
      <c r="F96" s="299">
        <f ca="1">_xlfn.IFNA(VLOOKUP(B96,Worksheet!$C$3:$G$46,5,FALSE),F96)</f>
        <v>0</v>
      </c>
      <c r="G96" s="264" t="s">
        <v>155</v>
      </c>
    </row>
    <row r="97" spans="1:7" s="268" customFormat="1" ht="45" customHeight="1" x14ac:dyDescent="0.25">
      <c r="A97" s="224"/>
      <c r="B97" s="236">
        <v>1321</v>
      </c>
      <c r="C97" s="240" t="s">
        <v>3885</v>
      </c>
      <c r="D97" s="299">
        <f ca="1">_xlfn.IFNA(VLOOKUP(B97,Worksheet!$C$3:$G$46,3,FALSE),D97)</f>
        <v>0</v>
      </c>
      <c r="E97" s="299">
        <f ca="1">_xlfn.IFNA(VLOOKUP(B97,Worksheet!$C$3:$G$46,4,FALSE),E97)</f>
        <v>0</v>
      </c>
      <c r="F97" s="299">
        <f ca="1">_xlfn.IFNA(VLOOKUP(B97,Worksheet!$C$3:$G$46,5,FALSE),F97)</f>
        <v>2</v>
      </c>
      <c r="G97" s="264" t="s">
        <v>155</v>
      </c>
    </row>
    <row r="98" spans="1:7" s="268" customFormat="1" ht="45" customHeight="1" x14ac:dyDescent="0.25">
      <c r="A98" s="224"/>
      <c r="B98" s="236">
        <v>1322</v>
      </c>
      <c r="C98" s="240" t="s">
        <v>3886</v>
      </c>
      <c r="D98" s="299">
        <f ca="1">_xlfn.IFNA(VLOOKUP(B98,Worksheet!$C$3:$G$46,3,FALSE),D98)</f>
        <v>0</v>
      </c>
      <c r="E98" s="299">
        <f ca="1">_xlfn.IFNA(VLOOKUP(B98,Worksheet!$C$3:$G$46,4,FALSE),E98)</f>
        <v>0</v>
      </c>
      <c r="F98" s="299">
        <f ca="1">_xlfn.IFNA(VLOOKUP(B98,Worksheet!$C$3:$G$46,5,FALSE),F98)</f>
        <v>2</v>
      </c>
      <c r="G98" s="264" t="s">
        <v>155</v>
      </c>
    </row>
    <row r="99" spans="1:7" s="268" customFormat="1" ht="45" customHeight="1" x14ac:dyDescent="0.25">
      <c r="A99" s="224"/>
      <c r="B99" s="236">
        <v>1323</v>
      </c>
      <c r="C99" s="240" t="s">
        <v>3887</v>
      </c>
      <c r="D99" s="299">
        <f ca="1">_xlfn.IFNA(VLOOKUP(B99,Worksheet!$C$3:$G$46,3,FALSE),D99)</f>
        <v>0</v>
      </c>
      <c r="E99" s="299">
        <f ca="1">_xlfn.IFNA(VLOOKUP(B99,Worksheet!$C$3:$G$46,4,FALSE),E99)</f>
        <v>0</v>
      </c>
      <c r="F99" s="299">
        <f ca="1">_xlfn.IFNA(VLOOKUP(B99,Worksheet!$C$3:$G$46,5,FALSE),F99)</f>
        <v>2</v>
      </c>
      <c r="G99" s="264" t="s">
        <v>155</v>
      </c>
    </row>
    <row r="100" spans="1:7" s="268" customFormat="1" ht="45" customHeight="1" x14ac:dyDescent="0.25">
      <c r="A100" s="224"/>
      <c r="B100" s="236">
        <v>1324</v>
      </c>
      <c r="C100" s="240" t="s">
        <v>3888</v>
      </c>
      <c r="D100" s="299">
        <f ca="1">_xlfn.IFNA(VLOOKUP(B100,Worksheet!$C$3:$G$46,3,FALSE),D100)</f>
        <v>0</v>
      </c>
      <c r="E100" s="299">
        <f ca="1">_xlfn.IFNA(VLOOKUP(B100,Worksheet!$C$3:$G$46,4,FALSE),E100)</f>
        <v>0</v>
      </c>
      <c r="F100" s="299">
        <f ca="1">_xlfn.IFNA(VLOOKUP(B100,Worksheet!$C$3:$G$46,5,FALSE),F100)</f>
        <v>2</v>
      </c>
      <c r="G100" s="264" t="s">
        <v>155</v>
      </c>
    </row>
    <row r="101" spans="1:7" s="268" customFormat="1" ht="45" customHeight="1" x14ac:dyDescent="0.25">
      <c r="A101" s="224"/>
      <c r="B101" s="236">
        <v>1331</v>
      </c>
      <c r="C101" s="240" t="s">
        <v>3889</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customHeight="1" x14ac:dyDescent="0.25">
      <c r="A102" s="224"/>
      <c r="B102" s="236">
        <v>1332</v>
      </c>
      <c r="C102" s="240" t="s">
        <v>3890</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customHeight="1" x14ac:dyDescent="0.25">
      <c r="A103" s="224"/>
      <c r="B103" s="236">
        <v>1333</v>
      </c>
      <c r="C103" s="240" t="s">
        <v>3891</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customHeight="1" x14ac:dyDescent="0.25">
      <c r="A104" s="224"/>
      <c r="B104" s="236">
        <v>1334</v>
      </c>
      <c r="C104" s="240" t="s">
        <v>3892</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customHeight="1" x14ac:dyDescent="0.25">
      <c r="A105" s="224"/>
      <c r="B105" s="236">
        <v>1335</v>
      </c>
      <c r="C105" s="240" t="s">
        <v>3893</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customHeight="1" x14ac:dyDescent="0.25">
      <c r="A106" s="224"/>
      <c r="B106" s="236">
        <v>1341</v>
      </c>
      <c r="C106" s="240" t="s">
        <v>3894</v>
      </c>
      <c r="D106" s="299">
        <f ca="1">_xlfn.IFNA(VLOOKUP(B106,Worksheet!$C$3:$G$46,3,FALSE),D106)</f>
        <v>0</v>
      </c>
      <c r="E106" s="299">
        <f ca="1">_xlfn.IFNA(VLOOKUP(B106,Worksheet!$C$3:$G$46,4,FALSE),E106)</f>
        <v>0</v>
      </c>
      <c r="F106" s="299">
        <f ca="1">_xlfn.IFNA(VLOOKUP(B106,Worksheet!$C$3:$G$46,5,FALSE),F106)</f>
        <v>2</v>
      </c>
      <c r="G106" s="264" t="s">
        <v>155</v>
      </c>
    </row>
    <row r="107" spans="1:7" s="268" customFormat="1" ht="45" hidden="1" customHeight="1" x14ac:dyDescent="0.25">
      <c r="A107" s="224"/>
      <c r="B107" s="236">
        <v>1342</v>
      </c>
      <c r="C107" s="240" t="s">
        <v>3895</v>
      </c>
      <c r="D107" s="269">
        <f ca="1">D94</f>
        <v>0</v>
      </c>
      <c r="E107" s="269">
        <f ca="1">E94</f>
        <v>0</v>
      </c>
      <c r="F107" s="269">
        <f ca="1">F94</f>
        <v>2</v>
      </c>
      <c r="G107" s="264"/>
    </row>
    <row r="108" spans="1:7" s="268" customFormat="1" ht="45" customHeight="1" x14ac:dyDescent="0.25">
      <c r="A108" s="224"/>
      <c r="B108" s="236">
        <v>1343</v>
      </c>
      <c r="C108" s="240" t="s">
        <v>3896</v>
      </c>
      <c r="D108" s="299">
        <f ca="1">_xlfn.IFNA(VLOOKUP(B108,Worksheet!$C$3:$G$46,3,FALSE),D108)</f>
        <v>0</v>
      </c>
      <c r="E108" s="299">
        <f ca="1">_xlfn.IFNA(VLOOKUP(B108,Worksheet!$C$3:$G$46,4,FALSE),E108)</f>
        <v>0</v>
      </c>
      <c r="F108" s="299">
        <f ca="1">_xlfn.IFNA(VLOOKUP(B108,Worksheet!$C$3:$G$46,5,FALSE),F108)</f>
        <v>2</v>
      </c>
      <c r="G108" s="264" t="s">
        <v>155</v>
      </c>
    </row>
    <row r="109" spans="1:7" s="268" customFormat="1" ht="45" customHeight="1" x14ac:dyDescent="0.25">
      <c r="A109" s="224"/>
      <c r="B109" s="236">
        <v>1344</v>
      </c>
      <c r="C109" s="240" t="s">
        <v>3897</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3898</v>
      </c>
      <c r="D110" s="263">
        <f ca="1">D111</f>
        <v>0</v>
      </c>
      <c r="E110" s="263">
        <f t="shared" ref="E110:F110" ca="1" si="5">E111</f>
        <v>0</v>
      </c>
      <c r="F110" s="263">
        <f t="shared" ca="1" si="5"/>
        <v>2</v>
      </c>
      <c r="G110" s="264"/>
    </row>
    <row r="111" spans="1:7" s="268" customFormat="1" ht="45" customHeight="1" x14ac:dyDescent="0.25">
      <c r="A111" s="224"/>
      <c r="B111" s="236">
        <v>1352</v>
      </c>
      <c r="C111" s="240" t="s">
        <v>3899</v>
      </c>
      <c r="D111" s="299">
        <f ca="1">_xlfn.IFNA(VLOOKUP(B111,Worksheet!$C$3:$G$46,3,FALSE),D111)</f>
        <v>0</v>
      </c>
      <c r="E111" s="299">
        <f ca="1">_xlfn.IFNA(VLOOKUP(B111,Worksheet!$C$3:$G$46,4,FALSE),E111)</f>
        <v>0</v>
      </c>
      <c r="F111" s="299">
        <f ca="1">_xlfn.IFNA(VLOOKUP(B111,Worksheet!$C$3:$G$46,5,FALSE),F111)</f>
        <v>2</v>
      </c>
      <c r="G111" s="264" t="s">
        <v>155</v>
      </c>
    </row>
    <row r="112" spans="1:7" s="268" customFormat="1" ht="45" customHeight="1" x14ac:dyDescent="0.25">
      <c r="A112" s="224"/>
      <c r="B112" s="236">
        <v>1353</v>
      </c>
      <c r="C112" s="240" t="s">
        <v>3900</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3901</v>
      </c>
      <c r="D113" s="263">
        <f ca="1">D114</f>
        <v>0</v>
      </c>
      <c r="E113" s="263">
        <f t="shared" ref="E113:F113" ca="1" si="6">E114</f>
        <v>0</v>
      </c>
      <c r="F113" s="263">
        <f t="shared" ca="1" si="6"/>
        <v>2</v>
      </c>
      <c r="G113" s="264"/>
    </row>
    <row r="114" spans="1:7" s="268" customFormat="1" ht="45" customHeight="1" x14ac:dyDescent="0.25">
      <c r="A114" s="224"/>
      <c r="B114" s="236">
        <v>1355</v>
      </c>
      <c r="C114" s="240" t="s">
        <v>3899</v>
      </c>
      <c r="D114" s="299">
        <f ca="1">_xlfn.IFNA(VLOOKUP(B114,Worksheet!$C$3:$G$46,3,FALSE),D114)</f>
        <v>0</v>
      </c>
      <c r="E114" s="299">
        <f ca="1">_xlfn.IFNA(VLOOKUP(B114,Worksheet!$C$3:$G$46,4,FALSE),E114)</f>
        <v>0</v>
      </c>
      <c r="F114" s="299">
        <f ca="1">_xlfn.IFNA(VLOOKUP(B114,Worksheet!$C$3:$G$46,5,FALSE),F114)</f>
        <v>2</v>
      </c>
      <c r="G114" s="264" t="s">
        <v>155</v>
      </c>
    </row>
    <row r="115" spans="1:7" s="268" customFormat="1" ht="45" customHeight="1" x14ac:dyDescent="0.25">
      <c r="A115" s="224"/>
      <c r="B115" s="236">
        <v>1356</v>
      </c>
      <c r="C115" s="240" t="s">
        <v>3902</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3991</v>
      </c>
      <c r="D117" s="226"/>
      <c r="E117" s="229"/>
      <c r="F117" s="298">
        <f ca="1">_xlfn.IFNA(VLOOKUP(B117,Worksheet!$C$3:$G$46,5,FALSE),F117)</f>
        <v>3</v>
      </c>
      <c r="G117" s="205" t="s">
        <v>86</v>
      </c>
    </row>
    <row r="118" spans="1:7" s="268" customFormat="1" ht="45" hidden="1" customHeight="1" x14ac:dyDescent="0.25">
      <c r="A118" s="224"/>
      <c r="B118" s="272"/>
      <c r="C118" s="260" t="s">
        <v>3903</v>
      </c>
      <c r="D118" s="238" t="s">
        <v>76</v>
      </c>
      <c r="E118" s="239" t="s">
        <v>77</v>
      </c>
      <c r="F118" s="239" t="s">
        <v>78</v>
      </c>
      <c r="G118" s="205" t="s">
        <v>86</v>
      </c>
    </row>
    <row r="119" spans="1:7" s="268" customFormat="1" ht="45" hidden="1" customHeight="1" x14ac:dyDescent="0.25">
      <c r="A119" s="224"/>
      <c r="B119" s="236">
        <v>1413</v>
      </c>
      <c r="C119" s="240" t="s">
        <v>3904</v>
      </c>
      <c r="D119" s="299">
        <f ca="1">_xlfn.IFNA(VLOOKUP(B119,Worksheet!$C$3:$G$46,3,FALSE),D119)</f>
        <v>0</v>
      </c>
      <c r="E119" s="299">
        <f ca="1">_xlfn.IFNA(VLOOKUP(B119,Worksheet!$C$3:$G$46,4,FALSE),E119)</f>
        <v>0</v>
      </c>
      <c r="F119" s="299">
        <f ca="1">_xlfn.IFNA(VLOOKUP(B119,Worksheet!$C$3:$G$46,5,FALSE),F119)</f>
        <v>1</v>
      </c>
      <c r="G119" s="205" t="s">
        <v>86</v>
      </c>
    </row>
    <row r="120" spans="1:7" s="268" customFormat="1" ht="45" hidden="1" customHeight="1" x14ac:dyDescent="0.25">
      <c r="A120" s="224"/>
      <c r="B120" s="236">
        <v>1414</v>
      </c>
      <c r="C120" s="241" t="s">
        <v>3905</v>
      </c>
      <c r="D120" s="299">
        <f ca="1">_xlfn.IFNA(VLOOKUP(B120,Worksheet!$C$3:$G$46,3,FALSE),D120)</f>
        <v>0</v>
      </c>
      <c r="E120" s="299">
        <f ca="1">_xlfn.IFNA(VLOOKUP(B120,Worksheet!$C$3:$G$46,4,FALSE),E120)</f>
        <v>0</v>
      </c>
      <c r="F120" s="299">
        <f ca="1">_xlfn.IFNA(VLOOKUP(B120,Worksheet!$C$3:$G$46,5,FALSE),F120)</f>
        <v>1</v>
      </c>
      <c r="G120" s="205" t="s">
        <v>86</v>
      </c>
    </row>
    <row r="121" spans="1:7" s="268" customFormat="1" ht="45" hidden="1" customHeight="1" x14ac:dyDescent="0.25">
      <c r="A121" s="224"/>
      <c r="B121" s="236">
        <v>1422</v>
      </c>
      <c r="C121" s="240" t="s">
        <v>3906</v>
      </c>
      <c r="D121" s="299">
        <f ca="1">_xlfn.IFNA(VLOOKUP(B121,Worksheet!$C$3:$G$46,3,FALSE),D121)</f>
        <v>0</v>
      </c>
      <c r="E121" s="299">
        <f ca="1">_xlfn.IFNA(VLOOKUP(B121,Worksheet!$C$3:$G$46,4,FALSE),E121)</f>
        <v>0</v>
      </c>
      <c r="F121" s="299">
        <f ca="1">_xlfn.IFNA(VLOOKUP(B121,Worksheet!$C$3:$G$46,5,FALSE),F121)</f>
        <v>1</v>
      </c>
      <c r="G121" s="205" t="s">
        <v>86</v>
      </c>
    </row>
    <row r="122" spans="1:7" s="268" customFormat="1" ht="45" hidden="1" customHeight="1" x14ac:dyDescent="0.25">
      <c r="A122" s="224"/>
      <c r="B122" s="236">
        <v>1423</v>
      </c>
      <c r="C122" s="240" t="s">
        <v>3907</v>
      </c>
      <c r="D122" s="299">
        <f ca="1">_xlfn.IFNA(VLOOKUP(B122,Worksheet!$C$3:$G$46,3,FALSE),D122)</f>
        <v>0</v>
      </c>
      <c r="E122" s="299">
        <f ca="1">_xlfn.IFNA(VLOOKUP(B122,Worksheet!$C$3:$G$46,4,FALSE),E122)</f>
        <v>0</v>
      </c>
      <c r="F122" s="299">
        <f ca="1">_xlfn.IFNA(VLOOKUP(B122,Worksheet!$C$3:$G$46,5,FALSE),F122)</f>
        <v>1</v>
      </c>
      <c r="G122" s="205" t="s">
        <v>86</v>
      </c>
    </row>
    <row r="123" spans="1:7" s="268" customFormat="1" ht="45" hidden="1" customHeight="1" x14ac:dyDescent="0.25">
      <c r="A123" s="224"/>
      <c r="B123" s="236">
        <v>1424</v>
      </c>
      <c r="C123" s="240" t="s">
        <v>3908</v>
      </c>
      <c r="D123" s="299">
        <f ca="1">_xlfn.IFNA(VLOOKUP(B123,Worksheet!$C$3:$G$46,3,FALSE),D123)</f>
        <v>0</v>
      </c>
      <c r="E123" s="299">
        <f ca="1">_xlfn.IFNA(VLOOKUP(B123,Worksheet!$C$3:$G$46,4,FALSE),E123)</f>
        <v>0</v>
      </c>
      <c r="F123" s="299">
        <f ca="1">_xlfn.IFNA(VLOOKUP(B123,Worksheet!$C$3:$G$46,5,FALSE),F123)</f>
        <v>1</v>
      </c>
      <c r="G123" s="205" t="s">
        <v>86</v>
      </c>
    </row>
    <row r="124" spans="1:7" s="268" customFormat="1" ht="45" hidden="1" customHeight="1" x14ac:dyDescent="0.25">
      <c r="A124" s="224"/>
      <c r="B124" s="236">
        <v>1425</v>
      </c>
      <c r="C124" s="240" t="s">
        <v>3909</v>
      </c>
      <c r="D124" s="299">
        <f ca="1">_xlfn.IFNA(VLOOKUP(B124,Worksheet!$C$3:$G$46,3,FALSE),D124)</f>
        <v>0</v>
      </c>
      <c r="E124" s="299">
        <f ca="1">_xlfn.IFNA(VLOOKUP(B124,Worksheet!$C$3:$G$46,4,FALSE),E124)</f>
        <v>0</v>
      </c>
      <c r="F124" s="299">
        <f ca="1">_xlfn.IFNA(VLOOKUP(B124,Worksheet!$C$3:$G$46,5,FALSE),F124)</f>
        <v>1</v>
      </c>
      <c r="G124" s="205" t="s">
        <v>86</v>
      </c>
    </row>
    <row r="125" spans="1:7" s="268" customFormat="1" ht="45" hidden="1" customHeight="1" x14ac:dyDescent="0.25">
      <c r="A125" s="224"/>
      <c r="B125" s="236"/>
      <c r="C125" s="240" t="s">
        <v>3910</v>
      </c>
      <c r="D125" s="300" t="s">
        <v>3992</v>
      </c>
      <c r="E125" s="300"/>
      <c r="F125" s="300"/>
      <c r="G125" s="205"/>
    </row>
    <row r="126" spans="1:7" s="268" customFormat="1" ht="45" hidden="1" customHeight="1" x14ac:dyDescent="0.25">
      <c r="A126" s="224"/>
      <c r="B126" s="236">
        <v>1431</v>
      </c>
      <c r="C126" s="240" t="s">
        <v>3911</v>
      </c>
      <c r="D126" s="299">
        <f ca="1">_xlfn.IFNA(VLOOKUP(B126,Worksheet!$C$3:$G$46,3,FALSE),D126)</f>
        <v>0</v>
      </c>
      <c r="E126" s="299">
        <f ca="1">_xlfn.IFNA(VLOOKUP(B126,Worksheet!$C$3:$G$46,4,FALSE),E126)</f>
        <v>0</v>
      </c>
      <c r="F126" s="299">
        <f ca="1">_xlfn.IFNA(VLOOKUP(B126,Worksheet!$C$3:$G$46,5,FALSE),F126)</f>
        <v>1</v>
      </c>
      <c r="G126" s="205" t="s">
        <v>86</v>
      </c>
    </row>
    <row r="127" spans="1:7" s="268" customFormat="1" ht="45" hidden="1" customHeight="1" x14ac:dyDescent="0.25">
      <c r="A127" s="224"/>
      <c r="B127" s="236">
        <v>1432</v>
      </c>
      <c r="C127" s="240" t="s">
        <v>3912</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3913</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3914</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3915</v>
      </c>
      <c r="D130" s="299">
        <f ca="1">_xlfn.IFNA(VLOOKUP(B130,Worksheet!$C$3:$G$46,3,FALSE),D130)</f>
        <v>0</v>
      </c>
      <c r="E130" s="299">
        <f ca="1">_xlfn.IFNA(VLOOKUP(B130,Worksheet!$C$3:$G$46,4,FALSE),E130)</f>
        <v>0</v>
      </c>
      <c r="F130" s="299">
        <f ca="1">_xlfn.IFNA(VLOOKUP(B130,Worksheet!$C$3:$G$46,5,FALSE),F130)</f>
        <v>1</v>
      </c>
      <c r="G130" s="205" t="s">
        <v>86</v>
      </c>
    </row>
    <row r="131" spans="1:7" s="268" customFormat="1" ht="45" hidden="1" customHeight="1" x14ac:dyDescent="0.25">
      <c r="A131" s="224"/>
      <c r="B131" s="236">
        <v>1441</v>
      </c>
      <c r="C131" s="240" t="s">
        <v>3916</v>
      </c>
      <c r="D131" s="299">
        <f ca="1">_xlfn.IFNA(VLOOKUP(B131,Worksheet!$C$3:$G$46,3,FALSE),D131)</f>
        <v>0</v>
      </c>
      <c r="E131" s="299">
        <f ca="1">_xlfn.IFNA(VLOOKUP(B131,Worksheet!$C$3:$G$46,4,FALSE),E131)</f>
        <v>0</v>
      </c>
      <c r="F131" s="299">
        <f ca="1">_xlfn.IFNA(VLOOKUP(B131,Worksheet!$C$3:$G$46,5,FALSE),F131)</f>
        <v>1</v>
      </c>
      <c r="G131" s="205" t="s">
        <v>86</v>
      </c>
    </row>
    <row r="132" spans="1:7" s="268" customFormat="1" ht="45" hidden="1" customHeight="1" x14ac:dyDescent="0.25">
      <c r="A132" s="224"/>
      <c r="B132" s="236">
        <v>1442</v>
      </c>
      <c r="C132" s="240" t="s">
        <v>3917</v>
      </c>
      <c r="D132" s="269">
        <f ca="1">D120</f>
        <v>0</v>
      </c>
      <c r="E132" s="269">
        <f ca="1">E120</f>
        <v>0</v>
      </c>
      <c r="F132" s="269">
        <f ca="1">F120</f>
        <v>1</v>
      </c>
      <c r="G132" s="205"/>
    </row>
    <row r="133" spans="1:7" s="268" customFormat="1" ht="45" hidden="1" customHeight="1" x14ac:dyDescent="0.25">
      <c r="A133" s="224"/>
      <c r="B133" s="236">
        <v>1443</v>
      </c>
      <c r="C133" s="240" t="s">
        <v>3918</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3919</v>
      </c>
      <c r="D134" s="263"/>
      <c r="E134" s="263"/>
      <c r="F134" s="263"/>
      <c r="G134" s="205"/>
    </row>
    <row r="135" spans="1:7" s="268" customFormat="1" ht="51" hidden="1" customHeight="1" x14ac:dyDescent="0.25">
      <c r="A135" s="224"/>
      <c r="B135" s="236">
        <v>1452</v>
      </c>
      <c r="C135" s="240" t="s">
        <v>3920</v>
      </c>
      <c r="D135" s="299">
        <f ca="1">_xlfn.IFNA(VLOOKUP(B135,Worksheet!$C$3:$G$46,3,FALSE),D135)</f>
        <v>0</v>
      </c>
      <c r="E135" s="299">
        <f ca="1">_xlfn.IFNA(VLOOKUP(B135,Worksheet!$C$3:$G$46,4,FALSE),E135)</f>
        <v>0</v>
      </c>
      <c r="F135" s="299">
        <f ca="1">_xlfn.IFNA(VLOOKUP(B135,Worksheet!$C$3:$G$46,5,FALSE),F135)</f>
        <v>1</v>
      </c>
      <c r="G135" s="205" t="s">
        <v>86</v>
      </c>
    </row>
    <row r="136" spans="1:7" s="268" customFormat="1" ht="45" hidden="1" customHeight="1" x14ac:dyDescent="0.25">
      <c r="A136" s="224"/>
      <c r="B136" s="236">
        <v>1453</v>
      </c>
      <c r="C136" s="240" t="s">
        <v>3921</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3922</v>
      </c>
      <c r="D137" s="263"/>
      <c r="E137" s="263"/>
      <c r="F137" s="263"/>
      <c r="G137" s="205"/>
    </row>
    <row r="138" spans="1:7" s="268" customFormat="1" ht="45" hidden="1" customHeight="1" x14ac:dyDescent="0.25">
      <c r="A138" s="224"/>
      <c r="B138" s="236">
        <v>1455</v>
      </c>
      <c r="C138" s="240" t="s">
        <v>3923</v>
      </c>
      <c r="D138" s="299">
        <f ca="1">_xlfn.IFNA(VLOOKUP(B138,Worksheet!$C$3:$G$46,3,FALSE),D138)</f>
        <v>0</v>
      </c>
      <c r="E138" s="299">
        <f ca="1">_xlfn.IFNA(VLOOKUP(B138,Worksheet!$C$3:$G$46,4,FALSE),E138)</f>
        <v>0</v>
      </c>
      <c r="F138" s="299">
        <f ca="1">_xlfn.IFNA(VLOOKUP(B138,Worksheet!$C$3:$G$46,5,FALSE),F138)</f>
        <v>1</v>
      </c>
      <c r="G138" s="205" t="s">
        <v>86</v>
      </c>
    </row>
    <row r="139" spans="1:7" ht="45" hidden="1" customHeight="1" x14ac:dyDescent="0.25">
      <c r="A139" s="224"/>
      <c r="B139" s="236">
        <v>1456</v>
      </c>
      <c r="C139" s="240" t="s">
        <v>3924</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3993</v>
      </c>
      <c r="D141" s="226"/>
      <c r="E141" s="256"/>
      <c r="F141" s="298">
        <f ca="1">_xlfn.IFNA(VLOOKUP(B141,Worksheet!$C$3:$G$46,5,FALSE),F141)</f>
        <v>0</v>
      </c>
      <c r="G141" s="205" t="s">
        <v>90</v>
      </c>
    </row>
    <row r="142" spans="1:7" ht="45" hidden="1" customHeight="1" x14ac:dyDescent="0.25">
      <c r="A142" s="224"/>
      <c r="B142" s="231" t="s">
        <v>4016</v>
      </c>
      <c r="C142" s="258" t="s">
        <v>3925</v>
      </c>
      <c r="D142" s="233"/>
      <c r="E142" s="274"/>
      <c r="F142" s="235">
        <f ca="1">_xlfn.IFNA(VLOOKUP(F141,Data_donotedit!$BE$2:$BG$25,3,TRUE),0)</f>
        <v>20</v>
      </c>
      <c r="G142" s="205" t="s">
        <v>90</v>
      </c>
    </row>
    <row r="143" spans="1:7" ht="45" hidden="1" customHeight="1" x14ac:dyDescent="0.25">
      <c r="A143" s="224"/>
      <c r="B143" s="236"/>
      <c r="C143" s="275" t="s">
        <v>3994</v>
      </c>
      <c r="D143" s="238" t="s">
        <v>76</v>
      </c>
      <c r="E143" s="238" t="s">
        <v>77</v>
      </c>
      <c r="F143" s="239" t="s">
        <v>78</v>
      </c>
      <c r="G143" s="205" t="s">
        <v>90</v>
      </c>
    </row>
    <row r="144" spans="1:7" ht="45" hidden="1" customHeight="1" x14ac:dyDescent="0.25">
      <c r="A144" s="224"/>
      <c r="B144" s="236">
        <v>1513</v>
      </c>
      <c r="C144" s="267" t="s">
        <v>3927</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3928</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3929</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3930</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3931</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3932</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3933</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3934</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3935</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3936</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3937</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3938</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3939</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3940</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3941</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3942</v>
      </c>
      <c r="D159" s="263"/>
      <c r="E159" s="263"/>
      <c r="F159" s="263"/>
      <c r="G159" s="205"/>
    </row>
    <row r="160" spans="1:7" ht="45" hidden="1" customHeight="1" x14ac:dyDescent="0.25">
      <c r="A160" s="224"/>
      <c r="B160" s="236">
        <v>1552</v>
      </c>
      <c r="C160" s="240" t="s">
        <v>3943</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3944</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3945</v>
      </c>
      <c r="D162" s="263"/>
      <c r="E162" s="263"/>
      <c r="F162" s="263"/>
      <c r="G162" s="205"/>
    </row>
    <row r="163" spans="1:7" ht="45" hidden="1" customHeight="1" x14ac:dyDescent="0.25">
      <c r="A163" s="224"/>
      <c r="B163" s="236">
        <v>1555</v>
      </c>
      <c r="C163" s="240" t="s">
        <v>3946</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3944</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3995</v>
      </c>
      <c r="D166" s="226"/>
      <c r="E166" s="229"/>
      <c r="F166" s="298">
        <f ca="1">_xlfn.IFNA(VLOOKUP(B166,Worksheet!$C$3:$G$46,5,FALSE),F166)</f>
        <v>0</v>
      </c>
      <c r="G166" s="205" t="s">
        <v>91</v>
      </c>
    </row>
    <row r="167" spans="1:7" ht="45" hidden="1" customHeight="1" x14ac:dyDescent="0.25">
      <c r="A167" s="224"/>
      <c r="B167" s="280" t="s">
        <v>4017</v>
      </c>
      <c r="C167" s="258" t="s">
        <v>3996</v>
      </c>
      <c r="D167" s="226"/>
      <c r="E167" s="229"/>
      <c r="F167" s="235">
        <f ca="1">_xlfn.IFNA(VLOOKUP(F166,Data_donotedit!$BE$2:$BG$25,3,TRUE),0)</f>
        <v>20</v>
      </c>
      <c r="G167" s="205" t="s">
        <v>91</v>
      </c>
    </row>
    <row r="168" spans="1:7" ht="45" hidden="1" customHeight="1" x14ac:dyDescent="0.25">
      <c r="A168" s="224"/>
      <c r="B168" s="279"/>
      <c r="C168" s="260" t="s">
        <v>3947</v>
      </c>
      <c r="D168" s="238" t="s">
        <v>76</v>
      </c>
      <c r="E168" s="239" t="s">
        <v>77</v>
      </c>
      <c r="F168" s="239" t="s">
        <v>78</v>
      </c>
      <c r="G168" s="205" t="s">
        <v>91</v>
      </c>
    </row>
    <row r="169" spans="1:7" ht="45" hidden="1" customHeight="1" x14ac:dyDescent="0.25">
      <c r="A169" s="224"/>
      <c r="B169" s="236">
        <v>1611</v>
      </c>
      <c r="C169" s="240" t="s">
        <v>3926</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3948</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3927</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3997</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3949</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3998</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3999</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4000</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4001</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4002</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3950</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4003</v>
      </c>
      <c r="D180" s="244"/>
      <c r="E180" s="244"/>
      <c r="F180" s="245"/>
      <c r="G180" s="205" t="s">
        <v>91</v>
      </c>
    </row>
    <row r="181" spans="1:7" ht="45" hidden="1" customHeight="1" x14ac:dyDescent="0.25">
      <c r="A181" s="224"/>
      <c r="B181" s="236">
        <v>1631</v>
      </c>
      <c r="C181" s="240" t="s">
        <v>3951</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3952</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3953</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3954</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3955</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4004</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3955</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4005</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4006</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3956</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3957</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3958</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3959</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3960</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3961</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3962</v>
      </c>
      <c r="D196" s="263"/>
      <c r="E196" s="263"/>
      <c r="F196" s="263"/>
      <c r="G196" s="205"/>
    </row>
    <row r="197" spans="1:7" ht="45" hidden="1" customHeight="1" x14ac:dyDescent="0.25">
      <c r="A197" s="224"/>
      <c r="B197" s="236">
        <v>1658</v>
      </c>
      <c r="C197" s="240" t="s">
        <v>3963</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3964</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3965</v>
      </c>
      <c r="D199" s="263"/>
      <c r="E199" s="263"/>
      <c r="F199" s="263"/>
      <c r="G199" s="205"/>
    </row>
    <row r="200" spans="1:7" ht="45" hidden="1" customHeight="1" x14ac:dyDescent="0.25">
      <c r="A200" s="224"/>
      <c r="B200" s="236">
        <v>1661</v>
      </c>
      <c r="C200" s="240" t="s">
        <v>3966</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3967</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3vtzOmoMwLoMWLedmeGNl5mkKoQVYkahx79kNBOcfP1+gH0oOgb3ZQTqA37jOx5EFVIGJiv/wWhPyJPAwf4aag==" saltValue="RYXz/n+FyxUWoP25i4cUCA=="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819</v>
      </c>
      <c r="AW1" s="48" t="s">
        <v>94</v>
      </c>
      <c r="AX1" s="48" t="s">
        <v>93</v>
      </c>
      <c r="AY1" s="48" t="s">
        <v>144</v>
      </c>
      <c r="AZ1" s="48" t="s">
        <v>820</v>
      </c>
      <c r="BA1" s="48" t="s">
        <v>821</v>
      </c>
      <c r="BE1" t="s">
        <v>4018</v>
      </c>
      <c r="BF1" t="s">
        <v>4019</v>
      </c>
      <c r="BG1" t="s">
        <v>4020</v>
      </c>
    </row>
    <row r="2" spans="1:59" x14ac:dyDescent="0.25">
      <c r="A2" s="95" t="s">
        <v>568</v>
      </c>
      <c r="C2" t="s">
        <v>149</v>
      </c>
      <c r="D2" t="s">
        <v>188</v>
      </c>
      <c r="E2" t="s">
        <v>748</v>
      </c>
      <c r="F2" s="97" t="s">
        <v>150</v>
      </c>
      <c r="I2" s="56" t="s">
        <v>198</v>
      </c>
      <c r="J2" s="56" t="s">
        <v>215</v>
      </c>
      <c r="K2" s="56" t="s">
        <v>236</v>
      </c>
      <c r="L2" s="56" t="s">
        <v>267</v>
      </c>
      <c r="M2" s="56" t="s">
        <v>288</v>
      </c>
      <c r="N2" s="56" t="s">
        <v>308</v>
      </c>
      <c r="O2" t="s">
        <v>572</v>
      </c>
      <c r="P2" s="56" t="s">
        <v>316</v>
      </c>
      <c r="Q2" s="56" t="s">
        <v>343</v>
      </c>
      <c r="R2" t="s">
        <v>595</v>
      </c>
      <c r="S2" t="s">
        <v>602</v>
      </c>
      <c r="T2" s="56" t="s">
        <v>361</v>
      </c>
      <c r="U2" t="s">
        <v>615</v>
      </c>
      <c r="V2" s="56" t="s">
        <v>621</v>
      </c>
      <c r="W2" s="56" t="s">
        <v>637</v>
      </c>
      <c r="X2" s="56" t="s">
        <v>643</v>
      </c>
      <c r="Y2" s="56" t="s">
        <v>654</v>
      </c>
      <c r="Z2" s="56" t="s">
        <v>379</v>
      </c>
      <c r="AA2" s="56" t="s">
        <v>681</v>
      </c>
      <c r="AB2" s="56" t="s">
        <v>702</v>
      </c>
      <c r="AC2" s="56" t="s">
        <v>707</v>
      </c>
      <c r="AD2" s="56" t="s">
        <v>406</v>
      </c>
      <c r="AE2" s="56" t="s">
        <v>722</v>
      </c>
      <c r="AF2" s="56" t="s">
        <v>427</v>
      </c>
      <c r="AG2" s="56" t="s">
        <v>726</v>
      </c>
      <c r="AH2" s="56" t="s">
        <v>736</v>
      </c>
      <c r="AI2" s="56" t="s">
        <v>443</v>
      </c>
      <c r="AJ2" s="56" t="s">
        <v>748</v>
      </c>
      <c r="AK2" s="56" t="s">
        <v>757</v>
      </c>
      <c r="AL2" s="56" t="s">
        <v>764</v>
      </c>
      <c r="AM2" s="56" t="s">
        <v>773</v>
      </c>
      <c r="AN2" s="56" t="s">
        <v>804</v>
      </c>
      <c r="AO2" s="56" t="s">
        <v>468</v>
      </c>
      <c r="AP2" s="56" t="s">
        <v>491</v>
      </c>
      <c r="AQ2" s="56" t="s">
        <v>514</v>
      </c>
      <c r="AR2" s="56" t="s">
        <v>530</v>
      </c>
      <c r="AS2" s="56" t="s">
        <v>547</v>
      </c>
      <c r="AV2" t="s">
        <v>822</v>
      </c>
      <c r="AW2" t="s">
        <v>188</v>
      </c>
      <c r="AX2" t="s">
        <v>748</v>
      </c>
      <c r="AY2" t="s">
        <v>823</v>
      </c>
      <c r="AZ2" t="s">
        <v>824</v>
      </c>
      <c r="BA2" t="s">
        <v>568</v>
      </c>
      <c r="BB2" t="str">
        <f>SUBSTITUTE(SUBSTITUTE(BA2&amp;AX2," ",""),"-","")</f>
        <v>AHNIogAdoOdo</v>
      </c>
      <c r="BE2">
        <v>0</v>
      </c>
      <c r="BF2">
        <v>20</v>
      </c>
      <c r="BG2">
        <v>20</v>
      </c>
    </row>
    <row r="3" spans="1:59" x14ac:dyDescent="0.25">
      <c r="A3" s="95" t="s">
        <v>569</v>
      </c>
      <c r="C3" t="s">
        <v>146</v>
      </c>
      <c r="D3" t="s">
        <v>191</v>
      </c>
      <c r="E3" t="s">
        <v>749</v>
      </c>
      <c r="F3" s="98" t="s">
        <v>83</v>
      </c>
      <c r="I3" s="56" t="s">
        <v>199</v>
      </c>
      <c r="J3" s="56" t="s">
        <v>216</v>
      </c>
      <c r="K3" s="56" t="s">
        <v>237</v>
      </c>
      <c r="L3" s="56" t="s">
        <v>268</v>
      </c>
      <c r="M3" s="56" t="s">
        <v>289</v>
      </c>
      <c r="N3" s="56" t="s">
        <v>309</v>
      </c>
      <c r="O3" t="s">
        <v>573</v>
      </c>
      <c r="P3" s="56" t="s">
        <v>317</v>
      </c>
      <c r="Q3" s="56" t="s">
        <v>344</v>
      </c>
      <c r="R3" t="s">
        <v>596</v>
      </c>
      <c r="S3" t="s">
        <v>603</v>
      </c>
      <c r="T3" s="56" t="s">
        <v>362</v>
      </c>
      <c r="U3" t="s">
        <v>616</v>
      </c>
      <c r="V3" s="56" t="s">
        <v>622</v>
      </c>
      <c r="W3" s="56" t="s">
        <v>638</v>
      </c>
      <c r="X3" s="56" t="s">
        <v>644</v>
      </c>
      <c r="Y3" s="56" t="s">
        <v>655</v>
      </c>
      <c r="Z3" s="56" t="s">
        <v>380</v>
      </c>
      <c r="AA3" s="56" t="s">
        <v>682</v>
      </c>
      <c r="AB3" s="56" t="s">
        <v>703</v>
      </c>
      <c r="AC3" s="56" t="s">
        <v>708</v>
      </c>
      <c r="AD3" s="56" t="s">
        <v>407</v>
      </c>
      <c r="AE3" s="56" t="s">
        <v>723</v>
      </c>
      <c r="AF3" s="56" t="s">
        <v>428</v>
      </c>
      <c r="AG3" s="56" t="s">
        <v>727</v>
      </c>
      <c r="AH3" s="56" t="s">
        <v>737</v>
      </c>
      <c r="AI3" s="56" t="s">
        <v>444</v>
      </c>
      <c r="AJ3" s="56" t="s">
        <v>749</v>
      </c>
      <c r="AK3" s="56" t="s">
        <v>758</v>
      </c>
      <c r="AL3" s="56" t="s">
        <v>765</v>
      </c>
      <c r="AM3" s="56" t="s">
        <v>774</v>
      </c>
      <c r="AN3" s="56" t="s">
        <v>805</v>
      </c>
      <c r="AO3" s="56" t="s">
        <v>469</v>
      </c>
      <c r="AP3" s="56" t="s">
        <v>492</v>
      </c>
      <c r="AQ3" s="56" t="s">
        <v>515</v>
      </c>
      <c r="AR3" s="56" t="s">
        <v>531</v>
      </c>
      <c r="AS3" s="56" t="s">
        <v>548</v>
      </c>
      <c r="AV3" t="s">
        <v>822</v>
      </c>
      <c r="AW3" t="s">
        <v>188</v>
      </c>
      <c r="AX3" t="s">
        <v>748</v>
      </c>
      <c r="AY3" t="s">
        <v>823</v>
      </c>
      <c r="AZ3" t="s">
        <v>825</v>
      </c>
      <c r="BA3" t="s">
        <v>568</v>
      </c>
      <c r="BB3" t="str">
        <f t="shared" ref="BB3:BB66" si="0">SUBSTITUTE(SUBSTITUTE(BA3&amp;AX3," ",""),"-","")</f>
        <v>AHNIogAdoOdo</v>
      </c>
      <c r="BE3">
        <v>21</v>
      </c>
      <c r="BF3">
        <v>30</v>
      </c>
      <c r="BG3">
        <v>24</v>
      </c>
    </row>
    <row r="4" spans="1:59" x14ac:dyDescent="0.25">
      <c r="A4" s="95" t="s">
        <v>151</v>
      </c>
      <c r="C4" t="s">
        <v>152</v>
      </c>
      <c r="D4" t="s">
        <v>185</v>
      </c>
      <c r="E4" t="s">
        <v>750</v>
      </c>
      <c r="F4" s="97" t="s">
        <v>155</v>
      </c>
      <c r="I4" s="56" t="s">
        <v>200</v>
      </c>
      <c r="J4" s="56" t="s">
        <v>217</v>
      </c>
      <c r="K4" s="56" t="s">
        <v>238</v>
      </c>
      <c r="L4" s="56" t="s">
        <v>269</v>
      </c>
      <c r="M4" s="56" t="s">
        <v>290</v>
      </c>
      <c r="N4" s="56" t="s">
        <v>310</v>
      </c>
      <c r="O4" t="s">
        <v>574</v>
      </c>
      <c r="P4" s="56" t="s">
        <v>318</v>
      </c>
      <c r="Q4" s="56" t="s">
        <v>345</v>
      </c>
      <c r="R4" t="s">
        <v>597</v>
      </c>
      <c r="S4" t="s">
        <v>604</v>
      </c>
      <c r="T4" s="56" t="s">
        <v>363</v>
      </c>
      <c r="U4" t="s">
        <v>617</v>
      </c>
      <c r="V4" s="56" t="s">
        <v>623</v>
      </c>
      <c r="W4" s="56" t="s">
        <v>639</v>
      </c>
      <c r="X4" s="56" t="s">
        <v>645</v>
      </c>
      <c r="Y4" s="56" t="s">
        <v>656</v>
      </c>
      <c r="Z4" s="56" t="s">
        <v>381</v>
      </c>
      <c r="AA4" s="56" t="s">
        <v>683</v>
      </c>
      <c r="AB4" s="56" t="s">
        <v>704</v>
      </c>
      <c r="AC4" s="56" t="s">
        <v>709</v>
      </c>
      <c r="AD4" s="56" t="s">
        <v>408</v>
      </c>
      <c r="AE4" s="56" t="s">
        <v>724</v>
      </c>
      <c r="AF4" s="56" t="s">
        <v>429</v>
      </c>
      <c r="AG4" s="56" t="s">
        <v>728</v>
      </c>
      <c r="AH4" s="56" t="s">
        <v>738</v>
      </c>
      <c r="AI4" s="56" t="s">
        <v>445</v>
      </c>
      <c r="AJ4" s="56" t="s">
        <v>750</v>
      </c>
      <c r="AK4" s="56" t="s">
        <v>759</v>
      </c>
      <c r="AL4" s="56" t="s">
        <v>766</v>
      </c>
      <c r="AM4" s="56" t="s">
        <v>775</v>
      </c>
      <c r="AN4" s="56" t="s">
        <v>806</v>
      </c>
      <c r="AO4" s="56" t="s">
        <v>470</v>
      </c>
      <c r="AP4" s="56" t="s">
        <v>493</v>
      </c>
      <c r="AQ4" s="56" t="s">
        <v>516</v>
      </c>
      <c r="AR4" s="56" t="s">
        <v>532</v>
      </c>
      <c r="AS4" s="56" t="s">
        <v>549</v>
      </c>
      <c r="AV4" t="s">
        <v>822</v>
      </c>
      <c r="AW4" t="s">
        <v>188</v>
      </c>
      <c r="AX4" t="s">
        <v>748</v>
      </c>
      <c r="AY4" t="s">
        <v>823</v>
      </c>
      <c r="AZ4" t="s">
        <v>826</v>
      </c>
      <c r="BA4" t="s">
        <v>568</v>
      </c>
      <c r="BB4" t="str">
        <f t="shared" si="0"/>
        <v>AHNIogAdoOdo</v>
      </c>
      <c r="BE4">
        <v>31</v>
      </c>
      <c r="BF4">
        <v>40</v>
      </c>
      <c r="BG4">
        <v>30</v>
      </c>
    </row>
    <row r="5" spans="1:59" x14ac:dyDescent="0.25">
      <c r="A5" s="95" t="s">
        <v>143</v>
      </c>
      <c r="C5" t="s">
        <v>154</v>
      </c>
      <c r="D5" t="s">
        <v>191</v>
      </c>
      <c r="E5" t="s">
        <v>751</v>
      </c>
      <c r="F5" s="97" t="s">
        <v>86</v>
      </c>
      <c r="I5" s="56" t="s">
        <v>201</v>
      </c>
      <c r="J5" s="56" t="s">
        <v>218</v>
      </c>
      <c r="K5" s="56" t="s">
        <v>239</v>
      </c>
      <c r="L5" s="56" t="s">
        <v>270</v>
      </c>
      <c r="M5" s="56" t="s">
        <v>291</v>
      </c>
      <c r="N5" s="56" t="s">
        <v>311</v>
      </c>
      <c r="O5" t="s">
        <v>575</v>
      </c>
      <c r="P5" s="56" t="s">
        <v>319</v>
      </c>
      <c r="Q5" s="56" t="s">
        <v>346</v>
      </c>
      <c r="R5" t="s">
        <v>598</v>
      </c>
      <c r="S5" t="s">
        <v>605</v>
      </c>
      <c r="T5" s="56" t="s">
        <v>364</v>
      </c>
      <c r="U5" t="s">
        <v>618</v>
      </c>
      <c r="V5" s="56" t="s">
        <v>624</v>
      </c>
      <c r="W5" s="56" t="s">
        <v>640</v>
      </c>
      <c r="X5" s="56" t="s">
        <v>646</v>
      </c>
      <c r="Y5" s="56" t="s">
        <v>657</v>
      </c>
      <c r="Z5" s="56" t="s">
        <v>382</v>
      </c>
      <c r="AA5" s="56" t="s">
        <v>684</v>
      </c>
      <c r="AB5" s="56" t="s">
        <v>705</v>
      </c>
      <c r="AD5" s="56" t="s">
        <v>409</v>
      </c>
      <c r="AE5" s="56" t="s">
        <v>725</v>
      </c>
      <c r="AF5" s="56" t="s">
        <v>430</v>
      </c>
      <c r="AG5" s="56" t="s">
        <v>729</v>
      </c>
      <c r="AH5" s="56" t="s">
        <v>739</v>
      </c>
      <c r="AI5" s="56" t="s">
        <v>446</v>
      </c>
      <c r="AJ5" s="56" t="s">
        <v>751</v>
      </c>
      <c r="AK5" s="56" t="s">
        <v>760</v>
      </c>
      <c r="AL5" s="56" t="s">
        <v>767</v>
      </c>
      <c r="AM5" s="56" t="s">
        <v>776</v>
      </c>
      <c r="AN5" s="56" t="s">
        <v>807</v>
      </c>
      <c r="AO5" s="56" t="s">
        <v>471</v>
      </c>
      <c r="AP5" s="56" t="s">
        <v>494</v>
      </c>
      <c r="AQ5" s="56" t="s">
        <v>517</v>
      </c>
      <c r="AR5" s="56" t="s">
        <v>533</v>
      </c>
      <c r="AS5" s="56" t="s">
        <v>550</v>
      </c>
      <c r="AV5" t="s">
        <v>822</v>
      </c>
      <c r="AW5" t="s">
        <v>188</v>
      </c>
      <c r="AX5" t="s">
        <v>749</v>
      </c>
      <c r="AY5" t="s">
        <v>827</v>
      </c>
      <c r="AZ5" t="s">
        <v>828</v>
      </c>
      <c r="BA5" t="s">
        <v>568</v>
      </c>
      <c r="BB5" t="str">
        <f t="shared" si="0"/>
        <v>AHNIogIpokia</v>
      </c>
      <c r="BE5">
        <v>41</v>
      </c>
      <c r="BF5">
        <v>50</v>
      </c>
      <c r="BG5">
        <v>35</v>
      </c>
    </row>
    <row r="6" spans="1:59" x14ac:dyDescent="0.25">
      <c r="A6" s="95" t="s">
        <v>570</v>
      </c>
      <c r="D6" t="s">
        <v>192</v>
      </c>
      <c r="E6" t="s">
        <v>773</v>
      </c>
      <c r="F6" s="97" t="s">
        <v>90</v>
      </c>
      <c r="I6" s="56" t="s">
        <v>202</v>
      </c>
      <c r="J6" s="56" t="s">
        <v>219</v>
      </c>
      <c r="K6" s="56" t="s">
        <v>240</v>
      </c>
      <c r="L6" s="56" t="s">
        <v>271</v>
      </c>
      <c r="M6" s="56" t="s">
        <v>292</v>
      </c>
      <c r="N6" s="56" t="s">
        <v>312</v>
      </c>
      <c r="O6" t="s">
        <v>576</v>
      </c>
      <c r="P6" s="56" t="s">
        <v>320</v>
      </c>
      <c r="Q6" s="56" t="s">
        <v>347</v>
      </c>
      <c r="R6" t="s">
        <v>599</v>
      </c>
      <c r="S6" t="s">
        <v>606</v>
      </c>
      <c r="T6" s="56" t="s">
        <v>365</v>
      </c>
      <c r="U6" t="s">
        <v>619</v>
      </c>
      <c r="V6" s="56" t="s">
        <v>625</v>
      </c>
      <c r="W6" s="56" t="s">
        <v>641</v>
      </c>
      <c r="X6" s="56" t="s">
        <v>647</v>
      </c>
      <c r="Y6" s="56" t="s">
        <v>658</v>
      </c>
      <c r="Z6" s="56" t="s">
        <v>383</v>
      </c>
      <c r="AA6" s="56" t="s">
        <v>685</v>
      </c>
      <c r="AB6" s="56" t="s">
        <v>706</v>
      </c>
      <c r="AD6" s="56" t="s">
        <v>410</v>
      </c>
      <c r="AE6" s="56" t="s">
        <v>714</v>
      </c>
      <c r="AF6" s="56" t="s">
        <v>431</v>
      </c>
      <c r="AG6" s="56" t="s">
        <v>730</v>
      </c>
      <c r="AH6" s="56" t="s">
        <v>740</v>
      </c>
      <c r="AI6" s="56" t="s">
        <v>447</v>
      </c>
      <c r="AJ6" s="56" t="s">
        <v>752</v>
      </c>
      <c r="AK6" s="56" t="s">
        <v>761</v>
      </c>
      <c r="AL6" s="56" t="s">
        <v>768</v>
      </c>
      <c r="AM6" s="56" t="s">
        <v>777</v>
      </c>
      <c r="AN6" s="56" t="s">
        <v>808</v>
      </c>
      <c r="AO6" s="56" t="s">
        <v>472</v>
      </c>
      <c r="AP6" s="56" t="s">
        <v>495</v>
      </c>
      <c r="AQ6" s="56" t="s">
        <v>518</v>
      </c>
      <c r="AR6" s="56" t="s">
        <v>534</v>
      </c>
      <c r="AS6" s="56" t="s">
        <v>551</v>
      </c>
      <c r="AV6" t="s">
        <v>822</v>
      </c>
      <c r="AW6" t="s">
        <v>188</v>
      </c>
      <c r="AX6" t="s">
        <v>749</v>
      </c>
      <c r="AY6" t="s">
        <v>829</v>
      </c>
      <c r="AZ6" t="s">
        <v>830</v>
      </c>
      <c r="BA6" t="s">
        <v>568</v>
      </c>
      <c r="BB6" t="str">
        <f t="shared" si="0"/>
        <v>AHNIogIpokia</v>
      </c>
      <c r="BE6">
        <v>51</v>
      </c>
      <c r="BF6">
        <v>60</v>
      </c>
      <c r="BG6">
        <v>39</v>
      </c>
    </row>
    <row r="7" spans="1:59" x14ac:dyDescent="0.25">
      <c r="A7" s="95" t="s">
        <v>153</v>
      </c>
      <c r="D7" t="s">
        <v>171</v>
      </c>
      <c r="E7" t="s">
        <v>774</v>
      </c>
      <c r="F7" s="99" t="s">
        <v>91</v>
      </c>
      <c r="I7" s="56" t="s">
        <v>203</v>
      </c>
      <c r="J7" s="56" t="s">
        <v>220</v>
      </c>
      <c r="K7" s="56" t="s">
        <v>241</v>
      </c>
      <c r="L7" s="56" t="s">
        <v>272</v>
      </c>
      <c r="M7" s="56" t="s">
        <v>293</v>
      </c>
      <c r="N7" s="56" t="s">
        <v>313</v>
      </c>
      <c r="O7" t="s">
        <v>577</v>
      </c>
      <c r="P7" s="56" t="s">
        <v>321</v>
      </c>
      <c r="Q7" s="56" t="s">
        <v>348</v>
      </c>
      <c r="R7" t="s">
        <v>600</v>
      </c>
      <c r="S7" t="s">
        <v>607</v>
      </c>
      <c r="T7" s="56" t="s">
        <v>366</v>
      </c>
      <c r="U7" t="s">
        <v>620</v>
      </c>
      <c r="V7" s="56" t="s">
        <v>626</v>
      </c>
      <c r="W7" s="56" t="s">
        <v>642</v>
      </c>
      <c r="X7" s="56" t="s">
        <v>648</v>
      </c>
      <c r="Y7" s="56" t="s">
        <v>659</v>
      </c>
      <c r="Z7" s="56" t="s">
        <v>384</v>
      </c>
      <c r="AA7" s="56" t="s">
        <v>686</v>
      </c>
      <c r="AD7" s="56" t="s">
        <v>411</v>
      </c>
      <c r="AE7" s="56" t="s">
        <v>715</v>
      </c>
      <c r="AF7" s="56" t="s">
        <v>432</v>
      </c>
      <c r="AG7" s="56" t="s">
        <v>731</v>
      </c>
      <c r="AH7" s="56" t="s">
        <v>741</v>
      </c>
      <c r="AI7" s="56" t="s">
        <v>448</v>
      </c>
      <c r="AJ7" s="56" t="s">
        <v>753</v>
      </c>
      <c r="AK7" s="56" t="s">
        <v>762</v>
      </c>
      <c r="AL7" s="56" t="s">
        <v>769</v>
      </c>
      <c r="AM7" s="56" t="s">
        <v>778</v>
      </c>
      <c r="AN7" s="56" t="s">
        <v>809</v>
      </c>
      <c r="AO7" s="56" t="s">
        <v>473</v>
      </c>
      <c r="AP7" s="56" t="s">
        <v>496</v>
      </c>
      <c r="AQ7" s="56" t="s">
        <v>519</v>
      </c>
      <c r="AR7" s="56" t="s">
        <v>535</v>
      </c>
      <c r="AS7" s="56" t="s">
        <v>552</v>
      </c>
      <c r="AV7" t="s">
        <v>822</v>
      </c>
      <c r="AW7" t="s">
        <v>188</v>
      </c>
      <c r="AX7" t="s">
        <v>750</v>
      </c>
      <c r="AY7" t="s">
        <v>831</v>
      </c>
      <c r="AZ7" t="s">
        <v>832</v>
      </c>
      <c r="BA7" t="s">
        <v>568</v>
      </c>
      <c r="BB7" t="str">
        <f t="shared" si="0"/>
        <v>AHNIogYewaNorth</v>
      </c>
      <c r="BE7">
        <v>61</v>
      </c>
      <c r="BF7">
        <v>70</v>
      </c>
      <c r="BG7">
        <v>43</v>
      </c>
    </row>
    <row r="8" spans="1:59" x14ac:dyDescent="0.25">
      <c r="A8" s="95" t="s">
        <v>2696</v>
      </c>
      <c r="D8" t="s">
        <v>174</v>
      </c>
      <c r="E8" t="s">
        <v>775</v>
      </c>
      <c r="I8" s="56" t="s">
        <v>204</v>
      </c>
      <c r="J8" s="56" t="s">
        <v>221</v>
      </c>
      <c r="K8" s="56" t="s">
        <v>242</v>
      </c>
      <c r="L8" s="56" t="s">
        <v>273</v>
      </c>
      <c r="M8" s="56" t="s">
        <v>294</v>
      </c>
      <c r="N8" s="56" t="s">
        <v>314</v>
      </c>
      <c r="O8" t="s">
        <v>578</v>
      </c>
      <c r="P8" s="56" t="s">
        <v>322</v>
      </c>
      <c r="Q8" s="56" t="s">
        <v>349</v>
      </c>
      <c r="R8" t="s">
        <v>601</v>
      </c>
      <c r="S8" t="s">
        <v>608</v>
      </c>
      <c r="T8" s="56" t="s">
        <v>367</v>
      </c>
      <c r="V8" s="56" t="s">
        <v>627</v>
      </c>
      <c r="X8" s="56" t="s">
        <v>649</v>
      </c>
      <c r="Y8" s="56" t="s">
        <v>660</v>
      </c>
      <c r="Z8" s="56" t="s">
        <v>385</v>
      </c>
      <c r="AA8" s="56" t="s">
        <v>687</v>
      </c>
      <c r="AD8" s="56" t="s">
        <v>412</v>
      </c>
      <c r="AE8" s="56" t="s">
        <v>716</v>
      </c>
      <c r="AF8" s="56" t="s">
        <v>433</v>
      </c>
      <c r="AG8" s="56" t="s">
        <v>732</v>
      </c>
      <c r="AH8" s="56" t="s">
        <v>742</v>
      </c>
      <c r="AI8" s="56" t="s">
        <v>449</v>
      </c>
      <c r="AJ8" s="56" t="s">
        <v>754</v>
      </c>
      <c r="AK8" s="56" t="s">
        <v>763</v>
      </c>
      <c r="AL8" s="56" t="s">
        <v>770</v>
      </c>
      <c r="AM8" s="56" t="s">
        <v>779</v>
      </c>
      <c r="AN8" s="56" t="s">
        <v>810</v>
      </c>
      <c r="AO8" s="56" t="s">
        <v>474</v>
      </c>
      <c r="AP8" s="56" t="s">
        <v>497</v>
      </c>
      <c r="AQ8" s="56" t="s">
        <v>520</v>
      </c>
      <c r="AR8" s="56" t="s">
        <v>536</v>
      </c>
      <c r="AS8" s="56" t="s">
        <v>553</v>
      </c>
      <c r="AV8" t="s">
        <v>822</v>
      </c>
      <c r="AW8" t="s">
        <v>188</v>
      </c>
      <c r="AX8" t="s">
        <v>750</v>
      </c>
      <c r="AY8" t="s">
        <v>833</v>
      </c>
      <c r="AZ8" t="s">
        <v>834</v>
      </c>
      <c r="BA8" t="s">
        <v>568</v>
      </c>
      <c r="BB8" t="str">
        <f t="shared" si="0"/>
        <v>AHNIogYewaNorth</v>
      </c>
      <c r="BE8">
        <v>71</v>
      </c>
      <c r="BF8">
        <v>80</v>
      </c>
      <c r="BG8">
        <v>46</v>
      </c>
    </row>
    <row r="9" spans="1:59" x14ac:dyDescent="0.25">
      <c r="A9" s="95" t="s">
        <v>156</v>
      </c>
      <c r="D9" t="s">
        <v>177</v>
      </c>
      <c r="E9" t="s">
        <v>776</v>
      </c>
      <c r="I9" s="56" t="s">
        <v>205</v>
      </c>
      <c r="J9" s="56" t="s">
        <v>222</v>
      </c>
      <c r="K9" s="56" t="s">
        <v>243</v>
      </c>
      <c r="L9" s="56" t="s">
        <v>274</v>
      </c>
      <c r="M9" s="56" t="s">
        <v>295</v>
      </c>
      <c r="N9" s="56" t="s">
        <v>315</v>
      </c>
      <c r="O9" t="s">
        <v>579</v>
      </c>
      <c r="P9" s="56" t="s">
        <v>323</v>
      </c>
      <c r="Q9" s="56" t="s">
        <v>350</v>
      </c>
      <c r="S9" t="s">
        <v>609</v>
      </c>
      <c r="T9" s="56" t="s">
        <v>368</v>
      </c>
      <c r="V9" s="56" t="s">
        <v>628</v>
      </c>
      <c r="X9" s="56" t="s">
        <v>650</v>
      </c>
      <c r="Y9" s="56" t="s">
        <v>661</v>
      </c>
      <c r="Z9" s="56" t="s">
        <v>386</v>
      </c>
      <c r="AA9" s="56" t="s">
        <v>688</v>
      </c>
      <c r="AD9" s="56" t="s">
        <v>413</v>
      </c>
      <c r="AE9" s="56" t="s">
        <v>717</v>
      </c>
      <c r="AF9" s="56" t="s">
        <v>434</v>
      </c>
      <c r="AG9" s="56" t="s">
        <v>733</v>
      </c>
      <c r="AH9" s="56" t="s">
        <v>743</v>
      </c>
      <c r="AI9" s="56" t="s">
        <v>450</v>
      </c>
      <c r="AJ9" s="56" t="s">
        <v>755</v>
      </c>
      <c r="AK9" s="56"/>
      <c r="AL9" s="56" t="s">
        <v>771</v>
      </c>
      <c r="AM9" s="56" t="s">
        <v>780</v>
      </c>
      <c r="AN9" s="56" t="s">
        <v>811</v>
      </c>
      <c r="AO9" s="56" t="s">
        <v>475</v>
      </c>
      <c r="AP9" s="56" t="s">
        <v>498</v>
      </c>
      <c r="AQ9" s="56" t="s">
        <v>521</v>
      </c>
      <c r="AR9" s="56" t="s">
        <v>537</v>
      </c>
      <c r="AS9" s="56" t="s">
        <v>554</v>
      </c>
      <c r="AV9" t="s">
        <v>822</v>
      </c>
      <c r="AW9" t="s">
        <v>188</v>
      </c>
      <c r="AX9" t="s">
        <v>751</v>
      </c>
      <c r="AY9" t="s">
        <v>835</v>
      </c>
      <c r="AZ9" t="s">
        <v>836</v>
      </c>
      <c r="BA9" t="s">
        <v>568</v>
      </c>
      <c r="BB9" t="str">
        <f t="shared" si="0"/>
        <v>AHNIogYewaSouth</v>
      </c>
      <c r="BE9">
        <v>81</v>
      </c>
      <c r="BF9">
        <v>90</v>
      </c>
      <c r="BG9">
        <v>49</v>
      </c>
    </row>
    <row r="10" spans="1:59" x14ac:dyDescent="0.25">
      <c r="A10" s="95" t="s">
        <v>571</v>
      </c>
      <c r="D10" t="s">
        <v>167</v>
      </c>
      <c r="E10" t="s">
        <v>777</v>
      </c>
      <c r="I10" s="56" t="s">
        <v>206</v>
      </c>
      <c r="J10" s="56" t="s">
        <v>223</v>
      </c>
      <c r="K10" s="56" t="s">
        <v>244</v>
      </c>
      <c r="L10" s="56" t="s">
        <v>275</v>
      </c>
      <c r="M10" s="56" t="s">
        <v>296</v>
      </c>
      <c r="O10" t="s">
        <v>580</v>
      </c>
      <c r="P10" s="56" t="s">
        <v>324</v>
      </c>
      <c r="Q10" s="56" t="s">
        <v>351</v>
      </c>
      <c r="S10" t="s">
        <v>610</v>
      </c>
      <c r="T10" s="56" t="s">
        <v>369</v>
      </c>
      <c r="V10" s="56" t="s">
        <v>629</v>
      </c>
      <c r="X10" s="56" t="s">
        <v>651</v>
      </c>
      <c r="Y10" s="56" t="s">
        <v>662</v>
      </c>
      <c r="Z10" s="56" t="s">
        <v>387</v>
      </c>
      <c r="AA10" s="56" t="s">
        <v>689</v>
      </c>
      <c r="AD10" s="56" t="s">
        <v>414</v>
      </c>
      <c r="AE10" s="56" t="s">
        <v>718</v>
      </c>
      <c r="AF10" s="56" t="s">
        <v>435</v>
      </c>
      <c r="AG10" s="56" t="s">
        <v>734</v>
      </c>
      <c r="AH10" s="56" t="s">
        <v>744</v>
      </c>
      <c r="AI10" s="56" t="s">
        <v>451</v>
      </c>
      <c r="AJ10" s="56" t="s">
        <v>756</v>
      </c>
      <c r="AK10" s="56"/>
      <c r="AL10" s="56" t="s">
        <v>772</v>
      </c>
      <c r="AM10" s="56" t="s">
        <v>781</v>
      </c>
      <c r="AN10" s="56" t="s">
        <v>812</v>
      </c>
      <c r="AO10" s="56" t="s">
        <v>476</v>
      </c>
      <c r="AP10" s="56" t="s">
        <v>499</v>
      </c>
      <c r="AQ10" s="56" t="s">
        <v>522</v>
      </c>
      <c r="AR10" s="56" t="s">
        <v>538</v>
      </c>
      <c r="AS10" s="56" t="s">
        <v>555</v>
      </c>
      <c r="AV10" t="s">
        <v>822</v>
      </c>
      <c r="AW10" t="s">
        <v>188</v>
      </c>
      <c r="AX10" t="s">
        <v>751</v>
      </c>
      <c r="AY10" t="s">
        <v>837</v>
      </c>
      <c r="AZ10" t="s">
        <v>838</v>
      </c>
      <c r="BA10" t="s">
        <v>568</v>
      </c>
      <c r="BB10" t="str">
        <f t="shared" si="0"/>
        <v>AHNIogYewaSouth</v>
      </c>
      <c r="BE10">
        <v>91</v>
      </c>
      <c r="BF10">
        <v>100</v>
      </c>
      <c r="BG10">
        <v>52</v>
      </c>
    </row>
    <row r="11" spans="1:59" x14ac:dyDescent="0.25">
      <c r="D11" t="s">
        <v>170</v>
      </c>
      <c r="E11" t="s">
        <v>778</v>
      </c>
      <c r="I11" s="56" t="s">
        <v>207</v>
      </c>
      <c r="J11" s="56" t="s">
        <v>224</v>
      </c>
      <c r="K11" s="56" t="s">
        <v>245</v>
      </c>
      <c r="L11" s="56" t="s">
        <v>276</v>
      </c>
      <c r="M11" s="56" t="s">
        <v>297</v>
      </c>
      <c r="O11" t="s">
        <v>581</v>
      </c>
      <c r="P11" s="56" t="s">
        <v>325</v>
      </c>
      <c r="Q11" s="56" t="s">
        <v>352</v>
      </c>
      <c r="S11" t="s">
        <v>611</v>
      </c>
      <c r="T11" s="56" t="s">
        <v>370</v>
      </c>
      <c r="V11" s="56" t="s">
        <v>630</v>
      </c>
      <c r="X11" s="56" t="s">
        <v>652</v>
      </c>
      <c r="Y11" s="56" t="s">
        <v>663</v>
      </c>
      <c r="Z11" s="56" t="s">
        <v>388</v>
      </c>
      <c r="AA11" s="56" t="s">
        <v>690</v>
      </c>
      <c r="AD11" s="56" t="s">
        <v>415</v>
      </c>
      <c r="AE11" s="56" t="s">
        <v>719</v>
      </c>
      <c r="AF11" s="56" t="s">
        <v>436</v>
      </c>
      <c r="AG11" s="56" t="s">
        <v>735</v>
      </c>
      <c r="AH11" s="56" t="s">
        <v>745</v>
      </c>
      <c r="AI11" s="56" t="s">
        <v>452</v>
      </c>
      <c r="AK11" s="56"/>
      <c r="AL11" s="56"/>
      <c r="AM11" s="56" t="s">
        <v>782</v>
      </c>
      <c r="AN11" s="56" t="s">
        <v>813</v>
      </c>
      <c r="AO11" s="56" t="s">
        <v>477</v>
      </c>
      <c r="AP11" s="56" t="s">
        <v>500</v>
      </c>
      <c r="AQ11" s="56" t="s">
        <v>523</v>
      </c>
      <c r="AR11" s="56" t="s">
        <v>539</v>
      </c>
      <c r="AS11" s="56" t="s">
        <v>556</v>
      </c>
      <c r="AV11" t="s">
        <v>822</v>
      </c>
      <c r="AW11" t="s">
        <v>191</v>
      </c>
      <c r="AX11" t="s">
        <v>773</v>
      </c>
      <c r="AY11" t="s">
        <v>839</v>
      </c>
      <c r="AZ11" t="s">
        <v>840</v>
      </c>
      <c r="BA11" t="s">
        <v>568</v>
      </c>
      <c r="BB11" t="str">
        <f t="shared" si="0"/>
        <v>AHNIoyAtisbo</v>
      </c>
      <c r="BE11">
        <v>101</v>
      </c>
      <c r="BF11">
        <v>119</v>
      </c>
      <c r="BG11">
        <v>57</v>
      </c>
    </row>
    <row r="12" spans="1:59" x14ac:dyDescent="0.25">
      <c r="D12" t="s">
        <v>175</v>
      </c>
      <c r="E12" t="s">
        <v>779</v>
      </c>
      <c r="I12" s="56" t="s">
        <v>208</v>
      </c>
      <c r="J12" s="56" t="s">
        <v>225</v>
      </c>
      <c r="K12" s="56" t="s">
        <v>246</v>
      </c>
      <c r="L12" s="56" t="s">
        <v>277</v>
      </c>
      <c r="M12" s="56" t="s">
        <v>298</v>
      </c>
      <c r="O12" t="s">
        <v>582</v>
      </c>
      <c r="P12" s="56" t="s">
        <v>326</v>
      </c>
      <c r="Q12" s="56" t="s">
        <v>353</v>
      </c>
      <c r="S12" t="s">
        <v>612</v>
      </c>
      <c r="T12" s="56" t="s">
        <v>371</v>
      </c>
      <c r="V12" s="56" t="s">
        <v>631</v>
      </c>
      <c r="X12" s="56" t="s">
        <v>653</v>
      </c>
      <c r="Y12" s="56" t="s">
        <v>664</v>
      </c>
      <c r="Z12" s="56" t="s">
        <v>389</v>
      </c>
      <c r="AA12" s="56" t="s">
        <v>691</v>
      </c>
      <c r="AD12" s="56" t="s">
        <v>416</v>
      </c>
      <c r="AE12" s="56" t="s">
        <v>720</v>
      </c>
      <c r="AF12" s="56" t="s">
        <v>437</v>
      </c>
      <c r="AH12" s="56" t="s">
        <v>746</v>
      </c>
      <c r="AI12" s="56" t="s">
        <v>453</v>
      </c>
      <c r="AK12" s="56"/>
      <c r="AL12" s="56"/>
      <c r="AM12" s="56" t="s">
        <v>783</v>
      </c>
      <c r="AN12" s="56" t="s">
        <v>814</v>
      </c>
      <c r="AO12" s="56" t="s">
        <v>478</v>
      </c>
      <c r="AP12" s="56" t="s">
        <v>501</v>
      </c>
      <c r="AQ12" s="56" t="s">
        <v>524</v>
      </c>
      <c r="AR12" s="56" t="s">
        <v>540</v>
      </c>
      <c r="AS12" s="56" t="s">
        <v>557</v>
      </c>
      <c r="AV12" t="s">
        <v>822</v>
      </c>
      <c r="AW12" t="s">
        <v>191</v>
      </c>
      <c r="AX12" t="s">
        <v>773</v>
      </c>
      <c r="AY12" t="s">
        <v>841</v>
      </c>
      <c r="AZ12" t="s">
        <v>842</v>
      </c>
      <c r="BA12" t="s">
        <v>568</v>
      </c>
      <c r="BB12" t="str">
        <f t="shared" si="0"/>
        <v>AHNIoyAtisbo</v>
      </c>
      <c r="BE12">
        <v>120</v>
      </c>
      <c r="BF12">
        <v>139</v>
      </c>
      <c r="BG12">
        <v>61</v>
      </c>
    </row>
    <row r="13" spans="1:59" x14ac:dyDescent="0.25">
      <c r="D13" t="s">
        <v>179</v>
      </c>
      <c r="E13" t="s">
        <v>780</v>
      </c>
      <c r="I13" s="56" t="s">
        <v>209</v>
      </c>
      <c r="J13" s="56" t="s">
        <v>226</v>
      </c>
      <c r="K13" s="56" t="s">
        <v>247</v>
      </c>
      <c r="L13" s="56" t="s">
        <v>278</v>
      </c>
      <c r="M13" s="56" t="s">
        <v>299</v>
      </c>
      <c r="O13" t="s">
        <v>583</v>
      </c>
      <c r="P13" s="56" t="s">
        <v>327</v>
      </c>
      <c r="Q13" s="56" t="s">
        <v>354</v>
      </c>
      <c r="S13" t="s">
        <v>613</v>
      </c>
      <c r="T13" s="56" t="s">
        <v>372</v>
      </c>
      <c r="V13" s="56" t="s">
        <v>632</v>
      </c>
      <c r="Y13" s="56" t="s">
        <v>665</v>
      </c>
      <c r="Z13" s="56" t="s">
        <v>390</v>
      </c>
      <c r="AA13" s="56" t="s">
        <v>692</v>
      </c>
      <c r="AD13" s="56" t="s">
        <v>417</v>
      </c>
      <c r="AE13" s="56" t="s">
        <v>721</v>
      </c>
      <c r="AF13" s="56" t="s">
        <v>438</v>
      </c>
      <c r="AH13" s="56" t="s">
        <v>747</v>
      </c>
      <c r="AI13" s="56" t="s">
        <v>454</v>
      </c>
      <c r="AK13" s="56"/>
      <c r="AL13" s="56"/>
      <c r="AM13" s="56" t="s">
        <v>784</v>
      </c>
      <c r="AN13" s="56" t="s">
        <v>815</v>
      </c>
      <c r="AO13" s="56" t="s">
        <v>479</v>
      </c>
      <c r="AP13" s="56" t="s">
        <v>502</v>
      </c>
      <c r="AQ13" s="56" t="s">
        <v>525</v>
      </c>
      <c r="AR13" s="56" t="s">
        <v>541</v>
      </c>
      <c r="AS13" s="56" t="s">
        <v>558</v>
      </c>
      <c r="AV13" t="s">
        <v>822</v>
      </c>
      <c r="AW13" t="s">
        <v>191</v>
      </c>
      <c r="AX13" t="s">
        <v>773</v>
      </c>
      <c r="AY13" t="s">
        <v>843</v>
      </c>
      <c r="AZ13" t="s">
        <v>844</v>
      </c>
      <c r="BA13" t="s">
        <v>568</v>
      </c>
      <c r="BB13" t="str">
        <f t="shared" si="0"/>
        <v>AHNIoyAtisbo</v>
      </c>
      <c r="BE13">
        <v>140</v>
      </c>
      <c r="BF13">
        <v>159</v>
      </c>
      <c r="BG13">
        <v>64</v>
      </c>
    </row>
    <row r="14" spans="1:59" x14ac:dyDescent="0.25">
      <c r="D14" t="s">
        <v>183</v>
      </c>
      <c r="E14" t="s">
        <v>781</v>
      </c>
      <c r="I14" s="56" t="s">
        <v>210</v>
      </c>
      <c r="J14" s="56" t="s">
        <v>227</v>
      </c>
      <c r="K14" s="56" t="s">
        <v>248</v>
      </c>
      <c r="L14" s="56" t="s">
        <v>279</v>
      </c>
      <c r="M14" s="56" t="s">
        <v>300</v>
      </c>
      <c r="O14" t="s">
        <v>584</v>
      </c>
      <c r="P14" s="56" t="s">
        <v>328</v>
      </c>
      <c r="Q14" s="56" t="s">
        <v>355</v>
      </c>
      <c r="S14" t="s">
        <v>614</v>
      </c>
      <c r="T14" s="56" t="s">
        <v>373</v>
      </c>
      <c r="V14" s="56" t="s">
        <v>633</v>
      </c>
      <c r="Y14" s="56" t="s">
        <v>666</v>
      </c>
      <c r="Z14" s="56" t="s">
        <v>391</v>
      </c>
      <c r="AA14" s="56" t="s">
        <v>693</v>
      </c>
      <c r="AD14" s="56" t="s">
        <v>418</v>
      </c>
      <c r="AE14" s="56" t="s">
        <v>722</v>
      </c>
      <c r="AF14" s="56" t="s">
        <v>439</v>
      </c>
      <c r="AH14" s="56"/>
      <c r="AI14" s="56" t="s">
        <v>455</v>
      </c>
      <c r="AK14" s="56"/>
      <c r="AL14" s="56"/>
      <c r="AM14" s="56" t="s">
        <v>785</v>
      </c>
      <c r="AN14" s="56" t="s">
        <v>816</v>
      </c>
      <c r="AO14" s="56" t="s">
        <v>480</v>
      </c>
      <c r="AP14" s="56" t="s">
        <v>503</v>
      </c>
      <c r="AQ14" s="56" t="s">
        <v>526</v>
      </c>
      <c r="AR14" s="56" t="s">
        <v>542</v>
      </c>
      <c r="AS14" s="56" t="s">
        <v>559</v>
      </c>
      <c r="AV14" t="s">
        <v>822</v>
      </c>
      <c r="AW14" t="s">
        <v>191</v>
      </c>
      <c r="AX14" t="s">
        <v>773</v>
      </c>
      <c r="AY14" t="s">
        <v>845</v>
      </c>
      <c r="AZ14" t="s">
        <v>846</v>
      </c>
      <c r="BA14" t="s">
        <v>568</v>
      </c>
      <c r="BB14" t="str">
        <f t="shared" si="0"/>
        <v>AHNIoyAtisbo</v>
      </c>
      <c r="BE14">
        <v>160</v>
      </c>
      <c r="BF14">
        <v>179</v>
      </c>
      <c r="BG14">
        <v>67</v>
      </c>
    </row>
    <row r="15" spans="1:59" x14ac:dyDescent="0.25">
      <c r="D15" t="s">
        <v>185</v>
      </c>
      <c r="E15" t="s">
        <v>782</v>
      </c>
      <c r="I15" s="56" t="s">
        <v>211</v>
      </c>
      <c r="J15" s="56" t="s">
        <v>228</v>
      </c>
      <c r="K15" s="56" t="s">
        <v>249</v>
      </c>
      <c r="L15" s="56" t="s">
        <v>280</v>
      </c>
      <c r="M15" s="56" t="s">
        <v>301</v>
      </c>
      <c r="O15" t="s">
        <v>585</v>
      </c>
      <c r="P15" s="56" t="s">
        <v>329</v>
      </c>
      <c r="Q15" s="56" t="s">
        <v>356</v>
      </c>
      <c r="T15" s="56" t="s">
        <v>374</v>
      </c>
      <c r="V15" s="56" t="s">
        <v>634</v>
      </c>
      <c r="Y15" s="56" t="s">
        <v>667</v>
      </c>
      <c r="Z15" s="56" t="s">
        <v>392</v>
      </c>
      <c r="AA15" s="56" t="s">
        <v>694</v>
      </c>
      <c r="AD15" s="56" t="s">
        <v>419</v>
      </c>
      <c r="AE15" s="56" t="s">
        <v>723</v>
      </c>
      <c r="AF15" s="56" t="s">
        <v>440</v>
      </c>
      <c r="AI15" s="56" t="s">
        <v>456</v>
      </c>
      <c r="AK15" s="56"/>
      <c r="AL15" s="56"/>
      <c r="AM15" s="56" t="s">
        <v>786</v>
      </c>
      <c r="AN15" s="56" t="s">
        <v>817</v>
      </c>
      <c r="AO15" s="56" t="s">
        <v>481</v>
      </c>
      <c r="AP15" s="56" t="s">
        <v>504</v>
      </c>
      <c r="AQ15" s="56" t="s">
        <v>527</v>
      </c>
      <c r="AR15" s="56" t="s">
        <v>543</v>
      </c>
      <c r="AS15" s="56" t="s">
        <v>560</v>
      </c>
      <c r="AV15" t="s">
        <v>822</v>
      </c>
      <c r="AW15" t="s">
        <v>191</v>
      </c>
      <c r="AX15" t="s">
        <v>773</v>
      </c>
      <c r="AY15" t="s">
        <v>847</v>
      </c>
      <c r="AZ15" t="s">
        <v>848</v>
      </c>
      <c r="BA15" t="s">
        <v>568</v>
      </c>
      <c r="BB15" t="str">
        <f t="shared" si="0"/>
        <v>AHNIoyAtisbo</v>
      </c>
      <c r="BE15">
        <v>180</v>
      </c>
      <c r="BF15">
        <v>199</v>
      </c>
      <c r="BG15">
        <v>70</v>
      </c>
    </row>
    <row r="16" spans="1:59" x14ac:dyDescent="0.25">
      <c r="D16" t="s">
        <v>186</v>
      </c>
      <c r="E16" t="s">
        <v>726</v>
      </c>
      <c r="I16" s="56" t="s">
        <v>212</v>
      </c>
      <c r="J16" s="56" t="s">
        <v>229</v>
      </c>
      <c r="K16" s="56" t="s">
        <v>250</v>
      </c>
      <c r="L16" s="56" t="s">
        <v>281</v>
      </c>
      <c r="M16" s="56" t="s">
        <v>302</v>
      </c>
      <c r="O16" t="s">
        <v>586</v>
      </c>
      <c r="P16" s="56" t="s">
        <v>330</v>
      </c>
      <c r="Q16" s="56" t="s">
        <v>357</v>
      </c>
      <c r="T16" s="56" t="s">
        <v>375</v>
      </c>
      <c r="V16" s="56" t="s">
        <v>635</v>
      </c>
      <c r="Y16" s="56" t="s">
        <v>668</v>
      </c>
      <c r="Z16" s="56" t="s">
        <v>393</v>
      </c>
      <c r="AA16" s="56" t="s">
        <v>695</v>
      </c>
      <c r="AD16" s="56" t="s">
        <v>420</v>
      </c>
      <c r="AE16" s="56" t="s">
        <v>724</v>
      </c>
      <c r="AF16" s="56" t="s">
        <v>441</v>
      </c>
      <c r="AI16" s="56" t="s">
        <v>457</v>
      </c>
      <c r="AK16" s="56"/>
      <c r="AL16" s="56"/>
      <c r="AM16" s="56" t="s">
        <v>787</v>
      </c>
      <c r="AN16" s="56" t="s">
        <v>818</v>
      </c>
      <c r="AO16" s="56" t="s">
        <v>482</v>
      </c>
      <c r="AP16" s="56" t="s">
        <v>505</v>
      </c>
      <c r="AQ16" s="56" t="s">
        <v>528</v>
      </c>
      <c r="AR16" s="56" t="s">
        <v>544</v>
      </c>
      <c r="AV16" t="s">
        <v>822</v>
      </c>
      <c r="AW16" t="s">
        <v>191</v>
      </c>
      <c r="AX16" t="s">
        <v>773</v>
      </c>
      <c r="AY16" t="s">
        <v>849</v>
      </c>
      <c r="AZ16" t="s">
        <v>850</v>
      </c>
      <c r="BA16" t="s">
        <v>568</v>
      </c>
      <c r="BB16" t="str">
        <f t="shared" si="0"/>
        <v>AHNIoyAtisbo</v>
      </c>
      <c r="BE16">
        <v>200</v>
      </c>
      <c r="BF16">
        <v>249</v>
      </c>
      <c r="BG16">
        <v>75</v>
      </c>
    </row>
    <row r="17" spans="4:59" x14ac:dyDescent="0.25">
      <c r="D17" t="s">
        <v>188</v>
      </c>
      <c r="E17" t="s">
        <v>727</v>
      </c>
      <c r="I17" s="56" t="s">
        <v>213</v>
      </c>
      <c r="J17" s="56" t="s">
        <v>230</v>
      </c>
      <c r="K17" s="56" t="s">
        <v>251</v>
      </c>
      <c r="L17" s="56" t="s">
        <v>282</v>
      </c>
      <c r="M17" s="56" t="s">
        <v>303</v>
      </c>
      <c r="O17" t="s">
        <v>587</v>
      </c>
      <c r="P17" s="56" t="s">
        <v>331</v>
      </c>
      <c r="Q17" s="56" t="s">
        <v>358</v>
      </c>
      <c r="T17" s="56" t="s">
        <v>376</v>
      </c>
      <c r="V17" s="56" t="s">
        <v>636</v>
      </c>
      <c r="Y17" s="56" t="s">
        <v>669</v>
      </c>
      <c r="Z17" s="56" t="s">
        <v>394</v>
      </c>
      <c r="AA17" s="56" t="s">
        <v>696</v>
      </c>
      <c r="AD17" s="56" t="s">
        <v>421</v>
      </c>
      <c r="AE17" s="56" t="s">
        <v>725</v>
      </c>
      <c r="AF17" s="56" t="s">
        <v>442</v>
      </c>
      <c r="AI17" s="56" t="s">
        <v>458</v>
      </c>
      <c r="AK17" s="56"/>
      <c r="AL17" s="56"/>
      <c r="AM17" s="56" t="s">
        <v>788</v>
      </c>
      <c r="AN17" s="56"/>
      <c r="AO17" s="56" t="s">
        <v>483</v>
      </c>
      <c r="AP17" s="56" t="s">
        <v>506</v>
      </c>
      <c r="AQ17" s="56" t="s">
        <v>529</v>
      </c>
      <c r="AR17" s="56" t="s">
        <v>545</v>
      </c>
      <c r="AV17" t="s">
        <v>822</v>
      </c>
      <c r="AW17" t="s">
        <v>191</v>
      </c>
      <c r="AX17" t="s">
        <v>774</v>
      </c>
      <c r="AY17" t="s">
        <v>851</v>
      </c>
      <c r="AZ17" t="s">
        <v>852</v>
      </c>
      <c r="BA17" t="s">
        <v>568</v>
      </c>
      <c r="BB17" t="str">
        <f t="shared" si="0"/>
        <v>AHNIoyIrepo</v>
      </c>
      <c r="BE17">
        <v>250</v>
      </c>
      <c r="BF17">
        <v>299</v>
      </c>
      <c r="BG17">
        <v>79</v>
      </c>
    </row>
    <row r="18" spans="4:59" x14ac:dyDescent="0.25">
      <c r="D18" t="s">
        <v>189</v>
      </c>
      <c r="E18" t="s">
        <v>728</v>
      </c>
      <c r="I18" s="56" t="s">
        <v>214</v>
      </c>
      <c r="J18" s="56" t="s">
        <v>231</v>
      </c>
      <c r="K18" s="56" t="s">
        <v>252</v>
      </c>
      <c r="L18" s="56" t="s">
        <v>283</v>
      </c>
      <c r="M18" s="56" t="s">
        <v>304</v>
      </c>
      <c r="O18" t="s">
        <v>588</v>
      </c>
      <c r="P18" s="56" t="s">
        <v>332</v>
      </c>
      <c r="Q18" s="56" t="s">
        <v>359</v>
      </c>
      <c r="T18" s="56" t="s">
        <v>377</v>
      </c>
      <c r="Y18" s="56" t="s">
        <v>670</v>
      </c>
      <c r="Z18" s="56" t="s">
        <v>395</v>
      </c>
      <c r="AA18" s="56" t="s">
        <v>697</v>
      </c>
      <c r="AD18" s="56" t="s">
        <v>422</v>
      </c>
      <c r="AI18" s="56" t="s">
        <v>459</v>
      </c>
      <c r="AK18" s="56"/>
      <c r="AL18" s="56"/>
      <c r="AM18" s="56" t="s">
        <v>789</v>
      </c>
      <c r="AN18" s="56"/>
      <c r="AO18" s="56" t="s">
        <v>484</v>
      </c>
      <c r="AP18" s="56" t="s">
        <v>507</v>
      </c>
      <c r="AR18" s="56" t="s">
        <v>546</v>
      </c>
      <c r="AV18" t="s">
        <v>822</v>
      </c>
      <c r="AW18" t="s">
        <v>191</v>
      </c>
      <c r="AX18" t="s">
        <v>774</v>
      </c>
      <c r="AY18" t="s">
        <v>853</v>
      </c>
      <c r="AZ18" t="s">
        <v>854</v>
      </c>
      <c r="BA18" t="s">
        <v>568</v>
      </c>
      <c r="BB18" t="str">
        <f t="shared" si="0"/>
        <v>AHNIoyIrepo</v>
      </c>
      <c r="BE18">
        <v>300</v>
      </c>
      <c r="BF18">
        <v>349</v>
      </c>
      <c r="BG18">
        <v>82</v>
      </c>
    </row>
    <row r="19" spans="4:59" x14ac:dyDescent="0.25">
      <c r="D19" t="s">
        <v>190</v>
      </c>
      <c r="E19" t="s">
        <v>729</v>
      </c>
      <c r="J19" s="56" t="s">
        <v>232</v>
      </c>
      <c r="K19" s="56" t="s">
        <v>253</v>
      </c>
      <c r="L19" s="56" t="s">
        <v>284</v>
      </c>
      <c r="M19" s="56" t="s">
        <v>305</v>
      </c>
      <c r="O19" t="s">
        <v>589</v>
      </c>
      <c r="P19" s="56" t="s">
        <v>333</v>
      </c>
      <c r="Q19" s="56" t="s">
        <v>360</v>
      </c>
      <c r="T19" s="56" t="s">
        <v>378</v>
      </c>
      <c r="Y19" s="56" t="s">
        <v>671</v>
      </c>
      <c r="Z19" s="56" t="s">
        <v>396</v>
      </c>
      <c r="AA19" s="56" t="s">
        <v>698</v>
      </c>
      <c r="AD19" s="56" t="s">
        <v>423</v>
      </c>
      <c r="AI19" s="56" t="s">
        <v>460</v>
      </c>
      <c r="AK19" s="56"/>
      <c r="AL19" s="56"/>
      <c r="AM19" s="56" t="s">
        <v>790</v>
      </c>
      <c r="AO19" s="56" t="s">
        <v>485</v>
      </c>
      <c r="AP19" s="56" t="s">
        <v>508</v>
      </c>
      <c r="AV19" t="s">
        <v>822</v>
      </c>
      <c r="AW19" t="s">
        <v>191</v>
      </c>
      <c r="AX19" t="s">
        <v>774</v>
      </c>
      <c r="AY19" t="s">
        <v>855</v>
      </c>
      <c r="AZ19" t="s">
        <v>856</v>
      </c>
      <c r="BA19" t="s">
        <v>568</v>
      </c>
      <c r="BB19" t="str">
        <f t="shared" si="0"/>
        <v>AHNIoyIrepo</v>
      </c>
      <c r="BE19">
        <v>350</v>
      </c>
      <c r="BF19">
        <v>399</v>
      </c>
      <c r="BG19">
        <v>85</v>
      </c>
    </row>
    <row r="20" spans="4:59" x14ac:dyDescent="0.25">
      <c r="D20" t="s">
        <v>191</v>
      </c>
      <c r="E20" t="s">
        <v>730</v>
      </c>
      <c r="J20" s="56" t="s">
        <v>233</v>
      </c>
      <c r="K20" s="56" t="s">
        <v>254</v>
      </c>
      <c r="L20" s="56" t="s">
        <v>285</v>
      </c>
      <c r="M20" s="56" t="s">
        <v>306</v>
      </c>
      <c r="O20" t="s">
        <v>590</v>
      </c>
      <c r="P20" s="56" t="s">
        <v>334</v>
      </c>
      <c r="Y20" s="56" t="s">
        <v>672</v>
      </c>
      <c r="Z20" s="56" t="s">
        <v>397</v>
      </c>
      <c r="AA20" s="56" t="s">
        <v>699</v>
      </c>
      <c r="AD20" s="56" t="s">
        <v>424</v>
      </c>
      <c r="AI20" s="56" t="s">
        <v>461</v>
      </c>
      <c r="AL20" s="56"/>
      <c r="AM20" s="56" t="s">
        <v>791</v>
      </c>
      <c r="AO20" s="56" t="s">
        <v>486</v>
      </c>
      <c r="AP20" s="56" t="s">
        <v>509</v>
      </c>
      <c r="AV20" t="s">
        <v>822</v>
      </c>
      <c r="AW20" t="s">
        <v>191</v>
      </c>
      <c r="AX20" t="s">
        <v>774</v>
      </c>
      <c r="AY20" t="s">
        <v>857</v>
      </c>
      <c r="AZ20" t="s">
        <v>858</v>
      </c>
      <c r="BA20" t="s">
        <v>568</v>
      </c>
      <c r="BB20" t="str">
        <f t="shared" si="0"/>
        <v>AHNIoyIrepo</v>
      </c>
      <c r="BE20">
        <v>400</v>
      </c>
      <c r="BF20">
        <v>449</v>
      </c>
      <c r="BG20">
        <v>87</v>
      </c>
    </row>
    <row r="21" spans="4:59" x14ac:dyDescent="0.25">
      <c r="D21" s="55" t="s">
        <v>192</v>
      </c>
      <c r="E21" t="s">
        <v>731</v>
      </c>
      <c r="J21" s="56" t="s">
        <v>234</v>
      </c>
      <c r="K21" s="56" t="s">
        <v>255</v>
      </c>
      <c r="L21" s="56" t="s">
        <v>286</v>
      </c>
      <c r="M21" s="56" t="s">
        <v>307</v>
      </c>
      <c r="O21" t="s">
        <v>591</v>
      </c>
      <c r="P21" s="56" t="s">
        <v>335</v>
      </c>
      <c r="Y21" s="56" t="s">
        <v>673</v>
      </c>
      <c r="Z21" s="56" t="s">
        <v>398</v>
      </c>
      <c r="AA21" s="56" t="s">
        <v>700</v>
      </c>
      <c r="AD21" s="56" t="s">
        <v>425</v>
      </c>
      <c r="AE21" s="56"/>
      <c r="AI21" s="56" t="s">
        <v>462</v>
      </c>
      <c r="AL21" s="56"/>
      <c r="AM21" s="56" t="s">
        <v>792</v>
      </c>
      <c r="AO21" s="56" t="s">
        <v>487</v>
      </c>
      <c r="AP21" s="56" t="s">
        <v>510</v>
      </c>
      <c r="AV21" t="s">
        <v>822</v>
      </c>
      <c r="AW21" t="s">
        <v>191</v>
      </c>
      <c r="AX21" t="s">
        <v>775</v>
      </c>
      <c r="AY21" t="s">
        <v>859</v>
      </c>
      <c r="AZ21" t="s">
        <v>860</v>
      </c>
      <c r="BA21" t="s">
        <v>568</v>
      </c>
      <c r="BB21" t="str">
        <f t="shared" si="0"/>
        <v>AHNIoyIseyin</v>
      </c>
      <c r="BE21">
        <v>450</v>
      </c>
      <c r="BF21">
        <v>499</v>
      </c>
      <c r="BG21">
        <v>88</v>
      </c>
    </row>
    <row r="22" spans="4:59" x14ac:dyDescent="0.25">
      <c r="D22" s="55" t="s">
        <v>167</v>
      </c>
      <c r="E22" t="s">
        <v>732</v>
      </c>
      <c r="J22" s="56" t="s">
        <v>235</v>
      </c>
      <c r="K22" s="56" t="s">
        <v>256</v>
      </c>
      <c r="L22" s="56" t="s">
        <v>287</v>
      </c>
      <c r="O22" t="s">
        <v>592</v>
      </c>
      <c r="P22" s="56" t="s">
        <v>336</v>
      </c>
      <c r="Y22" s="56" t="s">
        <v>674</v>
      </c>
      <c r="Z22" s="56" t="s">
        <v>399</v>
      </c>
      <c r="AA22" s="56" t="s">
        <v>701</v>
      </c>
      <c r="AD22" s="56" t="s">
        <v>426</v>
      </c>
      <c r="AE22" s="56"/>
      <c r="AI22" s="56" t="s">
        <v>463</v>
      </c>
      <c r="AL22" s="56"/>
      <c r="AM22" s="56" t="s">
        <v>793</v>
      </c>
      <c r="AO22" s="56" t="s">
        <v>488</v>
      </c>
      <c r="AP22" s="56" t="s">
        <v>511</v>
      </c>
      <c r="AV22" t="s">
        <v>822</v>
      </c>
      <c r="AW22" t="s">
        <v>191</v>
      </c>
      <c r="AX22" t="s">
        <v>775</v>
      </c>
      <c r="AY22" t="s">
        <v>861</v>
      </c>
      <c r="AZ22" t="s">
        <v>862</v>
      </c>
      <c r="BA22" t="s">
        <v>568</v>
      </c>
      <c r="BB22" t="str">
        <f t="shared" si="0"/>
        <v>AHNIoyIseyin</v>
      </c>
      <c r="BE22">
        <v>500</v>
      </c>
      <c r="BF22">
        <v>749</v>
      </c>
      <c r="BG22">
        <v>94</v>
      </c>
    </row>
    <row r="23" spans="4:59" x14ac:dyDescent="0.25">
      <c r="D23" s="55" t="s">
        <v>176</v>
      </c>
      <c r="E23" t="s">
        <v>733</v>
      </c>
      <c r="K23" s="56" t="s">
        <v>257</v>
      </c>
      <c r="O23" t="s">
        <v>593</v>
      </c>
      <c r="P23" s="56" t="s">
        <v>337</v>
      </c>
      <c r="Y23" s="56" t="s">
        <v>675</v>
      </c>
      <c r="Z23" s="56" t="s">
        <v>400</v>
      </c>
      <c r="AE23" s="56"/>
      <c r="AI23" s="56" t="s">
        <v>464</v>
      </c>
      <c r="AL23" s="56"/>
      <c r="AM23" s="56" t="s">
        <v>794</v>
      </c>
      <c r="AO23" s="56" t="s">
        <v>489</v>
      </c>
      <c r="AP23" s="56" t="s">
        <v>512</v>
      </c>
      <c r="AV23" t="s">
        <v>822</v>
      </c>
      <c r="AW23" t="s">
        <v>191</v>
      </c>
      <c r="AX23" t="s">
        <v>775</v>
      </c>
      <c r="AY23" t="s">
        <v>863</v>
      </c>
      <c r="AZ23" t="s">
        <v>864</v>
      </c>
      <c r="BA23" t="s">
        <v>568</v>
      </c>
      <c r="BB23" t="str">
        <f t="shared" si="0"/>
        <v>AHNIoyIseyin</v>
      </c>
      <c r="BE23">
        <v>750</v>
      </c>
      <c r="BF23">
        <v>999</v>
      </c>
      <c r="BG23">
        <v>97</v>
      </c>
    </row>
    <row r="24" spans="4:59" x14ac:dyDescent="0.25">
      <c r="D24" s="55" t="s">
        <v>179</v>
      </c>
      <c r="E24" t="s">
        <v>734</v>
      </c>
      <c r="K24" s="56" t="s">
        <v>258</v>
      </c>
      <c r="O24" t="s">
        <v>594</v>
      </c>
      <c r="P24" s="56" t="s">
        <v>338</v>
      </c>
      <c r="Y24" s="56" t="s">
        <v>676</v>
      </c>
      <c r="Z24" s="56" t="s">
        <v>401</v>
      </c>
      <c r="AE24" s="56"/>
      <c r="AI24" s="56" t="s">
        <v>465</v>
      </c>
      <c r="AL24" s="56"/>
      <c r="AM24" s="56" t="s">
        <v>795</v>
      </c>
      <c r="AO24" s="56" t="s">
        <v>490</v>
      </c>
      <c r="AP24" s="56" t="s">
        <v>513</v>
      </c>
      <c r="AV24" t="s">
        <v>822</v>
      </c>
      <c r="AW24" t="s">
        <v>191</v>
      </c>
      <c r="AX24" t="s">
        <v>775</v>
      </c>
      <c r="AY24" t="s">
        <v>865</v>
      </c>
      <c r="AZ24" t="s">
        <v>866</v>
      </c>
      <c r="BA24" t="s">
        <v>568</v>
      </c>
      <c r="BB24" t="str">
        <f t="shared" si="0"/>
        <v>AHNIoyIseyin</v>
      </c>
      <c r="BE24">
        <v>1000</v>
      </c>
      <c r="BF24">
        <v>4999</v>
      </c>
      <c r="BG24">
        <v>105</v>
      </c>
    </row>
    <row r="25" spans="4:59" x14ac:dyDescent="0.25">
      <c r="D25" s="55" t="s">
        <v>183</v>
      </c>
      <c r="E25" t="s">
        <v>735</v>
      </c>
      <c r="K25" s="56" t="s">
        <v>259</v>
      </c>
      <c r="P25" s="56" t="s">
        <v>339</v>
      </c>
      <c r="Y25" s="56" t="s">
        <v>677</v>
      </c>
      <c r="Z25" s="56" t="s">
        <v>402</v>
      </c>
      <c r="AE25" s="56"/>
      <c r="AI25" s="56" t="s">
        <v>466</v>
      </c>
      <c r="AL25" s="56"/>
      <c r="AM25" s="56" t="s">
        <v>796</v>
      </c>
      <c r="AV25" t="s">
        <v>822</v>
      </c>
      <c r="AW25" t="s">
        <v>191</v>
      </c>
      <c r="AX25" t="s">
        <v>775</v>
      </c>
      <c r="AY25" t="s">
        <v>867</v>
      </c>
      <c r="AZ25" t="s">
        <v>868</v>
      </c>
      <c r="BA25" t="s">
        <v>568</v>
      </c>
      <c r="BB25" t="str">
        <f t="shared" si="0"/>
        <v>AHNIoyIseyin</v>
      </c>
      <c r="BE25">
        <v>5000</v>
      </c>
      <c r="BF25">
        <v>1000000</v>
      </c>
      <c r="BG25">
        <v>107</v>
      </c>
    </row>
    <row r="26" spans="4:59" x14ac:dyDescent="0.25">
      <c r="D26" s="55" t="s">
        <v>171</v>
      </c>
      <c r="E26" t="s">
        <v>783</v>
      </c>
      <c r="K26" s="56" t="s">
        <v>260</v>
      </c>
      <c r="P26" s="56" t="s">
        <v>340</v>
      </c>
      <c r="Y26" s="56" t="s">
        <v>678</v>
      </c>
      <c r="Z26" s="56" t="s">
        <v>403</v>
      </c>
      <c r="AE26" s="56"/>
      <c r="AI26" s="56" t="s">
        <v>467</v>
      </c>
      <c r="AL26" s="56"/>
      <c r="AM26" s="56" t="s">
        <v>797</v>
      </c>
      <c r="AV26" t="s">
        <v>822</v>
      </c>
      <c r="AW26" t="s">
        <v>191</v>
      </c>
      <c r="AX26" t="s">
        <v>775</v>
      </c>
      <c r="AY26" t="s">
        <v>869</v>
      </c>
      <c r="AZ26" t="s">
        <v>870</v>
      </c>
      <c r="BA26" t="s">
        <v>568</v>
      </c>
      <c r="BB26" t="str">
        <f t="shared" si="0"/>
        <v>AHNIoyIseyin</v>
      </c>
    </row>
    <row r="27" spans="4:59" x14ac:dyDescent="0.25">
      <c r="D27" s="55" t="s">
        <v>174</v>
      </c>
      <c r="E27" t="s">
        <v>784</v>
      </c>
      <c r="K27" s="56" t="s">
        <v>261</v>
      </c>
      <c r="P27" s="56" t="s">
        <v>341</v>
      </c>
      <c r="Y27" s="56" t="s">
        <v>679</v>
      </c>
      <c r="Z27" s="56" t="s">
        <v>404</v>
      </c>
      <c r="AE27" s="56"/>
      <c r="AL27" s="56"/>
      <c r="AM27" s="56" t="s">
        <v>798</v>
      </c>
      <c r="AV27" t="s">
        <v>822</v>
      </c>
      <c r="AW27" t="s">
        <v>191</v>
      </c>
      <c r="AX27" t="s">
        <v>776</v>
      </c>
      <c r="AY27" t="s">
        <v>871</v>
      </c>
      <c r="AZ27" t="s">
        <v>872</v>
      </c>
      <c r="BA27" t="s">
        <v>568</v>
      </c>
      <c r="BB27" t="str">
        <f t="shared" si="0"/>
        <v>AHNIoyIwajowa</v>
      </c>
    </row>
    <row r="28" spans="4:59" x14ac:dyDescent="0.25">
      <c r="D28" s="55" t="s">
        <v>177</v>
      </c>
      <c r="E28" t="s">
        <v>785</v>
      </c>
      <c r="K28" s="56" t="s">
        <v>262</v>
      </c>
      <c r="P28" s="56" t="s">
        <v>342</v>
      </c>
      <c r="Y28" s="56" t="s">
        <v>680</v>
      </c>
      <c r="Z28" s="56" t="s">
        <v>405</v>
      </c>
      <c r="AE28" s="56"/>
      <c r="AL28" s="56"/>
      <c r="AM28" s="56" t="s">
        <v>799</v>
      </c>
      <c r="AV28" t="s">
        <v>822</v>
      </c>
      <c r="AW28" t="s">
        <v>191</v>
      </c>
      <c r="AX28" t="s">
        <v>776</v>
      </c>
      <c r="AY28" t="s">
        <v>873</v>
      </c>
      <c r="AZ28" t="s">
        <v>874</v>
      </c>
      <c r="BA28" t="s">
        <v>568</v>
      </c>
      <c r="BB28" t="str">
        <f t="shared" si="0"/>
        <v>AHNIoyIwajowa</v>
      </c>
    </row>
    <row r="29" spans="4:59" x14ac:dyDescent="0.25">
      <c r="D29" s="55" t="s">
        <v>176</v>
      </c>
      <c r="E29" t="s">
        <v>786</v>
      </c>
      <c r="K29" s="56" t="s">
        <v>263</v>
      </c>
      <c r="AE29" s="56"/>
      <c r="AL29" s="56"/>
      <c r="AM29" s="56" t="s">
        <v>800</v>
      </c>
      <c r="AV29" t="s">
        <v>822</v>
      </c>
      <c r="AW29" t="s">
        <v>191</v>
      </c>
      <c r="AX29" t="s">
        <v>776</v>
      </c>
      <c r="AY29" t="s">
        <v>875</v>
      </c>
      <c r="AZ29" t="s">
        <v>876</v>
      </c>
      <c r="BA29" t="s">
        <v>568</v>
      </c>
      <c r="BB29" t="str">
        <f t="shared" si="0"/>
        <v>AHNIoyIwajowa</v>
      </c>
    </row>
    <row r="30" spans="4:59" x14ac:dyDescent="0.25">
      <c r="D30" s="55" t="s">
        <v>179</v>
      </c>
      <c r="E30" t="s">
        <v>787</v>
      </c>
      <c r="K30" s="56" t="s">
        <v>264</v>
      </c>
      <c r="AE30" s="56"/>
      <c r="AL30" s="56"/>
      <c r="AM30" s="56" t="s">
        <v>801</v>
      </c>
      <c r="AV30" t="s">
        <v>822</v>
      </c>
      <c r="AW30" t="s">
        <v>191</v>
      </c>
      <c r="AX30" t="s">
        <v>777</v>
      </c>
      <c r="AY30" t="s">
        <v>877</v>
      </c>
      <c r="AZ30" t="s">
        <v>878</v>
      </c>
      <c r="BA30" t="s">
        <v>568</v>
      </c>
      <c r="BB30" t="str">
        <f t="shared" si="0"/>
        <v>AHNIoyKajola</v>
      </c>
    </row>
    <row r="31" spans="4:59" x14ac:dyDescent="0.25">
      <c r="D31" s="55" t="s">
        <v>180</v>
      </c>
      <c r="E31" t="s">
        <v>788</v>
      </c>
      <c r="K31" s="56" t="s">
        <v>265</v>
      </c>
      <c r="AE31" s="56"/>
      <c r="AL31" s="56"/>
      <c r="AM31" s="56" t="s">
        <v>802</v>
      </c>
      <c r="AV31" t="s">
        <v>822</v>
      </c>
      <c r="AW31" t="s">
        <v>191</v>
      </c>
      <c r="AX31" t="s">
        <v>777</v>
      </c>
      <c r="AY31" t="s">
        <v>879</v>
      </c>
      <c r="AZ31" t="s">
        <v>880</v>
      </c>
      <c r="BA31" t="s">
        <v>568</v>
      </c>
      <c r="BB31" t="str">
        <f t="shared" si="0"/>
        <v>AHNIoyKajola</v>
      </c>
    </row>
    <row r="32" spans="4:59" x14ac:dyDescent="0.25">
      <c r="D32" s="55" t="s">
        <v>183</v>
      </c>
      <c r="E32" t="s">
        <v>789</v>
      </c>
      <c r="K32" s="56" t="s">
        <v>266</v>
      </c>
      <c r="AE32" s="56"/>
      <c r="AM32" s="56" t="s">
        <v>803</v>
      </c>
      <c r="AV32" t="s">
        <v>822</v>
      </c>
      <c r="AW32" t="s">
        <v>191</v>
      </c>
      <c r="AX32" t="s">
        <v>777</v>
      </c>
      <c r="AY32" t="s">
        <v>881</v>
      </c>
      <c r="AZ32" t="s">
        <v>882</v>
      </c>
      <c r="BA32" t="s">
        <v>568</v>
      </c>
      <c r="BB32" t="str">
        <f t="shared" si="0"/>
        <v>AHNIoyKajola</v>
      </c>
    </row>
    <row r="33" spans="4:54" x14ac:dyDescent="0.25">
      <c r="D33" s="55" t="s">
        <v>167</v>
      </c>
      <c r="E33" t="s">
        <v>790</v>
      </c>
      <c r="AE33" s="56"/>
      <c r="AM33" s="56"/>
      <c r="AV33" t="s">
        <v>822</v>
      </c>
      <c r="AW33" t="s">
        <v>191</v>
      </c>
      <c r="AX33" t="s">
        <v>777</v>
      </c>
      <c r="AY33" t="s">
        <v>883</v>
      </c>
      <c r="AZ33" t="s">
        <v>884</v>
      </c>
      <c r="BA33" t="s">
        <v>568</v>
      </c>
      <c r="BB33" t="str">
        <f t="shared" si="0"/>
        <v>AHNIoyKajola</v>
      </c>
    </row>
    <row r="34" spans="4:54" x14ac:dyDescent="0.25">
      <c r="D34" s="55" t="s">
        <v>170</v>
      </c>
      <c r="E34" t="s">
        <v>791</v>
      </c>
      <c r="AE34" s="56"/>
      <c r="AM34" s="56"/>
      <c r="AV34" t="s">
        <v>822</v>
      </c>
      <c r="AW34" t="s">
        <v>191</v>
      </c>
      <c r="AX34" t="s">
        <v>777</v>
      </c>
      <c r="AY34" t="s">
        <v>885</v>
      </c>
      <c r="AZ34" t="s">
        <v>886</v>
      </c>
      <c r="BA34" t="s">
        <v>568</v>
      </c>
      <c r="BB34" t="str">
        <f t="shared" si="0"/>
        <v>AHNIoyKajola</v>
      </c>
    </row>
    <row r="35" spans="4:54" x14ac:dyDescent="0.25">
      <c r="D35" s="55" t="s">
        <v>173</v>
      </c>
      <c r="E35" t="s">
        <v>792</v>
      </c>
      <c r="AE35" s="56"/>
      <c r="AV35" t="s">
        <v>822</v>
      </c>
      <c r="AW35" t="s">
        <v>191</v>
      </c>
      <c r="AX35" t="s">
        <v>778</v>
      </c>
      <c r="AY35" t="s">
        <v>887</v>
      </c>
      <c r="AZ35" t="s">
        <v>888</v>
      </c>
      <c r="BA35" t="s">
        <v>568</v>
      </c>
      <c r="BB35" t="str">
        <f t="shared" si="0"/>
        <v>AHNIoyOgoOluwa</v>
      </c>
    </row>
    <row r="36" spans="4:54" x14ac:dyDescent="0.25">
      <c r="D36" s="55" t="s">
        <v>175</v>
      </c>
      <c r="E36" t="s">
        <v>793</v>
      </c>
      <c r="AE36" s="56"/>
      <c r="AV36" t="s">
        <v>822</v>
      </c>
      <c r="AW36" t="s">
        <v>191</v>
      </c>
      <c r="AX36" t="s">
        <v>778</v>
      </c>
      <c r="AY36" t="s">
        <v>889</v>
      </c>
      <c r="AZ36" t="s">
        <v>890</v>
      </c>
      <c r="BA36" t="s">
        <v>568</v>
      </c>
      <c r="BB36" t="str">
        <f t="shared" si="0"/>
        <v>AHNIoyOgoOluwa</v>
      </c>
    </row>
    <row r="37" spans="4:54" x14ac:dyDescent="0.25">
      <c r="D37" s="55" t="s">
        <v>179</v>
      </c>
      <c r="E37" t="s">
        <v>794</v>
      </c>
      <c r="AV37" t="s">
        <v>822</v>
      </c>
      <c r="AW37" t="s">
        <v>191</v>
      </c>
      <c r="AX37" t="s">
        <v>779</v>
      </c>
      <c r="AY37" t="s">
        <v>891</v>
      </c>
      <c r="AZ37" t="s">
        <v>892</v>
      </c>
      <c r="BA37" t="s">
        <v>568</v>
      </c>
      <c r="BB37" t="str">
        <f t="shared" si="0"/>
        <v>AHNIoyOlorunsogo</v>
      </c>
    </row>
    <row r="38" spans="4:54" x14ac:dyDescent="0.25">
      <c r="D38" s="55" t="s">
        <v>180</v>
      </c>
      <c r="E38" t="s">
        <v>795</v>
      </c>
      <c r="AV38" t="s">
        <v>822</v>
      </c>
      <c r="AW38" t="s">
        <v>191</v>
      </c>
      <c r="AX38" t="s">
        <v>779</v>
      </c>
      <c r="AY38" t="s">
        <v>893</v>
      </c>
      <c r="AZ38" t="s">
        <v>894</v>
      </c>
      <c r="BA38" t="s">
        <v>568</v>
      </c>
      <c r="BB38" t="str">
        <f t="shared" si="0"/>
        <v>AHNIoyOlorunsogo</v>
      </c>
    </row>
    <row r="39" spans="4:54" x14ac:dyDescent="0.25">
      <c r="D39" s="55" t="s">
        <v>181</v>
      </c>
      <c r="E39" t="s">
        <v>796</v>
      </c>
      <c r="AV39" t="s">
        <v>822</v>
      </c>
      <c r="AW39" t="s">
        <v>191</v>
      </c>
      <c r="AX39" t="s">
        <v>780</v>
      </c>
      <c r="AY39" t="s">
        <v>895</v>
      </c>
      <c r="AZ39" t="s">
        <v>896</v>
      </c>
      <c r="BA39" t="s">
        <v>568</v>
      </c>
      <c r="BB39" t="str">
        <f t="shared" si="0"/>
        <v>AHNIoyOrelope</v>
      </c>
    </row>
    <row r="40" spans="4:54" x14ac:dyDescent="0.25">
      <c r="D40" t="s">
        <v>186</v>
      </c>
      <c r="E40" t="s">
        <v>797</v>
      </c>
      <c r="AV40" t="s">
        <v>822</v>
      </c>
      <c r="AW40" t="s">
        <v>191</v>
      </c>
      <c r="AX40" t="s">
        <v>780</v>
      </c>
      <c r="AY40" t="s">
        <v>897</v>
      </c>
      <c r="AZ40" t="s">
        <v>898</v>
      </c>
      <c r="BA40" t="s">
        <v>568</v>
      </c>
      <c r="BB40" t="str">
        <f t="shared" si="0"/>
        <v>AHNIoyOrelope</v>
      </c>
    </row>
    <row r="41" spans="4:54" x14ac:dyDescent="0.25">
      <c r="D41" t="s">
        <v>188</v>
      </c>
      <c r="E41" t="s">
        <v>798</v>
      </c>
      <c r="AV41" t="s">
        <v>822</v>
      </c>
      <c r="AW41" t="s">
        <v>191</v>
      </c>
      <c r="AX41" t="s">
        <v>781</v>
      </c>
      <c r="AY41" t="s">
        <v>899</v>
      </c>
      <c r="AZ41" t="s">
        <v>900</v>
      </c>
      <c r="BA41" t="s">
        <v>568</v>
      </c>
      <c r="BB41" t="str">
        <f t="shared" si="0"/>
        <v>AHNIoyOriIre</v>
      </c>
    </row>
    <row r="42" spans="4:54" x14ac:dyDescent="0.25">
      <c r="D42" t="s">
        <v>189</v>
      </c>
      <c r="E42" t="s">
        <v>799</v>
      </c>
      <c r="AV42" t="s">
        <v>822</v>
      </c>
      <c r="AW42" t="s">
        <v>191</v>
      </c>
      <c r="AX42" t="s">
        <v>782</v>
      </c>
      <c r="AY42" t="s">
        <v>901</v>
      </c>
      <c r="AZ42" t="s">
        <v>902</v>
      </c>
      <c r="BA42" t="s">
        <v>568</v>
      </c>
      <c r="BB42" t="str">
        <f t="shared" si="0"/>
        <v>AHNIoySakiEast</v>
      </c>
    </row>
    <row r="43" spans="4:54" x14ac:dyDescent="0.25">
      <c r="D43" t="s">
        <v>190</v>
      </c>
      <c r="E43" t="s">
        <v>800</v>
      </c>
      <c r="AV43" t="s">
        <v>822</v>
      </c>
      <c r="AW43" t="s">
        <v>191</v>
      </c>
      <c r="AX43" t="s">
        <v>782</v>
      </c>
      <c r="AY43" t="s">
        <v>903</v>
      </c>
      <c r="AZ43" t="s">
        <v>904</v>
      </c>
      <c r="BA43" t="s">
        <v>568</v>
      </c>
      <c r="BB43" t="str">
        <f t="shared" si="0"/>
        <v>AHNIoySakiEast</v>
      </c>
    </row>
    <row r="44" spans="4:54" x14ac:dyDescent="0.25">
      <c r="D44" t="s">
        <v>175</v>
      </c>
      <c r="E44" t="s">
        <v>801</v>
      </c>
      <c r="AV44" t="s">
        <v>822</v>
      </c>
      <c r="AW44" t="s">
        <v>191</v>
      </c>
      <c r="AX44" t="s">
        <v>782</v>
      </c>
      <c r="AY44" t="s">
        <v>905</v>
      </c>
      <c r="AZ44" t="s">
        <v>906</v>
      </c>
      <c r="BA44" t="s">
        <v>568</v>
      </c>
      <c r="BB44" t="str">
        <f t="shared" si="0"/>
        <v>AHNIoySakiEast</v>
      </c>
    </row>
    <row r="45" spans="4:54" x14ac:dyDescent="0.25">
      <c r="D45" t="s">
        <v>186</v>
      </c>
      <c r="E45" t="s">
        <v>802</v>
      </c>
      <c r="AV45" t="s">
        <v>822</v>
      </c>
      <c r="AW45" t="s">
        <v>185</v>
      </c>
      <c r="AX45" t="s">
        <v>726</v>
      </c>
      <c r="AY45" t="s">
        <v>907</v>
      </c>
      <c r="AZ45" t="s">
        <v>908</v>
      </c>
      <c r="BA45" t="s">
        <v>569</v>
      </c>
      <c r="BB45" t="str">
        <f t="shared" si="0"/>
        <v>APINlaAlimosho</v>
      </c>
    </row>
    <row r="46" spans="4:54" x14ac:dyDescent="0.25">
      <c r="D46" t="s">
        <v>192</v>
      </c>
      <c r="E46" t="s">
        <v>804</v>
      </c>
      <c r="AV46" t="s">
        <v>822</v>
      </c>
      <c r="AW46" t="s">
        <v>185</v>
      </c>
      <c r="AX46" t="s">
        <v>726</v>
      </c>
      <c r="AY46" t="s">
        <v>909</v>
      </c>
      <c r="AZ46" t="s">
        <v>910</v>
      </c>
      <c r="BA46" t="s">
        <v>569</v>
      </c>
      <c r="BB46" t="str">
        <f t="shared" si="0"/>
        <v>APINlaAlimosho</v>
      </c>
    </row>
    <row r="47" spans="4:54" x14ac:dyDescent="0.25">
      <c r="E47" t="s">
        <v>805</v>
      </c>
      <c r="AV47" t="s">
        <v>822</v>
      </c>
      <c r="AW47" t="s">
        <v>185</v>
      </c>
      <c r="AX47" t="s">
        <v>726</v>
      </c>
      <c r="AY47" t="s">
        <v>911</v>
      </c>
      <c r="AZ47" t="s">
        <v>912</v>
      </c>
      <c r="BA47" t="s">
        <v>569</v>
      </c>
      <c r="BB47" t="str">
        <f t="shared" si="0"/>
        <v>APINlaAlimosho</v>
      </c>
    </row>
    <row r="48" spans="4:54" x14ac:dyDescent="0.25">
      <c r="E48" t="s">
        <v>806</v>
      </c>
      <c r="AV48" t="s">
        <v>822</v>
      </c>
      <c r="AW48" t="s">
        <v>185</v>
      </c>
      <c r="AX48" t="s">
        <v>726</v>
      </c>
      <c r="AY48" t="s">
        <v>913</v>
      </c>
      <c r="AZ48" t="s">
        <v>914</v>
      </c>
      <c r="BA48" t="s">
        <v>569</v>
      </c>
      <c r="BB48" t="str">
        <f t="shared" si="0"/>
        <v>APINlaAlimosho</v>
      </c>
    </row>
    <row r="49" spans="5:54" x14ac:dyDescent="0.25">
      <c r="E49" t="s">
        <v>807</v>
      </c>
      <c r="AV49" t="s">
        <v>822</v>
      </c>
      <c r="AW49" t="s">
        <v>185</v>
      </c>
      <c r="AX49" t="s">
        <v>726</v>
      </c>
      <c r="AY49" t="s">
        <v>915</v>
      </c>
      <c r="AZ49" t="s">
        <v>916</v>
      </c>
      <c r="BA49" t="s">
        <v>569</v>
      </c>
      <c r="BB49" t="str">
        <f t="shared" si="0"/>
        <v>APINlaAlimosho</v>
      </c>
    </row>
    <row r="50" spans="5:54" x14ac:dyDescent="0.25">
      <c r="E50" t="s">
        <v>808</v>
      </c>
      <c r="AV50" t="s">
        <v>822</v>
      </c>
      <c r="AW50" t="s">
        <v>185</v>
      </c>
      <c r="AX50" t="s">
        <v>726</v>
      </c>
      <c r="AY50" t="s">
        <v>917</v>
      </c>
      <c r="AZ50" t="s">
        <v>918</v>
      </c>
      <c r="BA50" t="s">
        <v>569</v>
      </c>
      <c r="BB50" t="str">
        <f t="shared" si="0"/>
        <v>APINlaAlimosho</v>
      </c>
    </row>
    <row r="51" spans="5:54" x14ac:dyDescent="0.25">
      <c r="E51" t="s">
        <v>809</v>
      </c>
      <c r="AV51" t="s">
        <v>822</v>
      </c>
      <c r="AW51" t="s">
        <v>185</v>
      </c>
      <c r="AX51" t="s">
        <v>726</v>
      </c>
      <c r="AY51" t="s">
        <v>919</v>
      </c>
      <c r="AZ51" t="s">
        <v>920</v>
      </c>
      <c r="BA51" t="s">
        <v>569</v>
      </c>
      <c r="BB51" t="str">
        <f t="shared" si="0"/>
        <v>APINlaAlimosho</v>
      </c>
    </row>
    <row r="52" spans="5:54" x14ac:dyDescent="0.25">
      <c r="E52" t="s">
        <v>810</v>
      </c>
      <c r="AV52" t="s">
        <v>822</v>
      </c>
      <c r="AW52" t="s">
        <v>185</v>
      </c>
      <c r="AX52" t="s">
        <v>726</v>
      </c>
      <c r="AY52" t="s">
        <v>921</v>
      </c>
      <c r="AZ52" t="s">
        <v>922</v>
      </c>
      <c r="BA52" t="s">
        <v>569</v>
      </c>
      <c r="BB52" t="str">
        <f t="shared" si="0"/>
        <v>APINlaAlimosho</v>
      </c>
    </row>
    <row r="53" spans="5:54" x14ac:dyDescent="0.25">
      <c r="E53" t="s">
        <v>811</v>
      </c>
      <c r="AV53" t="s">
        <v>822</v>
      </c>
      <c r="AW53" t="s">
        <v>185</v>
      </c>
      <c r="AX53" t="s">
        <v>726</v>
      </c>
      <c r="AY53" t="s">
        <v>923</v>
      </c>
      <c r="AZ53" t="s">
        <v>924</v>
      </c>
      <c r="BA53" t="s">
        <v>569</v>
      </c>
      <c r="BB53" t="str">
        <f t="shared" si="0"/>
        <v>APINlaAlimosho</v>
      </c>
    </row>
    <row r="54" spans="5:54" x14ac:dyDescent="0.25">
      <c r="E54" t="s">
        <v>812</v>
      </c>
      <c r="AV54" t="s">
        <v>822</v>
      </c>
      <c r="AW54" t="s">
        <v>185</v>
      </c>
      <c r="AX54" t="s">
        <v>726</v>
      </c>
      <c r="AY54" t="s">
        <v>925</v>
      </c>
      <c r="AZ54" t="s">
        <v>926</v>
      </c>
      <c r="BA54" t="s">
        <v>569</v>
      </c>
      <c r="BB54" t="str">
        <f t="shared" si="0"/>
        <v>APINlaAlimosho</v>
      </c>
    </row>
    <row r="55" spans="5:54" x14ac:dyDescent="0.25">
      <c r="E55" t="s">
        <v>813</v>
      </c>
      <c r="AV55" t="s">
        <v>822</v>
      </c>
      <c r="AW55" t="s">
        <v>185</v>
      </c>
      <c r="AX55" t="s">
        <v>726</v>
      </c>
      <c r="AY55" t="s">
        <v>927</v>
      </c>
      <c r="AZ55" t="s">
        <v>928</v>
      </c>
      <c r="BA55" t="s">
        <v>569</v>
      </c>
      <c r="BB55" t="str">
        <f t="shared" si="0"/>
        <v>APINlaAlimosho</v>
      </c>
    </row>
    <row r="56" spans="5:54" x14ac:dyDescent="0.25">
      <c r="E56" t="s">
        <v>602</v>
      </c>
      <c r="AV56" t="s">
        <v>822</v>
      </c>
      <c r="AW56" t="s">
        <v>185</v>
      </c>
      <c r="AX56" t="s">
        <v>726</v>
      </c>
      <c r="AY56" t="s">
        <v>929</v>
      </c>
      <c r="AZ56" t="s">
        <v>930</v>
      </c>
      <c r="BA56" t="s">
        <v>569</v>
      </c>
      <c r="BB56" t="str">
        <f t="shared" si="0"/>
        <v>APINlaAlimosho</v>
      </c>
    </row>
    <row r="57" spans="5:54" x14ac:dyDescent="0.25">
      <c r="E57" t="s">
        <v>603</v>
      </c>
      <c r="AV57" t="s">
        <v>822</v>
      </c>
      <c r="AW57" t="s">
        <v>185</v>
      </c>
      <c r="AX57" t="s">
        <v>726</v>
      </c>
      <c r="AY57" t="s">
        <v>931</v>
      </c>
      <c r="AZ57" t="s">
        <v>932</v>
      </c>
      <c r="BA57" t="s">
        <v>569</v>
      </c>
      <c r="BB57" t="str">
        <f t="shared" si="0"/>
        <v>APINlaAlimosho</v>
      </c>
    </row>
    <row r="58" spans="5:54" x14ac:dyDescent="0.25">
      <c r="E58" t="s">
        <v>604</v>
      </c>
      <c r="AV58" t="s">
        <v>822</v>
      </c>
      <c r="AW58" t="s">
        <v>185</v>
      </c>
      <c r="AX58" t="s">
        <v>726</v>
      </c>
      <c r="AY58" t="s">
        <v>933</v>
      </c>
      <c r="AZ58" t="s">
        <v>934</v>
      </c>
      <c r="BA58" t="s">
        <v>569</v>
      </c>
      <c r="BB58" t="str">
        <f t="shared" si="0"/>
        <v>APINlaAlimosho</v>
      </c>
    </row>
    <row r="59" spans="5:54" x14ac:dyDescent="0.25">
      <c r="E59" t="s">
        <v>605</v>
      </c>
      <c r="AV59" t="s">
        <v>822</v>
      </c>
      <c r="AW59" t="s">
        <v>185</v>
      </c>
      <c r="AX59" t="s">
        <v>726</v>
      </c>
      <c r="AY59" t="s">
        <v>935</v>
      </c>
      <c r="AZ59" t="s">
        <v>936</v>
      </c>
      <c r="BA59" t="s">
        <v>569</v>
      </c>
      <c r="BB59" t="str">
        <f t="shared" si="0"/>
        <v>APINlaAlimosho</v>
      </c>
    </row>
    <row r="60" spans="5:54" x14ac:dyDescent="0.25">
      <c r="E60" t="s">
        <v>606</v>
      </c>
      <c r="AV60" t="s">
        <v>822</v>
      </c>
      <c r="AW60" t="s">
        <v>185</v>
      </c>
      <c r="AX60" t="s">
        <v>726</v>
      </c>
      <c r="AY60" t="s">
        <v>937</v>
      </c>
      <c r="AZ60" t="s">
        <v>938</v>
      </c>
      <c r="BA60" t="s">
        <v>569</v>
      </c>
      <c r="BB60" t="str">
        <f t="shared" si="0"/>
        <v>APINlaAlimosho</v>
      </c>
    </row>
    <row r="61" spans="5:54" x14ac:dyDescent="0.25">
      <c r="E61" t="s">
        <v>607</v>
      </c>
      <c r="AV61" t="s">
        <v>822</v>
      </c>
      <c r="AW61" t="s">
        <v>185</v>
      </c>
      <c r="AX61" t="s">
        <v>726</v>
      </c>
      <c r="AY61" t="s">
        <v>939</v>
      </c>
      <c r="AZ61" t="s">
        <v>940</v>
      </c>
      <c r="BA61" t="s">
        <v>569</v>
      </c>
      <c r="BB61" t="str">
        <f t="shared" si="0"/>
        <v>APINlaAlimosho</v>
      </c>
    </row>
    <row r="62" spans="5:54" x14ac:dyDescent="0.25">
      <c r="E62" t="s">
        <v>608</v>
      </c>
      <c r="AV62" t="s">
        <v>822</v>
      </c>
      <c r="AW62" t="s">
        <v>185</v>
      </c>
      <c r="AX62" t="s">
        <v>726</v>
      </c>
      <c r="AY62" t="s">
        <v>941</v>
      </c>
      <c r="AZ62" t="s">
        <v>942</v>
      </c>
      <c r="BA62" t="s">
        <v>569</v>
      </c>
      <c r="BB62" t="str">
        <f t="shared" si="0"/>
        <v>APINlaAlimosho</v>
      </c>
    </row>
    <row r="63" spans="5:54" x14ac:dyDescent="0.25">
      <c r="E63" t="s">
        <v>609</v>
      </c>
      <c r="AV63" t="s">
        <v>822</v>
      </c>
      <c r="AW63" t="s">
        <v>185</v>
      </c>
      <c r="AX63" t="s">
        <v>726</v>
      </c>
      <c r="AY63" t="s">
        <v>943</v>
      </c>
      <c r="AZ63" t="s">
        <v>944</v>
      </c>
      <c r="BA63" t="s">
        <v>569</v>
      </c>
      <c r="BB63" t="str">
        <f t="shared" si="0"/>
        <v>APINlaAlimosho</v>
      </c>
    </row>
    <row r="64" spans="5:54" x14ac:dyDescent="0.25">
      <c r="E64" t="s">
        <v>610</v>
      </c>
      <c r="AV64" t="s">
        <v>822</v>
      </c>
      <c r="AW64" t="s">
        <v>185</v>
      </c>
      <c r="AX64" t="s">
        <v>726</v>
      </c>
      <c r="AY64" t="s">
        <v>945</v>
      </c>
      <c r="AZ64" t="s">
        <v>946</v>
      </c>
      <c r="BA64" t="s">
        <v>569</v>
      </c>
      <c r="BB64" t="str">
        <f t="shared" si="0"/>
        <v>APINlaAlimosho</v>
      </c>
    </row>
    <row r="65" spans="3:54" x14ac:dyDescent="0.25">
      <c r="E65" t="s">
        <v>621</v>
      </c>
      <c r="AV65" t="s">
        <v>822</v>
      </c>
      <c r="AW65" t="s">
        <v>185</v>
      </c>
      <c r="AX65" t="s">
        <v>726</v>
      </c>
      <c r="AY65" t="s">
        <v>947</v>
      </c>
      <c r="AZ65" t="s">
        <v>948</v>
      </c>
      <c r="BA65" t="s">
        <v>569</v>
      </c>
      <c r="BB65" t="str">
        <f t="shared" si="0"/>
        <v>APINlaAlimosho</v>
      </c>
    </row>
    <row r="66" spans="3:54" x14ac:dyDescent="0.25">
      <c r="E66" t="s">
        <v>622</v>
      </c>
      <c r="AV66" t="s">
        <v>822</v>
      </c>
      <c r="AW66" t="s">
        <v>185</v>
      </c>
      <c r="AX66" t="s">
        <v>726</v>
      </c>
      <c r="AY66" t="s">
        <v>949</v>
      </c>
      <c r="AZ66" t="s">
        <v>950</v>
      </c>
      <c r="BA66" t="s">
        <v>569</v>
      </c>
      <c r="BB66" t="str">
        <f t="shared" si="0"/>
        <v>APINlaAlimosho</v>
      </c>
    </row>
    <row r="67" spans="3:54" x14ac:dyDescent="0.25">
      <c r="E67" t="s">
        <v>623</v>
      </c>
      <c r="AV67" t="s">
        <v>822</v>
      </c>
      <c r="AW67" t="s">
        <v>185</v>
      </c>
      <c r="AX67" t="s">
        <v>726</v>
      </c>
      <c r="AY67" t="s">
        <v>951</v>
      </c>
      <c r="AZ67" t="s">
        <v>952</v>
      </c>
      <c r="BA67" t="s">
        <v>569</v>
      </c>
      <c r="BB67" t="str">
        <f t="shared" ref="BB67:BB130" si="1">SUBSTITUTE(SUBSTITUTE(BA67&amp;AX67," ",""),"-","")</f>
        <v>APINlaAlimosho</v>
      </c>
    </row>
    <row r="68" spans="3:54" x14ac:dyDescent="0.25">
      <c r="E68" t="s">
        <v>624</v>
      </c>
      <c r="AV68" t="s">
        <v>822</v>
      </c>
      <c r="AW68" t="s">
        <v>185</v>
      </c>
      <c r="AX68" t="s">
        <v>726</v>
      </c>
      <c r="AY68" t="s">
        <v>953</v>
      </c>
      <c r="AZ68" t="s">
        <v>954</v>
      </c>
      <c r="BA68" t="s">
        <v>569</v>
      </c>
      <c r="BB68" t="str">
        <f t="shared" si="1"/>
        <v>APINlaAlimosho</v>
      </c>
    </row>
    <row r="69" spans="3:54" x14ac:dyDescent="0.25">
      <c r="E69" t="s">
        <v>625</v>
      </c>
      <c r="AV69" t="s">
        <v>822</v>
      </c>
      <c r="AW69" t="s">
        <v>185</v>
      </c>
      <c r="AX69" t="s">
        <v>726</v>
      </c>
      <c r="AY69" t="s">
        <v>955</v>
      </c>
      <c r="AZ69" t="s">
        <v>956</v>
      </c>
      <c r="BA69" t="s">
        <v>569</v>
      </c>
      <c r="BB69" t="str">
        <f t="shared" si="1"/>
        <v>APINlaAlimosho</v>
      </c>
    </row>
    <row r="70" spans="3:54" x14ac:dyDescent="0.25">
      <c r="E70" t="s">
        <v>626</v>
      </c>
      <c r="AV70" t="s">
        <v>822</v>
      </c>
      <c r="AW70" t="s">
        <v>185</v>
      </c>
      <c r="AX70" t="s">
        <v>726</v>
      </c>
      <c r="AY70" t="s">
        <v>957</v>
      </c>
      <c r="AZ70" t="s">
        <v>958</v>
      </c>
      <c r="BA70" t="s">
        <v>569</v>
      </c>
      <c r="BB70" t="str">
        <f t="shared" si="1"/>
        <v>APINlaAlimosho</v>
      </c>
    </row>
    <row r="71" spans="3:54" x14ac:dyDescent="0.25">
      <c r="E71" t="s">
        <v>627</v>
      </c>
      <c r="AV71" t="s">
        <v>822</v>
      </c>
      <c r="AW71" t="s">
        <v>185</v>
      </c>
      <c r="AX71" t="s">
        <v>726</v>
      </c>
      <c r="AY71" t="s">
        <v>959</v>
      </c>
      <c r="AZ71" t="s">
        <v>960</v>
      </c>
      <c r="BA71" t="s">
        <v>569</v>
      </c>
      <c r="BB71" t="str">
        <f t="shared" si="1"/>
        <v>APINlaAlimosho</v>
      </c>
    </row>
    <row r="72" spans="3:54" x14ac:dyDescent="0.25">
      <c r="E72" t="s">
        <v>628</v>
      </c>
      <c r="AV72" t="s">
        <v>822</v>
      </c>
      <c r="AW72" t="s">
        <v>185</v>
      </c>
      <c r="AX72" t="s">
        <v>726</v>
      </c>
      <c r="AY72" t="s">
        <v>961</v>
      </c>
      <c r="AZ72" t="s">
        <v>962</v>
      </c>
      <c r="BA72" t="s">
        <v>569</v>
      </c>
      <c r="BB72" t="str">
        <f t="shared" si="1"/>
        <v>APINlaAlimosho</v>
      </c>
    </row>
    <row r="73" spans="3:54" x14ac:dyDescent="0.25">
      <c r="E73" t="s">
        <v>629</v>
      </c>
      <c r="AV73" t="s">
        <v>822</v>
      </c>
      <c r="AW73" t="s">
        <v>185</v>
      </c>
      <c r="AX73" t="s">
        <v>726</v>
      </c>
      <c r="AY73" t="s">
        <v>963</v>
      </c>
      <c r="AZ73" t="s">
        <v>964</v>
      </c>
      <c r="BA73" t="s">
        <v>569</v>
      </c>
      <c r="BB73" t="str">
        <f t="shared" si="1"/>
        <v>APINlaAlimosho</v>
      </c>
    </row>
    <row r="74" spans="3:54" x14ac:dyDescent="0.25">
      <c r="E74" t="s">
        <v>630</v>
      </c>
      <c r="AV74" t="s">
        <v>822</v>
      </c>
      <c r="AW74" t="s">
        <v>185</v>
      </c>
      <c r="AX74" t="s">
        <v>726</v>
      </c>
      <c r="AY74" t="s">
        <v>965</v>
      </c>
      <c r="AZ74" t="s">
        <v>966</v>
      </c>
      <c r="BA74" t="s">
        <v>569</v>
      </c>
      <c r="BB74" t="str">
        <f t="shared" si="1"/>
        <v>APINlaAlimosho</v>
      </c>
    </row>
    <row r="75" spans="3:54" x14ac:dyDescent="0.25">
      <c r="E75" t="s">
        <v>631</v>
      </c>
      <c r="AV75" t="s">
        <v>822</v>
      </c>
      <c r="AW75" t="s">
        <v>185</v>
      </c>
      <c r="AX75" t="s">
        <v>726</v>
      </c>
      <c r="AY75" t="s">
        <v>967</v>
      </c>
      <c r="AZ75" t="s">
        <v>968</v>
      </c>
      <c r="BA75" t="s">
        <v>569</v>
      </c>
      <c r="BB75" t="str">
        <f t="shared" si="1"/>
        <v>APINlaAlimosho</v>
      </c>
    </row>
    <row r="76" spans="3:54" x14ac:dyDescent="0.25">
      <c r="E76" t="s">
        <v>654</v>
      </c>
      <c r="AV76" t="s">
        <v>822</v>
      </c>
      <c r="AW76" t="s">
        <v>185</v>
      </c>
      <c r="AX76" t="s">
        <v>726</v>
      </c>
      <c r="AY76" t="s">
        <v>969</v>
      </c>
      <c r="AZ76" t="s">
        <v>970</v>
      </c>
      <c r="BA76" t="s">
        <v>569</v>
      </c>
      <c r="BB76" t="str">
        <f t="shared" si="1"/>
        <v>APINlaAlimosho</v>
      </c>
    </row>
    <row r="77" spans="3:54" x14ac:dyDescent="0.25">
      <c r="C77" t="e">
        <f>SUBSTITUTE(#REF!&amp;#REF!," ","")</f>
        <v>#REF!</v>
      </c>
      <c r="E77" t="s">
        <v>655</v>
      </c>
      <c r="AV77" t="s">
        <v>822</v>
      </c>
      <c r="AW77" t="s">
        <v>185</v>
      </c>
      <c r="AX77" t="s">
        <v>726</v>
      </c>
      <c r="AY77" t="s">
        <v>971</v>
      </c>
      <c r="AZ77" t="s">
        <v>972</v>
      </c>
      <c r="BA77" t="s">
        <v>569</v>
      </c>
      <c r="BB77" t="str">
        <f t="shared" si="1"/>
        <v>APINlaAlimosho</v>
      </c>
    </row>
    <row r="78" spans="3:54" x14ac:dyDescent="0.25">
      <c r="E78" t="s">
        <v>656</v>
      </c>
      <c r="AV78" t="s">
        <v>822</v>
      </c>
      <c r="AW78" t="s">
        <v>185</v>
      </c>
      <c r="AX78" t="s">
        <v>726</v>
      </c>
      <c r="AY78" t="s">
        <v>973</v>
      </c>
      <c r="AZ78" t="s">
        <v>974</v>
      </c>
      <c r="BA78" t="s">
        <v>569</v>
      </c>
      <c r="BB78" t="str">
        <f t="shared" si="1"/>
        <v>APINlaAlimosho</v>
      </c>
    </row>
    <row r="79" spans="3:54" x14ac:dyDescent="0.25">
      <c r="E79" t="s">
        <v>657</v>
      </c>
      <c r="AV79" t="s">
        <v>822</v>
      </c>
      <c r="AW79" t="s">
        <v>185</v>
      </c>
      <c r="AX79" t="s">
        <v>726</v>
      </c>
      <c r="AY79" t="s">
        <v>975</v>
      </c>
      <c r="AZ79" t="s">
        <v>976</v>
      </c>
      <c r="BA79" t="s">
        <v>569</v>
      </c>
      <c r="BB79" t="str">
        <f t="shared" si="1"/>
        <v>APINlaAlimosho</v>
      </c>
    </row>
    <row r="80" spans="3:54" x14ac:dyDescent="0.25">
      <c r="E80" t="s">
        <v>658</v>
      </c>
      <c r="AV80" t="s">
        <v>822</v>
      </c>
      <c r="AW80" t="s">
        <v>185</v>
      </c>
      <c r="AX80" t="s">
        <v>726</v>
      </c>
      <c r="AY80" t="s">
        <v>977</v>
      </c>
      <c r="AZ80" t="s">
        <v>978</v>
      </c>
      <c r="BA80" t="s">
        <v>569</v>
      </c>
      <c r="BB80" t="str">
        <f t="shared" si="1"/>
        <v>APINlaAlimosho</v>
      </c>
    </row>
    <row r="81" spans="5:54" x14ac:dyDescent="0.25">
      <c r="E81" t="s">
        <v>659</v>
      </c>
      <c r="AV81" t="s">
        <v>822</v>
      </c>
      <c r="AW81" t="s">
        <v>185</v>
      </c>
      <c r="AX81" t="s">
        <v>726</v>
      </c>
      <c r="AY81" t="s">
        <v>979</v>
      </c>
      <c r="AZ81" t="s">
        <v>980</v>
      </c>
      <c r="BA81" t="s">
        <v>569</v>
      </c>
      <c r="BB81" t="str">
        <f t="shared" si="1"/>
        <v>APINlaAlimosho</v>
      </c>
    </row>
    <row r="82" spans="5:54" x14ac:dyDescent="0.25">
      <c r="E82" t="s">
        <v>660</v>
      </c>
      <c r="AV82" t="s">
        <v>822</v>
      </c>
      <c r="AW82" t="s">
        <v>185</v>
      </c>
      <c r="AX82" t="s">
        <v>726</v>
      </c>
      <c r="AY82" t="s">
        <v>981</v>
      </c>
      <c r="AZ82" t="s">
        <v>982</v>
      </c>
      <c r="BA82" t="s">
        <v>569</v>
      </c>
      <c r="BB82" t="str">
        <f t="shared" si="1"/>
        <v>APINlaAlimosho</v>
      </c>
    </row>
    <row r="83" spans="5:54" x14ac:dyDescent="0.25">
      <c r="E83" t="s">
        <v>661</v>
      </c>
      <c r="AV83" t="s">
        <v>822</v>
      </c>
      <c r="AW83" t="s">
        <v>185</v>
      </c>
      <c r="AX83" t="s">
        <v>726</v>
      </c>
      <c r="AY83" t="s">
        <v>983</v>
      </c>
      <c r="AZ83" t="s">
        <v>984</v>
      </c>
      <c r="BA83" t="s">
        <v>569</v>
      </c>
      <c r="BB83" t="str">
        <f t="shared" si="1"/>
        <v>APINlaAlimosho</v>
      </c>
    </row>
    <row r="84" spans="5:54" x14ac:dyDescent="0.25">
      <c r="E84" t="s">
        <v>662</v>
      </c>
      <c r="AV84" t="s">
        <v>822</v>
      </c>
      <c r="AW84" t="s">
        <v>185</v>
      </c>
      <c r="AX84" t="s">
        <v>726</v>
      </c>
      <c r="AY84" t="s">
        <v>985</v>
      </c>
      <c r="AZ84" t="s">
        <v>986</v>
      </c>
      <c r="BA84" t="s">
        <v>569</v>
      </c>
      <c r="BB84" t="str">
        <f t="shared" si="1"/>
        <v>APINlaAlimosho</v>
      </c>
    </row>
    <row r="85" spans="5:54" x14ac:dyDescent="0.25">
      <c r="E85" t="s">
        <v>663</v>
      </c>
      <c r="AV85" t="s">
        <v>822</v>
      </c>
      <c r="AW85" t="s">
        <v>185</v>
      </c>
      <c r="AX85" t="s">
        <v>726</v>
      </c>
      <c r="AY85" t="s">
        <v>987</v>
      </c>
      <c r="AZ85" t="s">
        <v>988</v>
      </c>
      <c r="BA85" t="s">
        <v>569</v>
      </c>
      <c r="BB85" t="str">
        <f t="shared" si="1"/>
        <v>APINlaAlimosho</v>
      </c>
    </row>
    <row r="86" spans="5:54" x14ac:dyDescent="0.25">
      <c r="E86" t="s">
        <v>664</v>
      </c>
      <c r="AV86" t="s">
        <v>822</v>
      </c>
      <c r="AW86" t="s">
        <v>185</v>
      </c>
      <c r="AX86" t="s">
        <v>727</v>
      </c>
      <c r="AY86" t="s">
        <v>989</v>
      </c>
      <c r="AZ86" t="s">
        <v>990</v>
      </c>
      <c r="BA86" t="s">
        <v>569</v>
      </c>
      <c r="BB86" t="str">
        <f t="shared" si="1"/>
        <v>APINlaAmuwoOdofin</v>
      </c>
    </row>
    <row r="87" spans="5:54" x14ac:dyDescent="0.25">
      <c r="E87" t="s">
        <v>665</v>
      </c>
      <c r="AV87" t="s">
        <v>822</v>
      </c>
      <c r="AW87" t="s">
        <v>185</v>
      </c>
      <c r="AX87" t="s">
        <v>727</v>
      </c>
      <c r="AY87" t="s">
        <v>991</v>
      </c>
      <c r="AZ87" t="s">
        <v>992</v>
      </c>
      <c r="BA87" t="s">
        <v>569</v>
      </c>
      <c r="BB87" t="str">
        <f t="shared" si="1"/>
        <v>APINlaAmuwoOdofin</v>
      </c>
    </row>
    <row r="88" spans="5:54" x14ac:dyDescent="0.25">
      <c r="E88" t="s">
        <v>666</v>
      </c>
      <c r="AV88" t="s">
        <v>822</v>
      </c>
      <c r="AW88" t="s">
        <v>185</v>
      </c>
      <c r="AX88" t="s">
        <v>727</v>
      </c>
      <c r="AY88" t="s">
        <v>993</v>
      </c>
      <c r="AZ88" t="s">
        <v>994</v>
      </c>
      <c r="BA88" t="s">
        <v>569</v>
      </c>
      <c r="BB88" t="str">
        <f t="shared" si="1"/>
        <v>APINlaAmuwoOdofin</v>
      </c>
    </row>
    <row r="89" spans="5:54" x14ac:dyDescent="0.25">
      <c r="E89" t="s">
        <v>667</v>
      </c>
      <c r="AV89" t="s">
        <v>822</v>
      </c>
      <c r="AW89" t="s">
        <v>185</v>
      </c>
      <c r="AX89" t="s">
        <v>727</v>
      </c>
      <c r="AY89" t="s">
        <v>995</v>
      </c>
      <c r="AZ89" t="s">
        <v>996</v>
      </c>
      <c r="BA89" t="s">
        <v>569</v>
      </c>
      <c r="BB89" t="str">
        <f t="shared" si="1"/>
        <v>APINlaAmuwoOdofin</v>
      </c>
    </row>
    <row r="90" spans="5:54" x14ac:dyDescent="0.25">
      <c r="E90" t="s">
        <v>668</v>
      </c>
      <c r="AV90" t="s">
        <v>822</v>
      </c>
      <c r="AW90" t="s">
        <v>185</v>
      </c>
      <c r="AX90" t="s">
        <v>727</v>
      </c>
      <c r="AY90" t="s">
        <v>997</v>
      </c>
      <c r="AZ90" t="s">
        <v>998</v>
      </c>
      <c r="BA90" t="s">
        <v>569</v>
      </c>
      <c r="BB90" t="str">
        <f t="shared" si="1"/>
        <v>APINlaAmuwoOdofin</v>
      </c>
    </row>
    <row r="91" spans="5:54" x14ac:dyDescent="0.25">
      <c r="E91" t="s">
        <v>669</v>
      </c>
      <c r="AV91" t="s">
        <v>822</v>
      </c>
      <c r="AW91" t="s">
        <v>185</v>
      </c>
      <c r="AX91" t="s">
        <v>727</v>
      </c>
      <c r="AY91" t="s">
        <v>999</v>
      </c>
      <c r="AZ91" t="s">
        <v>1000</v>
      </c>
      <c r="BA91" t="s">
        <v>569</v>
      </c>
      <c r="BB91" t="str">
        <f t="shared" si="1"/>
        <v>APINlaAmuwoOdofin</v>
      </c>
    </row>
    <row r="92" spans="5:54" x14ac:dyDescent="0.25">
      <c r="E92" t="s">
        <v>670</v>
      </c>
      <c r="AV92" t="s">
        <v>822</v>
      </c>
      <c r="AW92" t="s">
        <v>185</v>
      </c>
      <c r="AX92" t="s">
        <v>727</v>
      </c>
      <c r="AY92" t="s">
        <v>1001</v>
      </c>
      <c r="AZ92" t="s">
        <v>1002</v>
      </c>
      <c r="BA92" t="s">
        <v>569</v>
      </c>
      <c r="BB92" t="str">
        <f t="shared" si="1"/>
        <v>APINlaAmuwoOdofin</v>
      </c>
    </row>
    <row r="93" spans="5:54" x14ac:dyDescent="0.25">
      <c r="E93" t="s">
        <v>671</v>
      </c>
      <c r="AV93" t="s">
        <v>822</v>
      </c>
      <c r="AW93" t="s">
        <v>185</v>
      </c>
      <c r="AX93" t="s">
        <v>727</v>
      </c>
      <c r="AY93" t="s">
        <v>1003</v>
      </c>
      <c r="AZ93" t="s">
        <v>1004</v>
      </c>
      <c r="BA93" t="s">
        <v>569</v>
      </c>
      <c r="BB93" t="str">
        <f t="shared" si="1"/>
        <v>APINlaAmuwoOdofin</v>
      </c>
    </row>
    <row r="94" spans="5:54" x14ac:dyDescent="0.25">
      <c r="E94" t="s">
        <v>672</v>
      </c>
      <c r="AV94" t="s">
        <v>822</v>
      </c>
      <c r="AW94" t="s">
        <v>185</v>
      </c>
      <c r="AX94" t="s">
        <v>727</v>
      </c>
      <c r="AY94" t="s">
        <v>1005</v>
      </c>
      <c r="AZ94" t="s">
        <v>1006</v>
      </c>
      <c r="BA94" t="s">
        <v>569</v>
      </c>
      <c r="BB94" t="str">
        <f t="shared" si="1"/>
        <v>APINlaAmuwoOdofin</v>
      </c>
    </row>
    <row r="95" spans="5:54" x14ac:dyDescent="0.25">
      <c r="E95" t="s">
        <v>673</v>
      </c>
      <c r="AV95" t="s">
        <v>822</v>
      </c>
      <c r="AW95" t="s">
        <v>185</v>
      </c>
      <c r="AX95" t="s">
        <v>728</v>
      </c>
      <c r="AY95" t="s">
        <v>1007</v>
      </c>
      <c r="AZ95" t="s">
        <v>1008</v>
      </c>
      <c r="BA95" t="s">
        <v>569</v>
      </c>
      <c r="BB95" t="str">
        <f t="shared" si="1"/>
        <v>APINlaEpe</v>
      </c>
    </row>
    <row r="96" spans="5:54" x14ac:dyDescent="0.25">
      <c r="E96" t="s">
        <v>674</v>
      </c>
      <c r="AV96" t="s">
        <v>822</v>
      </c>
      <c r="AW96" t="s">
        <v>185</v>
      </c>
      <c r="AX96" t="s">
        <v>728</v>
      </c>
      <c r="AY96" t="s">
        <v>1009</v>
      </c>
      <c r="AZ96" t="s">
        <v>1010</v>
      </c>
      <c r="BA96" t="s">
        <v>569</v>
      </c>
      <c r="BB96" t="str">
        <f t="shared" si="1"/>
        <v>APINlaEpe</v>
      </c>
    </row>
    <row r="97" spans="5:54" x14ac:dyDescent="0.25">
      <c r="E97" t="s">
        <v>572</v>
      </c>
      <c r="AV97" t="s">
        <v>822</v>
      </c>
      <c r="AW97" t="s">
        <v>185</v>
      </c>
      <c r="AX97" t="s">
        <v>728</v>
      </c>
      <c r="AY97" t="s">
        <v>1011</v>
      </c>
      <c r="AZ97" t="s">
        <v>1012</v>
      </c>
      <c r="BA97" t="s">
        <v>569</v>
      </c>
      <c r="BB97" t="str">
        <f t="shared" si="1"/>
        <v>APINlaEpe</v>
      </c>
    </row>
    <row r="98" spans="5:54" x14ac:dyDescent="0.25">
      <c r="E98" t="s">
        <v>573</v>
      </c>
      <c r="AV98" t="s">
        <v>822</v>
      </c>
      <c r="AW98" t="s">
        <v>185</v>
      </c>
      <c r="AX98" t="s">
        <v>728</v>
      </c>
      <c r="AY98" t="s">
        <v>1013</v>
      </c>
      <c r="AZ98" t="s">
        <v>1014</v>
      </c>
      <c r="BA98" t="s">
        <v>569</v>
      </c>
      <c r="BB98" t="str">
        <f t="shared" si="1"/>
        <v>APINlaEpe</v>
      </c>
    </row>
    <row r="99" spans="5:54" x14ac:dyDescent="0.25">
      <c r="E99" t="s">
        <v>574</v>
      </c>
      <c r="AV99" t="s">
        <v>822</v>
      </c>
      <c r="AW99" t="s">
        <v>185</v>
      </c>
      <c r="AX99" t="s">
        <v>729</v>
      </c>
      <c r="AY99" t="s">
        <v>1015</v>
      </c>
      <c r="AZ99" t="s">
        <v>1016</v>
      </c>
      <c r="BA99" t="s">
        <v>569</v>
      </c>
      <c r="BB99" t="str">
        <f t="shared" si="1"/>
        <v>APINlaEtiOsa</v>
      </c>
    </row>
    <row r="100" spans="5:54" x14ac:dyDescent="0.25">
      <c r="E100" t="s">
        <v>575</v>
      </c>
      <c r="AV100" t="s">
        <v>822</v>
      </c>
      <c r="AW100" t="s">
        <v>185</v>
      </c>
      <c r="AX100" t="s">
        <v>729</v>
      </c>
      <c r="AY100" t="s">
        <v>1017</v>
      </c>
      <c r="AZ100" t="s">
        <v>1018</v>
      </c>
      <c r="BA100" t="s">
        <v>569</v>
      </c>
      <c r="BB100" t="str">
        <f t="shared" si="1"/>
        <v>APINlaEtiOsa</v>
      </c>
    </row>
    <row r="101" spans="5:54" x14ac:dyDescent="0.25">
      <c r="E101" t="s">
        <v>576</v>
      </c>
      <c r="AV101" t="s">
        <v>822</v>
      </c>
      <c r="AW101" t="s">
        <v>185</v>
      </c>
      <c r="AX101" t="s">
        <v>729</v>
      </c>
      <c r="AY101" t="s">
        <v>1019</v>
      </c>
      <c r="AZ101" t="s">
        <v>1020</v>
      </c>
      <c r="BA101" t="s">
        <v>569</v>
      </c>
      <c r="BB101" t="str">
        <f t="shared" si="1"/>
        <v>APINlaEtiOsa</v>
      </c>
    </row>
    <row r="102" spans="5:54" x14ac:dyDescent="0.25">
      <c r="E102" t="s">
        <v>577</v>
      </c>
      <c r="AV102" t="s">
        <v>822</v>
      </c>
      <c r="AW102" t="s">
        <v>185</v>
      </c>
      <c r="AX102" t="s">
        <v>729</v>
      </c>
      <c r="AY102" t="s">
        <v>1021</v>
      </c>
      <c r="AZ102" t="s">
        <v>1022</v>
      </c>
      <c r="BA102" t="s">
        <v>569</v>
      </c>
      <c r="BB102" t="str">
        <f t="shared" si="1"/>
        <v>APINlaEtiOsa</v>
      </c>
    </row>
    <row r="103" spans="5:54" x14ac:dyDescent="0.25">
      <c r="E103" t="s">
        <v>578</v>
      </c>
      <c r="AV103" t="s">
        <v>822</v>
      </c>
      <c r="AW103" t="s">
        <v>185</v>
      </c>
      <c r="AX103" t="s">
        <v>729</v>
      </c>
      <c r="AY103" t="s">
        <v>1023</v>
      </c>
      <c r="AZ103" t="s">
        <v>1024</v>
      </c>
      <c r="BA103" t="s">
        <v>569</v>
      </c>
      <c r="BB103" t="str">
        <f t="shared" si="1"/>
        <v>APINlaEtiOsa</v>
      </c>
    </row>
    <row r="104" spans="5:54" x14ac:dyDescent="0.25">
      <c r="E104" t="s">
        <v>579</v>
      </c>
      <c r="AV104" t="s">
        <v>822</v>
      </c>
      <c r="AW104" t="s">
        <v>185</v>
      </c>
      <c r="AX104" t="s">
        <v>729</v>
      </c>
      <c r="AY104" t="s">
        <v>1025</v>
      </c>
      <c r="AZ104" t="s">
        <v>1026</v>
      </c>
      <c r="BA104" t="s">
        <v>569</v>
      </c>
      <c r="BB104" t="str">
        <f t="shared" si="1"/>
        <v>APINlaEtiOsa</v>
      </c>
    </row>
    <row r="105" spans="5:54" x14ac:dyDescent="0.25">
      <c r="E105" t="s">
        <v>580</v>
      </c>
      <c r="AV105" t="s">
        <v>822</v>
      </c>
      <c r="AW105" t="s">
        <v>185</v>
      </c>
      <c r="AX105" t="s">
        <v>729</v>
      </c>
      <c r="AY105" t="s">
        <v>1027</v>
      </c>
      <c r="AZ105" t="s">
        <v>1028</v>
      </c>
      <c r="BA105" t="s">
        <v>569</v>
      </c>
      <c r="BB105" t="str">
        <f t="shared" si="1"/>
        <v>APINlaEtiOsa</v>
      </c>
    </row>
    <row r="106" spans="5:54" x14ac:dyDescent="0.25">
      <c r="E106" t="s">
        <v>581</v>
      </c>
      <c r="AV106" t="s">
        <v>822</v>
      </c>
      <c r="AW106" t="s">
        <v>185</v>
      </c>
      <c r="AX106" t="s">
        <v>730</v>
      </c>
      <c r="AY106" t="s">
        <v>1029</v>
      </c>
      <c r="AZ106" t="s">
        <v>1030</v>
      </c>
      <c r="BA106" t="s">
        <v>569</v>
      </c>
      <c r="BB106" t="str">
        <f t="shared" si="1"/>
        <v>APINlaIbeju</v>
      </c>
    </row>
    <row r="107" spans="5:54" x14ac:dyDescent="0.25">
      <c r="E107" t="s">
        <v>582</v>
      </c>
      <c r="AV107" t="s">
        <v>822</v>
      </c>
      <c r="AW107" t="s">
        <v>185</v>
      </c>
      <c r="AX107" t="s">
        <v>730</v>
      </c>
      <c r="AY107" t="s">
        <v>1029</v>
      </c>
      <c r="AZ107" t="s">
        <v>1031</v>
      </c>
      <c r="BA107" t="s">
        <v>569</v>
      </c>
      <c r="BB107" t="str">
        <f t="shared" si="1"/>
        <v>APINlaIbeju</v>
      </c>
    </row>
    <row r="108" spans="5:54" x14ac:dyDescent="0.25">
      <c r="E108" t="s">
        <v>583</v>
      </c>
      <c r="AV108" t="s">
        <v>822</v>
      </c>
      <c r="AW108" t="s">
        <v>185</v>
      </c>
      <c r="AX108" t="s">
        <v>730</v>
      </c>
      <c r="AY108" t="s">
        <v>1029</v>
      </c>
      <c r="AZ108" t="s">
        <v>1032</v>
      </c>
      <c r="BA108" t="s">
        <v>569</v>
      </c>
      <c r="BB108" t="str">
        <f t="shared" si="1"/>
        <v>APINlaIbeju</v>
      </c>
    </row>
    <row r="109" spans="5:54" x14ac:dyDescent="0.25">
      <c r="E109" t="s">
        <v>584</v>
      </c>
      <c r="AV109" t="s">
        <v>822</v>
      </c>
      <c r="AW109" t="s">
        <v>185</v>
      </c>
      <c r="AX109" t="s">
        <v>730</v>
      </c>
      <c r="AY109" t="s">
        <v>1029</v>
      </c>
      <c r="AZ109" t="s">
        <v>1033</v>
      </c>
      <c r="BA109" t="s">
        <v>569</v>
      </c>
      <c r="BB109" t="str">
        <f t="shared" si="1"/>
        <v>APINlaIbeju</v>
      </c>
    </row>
    <row r="110" spans="5:54" x14ac:dyDescent="0.25">
      <c r="E110" t="s">
        <v>585</v>
      </c>
      <c r="AV110" t="s">
        <v>822</v>
      </c>
      <c r="AW110" t="s">
        <v>185</v>
      </c>
      <c r="AX110" t="s">
        <v>731</v>
      </c>
      <c r="AY110" t="s">
        <v>1034</v>
      </c>
      <c r="AZ110" t="s">
        <v>1035</v>
      </c>
      <c r="BA110" t="s">
        <v>569</v>
      </c>
      <c r="BB110" t="str">
        <f t="shared" si="1"/>
        <v>APINlaIfakoIjaiye</v>
      </c>
    </row>
    <row r="111" spans="5:54" x14ac:dyDescent="0.25">
      <c r="E111" t="s">
        <v>586</v>
      </c>
      <c r="AV111" t="s">
        <v>822</v>
      </c>
      <c r="AW111" t="s">
        <v>185</v>
      </c>
      <c r="AX111" t="s">
        <v>731</v>
      </c>
      <c r="AY111" t="s">
        <v>1036</v>
      </c>
      <c r="AZ111" t="s">
        <v>1037</v>
      </c>
      <c r="BA111" t="s">
        <v>569</v>
      </c>
      <c r="BB111" t="str">
        <f t="shared" si="1"/>
        <v>APINlaIfakoIjaiye</v>
      </c>
    </row>
    <row r="112" spans="5:54" x14ac:dyDescent="0.25">
      <c r="E112" t="s">
        <v>587</v>
      </c>
      <c r="AV112" t="s">
        <v>822</v>
      </c>
      <c r="AW112" t="s">
        <v>185</v>
      </c>
      <c r="AX112" t="s">
        <v>731</v>
      </c>
      <c r="AY112" t="s">
        <v>1038</v>
      </c>
      <c r="AZ112" t="s">
        <v>1039</v>
      </c>
      <c r="BA112" t="s">
        <v>569</v>
      </c>
      <c r="BB112" t="str">
        <f t="shared" si="1"/>
        <v>APINlaIfakoIjaiye</v>
      </c>
    </row>
    <row r="113" spans="5:54" x14ac:dyDescent="0.25">
      <c r="E113" t="s">
        <v>588</v>
      </c>
      <c r="AV113" t="s">
        <v>822</v>
      </c>
      <c r="AW113" t="s">
        <v>185</v>
      </c>
      <c r="AX113" t="s">
        <v>731</v>
      </c>
      <c r="AY113" t="s">
        <v>1040</v>
      </c>
      <c r="AZ113" t="s">
        <v>1041</v>
      </c>
      <c r="BA113" t="s">
        <v>569</v>
      </c>
      <c r="BB113" t="str">
        <f t="shared" si="1"/>
        <v>APINlaIfakoIjaiye</v>
      </c>
    </row>
    <row r="114" spans="5:54" x14ac:dyDescent="0.25">
      <c r="E114" t="s">
        <v>595</v>
      </c>
      <c r="AV114" t="s">
        <v>822</v>
      </c>
      <c r="AW114" t="s">
        <v>185</v>
      </c>
      <c r="AX114" t="s">
        <v>731</v>
      </c>
      <c r="AY114" t="s">
        <v>1042</v>
      </c>
      <c r="AZ114" t="s">
        <v>1043</v>
      </c>
      <c r="BA114" t="s">
        <v>569</v>
      </c>
      <c r="BB114" t="str">
        <f t="shared" si="1"/>
        <v>APINlaIfakoIjaiye</v>
      </c>
    </row>
    <row r="115" spans="5:54" x14ac:dyDescent="0.25">
      <c r="E115" t="s">
        <v>596</v>
      </c>
      <c r="AV115" t="s">
        <v>822</v>
      </c>
      <c r="AW115" t="s">
        <v>185</v>
      </c>
      <c r="AX115" t="s">
        <v>731</v>
      </c>
      <c r="AY115" t="s">
        <v>1044</v>
      </c>
      <c r="AZ115" t="s">
        <v>1045</v>
      </c>
      <c r="BA115" t="s">
        <v>569</v>
      </c>
      <c r="BB115" t="str">
        <f t="shared" si="1"/>
        <v>APINlaIfakoIjaiye</v>
      </c>
    </row>
    <row r="116" spans="5:54" x14ac:dyDescent="0.25">
      <c r="E116" t="s">
        <v>597</v>
      </c>
      <c r="AV116" t="s">
        <v>822</v>
      </c>
      <c r="AW116" t="s">
        <v>185</v>
      </c>
      <c r="AX116" t="s">
        <v>731</v>
      </c>
      <c r="AY116" t="s">
        <v>1046</v>
      </c>
      <c r="AZ116" t="s">
        <v>1047</v>
      </c>
      <c r="BA116" t="s">
        <v>569</v>
      </c>
      <c r="BB116" t="str">
        <f t="shared" si="1"/>
        <v>APINlaIfakoIjaiye</v>
      </c>
    </row>
    <row r="117" spans="5:54" x14ac:dyDescent="0.25">
      <c r="E117" t="s">
        <v>598</v>
      </c>
      <c r="AV117" t="s">
        <v>822</v>
      </c>
      <c r="AW117" t="s">
        <v>185</v>
      </c>
      <c r="AX117" t="s">
        <v>731</v>
      </c>
      <c r="AY117" t="s">
        <v>1048</v>
      </c>
      <c r="AZ117" t="s">
        <v>1049</v>
      </c>
      <c r="BA117" t="s">
        <v>569</v>
      </c>
      <c r="BB117" t="str">
        <f t="shared" si="1"/>
        <v>APINlaIfakoIjaiye</v>
      </c>
    </row>
    <row r="118" spans="5:54" x14ac:dyDescent="0.25">
      <c r="E118" t="s">
        <v>637</v>
      </c>
      <c r="AV118" t="s">
        <v>822</v>
      </c>
      <c r="AW118" t="s">
        <v>185</v>
      </c>
      <c r="AX118" t="s">
        <v>731</v>
      </c>
      <c r="AY118" t="s">
        <v>1050</v>
      </c>
      <c r="AZ118" t="s">
        <v>1051</v>
      </c>
      <c r="BA118" t="s">
        <v>569</v>
      </c>
      <c r="BB118" t="str">
        <f t="shared" si="1"/>
        <v>APINlaIfakoIjaiye</v>
      </c>
    </row>
    <row r="119" spans="5:54" x14ac:dyDescent="0.25">
      <c r="E119" t="s">
        <v>638</v>
      </c>
      <c r="AV119" t="s">
        <v>822</v>
      </c>
      <c r="AW119" t="s">
        <v>185</v>
      </c>
      <c r="AX119" t="s">
        <v>731</v>
      </c>
      <c r="AY119" t="s">
        <v>1052</v>
      </c>
      <c r="AZ119" t="s">
        <v>1053</v>
      </c>
      <c r="BA119" t="s">
        <v>569</v>
      </c>
      <c r="BB119" t="str">
        <f t="shared" si="1"/>
        <v>APINlaIfakoIjaiye</v>
      </c>
    </row>
    <row r="120" spans="5:54" x14ac:dyDescent="0.25">
      <c r="E120" t="s">
        <v>681</v>
      </c>
      <c r="AV120" t="s">
        <v>822</v>
      </c>
      <c r="AW120" t="s">
        <v>185</v>
      </c>
      <c r="AX120" t="s">
        <v>731</v>
      </c>
      <c r="AY120" t="s">
        <v>1054</v>
      </c>
      <c r="AZ120" t="s">
        <v>1055</v>
      </c>
      <c r="BA120" t="s">
        <v>569</v>
      </c>
      <c r="BB120" t="str">
        <f t="shared" si="1"/>
        <v>APINlaIfakoIjaiye</v>
      </c>
    </row>
    <row r="121" spans="5:54" x14ac:dyDescent="0.25">
      <c r="E121" t="s">
        <v>682</v>
      </c>
      <c r="AV121" t="s">
        <v>822</v>
      </c>
      <c r="AW121" t="s">
        <v>185</v>
      </c>
      <c r="AX121" t="s">
        <v>731</v>
      </c>
      <c r="AY121" t="s">
        <v>1056</v>
      </c>
      <c r="AZ121" t="s">
        <v>1057</v>
      </c>
      <c r="BA121" t="s">
        <v>569</v>
      </c>
      <c r="BB121" t="str">
        <f t="shared" si="1"/>
        <v>APINlaIfakoIjaiye</v>
      </c>
    </row>
    <row r="122" spans="5:54" x14ac:dyDescent="0.25">
      <c r="E122" t="s">
        <v>683</v>
      </c>
      <c r="AV122" t="s">
        <v>822</v>
      </c>
      <c r="AW122" t="s">
        <v>185</v>
      </c>
      <c r="AX122" t="s">
        <v>732</v>
      </c>
      <c r="AY122" t="s">
        <v>1058</v>
      </c>
      <c r="AZ122" t="s">
        <v>1059</v>
      </c>
      <c r="BA122" t="s">
        <v>569</v>
      </c>
      <c r="BB122" t="str">
        <f t="shared" si="1"/>
        <v>APINlaIkeja</v>
      </c>
    </row>
    <row r="123" spans="5:54" x14ac:dyDescent="0.25">
      <c r="E123" t="s">
        <v>684</v>
      </c>
      <c r="AV123" t="s">
        <v>822</v>
      </c>
      <c r="AW123" t="s">
        <v>185</v>
      </c>
      <c r="AX123" t="s">
        <v>732</v>
      </c>
      <c r="AY123" t="s">
        <v>1060</v>
      </c>
      <c r="AZ123" t="s">
        <v>1061</v>
      </c>
      <c r="BA123" t="s">
        <v>569</v>
      </c>
      <c r="BB123" t="str">
        <f t="shared" si="1"/>
        <v>APINlaIkeja</v>
      </c>
    </row>
    <row r="124" spans="5:54" x14ac:dyDescent="0.25">
      <c r="E124" t="s">
        <v>685</v>
      </c>
      <c r="AV124" t="s">
        <v>822</v>
      </c>
      <c r="AW124" t="s">
        <v>185</v>
      </c>
      <c r="AX124" t="s">
        <v>732</v>
      </c>
      <c r="AY124" t="s">
        <v>1062</v>
      </c>
      <c r="AZ124" t="s">
        <v>1063</v>
      </c>
      <c r="BA124" t="s">
        <v>569</v>
      </c>
      <c r="BB124" t="str">
        <f t="shared" si="1"/>
        <v>APINlaIkeja</v>
      </c>
    </row>
    <row r="125" spans="5:54" x14ac:dyDescent="0.25">
      <c r="E125" t="s">
        <v>686</v>
      </c>
      <c r="AV125" t="s">
        <v>822</v>
      </c>
      <c r="AW125" t="s">
        <v>185</v>
      </c>
      <c r="AX125" t="s">
        <v>732</v>
      </c>
      <c r="AY125" t="s">
        <v>1064</v>
      </c>
      <c r="AZ125" t="s">
        <v>1065</v>
      </c>
      <c r="BA125" t="s">
        <v>569</v>
      </c>
      <c r="BB125" t="str">
        <f t="shared" si="1"/>
        <v>APINlaIkeja</v>
      </c>
    </row>
    <row r="126" spans="5:54" x14ac:dyDescent="0.25">
      <c r="E126" t="s">
        <v>687</v>
      </c>
      <c r="AV126" t="s">
        <v>822</v>
      </c>
      <c r="AW126" t="s">
        <v>185</v>
      </c>
      <c r="AX126" t="s">
        <v>732</v>
      </c>
      <c r="AY126" t="s">
        <v>1066</v>
      </c>
      <c r="AZ126" t="s">
        <v>1067</v>
      </c>
      <c r="BA126" t="s">
        <v>569</v>
      </c>
      <c r="BB126" t="str">
        <f t="shared" si="1"/>
        <v>APINlaIkeja</v>
      </c>
    </row>
    <row r="127" spans="5:54" x14ac:dyDescent="0.25">
      <c r="E127" t="s">
        <v>710</v>
      </c>
      <c r="AV127" t="s">
        <v>822</v>
      </c>
      <c r="AW127" t="s">
        <v>185</v>
      </c>
      <c r="AX127" t="s">
        <v>732</v>
      </c>
      <c r="AY127" t="s">
        <v>1068</v>
      </c>
      <c r="AZ127" t="s">
        <v>1069</v>
      </c>
      <c r="BA127" t="s">
        <v>569</v>
      </c>
      <c r="BB127" t="str">
        <f t="shared" si="1"/>
        <v>APINlaIkeja</v>
      </c>
    </row>
    <row r="128" spans="5:54" x14ac:dyDescent="0.25">
      <c r="E128" t="s">
        <v>711</v>
      </c>
      <c r="AV128" t="s">
        <v>822</v>
      </c>
      <c r="AW128" t="s">
        <v>185</v>
      </c>
      <c r="AX128" t="s">
        <v>732</v>
      </c>
      <c r="AY128" t="s">
        <v>1070</v>
      </c>
      <c r="AZ128" t="s">
        <v>1071</v>
      </c>
      <c r="BA128" t="s">
        <v>569</v>
      </c>
      <c r="BB128" t="str">
        <f t="shared" si="1"/>
        <v>APINlaIkeja</v>
      </c>
    </row>
    <row r="129" spans="5:54" x14ac:dyDescent="0.25">
      <c r="E129" t="s">
        <v>712</v>
      </c>
      <c r="AV129" t="s">
        <v>822</v>
      </c>
      <c r="AW129" t="s">
        <v>185</v>
      </c>
      <c r="AX129" t="s">
        <v>732</v>
      </c>
      <c r="AY129" t="s">
        <v>1072</v>
      </c>
      <c r="AZ129" t="s">
        <v>1073</v>
      </c>
      <c r="BA129" t="s">
        <v>569</v>
      </c>
      <c r="BB129" t="str">
        <f t="shared" si="1"/>
        <v>APINlaIkeja</v>
      </c>
    </row>
    <row r="130" spans="5:54" x14ac:dyDescent="0.25">
      <c r="E130" t="s">
        <v>726</v>
      </c>
      <c r="AV130" t="s">
        <v>822</v>
      </c>
      <c r="AW130" t="s">
        <v>185</v>
      </c>
      <c r="AX130" t="s">
        <v>732</v>
      </c>
      <c r="AY130" t="s">
        <v>1074</v>
      </c>
      <c r="AZ130" t="s">
        <v>1075</v>
      </c>
      <c r="BA130" t="s">
        <v>569</v>
      </c>
      <c r="BB130" t="str">
        <f t="shared" si="1"/>
        <v>APINlaIkeja</v>
      </c>
    </row>
    <row r="131" spans="5:54" x14ac:dyDescent="0.25">
      <c r="E131" t="s">
        <v>732</v>
      </c>
      <c r="AV131" t="s">
        <v>822</v>
      </c>
      <c r="AW131" t="s">
        <v>185</v>
      </c>
      <c r="AX131" t="s">
        <v>732</v>
      </c>
      <c r="AY131" t="s">
        <v>1076</v>
      </c>
      <c r="AZ131" t="s">
        <v>1077</v>
      </c>
      <c r="BA131" t="s">
        <v>569</v>
      </c>
      <c r="BB131" t="str">
        <f t="shared" ref="BB131:BB194" si="2">SUBSTITUTE(SUBSTITUTE(BA131&amp;AX131," ",""),"-","")</f>
        <v>APINlaIkeja</v>
      </c>
    </row>
    <row r="132" spans="5:54" x14ac:dyDescent="0.25">
      <c r="E132" t="s">
        <v>736</v>
      </c>
      <c r="AV132" t="s">
        <v>822</v>
      </c>
      <c r="AW132" t="s">
        <v>185</v>
      </c>
      <c r="AX132" t="s">
        <v>732</v>
      </c>
      <c r="AY132" t="s">
        <v>1078</v>
      </c>
      <c r="AZ132" t="s">
        <v>1079</v>
      </c>
      <c r="BA132" t="s">
        <v>569</v>
      </c>
      <c r="BB132" t="str">
        <f t="shared" si="2"/>
        <v>APINlaIkeja</v>
      </c>
    </row>
    <row r="133" spans="5:54" x14ac:dyDescent="0.25">
      <c r="E133" t="s">
        <v>737</v>
      </c>
      <c r="AV133" t="s">
        <v>822</v>
      </c>
      <c r="AW133" t="s">
        <v>185</v>
      </c>
      <c r="AX133" t="s">
        <v>732</v>
      </c>
      <c r="AY133" t="s">
        <v>1080</v>
      </c>
      <c r="AZ133" t="s">
        <v>1081</v>
      </c>
      <c r="BA133" t="s">
        <v>569</v>
      </c>
      <c r="BB133" t="str">
        <f t="shared" si="2"/>
        <v>APINlaIkeja</v>
      </c>
    </row>
    <row r="134" spans="5:54" x14ac:dyDescent="0.25">
      <c r="E134" t="s">
        <v>738</v>
      </c>
      <c r="AV134" t="s">
        <v>822</v>
      </c>
      <c r="AW134" t="s">
        <v>185</v>
      </c>
      <c r="AX134" t="s">
        <v>732</v>
      </c>
      <c r="AY134" t="s">
        <v>1082</v>
      </c>
      <c r="AZ134" t="s">
        <v>1083</v>
      </c>
      <c r="BA134" t="s">
        <v>569</v>
      </c>
      <c r="BB134" t="str">
        <f t="shared" si="2"/>
        <v>APINlaIkeja</v>
      </c>
    </row>
    <row r="135" spans="5:54" x14ac:dyDescent="0.25">
      <c r="E135" t="s">
        <v>739</v>
      </c>
      <c r="AV135" t="s">
        <v>822</v>
      </c>
      <c r="AW135" t="s">
        <v>185</v>
      </c>
      <c r="AX135" t="s">
        <v>732</v>
      </c>
      <c r="AY135" t="s">
        <v>1084</v>
      </c>
      <c r="AZ135" t="s">
        <v>1085</v>
      </c>
      <c r="BA135" t="s">
        <v>569</v>
      </c>
      <c r="BB135" t="str">
        <f t="shared" si="2"/>
        <v>APINlaIkeja</v>
      </c>
    </row>
    <row r="136" spans="5:54" x14ac:dyDescent="0.25">
      <c r="E136" t="s">
        <v>740</v>
      </c>
      <c r="AV136" t="s">
        <v>822</v>
      </c>
      <c r="AW136" t="s">
        <v>185</v>
      </c>
      <c r="AX136" t="s">
        <v>732</v>
      </c>
      <c r="AY136" t="s">
        <v>1086</v>
      </c>
      <c r="AZ136" t="s">
        <v>1087</v>
      </c>
      <c r="BA136" t="s">
        <v>569</v>
      </c>
      <c r="BB136" t="str">
        <f t="shared" si="2"/>
        <v>APINlaIkeja</v>
      </c>
    </row>
    <row r="137" spans="5:54" x14ac:dyDescent="0.25">
      <c r="E137" t="s">
        <v>752</v>
      </c>
      <c r="AV137" t="s">
        <v>822</v>
      </c>
      <c r="AW137" t="s">
        <v>185</v>
      </c>
      <c r="AX137" t="s">
        <v>732</v>
      </c>
      <c r="AY137" t="s">
        <v>1088</v>
      </c>
      <c r="AZ137" t="s">
        <v>1089</v>
      </c>
      <c r="BA137" t="s">
        <v>569</v>
      </c>
      <c r="BB137" t="str">
        <f t="shared" si="2"/>
        <v>APINlaIkeja</v>
      </c>
    </row>
    <row r="138" spans="5:54" x14ac:dyDescent="0.25">
      <c r="E138" t="s">
        <v>750</v>
      </c>
      <c r="AV138" t="s">
        <v>822</v>
      </c>
      <c r="AW138" t="s">
        <v>185</v>
      </c>
      <c r="AX138" t="s">
        <v>733</v>
      </c>
      <c r="AY138" t="s">
        <v>1090</v>
      </c>
      <c r="AZ138" t="s">
        <v>1091</v>
      </c>
      <c r="BA138" t="s">
        <v>569</v>
      </c>
      <c r="BB138" t="str">
        <f t="shared" si="2"/>
        <v>APINlaIkorodu</v>
      </c>
    </row>
    <row r="139" spans="5:54" x14ac:dyDescent="0.25">
      <c r="E139" t="s">
        <v>757</v>
      </c>
      <c r="AV139" t="s">
        <v>822</v>
      </c>
      <c r="AW139" t="s">
        <v>185</v>
      </c>
      <c r="AX139" t="s">
        <v>733</v>
      </c>
      <c r="AY139" t="s">
        <v>1092</v>
      </c>
      <c r="AZ139" t="s">
        <v>1093</v>
      </c>
      <c r="BA139" t="s">
        <v>569</v>
      </c>
      <c r="BB139" t="str">
        <f t="shared" si="2"/>
        <v>APINlaIkorodu</v>
      </c>
    </row>
    <row r="140" spans="5:54" x14ac:dyDescent="0.25">
      <c r="E140" t="s">
        <v>758</v>
      </c>
      <c r="AV140" t="s">
        <v>822</v>
      </c>
      <c r="AW140" t="s">
        <v>185</v>
      </c>
      <c r="AX140" t="s">
        <v>733</v>
      </c>
      <c r="AY140" t="s">
        <v>1094</v>
      </c>
      <c r="AZ140" t="s">
        <v>1095</v>
      </c>
      <c r="BA140" t="s">
        <v>569</v>
      </c>
      <c r="BB140" t="str">
        <f t="shared" si="2"/>
        <v>APINlaIkorodu</v>
      </c>
    </row>
    <row r="141" spans="5:54" x14ac:dyDescent="0.25">
      <c r="E141" t="s">
        <v>759</v>
      </c>
      <c r="AV141" t="s">
        <v>822</v>
      </c>
      <c r="AW141" t="s">
        <v>185</v>
      </c>
      <c r="AX141" t="s">
        <v>733</v>
      </c>
      <c r="AY141" t="s">
        <v>1096</v>
      </c>
      <c r="AZ141" t="s">
        <v>1097</v>
      </c>
      <c r="BA141" t="s">
        <v>569</v>
      </c>
      <c r="BB141" t="str">
        <f t="shared" si="2"/>
        <v>APINlaIkorodu</v>
      </c>
    </row>
    <row r="142" spans="5:54" x14ac:dyDescent="0.25">
      <c r="E142" t="s">
        <v>760</v>
      </c>
      <c r="AV142" t="s">
        <v>822</v>
      </c>
      <c r="AW142" t="s">
        <v>185</v>
      </c>
      <c r="AX142" t="s">
        <v>733</v>
      </c>
      <c r="AY142" t="s">
        <v>1098</v>
      </c>
      <c r="AZ142" t="s">
        <v>1099</v>
      </c>
      <c r="BA142" t="s">
        <v>569</v>
      </c>
      <c r="BB142" t="str">
        <f t="shared" si="2"/>
        <v>APINlaIkorodu</v>
      </c>
    </row>
    <row r="143" spans="5:54" x14ac:dyDescent="0.25">
      <c r="E143" t="s">
        <v>764</v>
      </c>
      <c r="AV143" t="s">
        <v>822</v>
      </c>
      <c r="AW143" t="s">
        <v>185</v>
      </c>
      <c r="AX143" t="s">
        <v>733</v>
      </c>
      <c r="AY143" t="s">
        <v>1100</v>
      </c>
      <c r="AZ143" t="s">
        <v>1101</v>
      </c>
      <c r="BA143" t="s">
        <v>569</v>
      </c>
      <c r="BB143" t="str">
        <f t="shared" si="2"/>
        <v>APINlaIkorodu</v>
      </c>
    </row>
    <row r="144" spans="5:54" x14ac:dyDescent="0.25">
      <c r="E144" t="s">
        <v>765</v>
      </c>
      <c r="AV144" t="s">
        <v>822</v>
      </c>
      <c r="AW144" t="s">
        <v>185</v>
      </c>
      <c r="AX144" t="s">
        <v>733</v>
      </c>
      <c r="AY144" t="s">
        <v>1102</v>
      </c>
      <c r="AZ144" t="s">
        <v>1103</v>
      </c>
      <c r="BA144" t="s">
        <v>569</v>
      </c>
      <c r="BB144" t="str">
        <f t="shared" si="2"/>
        <v>APINlaIkorodu</v>
      </c>
    </row>
    <row r="145" spans="5:54" x14ac:dyDescent="0.25">
      <c r="E145" t="s">
        <v>766</v>
      </c>
      <c r="AV145" t="s">
        <v>822</v>
      </c>
      <c r="AW145" t="s">
        <v>185</v>
      </c>
      <c r="AX145" t="s">
        <v>733</v>
      </c>
      <c r="AY145" t="s">
        <v>1104</v>
      </c>
      <c r="AZ145" t="s">
        <v>1105</v>
      </c>
      <c r="BA145" t="s">
        <v>569</v>
      </c>
      <c r="BB145" t="str">
        <f t="shared" si="2"/>
        <v>APINlaIkorodu</v>
      </c>
    </row>
    <row r="146" spans="5:54" x14ac:dyDescent="0.25">
      <c r="E146" t="s">
        <v>803</v>
      </c>
      <c r="AV146" t="s">
        <v>822</v>
      </c>
      <c r="AW146" t="s">
        <v>185</v>
      </c>
      <c r="AX146" t="s">
        <v>733</v>
      </c>
      <c r="AY146" t="s">
        <v>1106</v>
      </c>
      <c r="AZ146" t="s">
        <v>1107</v>
      </c>
      <c r="BA146" t="s">
        <v>569</v>
      </c>
      <c r="BB146" t="str">
        <f t="shared" si="2"/>
        <v>APINlaIkorodu</v>
      </c>
    </row>
    <row r="147" spans="5:54" x14ac:dyDescent="0.25">
      <c r="E147" t="s">
        <v>805</v>
      </c>
      <c r="AV147" t="s">
        <v>822</v>
      </c>
      <c r="AW147" t="s">
        <v>185</v>
      </c>
      <c r="AX147" t="s">
        <v>734</v>
      </c>
      <c r="AY147" t="s">
        <v>1108</v>
      </c>
      <c r="AZ147" t="s">
        <v>1109</v>
      </c>
      <c r="BA147" t="s">
        <v>569</v>
      </c>
      <c r="BB147" t="str">
        <f t="shared" si="2"/>
        <v>APINlaMushin</v>
      </c>
    </row>
    <row r="148" spans="5:54" x14ac:dyDescent="0.25">
      <c r="E148" t="s">
        <v>814</v>
      </c>
      <c r="AV148" t="s">
        <v>822</v>
      </c>
      <c r="AW148" t="s">
        <v>185</v>
      </c>
      <c r="AX148" t="s">
        <v>734</v>
      </c>
      <c r="AY148" t="s">
        <v>1110</v>
      </c>
      <c r="AZ148" t="s">
        <v>1111</v>
      </c>
      <c r="BA148" t="s">
        <v>569</v>
      </c>
      <c r="BB148" t="str">
        <f t="shared" si="2"/>
        <v>APINlaMushin</v>
      </c>
    </row>
    <row r="149" spans="5:54" x14ac:dyDescent="0.25">
      <c r="E149" t="s">
        <v>807</v>
      </c>
      <c r="AV149" t="s">
        <v>822</v>
      </c>
      <c r="AW149" t="s">
        <v>185</v>
      </c>
      <c r="AX149" t="s">
        <v>734</v>
      </c>
      <c r="AY149" t="s">
        <v>1112</v>
      </c>
      <c r="AZ149" t="s">
        <v>1113</v>
      </c>
      <c r="BA149" t="s">
        <v>569</v>
      </c>
      <c r="BB149" t="str">
        <f t="shared" si="2"/>
        <v>APINlaMushin</v>
      </c>
    </row>
    <row r="150" spans="5:54" x14ac:dyDescent="0.25">
      <c r="E150" t="s">
        <v>808</v>
      </c>
      <c r="AV150" t="s">
        <v>822</v>
      </c>
      <c r="AW150" t="s">
        <v>185</v>
      </c>
      <c r="AX150" t="s">
        <v>734</v>
      </c>
      <c r="AY150" t="s">
        <v>1114</v>
      </c>
      <c r="AZ150" t="s">
        <v>1115</v>
      </c>
      <c r="BA150" t="s">
        <v>569</v>
      </c>
      <c r="BB150" t="str">
        <f t="shared" si="2"/>
        <v>APINlaMushin</v>
      </c>
    </row>
    <row r="151" spans="5:54" x14ac:dyDescent="0.25">
      <c r="E151" t="s">
        <v>812</v>
      </c>
      <c r="AV151" t="s">
        <v>822</v>
      </c>
      <c r="AW151" t="s">
        <v>185</v>
      </c>
      <c r="AX151" t="s">
        <v>734</v>
      </c>
      <c r="AY151" t="s">
        <v>1116</v>
      </c>
      <c r="AZ151" t="s">
        <v>1117</v>
      </c>
      <c r="BA151" t="s">
        <v>569</v>
      </c>
      <c r="BB151" t="str">
        <f t="shared" si="2"/>
        <v>APINlaMushin</v>
      </c>
    </row>
    <row r="152" spans="5:54" x14ac:dyDescent="0.25">
      <c r="E152" t="s">
        <v>813</v>
      </c>
      <c r="AV152" t="s">
        <v>822</v>
      </c>
      <c r="AW152" t="s">
        <v>185</v>
      </c>
      <c r="AX152" t="s">
        <v>734</v>
      </c>
      <c r="AY152" t="s">
        <v>1118</v>
      </c>
      <c r="AZ152" t="s">
        <v>1119</v>
      </c>
      <c r="BA152" t="s">
        <v>569</v>
      </c>
      <c r="BB152" t="str">
        <f t="shared" si="2"/>
        <v>APINlaMushin</v>
      </c>
    </row>
    <row r="153" spans="5:54" x14ac:dyDescent="0.25">
      <c r="E153" t="s">
        <v>589</v>
      </c>
      <c r="AV153" t="s">
        <v>822</v>
      </c>
      <c r="AW153" t="s">
        <v>185</v>
      </c>
      <c r="AX153" t="s">
        <v>734</v>
      </c>
      <c r="AY153" t="s">
        <v>1120</v>
      </c>
      <c r="AZ153" t="s">
        <v>1121</v>
      </c>
      <c r="BA153" t="s">
        <v>569</v>
      </c>
      <c r="BB153" t="str">
        <f t="shared" si="2"/>
        <v>APINlaMushin</v>
      </c>
    </row>
    <row r="154" spans="5:54" x14ac:dyDescent="0.25">
      <c r="E154" t="s">
        <v>572</v>
      </c>
      <c r="AV154" t="s">
        <v>822</v>
      </c>
      <c r="AW154" t="s">
        <v>185</v>
      </c>
      <c r="AX154" t="s">
        <v>734</v>
      </c>
      <c r="AY154" t="s">
        <v>1122</v>
      </c>
      <c r="AZ154" t="s">
        <v>1123</v>
      </c>
      <c r="BA154" t="s">
        <v>569</v>
      </c>
      <c r="BB154" t="str">
        <f t="shared" si="2"/>
        <v>APINlaMushin</v>
      </c>
    </row>
    <row r="155" spans="5:54" x14ac:dyDescent="0.25">
      <c r="E155" t="s">
        <v>590</v>
      </c>
      <c r="AV155" t="s">
        <v>822</v>
      </c>
      <c r="AW155" t="s">
        <v>185</v>
      </c>
      <c r="AX155" t="s">
        <v>734</v>
      </c>
      <c r="AY155" t="s">
        <v>1124</v>
      </c>
      <c r="AZ155" t="s">
        <v>1125</v>
      </c>
      <c r="BA155" t="s">
        <v>569</v>
      </c>
      <c r="BB155" t="str">
        <f t="shared" si="2"/>
        <v>APINlaMushin</v>
      </c>
    </row>
    <row r="156" spans="5:54" x14ac:dyDescent="0.25">
      <c r="E156" t="s">
        <v>573</v>
      </c>
      <c r="AV156" t="s">
        <v>822</v>
      </c>
      <c r="AW156" t="s">
        <v>185</v>
      </c>
      <c r="AX156" t="s">
        <v>734</v>
      </c>
      <c r="AY156" t="s">
        <v>1126</v>
      </c>
      <c r="AZ156" t="s">
        <v>1127</v>
      </c>
      <c r="BA156" t="s">
        <v>569</v>
      </c>
      <c r="BB156" t="str">
        <f t="shared" si="2"/>
        <v>APINlaMushin</v>
      </c>
    </row>
    <row r="157" spans="5:54" x14ac:dyDescent="0.25">
      <c r="E157" t="s">
        <v>574</v>
      </c>
      <c r="AV157" t="s">
        <v>822</v>
      </c>
      <c r="AW157" t="s">
        <v>185</v>
      </c>
      <c r="AX157" t="s">
        <v>734</v>
      </c>
      <c r="AY157" t="s">
        <v>1128</v>
      </c>
      <c r="AZ157" t="s">
        <v>1129</v>
      </c>
      <c r="BA157" t="s">
        <v>569</v>
      </c>
      <c r="BB157" t="str">
        <f t="shared" si="2"/>
        <v>APINlaMushin</v>
      </c>
    </row>
    <row r="158" spans="5:54" x14ac:dyDescent="0.25">
      <c r="E158" t="s">
        <v>575</v>
      </c>
      <c r="AV158" t="s">
        <v>822</v>
      </c>
      <c r="AW158" t="s">
        <v>185</v>
      </c>
      <c r="AX158" t="s">
        <v>734</v>
      </c>
      <c r="AY158" t="s">
        <v>1130</v>
      </c>
      <c r="AZ158" t="s">
        <v>1131</v>
      </c>
      <c r="BA158" t="s">
        <v>569</v>
      </c>
      <c r="BB158" t="str">
        <f t="shared" si="2"/>
        <v>APINlaMushin</v>
      </c>
    </row>
    <row r="159" spans="5:54" x14ac:dyDescent="0.25">
      <c r="E159" t="s">
        <v>576</v>
      </c>
      <c r="AV159" t="s">
        <v>822</v>
      </c>
      <c r="AW159" t="s">
        <v>185</v>
      </c>
      <c r="AX159" t="s">
        <v>734</v>
      </c>
      <c r="AY159" t="s">
        <v>1132</v>
      </c>
      <c r="AZ159" t="s">
        <v>1133</v>
      </c>
      <c r="BA159" t="s">
        <v>569</v>
      </c>
      <c r="BB159" t="str">
        <f t="shared" si="2"/>
        <v>APINlaMushin</v>
      </c>
    </row>
    <row r="160" spans="5:54" x14ac:dyDescent="0.25">
      <c r="E160" t="s">
        <v>577</v>
      </c>
      <c r="AV160" t="s">
        <v>822</v>
      </c>
      <c r="AW160" t="s">
        <v>185</v>
      </c>
      <c r="AX160" t="s">
        <v>734</v>
      </c>
      <c r="AY160" t="s">
        <v>1134</v>
      </c>
      <c r="AZ160" t="s">
        <v>1135</v>
      </c>
      <c r="BA160" t="s">
        <v>569</v>
      </c>
      <c r="BB160" t="str">
        <f t="shared" si="2"/>
        <v>APINlaMushin</v>
      </c>
    </row>
    <row r="161" spans="5:54" x14ac:dyDescent="0.25">
      <c r="E161" t="s">
        <v>580</v>
      </c>
      <c r="AV161" t="s">
        <v>822</v>
      </c>
      <c r="AW161" t="s">
        <v>185</v>
      </c>
      <c r="AX161" t="s">
        <v>735</v>
      </c>
      <c r="AY161" t="s">
        <v>1136</v>
      </c>
      <c r="AZ161" t="s">
        <v>1137</v>
      </c>
      <c r="BA161" t="s">
        <v>569</v>
      </c>
      <c r="BB161" t="str">
        <f t="shared" si="2"/>
        <v>APINlaOshodiIsolo</v>
      </c>
    </row>
    <row r="162" spans="5:54" x14ac:dyDescent="0.25">
      <c r="E162" t="s">
        <v>581</v>
      </c>
      <c r="AV162" t="s">
        <v>822</v>
      </c>
      <c r="AW162" t="s">
        <v>185</v>
      </c>
      <c r="AX162" t="s">
        <v>735</v>
      </c>
      <c r="AY162" t="s">
        <v>1138</v>
      </c>
      <c r="AZ162" t="s">
        <v>1139</v>
      </c>
      <c r="BA162" t="s">
        <v>569</v>
      </c>
      <c r="BB162" t="str">
        <f t="shared" si="2"/>
        <v>APINlaOshodiIsolo</v>
      </c>
    </row>
    <row r="163" spans="5:54" x14ac:dyDescent="0.25">
      <c r="E163" t="s">
        <v>582</v>
      </c>
      <c r="AV163" t="s">
        <v>822</v>
      </c>
      <c r="AW163" t="s">
        <v>185</v>
      </c>
      <c r="AX163" t="s">
        <v>735</v>
      </c>
      <c r="AY163" t="s">
        <v>1140</v>
      </c>
      <c r="AZ163" t="s">
        <v>1141</v>
      </c>
      <c r="BA163" t="s">
        <v>569</v>
      </c>
      <c r="BB163" t="str">
        <f t="shared" si="2"/>
        <v>APINlaOshodiIsolo</v>
      </c>
    </row>
    <row r="164" spans="5:54" x14ac:dyDescent="0.25">
      <c r="E164" t="s">
        <v>591</v>
      </c>
      <c r="AV164" t="s">
        <v>822</v>
      </c>
      <c r="AW164" t="s">
        <v>185</v>
      </c>
      <c r="AX164" t="s">
        <v>735</v>
      </c>
      <c r="AY164" t="s">
        <v>1142</v>
      </c>
      <c r="AZ164" t="s">
        <v>1143</v>
      </c>
      <c r="BA164" t="s">
        <v>569</v>
      </c>
      <c r="BB164" t="str">
        <f t="shared" si="2"/>
        <v>APINlaOshodiIsolo</v>
      </c>
    </row>
    <row r="165" spans="5:54" x14ac:dyDescent="0.25">
      <c r="E165" t="s">
        <v>592</v>
      </c>
      <c r="AV165" t="s">
        <v>822</v>
      </c>
      <c r="AW165" t="s">
        <v>185</v>
      </c>
      <c r="AX165" t="s">
        <v>735</v>
      </c>
      <c r="AY165" t="s">
        <v>1144</v>
      </c>
      <c r="AZ165" t="s">
        <v>1145</v>
      </c>
      <c r="BA165" t="s">
        <v>569</v>
      </c>
      <c r="BB165" t="str">
        <f t="shared" si="2"/>
        <v>APINlaOshodiIsolo</v>
      </c>
    </row>
    <row r="166" spans="5:54" x14ac:dyDescent="0.25">
      <c r="E166" t="s">
        <v>593</v>
      </c>
      <c r="AV166" t="s">
        <v>822</v>
      </c>
      <c r="AW166" t="s">
        <v>185</v>
      </c>
      <c r="AX166" t="s">
        <v>735</v>
      </c>
      <c r="AY166" t="s">
        <v>1146</v>
      </c>
      <c r="AZ166" t="s">
        <v>1147</v>
      </c>
      <c r="BA166" t="s">
        <v>569</v>
      </c>
      <c r="BB166" t="str">
        <f t="shared" si="2"/>
        <v>APINlaOshodiIsolo</v>
      </c>
    </row>
    <row r="167" spans="5:54" x14ac:dyDescent="0.25">
      <c r="E167" t="s">
        <v>583</v>
      </c>
      <c r="AV167" t="s">
        <v>822</v>
      </c>
      <c r="AW167" t="s">
        <v>185</v>
      </c>
      <c r="AX167" t="s">
        <v>735</v>
      </c>
      <c r="AY167" t="s">
        <v>1148</v>
      </c>
      <c r="AZ167" t="s">
        <v>1149</v>
      </c>
      <c r="BA167" t="s">
        <v>569</v>
      </c>
      <c r="BB167" t="str">
        <f t="shared" si="2"/>
        <v>APINlaOshodiIsolo</v>
      </c>
    </row>
    <row r="168" spans="5:54" x14ac:dyDescent="0.25">
      <c r="E168" t="s">
        <v>584</v>
      </c>
      <c r="AV168" t="s">
        <v>822</v>
      </c>
      <c r="AW168" t="s">
        <v>185</v>
      </c>
      <c r="AX168" t="s">
        <v>735</v>
      </c>
      <c r="AY168" t="s">
        <v>1150</v>
      </c>
      <c r="AZ168" t="s">
        <v>1151</v>
      </c>
      <c r="BA168" t="s">
        <v>569</v>
      </c>
      <c r="BB168" t="str">
        <f t="shared" si="2"/>
        <v>APINlaOshodiIsolo</v>
      </c>
    </row>
    <row r="169" spans="5:54" x14ac:dyDescent="0.25">
      <c r="E169" t="s">
        <v>585</v>
      </c>
      <c r="AV169" t="s">
        <v>822</v>
      </c>
      <c r="AW169" t="s">
        <v>185</v>
      </c>
      <c r="AX169" t="s">
        <v>735</v>
      </c>
      <c r="AY169" t="s">
        <v>1152</v>
      </c>
      <c r="AZ169" t="s">
        <v>1153</v>
      </c>
      <c r="BA169" t="s">
        <v>569</v>
      </c>
      <c r="BB169" t="str">
        <f t="shared" si="2"/>
        <v>APINlaOshodiIsolo</v>
      </c>
    </row>
    <row r="170" spans="5:54" x14ac:dyDescent="0.25">
      <c r="E170" t="s">
        <v>586</v>
      </c>
      <c r="AV170" t="s">
        <v>822</v>
      </c>
      <c r="AW170" t="s">
        <v>185</v>
      </c>
      <c r="AX170" t="s">
        <v>735</v>
      </c>
      <c r="AY170" t="s">
        <v>1154</v>
      </c>
      <c r="AZ170" t="s">
        <v>1155</v>
      </c>
      <c r="BA170" t="s">
        <v>569</v>
      </c>
      <c r="BB170" t="str">
        <f t="shared" si="2"/>
        <v>APINlaOshodiIsolo</v>
      </c>
    </row>
    <row r="171" spans="5:54" x14ac:dyDescent="0.25">
      <c r="E171" t="s">
        <v>588</v>
      </c>
      <c r="AV171" t="s">
        <v>822</v>
      </c>
      <c r="AW171" t="s">
        <v>185</v>
      </c>
      <c r="AX171" t="s">
        <v>735</v>
      </c>
      <c r="AY171" t="s">
        <v>1156</v>
      </c>
      <c r="AZ171" t="s">
        <v>1157</v>
      </c>
      <c r="BA171" t="s">
        <v>569</v>
      </c>
      <c r="BB171" t="str">
        <f t="shared" si="2"/>
        <v>APINlaOshodiIsolo</v>
      </c>
    </row>
    <row r="172" spans="5:54" x14ac:dyDescent="0.25">
      <c r="E172" t="s">
        <v>643</v>
      </c>
      <c r="AV172" t="s">
        <v>822</v>
      </c>
      <c r="AW172" t="s">
        <v>185</v>
      </c>
      <c r="AX172" t="s">
        <v>735</v>
      </c>
      <c r="AY172" t="s">
        <v>1158</v>
      </c>
      <c r="AZ172" t="s">
        <v>1159</v>
      </c>
      <c r="BA172" t="s">
        <v>569</v>
      </c>
      <c r="BB172" t="str">
        <f t="shared" si="2"/>
        <v>APINlaOshodiIsolo</v>
      </c>
    </row>
    <row r="173" spans="5:54" x14ac:dyDescent="0.25">
      <c r="E173" t="s">
        <v>644</v>
      </c>
      <c r="AV173" t="s">
        <v>822</v>
      </c>
      <c r="AW173" t="s">
        <v>185</v>
      </c>
      <c r="AX173" t="s">
        <v>735</v>
      </c>
      <c r="AY173" t="s">
        <v>1160</v>
      </c>
      <c r="AZ173" t="s">
        <v>1161</v>
      </c>
      <c r="BA173" t="s">
        <v>569</v>
      </c>
      <c r="BB173" t="str">
        <f t="shared" si="2"/>
        <v>APINlaOshodiIsolo</v>
      </c>
    </row>
    <row r="174" spans="5:54" x14ac:dyDescent="0.25">
      <c r="E174" t="s">
        <v>645</v>
      </c>
      <c r="AV174" t="s">
        <v>822</v>
      </c>
      <c r="AW174" t="s">
        <v>185</v>
      </c>
      <c r="AX174" t="s">
        <v>735</v>
      </c>
      <c r="AY174" t="s">
        <v>1162</v>
      </c>
      <c r="AZ174" t="s">
        <v>1163</v>
      </c>
      <c r="BA174" t="s">
        <v>569</v>
      </c>
      <c r="BB174" t="str">
        <f t="shared" si="2"/>
        <v>APINlaOshodiIsolo</v>
      </c>
    </row>
    <row r="175" spans="5:54" x14ac:dyDescent="0.25">
      <c r="E175" t="s">
        <v>646</v>
      </c>
      <c r="AV175" t="s">
        <v>822</v>
      </c>
      <c r="AW175" t="s">
        <v>191</v>
      </c>
      <c r="AX175" t="s">
        <v>783</v>
      </c>
      <c r="AY175" t="s">
        <v>1164</v>
      </c>
      <c r="AZ175" t="s">
        <v>1165</v>
      </c>
      <c r="BA175" t="s">
        <v>569</v>
      </c>
      <c r="BB175" t="str">
        <f t="shared" si="2"/>
        <v>APINoyAfijio</v>
      </c>
    </row>
    <row r="176" spans="5:54" x14ac:dyDescent="0.25">
      <c r="E176" t="s">
        <v>647</v>
      </c>
      <c r="AV176" t="s">
        <v>822</v>
      </c>
      <c r="AW176" t="s">
        <v>191</v>
      </c>
      <c r="AX176" t="s">
        <v>784</v>
      </c>
      <c r="AY176" t="s">
        <v>1166</v>
      </c>
      <c r="AZ176" t="s">
        <v>1167</v>
      </c>
      <c r="BA176" t="s">
        <v>569</v>
      </c>
      <c r="BB176" t="str">
        <f t="shared" si="2"/>
        <v>APINoyAkinyele</v>
      </c>
    </row>
    <row r="177" spans="5:54" x14ac:dyDescent="0.25">
      <c r="E177" t="s">
        <v>648</v>
      </c>
      <c r="AV177" t="s">
        <v>822</v>
      </c>
      <c r="AW177" t="s">
        <v>191</v>
      </c>
      <c r="AX177" t="s">
        <v>785</v>
      </c>
      <c r="AY177" t="s">
        <v>1168</v>
      </c>
      <c r="AZ177" t="s">
        <v>1169</v>
      </c>
      <c r="BA177" t="s">
        <v>569</v>
      </c>
      <c r="BB177" t="str">
        <f t="shared" si="2"/>
        <v>APINoyAtiba</v>
      </c>
    </row>
    <row r="178" spans="5:54" x14ac:dyDescent="0.25">
      <c r="E178" t="s">
        <v>649</v>
      </c>
      <c r="AV178" t="s">
        <v>822</v>
      </c>
      <c r="AW178" t="s">
        <v>191</v>
      </c>
      <c r="AX178" t="s">
        <v>786</v>
      </c>
      <c r="AY178" t="s">
        <v>1170</v>
      </c>
      <c r="AZ178" t="s">
        <v>1171</v>
      </c>
      <c r="BA178" t="s">
        <v>569</v>
      </c>
      <c r="BB178" t="str">
        <f t="shared" si="2"/>
        <v>APINoyIbadanNorth</v>
      </c>
    </row>
    <row r="179" spans="5:54" x14ac:dyDescent="0.25">
      <c r="E179" t="s">
        <v>650</v>
      </c>
      <c r="AV179" t="s">
        <v>822</v>
      </c>
      <c r="AW179" t="s">
        <v>191</v>
      </c>
      <c r="AX179" t="s">
        <v>786</v>
      </c>
      <c r="AY179" t="s">
        <v>1172</v>
      </c>
      <c r="AZ179" t="s">
        <v>1173</v>
      </c>
      <c r="BA179" t="s">
        <v>569</v>
      </c>
      <c r="BB179" t="str">
        <f t="shared" si="2"/>
        <v>APINoyIbadanNorth</v>
      </c>
    </row>
    <row r="180" spans="5:54" x14ac:dyDescent="0.25">
      <c r="E180" t="s">
        <v>651</v>
      </c>
      <c r="AV180" t="s">
        <v>822</v>
      </c>
      <c r="AW180" t="s">
        <v>191</v>
      </c>
      <c r="AX180" t="s">
        <v>786</v>
      </c>
      <c r="AY180" t="s">
        <v>1174</v>
      </c>
      <c r="AZ180" t="s">
        <v>1175</v>
      </c>
      <c r="BA180" t="s">
        <v>569</v>
      </c>
      <c r="BB180" t="str">
        <f t="shared" si="2"/>
        <v>APINoyIbadanNorth</v>
      </c>
    </row>
    <row r="181" spans="5:54" x14ac:dyDescent="0.25">
      <c r="E181" t="s">
        <v>681</v>
      </c>
      <c r="AV181" t="s">
        <v>822</v>
      </c>
      <c r="AW181" t="s">
        <v>191</v>
      </c>
      <c r="AX181" t="s">
        <v>786</v>
      </c>
      <c r="AY181" t="s">
        <v>1176</v>
      </c>
      <c r="AZ181" t="s">
        <v>1177</v>
      </c>
      <c r="BA181" t="s">
        <v>569</v>
      </c>
      <c r="BB181" t="str">
        <f t="shared" si="2"/>
        <v>APINoyIbadanNorth</v>
      </c>
    </row>
    <row r="182" spans="5:54" x14ac:dyDescent="0.25">
      <c r="E182" t="s">
        <v>688</v>
      </c>
      <c r="AV182" t="s">
        <v>822</v>
      </c>
      <c r="AW182" t="s">
        <v>191</v>
      </c>
      <c r="AX182" t="s">
        <v>786</v>
      </c>
      <c r="AY182" t="s">
        <v>1178</v>
      </c>
      <c r="AZ182" t="s">
        <v>1179</v>
      </c>
      <c r="BA182" t="s">
        <v>569</v>
      </c>
      <c r="BB182" t="str">
        <f t="shared" si="2"/>
        <v>APINoyIbadanNorth</v>
      </c>
    </row>
    <row r="183" spans="5:54" x14ac:dyDescent="0.25">
      <c r="E183" t="s">
        <v>689</v>
      </c>
      <c r="AV183" t="s">
        <v>822</v>
      </c>
      <c r="AW183" t="s">
        <v>191</v>
      </c>
      <c r="AX183" t="s">
        <v>787</v>
      </c>
      <c r="AY183" t="s">
        <v>1180</v>
      </c>
      <c r="AZ183" t="s">
        <v>1181</v>
      </c>
      <c r="BA183" t="s">
        <v>569</v>
      </c>
      <c r="BB183" t="str">
        <f t="shared" si="2"/>
        <v>APINoyIbadanNorthEast</v>
      </c>
    </row>
    <row r="184" spans="5:54" x14ac:dyDescent="0.25">
      <c r="E184" t="s">
        <v>682</v>
      </c>
      <c r="AV184" t="s">
        <v>822</v>
      </c>
      <c r="AW184" t="s">
        <v>191</v>
      </c>
      <c r="AX184" t="s">
        <v>787</v>
      </c>
      <c r="AY184" t="s">
        <v>1182</v>
      </c>
      <c r="AZ184" t="s">
        <v>1183</v>
      </c>
      <c r="BA184" t="s">
        <v>569</v>
      </c>
      <c r="BB184" t="str">
        <f t="shared" si="2"/>
        <v>APINoyIbadanNorthEast</v>
      </c>
    </row>
    <row r="185" spans="5:54" x14ac:dyDescent="0.25">
      <c r="E185" t="s">
        <v>690</v>
      </c>
      <c r="AV185" t="s">
        <v>822</v>
      </c>
      <c r="AW185" t="s">
        <v>191</v>
      </c>
      <c r="AX185" t="s">
        <v>788</v>
      </c>
      <c r="AY185" t="s">
        <v>1184</v>
      </c>
      <c r="AZ185" t="s">
        <v>1185</v>
      </c>
      <c r="BA185" t="s">
        <v>569</v>
      </c>
      <c r="BB185" t="str">
        <f t="shared" si="2"/>
        <v>APINoyIbadanNorthWest</v>
      </c>
    </row>
    <row r="186" spans="5:54" x14ac:dyDescent="0.25">
      <c r="E186" t="s">
        <v>691</v>
      </c>
      <c r="AV186" t="s">
        <v>822</v>
      </c>
      <c r="AW186" t="s">
        <v>191</v>
      </c>
      <c r="AX186" t="s">
        <v>788</v>
      </c>
      <c r="AY186" t="s">
        <v>1186</v>
      </c>
      <c r="AZ186" t="s">
        <v>1187</v>
      </c>
      <c r="BA186" t="s">
        <v>569</v>
      </c>
      <c r="BB186" t="str">
        <f t="shared" si="2"/>
        <v>APINoyIbadanNorthWest</v>
      </c>
    </row>
    <row r="187" spans="5:54" x14ac:dyDescent="0.25">
      <c r="E187" t="s">
        <v>683</v>
      </c>
      <c r="AV187" t="s">
        <v>822</v>
      </c>
      <c r="AW187" t="s">
        <v>191</v>
      </c>
      <c r="AX187" t="s">
        <v>789</v>
      </c>
      <c r="AY187" t="s">
        <v>1188</v>
      </c>
      <c r="AZ187" t="s">
        <v>1189</v>
      </c>
      <c r="BA187" t="s">
        <v>569</v>
      </c>
      <c r="BB187" t="str">
        <f t="shared" si="2"/>
        <v>APINoyIbadanSouthEast</v>
      </c>
    </row>
    <row r="188" spans="5:54" x14ac:dyDescent="0.25">
      <c r="E188" t="s">
        <v>692</v>
      </c>
      <c r="AV188" t="s">
        <v>822</v>
      </c>
      <c r="AW188" t="s">
        <v>191</v>
      </c>
      <c r="AX188" t="s">
        <v>789</v>
      </c>
      <c r="AY188" t="s">
        <v>1190</v>
      </c>
      <c r="AZ188" t="s">
        <v>1191</v>
      </c>
      <c r="BA188" t="s">
        <v>569</v>
      </c>
      <c r="BB188" t="str">
        <f t="shared" si="2"/>
        <v>APINoyIbadanSouthEast</v>
      </c>
    </row>
    <row r="189" spans="5:54" x14ac:dyDescent="0.25">
      <c r="E189" t="s">
        <v>693</v>
      </c>
      <c r="AV189" t="s">
        <v>822</v>
      </c>
      <c r="AW189" t="s">
        <v>191</v>
      </c>
      <c r="AX189" t="s">
        <v>789</v>
      </c>
      <c r="AY189" t="s">
        <v>1192</v>
      </c>
      <c r="AZ189" t="s">
        <v>1193</v>
      </c>
      <c r="BA189" t="s">
        <v>569</v>
      </c>
      <c r="BB189" t="str">
        <f t="shared" si="2"/>
        <v>APINoyIbadanSouthEast</v>
      </c>
    </row>
    <row r="190" spans="5:54" x14ac:dyDescent="0.25">
      <c r="E190" t="s">
        <v>694</v>
      </c>
      <c r="AV190" t="s">
        <v>822</v>
      </c>
      <c r="AW190" t="s">
        <v>191</v>
      </c>
      <c r="AX190" t="s">
        <v>789</v>
      </c>
      <c r="AY190" t="s">
        <v>1194</v>
      </c>
      <c r="AZ190" t="s">
        <v>1195</v>
      </c>
      <c r="BA190" t="s">
        <v>569</v>
      </c>
      <c r="BB190" t="str">
        <f t="shared" si="2"/>
        <v>APINoyIbadanSouthEast</v>
      </c>
    </row>
    <row r="191" spans="5:54" x14ac:dyDescent="0.25">
      <c r="E191" t="s">
        <v>684</v>
      </c>
      <c r="AV191" t="s">
        <v>822</v>
      </c>
      <c r="AW191" t="s">
        <v>191</v>
      </c>
      <c r="AX191" t="s">
        <v>789</v>
      </c>
      <c r="AY191" t="s">
        <v>1196</v>
      </c>
      <c r="AZ191" t="s">
        <v>1197</v>
      </c>
      <c r="BA191" t="s">
        <v>569</v>
      </c>
      <c r="BB191" t="str">
        <f t="shared" si="2"/>
        <v>APINoyIbadanSouthEast</v>
      </c>
    </row>
    <row r="192" spans="5:54" x14ac:dyDescent="0.25">
      <c r="E192" t="s">
        <v>686</v>
      </c>
      <c r="AV192" t="s">
        <v>822</v>
      </c>
      <c r="AW192" t="s">
        <v>191</v>
      </c>
      <c r="AX192" t="s">
        <v>789</v>
      </c>
      <c r="AY192" t="s">
        <v>1198</v>
      </c>
      <c r="AZ192" t="s">
        <v>1199</v>
      </c>
      <c r="BA192" t="s">
        <v>569</v>
      </c>
      <c r="BB192" t="str">
        <f t="shared" si="2"/>
        <v>APINoyIbadanSouthEast</v>
      </c>
    </row>
    <row r="193" spans="5:54" x14ac:dyDescent="0.25">
      <c r="E193" t="s">
        <v>695</v>
      </c>
      <c r="AV193" t="s">
        <v>822</v>
      </c>
      <c r="AW193" t="s">
        <v>191</v>
      </c>
      <c r="AX193" t="s">
        <v>790</v>
      </c>
      <c r="AY193" t="s">
        <v>1200</v>
      </c>
      <c r="AZ193" t="s">
        <v>1201</v>
      </c>
      <c r="BA193" t="s">
        <v>569</v>
      </c>
      <c r="BB193" t="str">
        <f t="shared" si="2"/>
        <v>APINoyIbadanSouthWest</v>
      </c>
    </row>
    <row r="194" spans="5:54" x14ac:dyDescent="0.25">
      <c r="E194" t="s">
        <v>687</v>
      </c>
      <c r="AV194" t="s">
        <v>822</v>
      </c>
      <c r="AW194" t="s">
        <v>191</v>
      </c>
      <c r="AX194" t="s">
        <v>790</v>
      </c>
      <c r="AY194" t="s">
        <v>1202</v>
      </c>
      <c r="AZ194" t="s">
        <v>1203</v>
      </c>
      <c r="BA194" t="s">
        <v>569</v>
      </c>
      <c r="BB194" t="str">
        <f t="shared" si="2"/>
        <v>APINoyIbadanSouthWest</v>
      </c>
    </row>
    <row r="195" spans="5:54" x14ac:dyDescent="0.25">
      <c r="E195" t="s">
        <v>696</v>
      </c>
      <c r="AV195" t="s">
        <v>822</v>
      </c>
      <c r="AW195" t="s">
        <v>191</v>
      </c>
      <c r="AX195" t="s">
        <v>791</v>
      </c>
      <c r="AY195" t="s">
        <v>1204</v>
      </c>
      <c r="AZ195" t="s">
        <v>1205</v>
      </c>
      <c r="BA195" t="s">
        <v>569</v>
      </c>
      <c r="BB195" t="str">
        <f t="shared" ref="BB195:BB258" si="3">SUBSTITUTE(SUBSTITUTE(BA195&amp;AX195," ",""),"-","")</f>
        <v>APINoyIbarapaCentral</v>
      </c>
    </row>
    <row r="196" spans="5:54" x14ac:dyDescent="0.25">
      <c r="E196" t="s">
        <v>713</v>
      </c>
      <c r="AV196" t="s">
        <v>822</v>
      </c>
      <c r="AW196" t="s">
        <v>191</v>
      </c>
      <c r="AX196" t="s">
        <v>792</v>
      </c>
      <c r="AY196" t="s">
        <v>1206</v>
      </c>
      <c r="AZ196" t="s">
        <v>1207</v>
      </c>
      <c r="BA196" t="s">
        <v>569</v>
      </c>
      <c r="BB196" t="str">
        <f t="shared" si="3"/>
        <v>APINoyIdo</v>
      </c>
    </row>
    <row r="197" spans="5:54" x14ac:dyDescent="0.25">
      <c r="E197" t="s">
        <v>714</v>
      </c>
      <c r="AV197" t="s">
        <v>822</v>
      </c>
      <c r="AW197" t="s">
        <v>191</v>
      </c>
      <c r="AX197" t="s">
        <v>793</v>
      </c>
      <c r="AY197" t="s">
        <v>1208</v>
      </c>
      <c r="AZ197" t="s">
        <v>1209</v>
      </c>
      <c r="BA197" t="s">
        <v>569</v>
      </c>
      <c r="BB197" t="str">
        <f t="shared" si="3"/>
        <v>APINoyItesiwaju</v>
      </c>
    </row>
    <row r="198" spans="5:54" x14ac:dyDescent="0.25">
      <c r="E198" t="s">
        <v>715</v>
      </c>
      <c r="AV198" t="s">
        <v>822</v>
      </c>
      <c r="AW198" t="s">
        <v>191</v>
      </c>
      <c r="AX198" t="s">
        <v>793</v>
      </c>
      <c r="AY198" t="s">
        <v>1210</v>
      </c>
      <c r="AZ198" t="s">
        <v>1211</v>
      </c>
      <c r="BA198" t="s">
        <v>569</v>
      </c>
      <c r="BB198" t="str">
        <f t="shared" si="3"/>
        <v>APINoyItesiwaju</v>
      </c>
    </row>
    <row r="199" spans="5:54" x14ac:dyDescent="0.25">
      <c r="E199" t="s">
        <v>710</v>
      </c>
      <c r="AV199" t="s">
        <v>822</v>
      </c>
      <c r="AW199" t="s">
        <v>191</v>
      </c>
      <c r="AX199" t="s">
        <v>794</v>
      </c>
      <c r="AY199" t="s">
        <v>1212</v>
      </c>
      <c r="AZ199" t="s">
        <v>1213</v>
      </c>
      <c r="BA199" t="s">
        <v>569</v>
      </c>
      <c r="BB199" t="str">
        <f t="shared" si="3"/>
        <v>APINoyLagelu</v>
      </c>
    </row>
    <row r="200" spans="5:54" x14ac:dyDescent="0.25">
      <c r="E200" t="s">
        <v>716</v>
      </c>
      <c r="AV200" t="s">
        <v>822</v>
      </c>
      <c r="AW200" t="s">
        <v>191</v>
      </c>
      <c r="AX200" t="s">
        <v>794</v>
      </c>
      <c r="AY200" t="s">
        <v>1214</v>
      </c>
      <c r="AZ200" t="s">
        <v>1215</v>
      </c>
      <c r="BA200" t="s">
        <v>569</v>
      </c>
      <c r="BB200" t="str">
        <f t="shared" si="3"/>
        <v>APINoyLagelu</v>
      </c>
    </row>
    <row r="201" spans="5:54" x14ac:dyDescent="0.25">
      <c r="E201" t="s">
        <v>711</v>
      </c>
      <c r="AV201" t="s">
        <v>822</v>
      </c>
      <c r="AW201" t="s">
        <v>191</v>
      </c>
      <c r="AX201" t="s">
        <v>795</v>
      </c>
      <c r="AY201" t="s">
        <v>1216</v>
      </c>
      <c r="AZ201" t="s">
        <v>1217</v>
      </c>
      <c r="BA201" t="s">
        <v>569</v>
      </c>
      <c r="BB201" t="str">
        <f t="shared" si="3"/>
        <v>APINoyOgbomosoNorth</v>
      </c>
    </row>
    <row r="202" spans="5:54" x14ac:dyDescent="0.25">
      <c r="E202" t="s">
        <v>717</v>
      </c>
      <c r="AV202" t="s">
        <v>822</v>
      </c>
      <c r="AW202" t="s">
        <v>191</v>
      </c>
      <c r="AX202" t="s">
        <v>795</v>
      </c>
      <c r="AY202" t="s">
        <v>1218</v>
      </c>
      <c r="AZ202" t="s">
        <v>1219</v>
      </c>
      <c r="BA202" t="s">
        <v>569</v>
      </c>
      <c r="BB202" t="str">
        <f t="shared" si="3"/>
        <v>APINoyOgbomosoNorth</v>
      </c>
    </row>
    <row r="203" spans="5:54" x14ac:dyDescent="0.25">
      <c r="E203" t="s">
        <v>718</v>
      </c>
      <c r="AV203" t="s">
        <v>822</v>
      </c>
      <c r="AW203" t="s">
        <v>191</v>
      </c>
      <c r="AX203" t="s">
        <v>796</v>
      </c>
      <c r="AY203" t="s">
        <v>1220</v>
      </c>
      <c r="AZ203" t="s">
        <v>1221</v>
      </c>
      <c r="BA203" t="s">
        <v>569</v>
      </c>
      <c r="BB203" t="str">
        <f t="shared" si="3"/>
        <v>APINoyOgbomosoSouth</v>
      </c>
    </row>
    <row r="204" spans="5:54" x14ac:dyDescent="0.25">
      <c r="E204" t="s">
        <v>719</v>
      </c>
      <c r="AV204" t="s">
        <v>822</v>
      </c>
      <c r="AW204" t="s">
        <v>191</v>
      </c>
      <c r="AX204" t="s">
        <v>797</v>
      </c>
      <c r="AY204" t="s">
        <v>1222</v>
      </c>
      <c r="AZ204" t="s">
        <v>1223</v>
      </c>
      <c r="BA204" t="s">
        <v>569</v>
      </c>
      <c r="BB204" t="str">
        <f t="shared" si="3"/>
        <v>APINoyOluyole</v>
      </c>
    </row>
    <row r="205" spans="5:54" x14ac:dyDescent="0.25">
      <c r="E205" t="s">
        <v>720</v>
      </c>
      <c r="AV205" t="s">
        <v>822</v>
      </c>
      <c r="AW205" t="s">
        <v>191</v>
      </c>
      <c r="AX205" t="s">
        <v>798</v>
      </c>
      <c r="AY205" t="s">
        <v>1224</v>
      </c>
      <c r="AZ205" t="s">
        <v>1225</v>
      </c>
      <c r="BA205" t="s">
        <v>569</v>
      </c>
      <c r="BB205" t="str">
        <f t="shared" si="3"/>
        <v>APINoyOnaAra</v>
      </c>
    </row>
    <row r="206" spans="5:54" x14ac:dyDescent="0.25">
      <c r="E206" t="s">
        <v>721</v>
      </c>
      <c r="AV206" t="s">
        <v>822</v>
      </c>
      <c r="AW206" t="s">
        <v>191</v>
      </c>
      <c r="AX206" t="s">
        <v>798</v>
      </c>
      <c r="AY206" t="s">
        <v>1226</v>
      </c>
      <c r="AZ206" t="s">
        <v>1227</v>
      </c>
      <c r="BA206" t="s">
        <v>569</v>
      </c>
      <c r="BB206" t="str">
        <f t="shared" si="3"/>
        <v>APINoyOnaAra</v>
      </c>
    </row>
    <row r="207" spans="5:54" x14ac:dyDescent="0.25">
      <c r="E207" t="s">
        <v>722</v>
      </c>
      <c r="AV207" t="s">
        <v>822</v>
      </c>
      <c r="AW207" t="s">
        <v>191</v>
      </c>
      <c r="AX207" t="s">
        <v>799</v>
      </c>
      <c r="AY207" t="s">
        <v>1228</v>
      </c>
      <c r="AZ207" t="s">
        <v>1229</v>
      </c>
      <c r="BA207" t="s">
        <v>569</v>
      </c>
      <c r="BB207" t="str">
        <f t="shared" si="3"/>
        <v>APINoyOyoEast</v>
      </c>
    </row>
    <row r="208" spans="5:54" x14ac:dyDescent="0.25">
      <c r="E208" t="s">
        <v>723</v>
      </c>
      <c r="AV208" t="s">
        <v>822</v>
      </c>
      <c r="AW208" t="s">
        <v>191</v>
      </c>
      <c r="AX208" t="s">
        <v>800</v>
      </c>
      <c r="AY208" t="s">
        <v>1230</v>
      </c>
      <c r="AZ208" t="s">
        <v>1231</v>
      </c>
      <c r="BA208" t="s">
        <v>569</v>
      </c>
      <c r="BB208" t="str">
        <f t="shared" si="3"/>
        <v>APINoyOyoWest</v>
      </c>
    </row>
    <row r="209" spans="5:54" x14ac:dyDescent="0.25">
      <c r="E209" t="s">
        <v>724</v>
      </c>
      <c r="AV209" t="s">
        <v>822</v>
      </c>
      <c r="AW209" t="s">
        <v>191</v>
      </c>
      <c r="AX209" t="s">
        <v>801</v>
      </c>
      <c r="AY209" t="s">
        <v>1232</v>
      </c>
      <c r="AZ209" t="s">
        <v>1233</v>
      </c>
      <c r="BA209" t="s">
        <v>569</v>
      </c>
      <c r="BB209" t="str">
        <f t="shared" si="3"/>
        <v>APINoySakiWest</v>
      </c>
    </row>
    <row r="210" spans="5:54" x14ac:dyDescent="0.25">
      <c r="E210" t="s">
        <v>611</v>
      </c>
      <c r="AV210" t="s">
        <v>822</v>
      </c>
      <c r="AW210" t="s">
        <v>191</v>
      </c>
      <c r="AX210" t="s">
        <v>802</v>
      </c>
      <c r="AY210" t="s">
        <v>1234</v>
      </c>
      <c r="AZ210" t="s">
        <v>1235</v>
      </c>
      <c r="BA210" t="s">
        <v>569</v>
      </c>
      <c r="BB210" t="str">
        <f t="shared" si="3"/>
        <v>APINoySurulere</v>
      </c>
    </row>
    <row r="211" spans="5:54" x14ac:dyDescent="0.25">
      <c r="E211" t="s">
        <v>612</v>
      </c>
      <c r="AV211" t="s">
        <v>822</v>
      </c>
      <c r="AW211" t="s">
        <v>192</v>
      </c>
      <c r="AX211" t="s">
        <v>804</v>
      </c>
      <c r="AY211" t="s">
        <v>1236</v>
      </c>
      <c r="AZ211" t="s">
        <v>1237</v>
      </c>
      <c r="BA211" t="s">
        <v>569</v>
      </c>
      <c r="BB211" t="str">
        <f t="shared" si="3"/>
        <v>APINplBarkinLadi</v>
      </c>
    </row>
    <row r="212" spans="5:54" x14ac:dyDescent="0.25">
      <c r="E212" t="s">
        <v>613</v>
      </c>
      <c r="AV212" t="s">
        <v>822</v>
      </c>
      <c r="AW212" t="s">
        <v>192</v>
      </c>
      <c r="AX212" t="s">
        <v>805</v>
      </c>
      <c r="AY212" t="s">
        <v>1238</v>
      </c>
      <c r="AZ212" t="s">
        <v>1239</v>
      </c>
      <c r="BA212" t="s">
        <v>569</v>
      </c>
      <c r="BB212" t="str">
        <f t="shared" si="3"/>
        <v>APINplBassa</v>
      </c>
    </row>
    <row r="213" spans="5:54" x14ac:dyDescent="0.25">
      <c r="E213" t="s">
        <v>614</v>
      </c>
      <c r="AV213" t="s">
        <v>822</v>
      </c>
      <c r="AW213" t="s">
        <v>192</v>
      </c>
      <c r="AX213" t="s">
        <v>806</v>
      </c>
      <c r="AY213" t="s">
        <v>1240</v>
      </c>
      <c r="AZ213" t="s">
        <v>1241</v>
      </c>
      <c r="BA213" t="s">
        <v>569</v>
      </c>
      <c r="BB213" t="str">
        <f t="shared" si="3"/>
        <v>APINplJosEast</v>
      </c>
    </row>
    <row r="214" spans="5:54" x14ac:dyDescent="0.25">
      <c r="E214" t="s">
        <v>632</v>
      </c>
      <c r="AV214" t="s">
        <v>822</v>
      </c>
      <c r="AW214" t="s">
        <v>192</v>
      </c>
      <c r="AX214" t="s">
        <v>806</v>
      </c>
      <c r="AY214" t="s">
        <v>1242</v>
      </c>
      <c r="AZ214" t="s">
        <v>1243</v>
      </c>
      <c r="BA214" t="s">
        <v>569</v>
      </c>
      <c r="BB214" t="str">
        <f t="shared" si="3"/>
        <v>APINplJosEast</v>
      </c>
    </row>
    <row r="215" spans="5:54" x14ac:dyDescent="0.25">
      <c r="E215" t="s">
        <v>633</v>
      </c>
      <c r="AV215" t="s">
        <v>822</v>
      </c>
      <c r="AW215" t="s">
        <v>192</v>
      </c>
      <c r="AX215" t="s">
        <v>807</v>
      </c>
      <c r="AY215" t="s">
        <v>1244</v>
      </c>
      <c r="AZ215" t="s">
        <v>1245</v>
      </c>
      <c r="BA215" t="s">
        <v>569</v>
      </c>
      <c r="BB215" t="str">
        <f t="shared" si="3"/>
        <v>APINplJosNorth</v>
      </c>
    </row>
    <row r="216" spans="5:54" x14ac:dyDescent="0.25">
      <c r="E216" t="s">
        <v>634</v>
      </c>
      <c r="AV216" t="s">
        <v>822</v>
      </c>
      <c r="AW216" t="s">
        <v>192</v>
      </c>
      <c r="AX216" t="s">
        <v>807</v>
      </c>
      <c r="AY216" t="s">
        <v>1246</v>
      </c>
      <c r="AZ216" t="s">
        <v>1247</v>
      </c>
      <c r="BA216" t="s">
        <v>569</v>
      </c>
      <c r="BB216" t="str">
        <f t="shared" si="3"/>
        <v>APINplJosNorth</v>
      </c>
    </row>
    <row r="217" spans="5:54" x14ac:dyDescent="0.25">
      <c r="E217" t="s">
        <v>635</v>
      </c>
      <c r="AV217" t="s">
        <v>822</v>
      </c>
      <c r="AW217" t="s">
        <v>192</v>
      </c>
      <c r="AX217" t="s">
        <v>807</v>
      </c>
      <c r="AY217" t="s">
        <v>1248</v>
      </c>
      <c r="AZ217" t="s">
        <v>1249</v>
      </c>
      <c r="BA217" t="s">
        <v>569</v>
      </c>
      <c r="BB217" t="str">
        <f t="shared" si="3"/>
        <v>APINplJosNorth</v>
      </c>
    </row>
    <row r="218" spans="5:54" x14ac:dyDescent="0.25">
      <c r="E218" t="s">
        <v>636</v>
      </c>
      <c r="AV218" t="s">
        <v>822</v>
      </c>
      <c r="AW218" t="s">
        <v>192</v>
      </c>
      <c r="AX218" t="s">
        <v>807</v>
      </c>
      <c r="AY218" t="s">
        <v>1250</v>
      </c>
      <c r="AZ218" t="s">
        <v>1251</v>
      </c>
      <c r="BA218" t="s">
        <v>569</v>
      </c>
      <c r="BB218" t="str">
        <f t="shared" si="3"/>
        <v>APINplJosNorth</v>
      </c>
    </row>
    <row r="219" spans="5:54" x14ac:dyDescent="0.25">
      <c r="E219" t="s">
        <v>675</v>
      </c>
      <c r="AV219" t="s">
        <v>822</v>
      </c>
      <c r="AW219" t="s">
        <v>192</v>
      </c>
      <c r="AX219" t="s">
        <v>807</v>
      </c>
      <c r="AY219" t="s">
        <v>1252</v>
      </c>
      <c r="AZ219" t="s">
        <v>1253</v>
      </c>
      <c r="BA219" t="s">
        <v>569</v>
      </c>
      <c r="BB219" t="str">
        <f t="shared" si="3"/>
        <v>APINplJosNorth</v>
      </c>
    </row>
    <row r="220" spans="5:54" x14ac:dyDescent="0.25">
      <c r="E220" t="s">
        <v>676</v>
      </c>
      <c r="AV220" t="s">
        <v>822</v>
      </c>
      <c r="AW220" t="s">
        <v>192</v>
      </c>
      <c r="AX220" t="s">
        <v>807</v>
      </c>
      <c r="AY220" t="s">
        <v>1254</v>
      </c>
      <c r="AZ220" t="s">
        <v>1255</v>
      </c>
      <c r="BA220" t="s">
        <v>569</v>
      </c>
      <c r="BB220" t="str">
        <f t="shared" si="3"/>
        <v>APINplJosNorth</v>
      </c>
    </row>
    <row r="221" spans="5:54" x14ac:dyDescent="0.25">
      <c r="E221" t="s">
        <v>677</v>
      </c>
      <c r="AV221" t="s">
        <v>822</v>
      </c>
      <c r="AW221" t="s">
        <v>192</v>
      </c>
      <c r="AX221" t="s">
        <v>807</v>
      </c>
      <c r="AY221" t="s">
        <v>1256</v>
      </c>
      <c r="AZ221" t="s">
        <v>1257</v>
      </c>
      <c r="BA221" t="s">
        <v>569</v>
      </c>
      <c r="BB221" t="str">
        <f t="shared" si="3"/>
        <v>APINplJosNorth</v>
      </c>
    </row>
    <row r="222" spans="5:54" x14ac:dyDescent="0.25">
      <c r="E222" t="s">
        <v>678</v>
      </c>
      <c r="AV222" t="s">
        <v>822</v>
      </c>
      <c r="AW222" t="s">
        <v>192</v>
      </c>
      <c r="AX222" t="s">
        <v>808</v>
      </c>
      <c r="AY222" t="s">
        <v>1258</v>
      </c>
      <c r="AZ222" t="s">
        <v>1259</v>
      </c>
      <c r="BA222" t="s">
        <v>569</v>
      </c>
      <c r="BB222" t="str">
        <f t="shared" si="3"/>
        <v>APINplJosSouth</v>
      </c>
    </row>
    <row r="223" spans="5:54" x14ac:dyDescent="0.25">
      <c r="E223" t="s">
        <v>679</v>
      </c>
      <c r="AV223" t="s">
        <v>822</v>
      </c>
      <c r="AW223" t="s">
        <v>192</v>
      </c>
      <c r="AX223" t="s">
        <v>808</v>
      </c>
      <c r="AY223" t="s">
        <v>1260</v>
      </c>
      <c r="AZ223" t="s">
        <v>1261</v>
      </c>
      <c r="BA223" t="s">
        <v>569</v>
      </c>
      <c r="BB223" t="str">
        <f t="shared" si="3"/>
        <v>APINplJosSouth</v>
      </c>
    </row>
    <row r="224" spans="5:54" x14ac:dyDescent="0.25">
      <c r="E224" t="s">
        <v>680</v>
      </c>
      <c r="AV224" t="s">
        <v>822</v>
      </c>
      <c r="AW224" t="s">
        <v>192</v>
      </c>
      <c r="AX224" t="s">
        <v>808</v>
      </c>
      <c r="AY224" t="s">
        <v>1262</v>
      </c>
      <c r="AZ224" t="s">
        <v>1263</v>
      </c>
      <c r="BA224" t="s">
        <v>569</v>
      </c>
      <c r="BB224" t="str">
        <f t="shared" si="3"/>
        <v>APINplJosSouth</v>
      </c>
    </row>
    <row r="225" spans="5:54" x14ac:dyDescent="0.25">
      <c r="E225" t="s">
        <v>652</v>
      </c>
      <c r="AV225" t="s">
        <v>822</v>
      </c>
      <c r="AW225" t="s">
        <v>192</v>
      </c>
      <c r="AX225" t="s">
        <v>808</v>
      </c>
      <c r="AY225" t="s">
        <v>1264</v>
      </c>
      <c r="AZ225" t="s">
        <v>1265</v>
      </c>
      <c r="BA225" t="s">
        <v>569</v>
      </c>
      <c r="BB225" t="str">
        <f t="shared" si="3"/>
        <v>APINplJosSouth</v>
      </c>
    </row>
    <row r="226" spans="5:54" x14ac:dyDescent="0.25">
      <c r="E226" t="s">
        <v>653</v>
      </c>
      <c r="AV226" t="s">
        <v>822</v>
      </c>
      <c r="AW226" t="s">
        <v>192</v>
      </c>
      <c r="AX226" t="s">
        <v>809</v>
      </c>
      <c r="AY226" t="s">
        <v>1266</v>
      </c>
      <c r="AZ226" t="s">
        <v>1267</v>
      </c>
      <c r="BA226" t="s">
        <v>569</v>
      </c>
      <c r="BB226" t="str">
        <f t="shared" si="3"/>
        <v>APINplLangtangNorth</v>
      </c>
    </row>
    <row r="227" spans="5:54" x14ac:dyDescent="0.25">
      <c r="E227" t="s">
        <v>697</v>
      </c>
      <c r="AV227" t="s">
        <v>822</v>
      </c>
      <c r="AW227" t="s">
        <v>192</v>
      </c>
      <c r="AX227" t="s">
        <v>810</v>
      </c>
      <c r="AY227" t="s">
        <v>1268</v>
      </c>
      <c r="AZ227" t="s">
        <v>1269</v>
      </c>
      <c r="BA227" t="s">
        <v>569</v>
      </c>
      <c r="BB227" t="str">
        <f t="shared" si="3"/>
        <v>APINplMangu</v>
      </c>
    </row>
    <row r="228" spans="5:54" x14ac:dyDescent="0.25">
      <c r="E228" t="s">
        <v>698</v>
      </c>
      <c r="AV228" t="s">
        <v>822</v>
      </c>
      <c r="AW228" t="s">
        <v>192</v>
      </c>
      <c r="AX228" t="s">
        <v>810</v>
      </c>
      <c r="AY228" t="s">
        <v>1270</v>
      </c>
      <c r="AZ228" t="s">
        <v>1271</v>
      </c>
      <c r="BA228" t="s">
        <v>569</v>
      </c>
      <c r="BB228" t="str">
        <f t="shared" si="3"/>
        <v>APINplMangu</v>
      </c>
    </row>
    <row r="229" spans="5:54" x14ac:dyDescent="0.25">
      <c r="E229" t="s">
        <v>699</v>
      </c>
      <c r="AV229" t="s">
        <v>822</v>
      </c>
      <c r="AW229" t="s">
        <v>192</v>
      </c>
      <c r="AX229" t="s">
        <v>810</v>
      </c>
      <c r="AY229" t="s">
        <v>1272</v>
      </c>
      <c r="AZ229" t="s">
        <v>1273</v>
      </c>
      <c r="BA229" t="s">
        <v>569</v>
      </c>
      <c r="BB229" t="str">
        <f t="shared" si="3"/>
        <v>APINplMangu</v>
      </c>
    </row>
    <row r="230" spans="5:54" x14ac:dyDescent="0.25">
      <c r="E230" t="s">
        <v>685</v>
      </c>
      <c r="AV230" t="s">
        <v>822</v>
      </c>
      <c r="AW230" t="s">
        <v>192</v>
      </c>
      <c r="AX230" t="s">
        <v>811</v>
      </c>
      <c r="AY230" t="s">
        <v>1274</v>
      </c>
      <c r="AZ230" t="s">
        <v>1275</v>
      </c>
      <c r="BA230" t="s">
        <v>569</v>
      </c>
      <c r="BB230" t="str">
        <f t="shared" si="3"/>
        <v>APINplPankshin</v>
      </c>
    </row>
    <row r="231" spans="5:54" x14ac:dyDescent="0.25">
      <c r="E231" t="s">
        <v>700</v>
      </c>
      <c r="AV231" t="s">
        <v>822</v>
      </c>
      <c r="AW231" t="s">
        <v>192</v>
      </c>
      <c r="AX231" t="s">
        <v>811</v>
      </c>
      <c r="AY231" t="s">
        <v>1276</v>
      </c>
      <c r="AZ231" t="s">
        <v>1277</v>
      </c>
      <c r="BA231" t="s">
        <v>569</v>
      </c>
      <c r="BB231" t="str">
        <f t="shared" si="3"/>
        <v>APINplPankshin</v>
      </c>
    </row>
    <row r="232" spans="5:54" x14ac:dyDescent="0.25">
      <c r="E232" t="s">
        <v>701</v>
      </c>
      <c r="AV232" t="s">
        <v>822</v>
      </c>
      <c r="AW232" t="s">
        <v>192</v>
      </c>
      <c r="AX232" t="s">
        <v>3800</v>
      </c>
      <c r="AY232" t="s">
        <v>1278</v>
      </c>
      <c r="AZ232" t="s">
        <v>1279</v>
      </c>
      <c r="BA232" t="s">
        <v>569</v>
      </c>
      <c r="BB232" t="str">
        <f t="shared" si="3"/>
        <v>APINplQuaanPan</v>
      </c>
    </row>
    <row r="233" spans="5:54" x14ac:dyDescent="0.25">
      <c r="E233" t="s">
        <v>702</v>
      </c>
      <c r="AV233" t="s">
        <v>822</v>
      </c>
      <c r="AW233" t="s">
        <v>192</v>
      </c>
      <c r="AX233" t="s">
        <v>813</v>
      </c>
      <c r="AY233" t="s">
        <v>1280</v>
      </c>
      <c r="AZ233" t="s">
        <v>1281</v>
      </c>
      <c r="BA233" t="s">
        <v>569</v>
      </c>
      <c r="BB233" t="str">
        <f t="shared" si="3"/>
        <v>APINplShendam</v>
      </c>
    </row>
    <row r="234" spans="5:54" x14ac:dyDescent="0.25">
      <c r="E234" t="s">
        <v>703</v>
      </c>
      <c r="AV234" t="s">
        <v>822</v>
      </c>
      <c r="AW234" t="s">
        <v>192</v>
      </c>
      <c r="AX234" t="s">
        <v>813</v>
      </c>
      <c r="AY234" t="s">
        <v>1282</v>
      </c>
      <c r="AZ234" t="s">
        <v>1283</v>
      </c>
      <c r="BA234" t="s">
        <v>569</v>
      </c>
      <c r="BB234" t="str">
        <f t="shared" si="3"/>
        <v>APINplShendam</v>
      </c>
    </row>
    <row r="235" spans="5:54" x14ac:dyDescent="0.25">
      <c r="E235" t="s">
        <v>704</v>
      </c>
      <c r="AV235" t="s">
        <v>822</v>
      </c>
      <c r="AW235" t="s">
        <v>192</v>
      </c>
      <c r="AX235" t="s">
        <v>813</v>
      </c>
      <c r="AY235" t="s">
        <v>1284</v>
      </c>
      <c r="AZ235" t="s">
        <v>1285</v>
      </c>
      <c r="BA235" t="s">
        <v>569</v>
      </c>
      <c r="BB235" t="str">
        <f t="shared" si="3"/>
        <v>APINplShendam</v>
      </c>
    </row>
    <row r="236" spans="5:54" x14ac:dyDescent="0.25">
      <c r="E236" t="s">
        <v>725</v>
      </c>
      <c r="AV236" t="s">
        <v>822</v>
      </c>
      <c r="AW236" t="s">
        <v>171</v>
      </c>
      <c r="AX236" t="s">
        <v>602</v>
      </c>
      <c r="AY236" t="s">
        <v>1286</v>
      </c>
      <c r="AZ236" t="s">
        <v>1287</v>
      </c>
      <c r="BA236" t="s">
        <v>143</v>
      </c>
      <c r="BB236" t="str">
        <f t="shared" si="3"/>
        <v>CCCRNebAbakaliki</v>
      </c>
    </row>
    <row r="237" spans="5:54" x14ac:dyDescent="0.25">
      <c r="E237" t="s">
        <v>712</v>
      </c>
      <c r="AV237" t="s">
        <v>822</v>
      </c>
      <c r="AW237" t="s">
        <v>171</v>
      </c>
      <c r="AX237" t="s">
        <v>602</v>
      </c>
      <c r="AY237" t="s">
        <v>1288</v>
      </c>
      <c r="AZ237" t="s">
        <v>1289</v>
      </c>
      <c r="BA237" t="s">
        <v>143</v>
      </c>
      <c r="BB237" t="str">
        <f t="shared" si="3"/>
        <v>CCCRNebAbakaliki</v>
      </c>
    </row>
    <row r="238" spans="5:54" x14ac:dyDescent="0.25">
      <c r="E238" t="s">
        <v>578</v>
      </c>
      <c r="AV238" t="s">
        <v>822</v>
      </c>
      <c r="AW238" t="s">
        <v>171</v>
      </c>
      <c r="AX238" t="s">
        <v>602</v>
      </c>
      <c r="AY238" t="s">
        <v>1290</v>
      </c>
      <c r="AZ238" t="s">
        <v>1291</v>
      </c>
      <c r="BA238" t="s">
        <v>143</v>
      </c>
      <c r="BB238" t="str">
        <f t="shared" si="3"/>
        <v>CCCRNebAbakaliki</v>
      </c>
    </row>
    <row r="239" spans="5:54" x14ac:dyDescent="0.25">
      <c r="E239" t="s">
        <v>579</v>
      </c>
      <c r="AV239" t="s">
        <v>822</v>
      </c>
      <c r="AW239" t="s">
        <v>171</v>
      </c>
      <c r="AX239" t="s">
        <v>602</v>
      </c>
      <c r="AY239" t="s">
        <v>1292</v>
      </c>
      <c r="AZ239" t="s">
        <v>1293</v>
      </c>
      <c r="BA239" t="s">
        <v>143</v>
      </c>
      <c r="BB239" t="str">
        <f t="shared" si="3"/>
        <v>CCCRNebAbakaliki</v>
      </c>
    </row>
    <row r="240" spans="5:54" x14ac:dyDescent="0.25">
      <c r="E240" t="s">
        <v>582</v>
      </c>
      <c r="AV240" t="s">
        <v>822</v>
      </c>
      <c r="AW240" t="s">
        <v>171</v>
      </c>
      <c r="AX240" t="s">
        <v>602</v>
      </c>
      <c r="AY240" t="s">
        <v>1294</v>
      </c>
      <c r="AZ240" t="s">
        <v>1295</v>
      </c>
      <c r="BA240" t="s">
        <v>143</v>
      </c>
      <c r="BB240" t="str">
        <f t="shared" si="3"/>
        <v>CCCRNebAbakaliki</v>
      </c>
    </row>
    <row r="241" spans="5:54" x14ac:dyDescent="0.25">
      <c r="E241" t="s">
        <v>594</v>
      </c>
      <c r="AV241" t="s">
        <v>822</v>
      </c>
      <c r="AW241" t="s">
        <v>171</v>
      </c>
      <c r="AX241" t="s">
        <v>602</v>
      </c>
      <c r="AY241" t="s">
        <v>1296</v>
      </c>
      <c r="AZ241" t="s">
        <v>1297</v>
      </c>
      <c r="BA241" t="s">
        <v>143</v>
      </c>
      <c r="BB241" t="str">
        <f t="shared" si="3"/>
        <v>CCCRNebAbakaliki</v>
      </c>
    </row>
    <row r="242" spans="5:54" x14ac:dyDescent="0.25">
      <c r="E242" t="s">
        <v>587</v>
      </c>
      <c r="AV242" t="s">
        <v>822</v>
      </c>
      <c r="AW242" t="s">
        <v>171</v>
      </c>
      <c r="AX242" t="s">
        <v>602</v>
      </c>
      <c r="AY242" t="s">
        <v>1298</v>
      </c>
      <c r="AZ242" t="s">
        <v>1299</v>
      </c>
      <c r="BA242" t="s">
        <v>143</v>
      </c>
      <c r="BB242" t="str">
        <f t="shared" si="3"/>
        <v>CCCRNebAbakaliki</v>
      </c>
    </row>
    <row r="243" spans="5:54" x14ac:dyDescent="0.25">
      <c r="E243" t="s">
        <v>596</v>
      </c>
      <c r="AV243" t="s">
        <v>822</v>
      </c>
      <c r="AW243" t="s">
        <v>171</v>
      </c>
      <c r="AX243" t="s">
        <v>603</v>
      </c>
      <c r="AY243" t="s">
        <v>1300</v>
      </c>
      <c r="AZ243" t="s">
        <v>1301</v>
      </c>
      <c r="BA243" t="s">
        <v>143</v>
      </c>
      <c r="BB243" t="str">
        <f t="shared" si="3"/>
        <v>CCCRNebAfikpoNorth</v>
      </c>
    </row>
    <row r="244" spans="5:54" x14ac:dyDescent="0.25">
      <c r="E244" t="s">
        <v>599</v>
      </c>
      <c r="AV244" t="s">
        <v>822</v>
      </c>
      <c r="AW244" t="s">
        <v>171</v>
      </c>
      <c r="AX244" t="s">
        <v>603</v>
      </c>
      <c r="AY244" t="s">
        <v>1302</v>
      </c>
      <c r="AZ244" t="s">
        <v>1303</v>
      </c>
      <c r="BA244" t="s">
        <v>143</v>
      </c>
      <c r="BB244" t="str">
        <f t="shared" si="3"/>
        <v>CCCRNebAfikpoNorth</v>
      </c>
    </row>
    <row r="245" spans="5:54" x14ac:dyDescent="0.25">
      <c r="E245" t="s">
        <v>600</v>
      </c>
      <c r="AV245" t="s">
        <v>822</v>
      </c>
      <c r="AW245" t="s">
        <v>171</v>
      </c>
      <c r="AX245" t="s">
        <v>603</v>
      </c>
      <c r="AY245" t="s">
        <v>1304</v>
      </c>
      <c r="AZ245" t="s">
        <v>1305</v>
      </c>
      <c r="BA245" t="s">
        <v>143</v>
      </c>
      <c r="BB245" t="str">
        <f t="shared" si="3"/>
        <v>CCCRNebAfikpoNorth</v>
      </c>
    </row>
    <row r="246" spans="5:54" x14ac:dyDescent="0.25">
      <c r="E246" t="s">
        <v>601</v>
      </c>
      <c r="AV246" t="s">
        <v>822</v>
      </c>
      <c r="AW246" t="s">
        <v>171</v>
      </c>
      <c r="AX246" t="s">
        <v>603</v>
      </c>
      <c r="AY246" t="s">
        <v>1306</v>
      </c>
      <c r="AZ246" t="s">
        <v>1307</v>
      </c>
      <c r="BA246" t="s">
        <v>143</v>
      </c>
      <c r="BB246" t="str">
        <f t="shared" si="3"/>
        <v>CCCRNebAfikpoNorth</v>
      </c>
    </row>
    <row r="247" spans="5:54" x14ac:dyDescent="0.25">
      <c r="E247" t="s">
        <v>615</v>
      </c>
      <c r="AV247" t="s">
        <v>822</v>
      </c>
      <c r="AW247" t="s">
        <v>171</v>
      </c>
      <c r="AX247" t="s">
        <v>603</v>
      </c>
      <c r="AY247" t="s">
        <v>1308</v>
      </c>
      <c r="AZ247" t="s">
        <v>1309</v>
      </c>
      <c r="BA247" t="s">
        <v>143</v>
      </c>
      <c r="BB247" t="str">
        <f t="shared" si="3"/>
        <v>CCCRNebAfikpoNorth</v>
      </c>
    </row>
    <row r="248" spans="5:54" x14ac:dyDescent="0.25">
      <c r="E248" t="s">
        <v>616</v>
      </c>
      <c r="AV248" t="s">
        <v>822</v>
      </c>
      <c r="AW248" t="s">
        <v>171</v>
      </c>
      <c r="AX248" t="s">
        <v>603</v>
      </c>
      <c r="AY248" t="s">
        <v>1310</v>
      </c>
      <c r="AZ248" t="s">
        <v>1311</v>
      </c>
      <c r="BA248" t="s">
        <v>143</v>
      </c>
      <c r="BB248" t="str">
        <f t="shared" si="3"/>
        <v>CCCRNebAfikpoNorth</v>
      </c>
    </row>
    <row r="249" spans="5:54" x14ac:dyDescent="0.25">
      <c r="E249" t="s">
        <v>617</v>
      </c>
      <c r="AV249" t="s">
        <v>822</v>
      </c>
      <c r="AW249" t="s">
        <v>171</v>
      </c>
      <c r="AX249" t="s">
        <v>603</v>
      </c>
      <c r="AY249" t="s">
        <v>1312</v>
      </c>
      <c r="AZ249" t="s">
        <v>1313</v>
      </c>
      <c r="BA249" t="s">
        <v>143</v>
      </c>
      <c r="BB249" t="str">
        <f t="shared" si="3"/>
        <v>CCCRNebAfikpoNorth</v>
      </c>
    </row>
    <row r="250" spans="5:54" x14ac:dyDescent="0.25">
      <c r="E250" t="s">
        <v>618</v>
      </c>
      <c r="AV250" t="s">
        <v>822</v>
      </c>
      <c r="AW250" t="s">
        <v>171</v>
      </c>
      <c r="AX250" t="s">
        <v>603</v>
      </c>
      <c r="AY250" t="s">
        <v>1314</v>
      </c>
      <c r="AZ250" t="s">
        <v>1315</v>
      </c>
      <c r="BA250" t="s">
        <v>143</v>
      </c>
      <c r="BB250" t="str">
        <f t="shared" si="3"/>
        <v>CCCRNebAfikpoNorth</v>
      </c>
    </row>
    <row r="251" spans="5:54" x14ac:dyDescent="0.25">
      <c r="E251" t="s">
        <v>619</v>
      </c>
      <c r="AV251" t="s">
        <v>822</v>
      </c>
      <c r="AW251" t="s">
        <v>171</v>
      </c>
      <c r="AX251" t="s">
        <v>604</v>
      </c>
      <c r="AY251" t="s">
        <v>1316</v>
      </c>
      <c r="AZ251" t="s">
        <v>1317</v>
      </c>
      <c r="BA251" t="s">
        <v>143</v>
      </c>
      <c r="BB251" t="str">
        <f t="shared" si="3"/>
        <v>CCCRNebAfikpoSouth</v>
      </c>
    </row>
    <row r="252" spans="5:54" x14ac:dyDescent="0.25">
      <c r="E252" t="s">
        <v>620</v>
      </c>
      <c r="AV252" t="s">
        <v>822</v>
      </c>
      <c r="AW252" t="s">
        <v>171</v>
      </c>
      <c r="AX252" t="s">
        <v>604</v>
      </c>
      <c r="AY252" t="s">
        <v>1318</v>
      </c>
      <c r="AZ252" t="s">
        <v>1319</v>
      </c>
      <c r="BA252" t="s">
        <v>143</v>
      </c>
      <c r="BB252" t="str">
        <f t="shared" si="3"/>
        <v>CCCRNebAfikpoSouth</v>
      </c>
    </row>
    <row r="253" spans="5:54" x14ac:dyDescent="0.25">
      <c r="E253" t="s">
        <v>639</v>
      </c>
      <c r="AV253" t="s">
        <v>822</v>
      </c>
      <c r="AW253" t="s">
        <v>171</v>
      </c>
      <c r="AX253" t="s">
        <v>605</v>
      </c>
      <c r="AY253" t="s">
        <v>1320</v>
      </c>
      <c r="AZ253" t="s">
        <v>1321</v>
      </c>
      <c r="BA253" t="s">
        <v>143</v>
      </c>
      <c r="BB253" t="str">
        <f t="shared" si="3"/>
        <v>CCCRNebEbonyi</v>
      </c>
    </row>
    <row r="254" spans="5:54" x14ac:dyDescent="0.25">
      <c r="E254" t="s">
        <v>637</v>
      </c>
      <c r="AV254" t="s">
        <v>822</v>
      </c>
      <c r="AW254" t="s">
        <v>171</v>
      </c>
      <c r="AX254" t="s">
        <v>605</v>
      </c>
      <c r="AY254" t="s">
        <v>1322</v>
      </c>
      <c r="AZ254" t="s">
        <v>1323</v>
      </c>
      <c r="BA254" t="s">
        <v>143</v>
      </c>
      <c r="BB254" t="str">
        <f t="shared" si="3"/>
        <v>CCCRNebEbonyi</v>
      </c>
    </row>
    <row r="255" spans="5:54" x14ac:dyDescent="0.25">
      <c r="E255" t="s">
        <v>638</v>
      </c>
      <c r="AV255" t="s">
        <v>822</v>
      </c>
      <c r="AW255" t="s">
        <v>171</v>
      </c>
      <c r="AX255" t="s">
        <v>605</v>
      </c>
      <c r="AY255" t="s">
        <v>1324</v>
      </c>
      <c r="AZ255" t="s">
        <v>1325</v>
      </c>
      <c r="BA255" t="s">
        <v>143</v>
      </c>
      <c r="BB255" t="str">
        <f t="shared" si="3"/>
        <v>CCCRNebEbonyi</v>
      </c>
    </row>
    <row r="256" spans="5:54" x14ac:dyDescent="0.25">
      <c r="E256" t="s">
        <v>640</v>
      </c>
      <c r="AV256" t="s">
        <v>822</v>
      </c>
      <c r="AW256" t="s">
        <v>171</v>
      </c>
      <c r="AX256" t="s">
        <v>605</v>
      </c>
      <c r="AY256" t="s">
        <v>1326</v>
      </c>
      <c r="AZ256" t="s">
        <v>1327</v>
      </c>
      <c r="BA256" t="s">
        <v>143</v>
      </c>
      <c r="BB256" t="str">
        <f t="shared" si="3"/>
        <v>CCCRNebEbonyi</v>
      </c>
    </row>
    <row r="257" spans="5:54" x14ac:dyDescent="0.25">
      <c r="E257" t="s">
        <v>641</v>
      </c>
      <c r="AV257" t="s">
        <v>822</v>
      </c>
      <c r="AW257" t="s">
        <v>171</v>
      </c>
      <c r="AX257" t="s">
        <v>605</v>
      </c>
      <c r="AY257" t="s">
        <v>1328</v>
      </c>
      <c r="AZ257" t="s">
        <v>1329</v>
      </c>
      <c r="BA257" t="s">
        <v>143</v>
      </c>
      <c r="BB257" t="str">
        <f t="shared" si="3"/>
        <v>CCCRNebEbonyi</v>
      </c>
    </row>
    <row r="258" spans="5:54" x14ac:dyDescent="0.25">
      <c r="E258" t="s">
        <v>696</v>
      </c>
      <c r="AV258" t="s">
        <v>822</v>
      </c>
      <c r="AW258" t="s">
        <v>171</v>
      </c>
      <c r="AX258" t="s">
        <v>605</v>
      </c>
      <c r="AY258" t="s">
        <v>1330</v>
      </c>
      <c r="AZ258" t="s">
        <v>1331</v>
      </c>
      <c r="BA258" t="s">
        <v>143</v>
      </c>
      <c r="BB258" t="str">
        <f t="shared" si="3"/>
        <v>CCCRNebEbonyi</v>
      </c>
    </row>
    <row r="259" spans="5:54" x14ac:dyDescent="0.25">
      <c r="E259" t="s">
        <v>703</v>
      </c>
      <c r="AV259" t="s">
        <v>822</v>
      </c>
      <c r="AW259" t="s">
        <v>171</v>
      </c>
      <c r="AX259" t="s">
        <v>606</v>
      </c>
      <c r="AY259" t="s">
        <v>1332</v>
      </c>
      <c r="AZ259" t="s">
        <v>1333</v>
      </c>
      <c r="BA259" t="s">
        <v>143</v>
      </c>
      <c r="BB259" t="str">
        <f t="shared" ref="BB259:BB322" si="4">SUBSTITUTE(SUBSTITUTE(BA259&amp;AX259," ",""),"-","")</f>
        <v>CCCRNebIvo</v>
      </c>
    </row>
    <row r="260" spans="5:54" x14ac:dyDescent="0.25">
      <c r="E260" t="s">
        <v>704</v>
      </c>
      <c r="AV260" t="s">
        <v>822</v>
      </c>
      <c r="AW260" t="s">
        <v>171</v>
      </c>
      <c r="AX260" t="s">
        <v>606</v>
      </c>
      <c r="AY260" t="s">
        <v>1334</v>
      </c>
      <c r="AZ260" t="s">
        <v>1335</v>
      </c>
      <c r="BA260" t="s">
        <v>143</v>
      </c>
      <c r="BB260" t="str">
        <f t="shared" si="4"/>
        <v>CCCRNebIvo</v>
      </c>
    </row>
    <row r="261" spans="5:54" x14ac:dyDescent="0.25">
      <c r="E261" t="s">
        <v>705</v>
      </c>
      <c r="AV261" t="s">
        <v>822</v>
      </c>
      <c r="AW261" t="s">
        <v>171</v>
      </c>
      <c r="AX261" t="s">
        <v>606</v>
      </c>
      <c r="AY261" t="s">
        <v>1336</v>
      </c>
      <c r="AZ261" t="s">
        <v>1337</v>
      </c>
      <c r="BA261" t="s">
        <v>143</v>
      </c>
      <c r="BB261" t="str">
        <f t="shared" si="4"/>
        <v>CCCRNebIvo</v>
      </c>
    </row>
    <row r="262" spans="5:54" x14ac:dyDescent="0.25">
      <c r="E262" t="s">
        <v>706</v>
      </c>
      <c r="AV262" t="s">
        <v>822</v>
      </c>
      <c r="AW262" t="s">
        <v>171</v>
      </c>
      <c r="AX262" t="s">
        <v>606</v>
      </c>
      <c r="AY262" t="s">
        <v>1338</v>
      </c>
      <c r="AZ262" t="s">
        <v>1339</v>
      </c>
      <c r="BA262" t="s">
        <v>143</v>
      </c>
      <c r="BB262" t="str">
        <f t="shared" si="4"/>
        <v>CCCRNebIvo</v>
      </c>
    </row>
    <row r="263" spans="5:54" x14ac:dyDescent="0.25">
      <c r="E263" t="s">
        <v>707</v>
      </c>
      <c r="AV263" t="s">
        <v>822</v>
      </c>
      <c r="AW263" t="s">
        <v>171</v>
      </c>
      <c r="AX263" t="s">
        <v>606</v>
      </c>
      <c r="AY263" t="s">
        <v>1340</v>
      </c>
      <c r="AZ263" t="s">
        <v>1341</v>
      </c>
      <c r="BA263" t="s">
        <v>143</v>
      </c>
      <c r="BB263" t="str">
        <f t="shared" si="4"/>
        <v>CCCRNebIvo</v>
      </c>
    </row>
    <row r="264" spans="5:54" x14ac:dyDescent="0.25">
      <c r="E264" t="s">
        <v>708</v>
      </c>
      <c r="AV264" t="s">
        <v>822</v>
      </c>
      <c r="AW264" t="s">
        <v>171</v>
      </c>
      <c r="AX264" t="s">
        <v>606</v>
      </c>
      <c r="AY264" t="s">
        <v>1342</v>
      </c>
      <c r="AZ264" t="s">
        <v>1343</v>
      </c>
      <c r="BA264" t="s">
        <v>143</v>
      </c>
      <c r="BB264" t="str">
        <f t="shared" si="4"/>
        <v>CCCRNebIvo</v>
      </c>
    </row>
    <row r="265" spans="5:54" x14ac:dyDescent="0.25">
      <c r="E265" t="s">
        <v>709</v>
      </c>
      <c r="AV265" t="s">
        <v>822</v>
      </c>
      <c r="AW265" t="s">
        <v>171</v>
      </c>
      <c r="AX265" t="s">
        <v>607</v>
      </c>
      <c r="AY265" t="s">
        <v>1344</v>
      </c>
      <c r="AZ265" t="s">
        <v>1345</v>
      </c>
      <c r="BA265" t="s">
        <v>143</v>
      </c>
      <c r="BB265" t="str">
        <f t="shared" si="4"/>
        <v>CCCRNebIzzi</v>
      </c>
    </row>
    <row r="266" spans="5:54" x14ac:dyDescent="0.25">
      <c r="E266" t="s">
        <v>737</v>
      </c>
      <c r="AV266" t="s">
        <v>822</v>
      </c>
      <c r="AW266" t="s">
        <v>171</v>
      </c>
      <c r="AX266" t="s">
        <v>607</v>
      </c>
      <c r="AY266" t="s">
        <v>1346</v>
      </c>
      <c r="AZ266" t="s">
        <v>1347</v>
      </c>
      <c r="BA266" t="s">
        <v>143</v>
      </c>
      <c r="BB266" t="str">
        <f t="shared" si="4"/>
        <v>CCCRNebIzzi</v>
      </c>
    </row>
    <row r="267" spans="5:54" x14ac:dyDescent="0.25">
      <c r="E267" t="s">
        <v>741</v>
      </c>
      <c r="AV267" t="s">
        <v>822</v>
      </c>
      <c r="AW267" t="s">
        <v>171</v>
      </c>
      <c r="AX267" t="s">
        <v>607</v>
      </c>
      <c r="AY267" t="s">
        <v>1348</v>
      </c>
      <c r="AZ267" t="s">
        <v>1349</v>
      </c>
      <c r="BA267" t="s">
        <v>143</v>
      </c>
      <c r="BB267" t="str">
        <f t="shared" si="4"/>
        <v>CCCRNebIzzi</v>
      </c>
    </row>
    <row r="268" spans="5:54" x14ac:dyDescent="0.25">
      <c r="E268" t="s">
        <v>742</v>
      </c>
      <c r="AV268" t="s">
        <v>822</v>
      </c>
      <c r="AW268" t="s">
        <v>171</v>
      </c>
      <c r="AX268" t="s">
        <v>608</v>
      </c>
      <c r="AY268" t="s">
        <v>1350</v>
      </c>
      <c r="AZ268" t="s">
        <v>1351</v>
      </c>
      <c r="BA268" t="s">
        <v>143</v>
      </c>
      <c r="BB268" t="str">
        <f t="shared" si="4"/>
        <v>CCCRNebOhaozara</v>
      </c>
    </row>
    <row r="269" spans="5:54" x14ac:dyDescent="0.25">
      <c r="E269" t="s">
        <v>738</v>
      </c>
      <c r="AV269" t="s">
        <v>822</v>
      </c>
      <c r="AW269" t="s">
        <v>171</v>
      </c>
      <c r="AX269" t="s">
        <v>608</v>
      </c>
      <c r="AY269" t="s">
        <v>1352</v>
      </c>
      <c r="AZ269" t="s">
        <v>1353</v>
      </c>
      <c r="BA269" t="s">
        <v>143</v>
      </c>
      <c r="BB269" t="str">
        <f t="shared" si="4"/>
        <v>CCCRNebOhaozara</v>
      </c>
    </row>
    <row r="270" spans="5:54" x14ac:dyDescent="0.25">
      <c r="E270" t="s">
        <v>743</v>
      </c>
      <c r="AV270" t="s">
        <v>822</v>
      </c>
      <c r="AW270" t="s">
        <v>171</v>
      </c>
      <c r="AX270" t="s">
        <v>608</v>
      </c>
      <c r="AY270" t="s">
        <v>1354</v>
      </c>
      <c r="AZ270" t="s">
        <v>1355</v>
      </c>
      <c r="BA270" t="s">
        <v>143</v>
      </c>
      <c r="BB270" t="str">
        <f t="shared" si="4"/>
        <v>CCCRNebOhaozara</v>
      </c>
    </row>
    <row r="271" spans="5:54" x14ac:dyDescent="0.25">
      <c r="E271" t="s">
        <v>739</v>
      </c>
      <c r="AV271" t="s">
        <v>822</v>
      </c>
      <c r="AW271" t="s">
        <v>171</v>
      </c>
      <c r="AX271" t="s">
        <v>608</v>
      </c>
      <c r="AY271" t="s">
        <v>1356</v>
      </c>
      <c r="AZ271" t="s">
        <v>1357</v>
      </c>
      <c r="BA271" t="s">
        <v>143</v>
      </c>
      <c r="BB271" t="str">
        <f t="shared" si="4"/>
        <v>CCCRNebOhaozara</v>
      </c>
    </row>
    <row r="272" spans="5:54" x14ac:dyDescent="0.25">
      <c r="E272" t="s">
        <v>744</v>
      </c>
      <c r="AV272" t="s">
        <v>822</v>
      </c>
      <c r="AW272" t="s">
        <v>171</v>
      </c>
      <c r="AX272" t="s">
        <v>608</v>
      </c>
      <c r="AY272" t="s">
        <v>1358</v>
      </c>
      <c r="AZ272" t="s">
        <v>1359</v>
      </c>
      <c r="BA272" t="s">
        <v>143</v>
      </c>
      <c r="BB272" t="str">
        <f t="shared" si="4"/>
        <v>CCCRNebOhaozara</v>
      </c>
    </row>
    <row r="273" spans="5:54" x14ac:dyDescent="0.25">
      <c r="E273" t="s">
        <v>745</v>
      </c>
      <c r="AV273" t="s">
        <v>822</v>
      </c>
      <c r="AW273" t="s">
        <v>171</v>
      </c>
      <c r="AX273" t="s">
        <v>609</v>
      </c>
      <c r="AY273" t="s">
        <v>1360</v>
      </c>
      <c r="AZ273" t="s">
        <v>1361</v>
      </c>
      <c r="BA273" t="s">
        <v>143</v>
      </c>
      <c r="BB273" t="str">
        <f t="shared" si="4"/>
        <v>CCCRNebOhaukwu</v>
      </c>
    </row>
    <row r="274" spans="5:54" x14ac:dyDescent="0.25">
      <c r="E274" t="s">
        <v>740</v>
      </c>
      <c r="AV274" t="s">
        <v>822</v>
      </c>
      <c r="AW274" t="s">
        <v>171</v>
      </c>
      <c r="AX274" t="s">
        <v>609</v>
      </c>
      <c r="AY274" t="s">
        <v>1362</v>
      </c>
      <c r="AZ274" t="s">
        <v>1363</v>
      </c>
      <c r="BA274" t="s">
        <v>143</v>
      </c>
      <c r="BB274" t="str">
        <f t="shared" si="4"/>
        <v>CCCRNebOhaukwu</v>
      </c>
    </row>
    <row r="275" spans="5:54" x14ac:dyDescent="0.25">
      <c r="E275" t="s">
        <v>746</v>
      </c>
      <c r="AV275" t="s">
        <v>822</v>
      </c>
      <c r="AW275" t="s">
        <v>171</v>
      </c>
      <c r="AX275" t="s">
        <v>609</v>
      </c>
      <c r="AY275" t="s">
        <v>1364</v>
      </c>
      <c r="AZ275" t="s">
        <v>1365</v>
      </c>
      <c r="BA275" t="s">
        <v>143</v>
      </c>
      <c r="BB275" t="str">
        <f t="shared" si="4"/>
        <v>CCCRNebOhaukwu</v>
      </c>
    </row>
    <row r="276" spans="5:54" x14ac:dyDescent="0.25">
      <c r="E276" t="s">
        <v>753</v>
      </c>
      <c r="AV276" t="s">
        <v>822</v>
      </c>
      <c r="AW276" t="s">
        <v>171</v>
      </c>
      <c r="AX276" t="s">
        <v>609</v>
      </c>
      <c r="AY276" t="s">
        <v>1366</v>
      </c>
      <c r="AZ276" t="s">
        <v>1367</v>
      </c>
      <c r="BA276" t="s">
        <v>143</v>
      </c>
      <c r="BB276" t="str">
        <f t="shared" si="4"/>
        <v>CCCRNebOhaukwu</v>
      </c>
    </row>
    <row r="277" spans="5:54" x14ac:dyDescent="0.25">
      <c r="E277" t="s">
        <v>754</v>
      </c>
      <c r="AV277" t="s">
        <v>822</v>
      </c>
      <c r="AW277" t="s">
        <v>171</v>
      </c>
      <c r="AX277" t="s">
        <v>609</v>
      </c>
      <c r="AY277" t="s">
        <v>1368</v>
      </c>
      <c r="AZ277" t="s">
        <v>1369</v>
      </c>
      <c r="BA277" t="s">
        <v>143</v>
      </c>
      <c r="BB277" t="str">
        <f t="shared" si="4"/>
        <v>CCCRNebOhaukwu</v>
      </c>
    </row>
    <row r="278" spans="5:54" x14ac:dyDescent="0.25">
      <c r="E278" t="s">
        <v>752</v>
      </c>
      <c r="AV278" t="s">
        <v>822</v>
      </c>
      <c r="AW278" t="s">
        <v>171</v>
      </c>
      <c r="AX278" t="s">
        <v>610</v>
      </c>
      <c r="AY278" t="s">
        <v>1370</v>
      </c>
      <c r="AZ278" t="s">
        <v>1371</v>
      </c>
      <c r="BA278" t="s">
        <v>143</v>
      </c>
      <c r="BB278" t="str">
        <f t="shared" si="4"/>
        <v>CCCRNebOnicha</v>
      </c>
    </row>
    <row r="279" spans="5:54" x14ac:dyDescent="0.25">
      <c r="E279" t="s">
        <v>755</v>
      </c>
      <c r="AV279" t="s">
        <v>822</v>
      </c>
      <c r="AW279" t="s">
        <v>171</v>
      </c>
      <c r="AX279" t="s">
        <v>610</v>
      </c>
      <c r="AY279" t="s">
        <v>1372</v>
      </c>
      <c r="AZ279" t="s">
        <v>1373</v>
      </c>
      <c r="BA279" t="s">
        <v>143</v>
      </c>
      <c r="BB279" t="str">
        <f t="shared" si="4"/>
        <v>CCCRNebOnicha</v>
      </c>
    </row>
    <row r="280" spans="5:54" x14ac:dyDescent="0.25">
      <c r="E280" t="s">
        <v>756</v>
      </c>
      <c r="AV280" t="s">
        <v>822</v>
      </c>
      <c r="AW280" t="s">
        <v>171</v>
      </c>
      <c r="AX280" t="s">
        <v>610</v>
      </c>
      <c r="AY280" t="s">
        <v>1374</v>
      </c>
      <c r="AZ280" t="s">
        <v>1375</v>
      </c>
      <c r="BA280" t="s">
        <v>143</v>
      </c>
      <c r="BB280" t="str">
        <f t="shared" si="4"/>
        <v>CCCRNebOnicha</v>
      </c>
    </row>
    <row r="281" spans="5:54" x14ac:dyDescent="0.25">
      <c r="E281" t="s">
        <v>761</v>
      </c>
      <c r="AV281" t="s">
        <v>822</v>
      </c>
      <c r="AW281" t="s">
        <v>171</v>
      </c>
      <c r="AX281" t="s">
        <v>610</v>
      </c>
      <c r="AY281" t="s">
        <v>1376</v>
      </c>
      <c r="AZ281" t="s">
        <v>1377</v>
      </c>
      <c r="BA281" t="s">
        <v>143</v>
      </c>
      <c r="BB281" t="str">
        <f t="shared" si="4"/>
        <v>CCCRNebOnicha</v>
      </c>
    </row>
    <row r="282" spans="5:54" x14ac:dyDescent="0.25">
      <c r="E282" t="s">
        <v>757</v>
      </c>
      <c r="AV282" t="s">
        <v>822</v>
      </c>
      <c r="AW282" t="s">
        <v>174</v>
      </c>
      <c r="AX282" t="s">
        <v>621</v>
      </c>
      <c r="AY282" t="s">
        <v>1378</v>
      </c>
      <c r="AZ282" t="s">
        <v>1379</v>
      </c>
      <c r="BA282" t="s">
        <v>143</v>
      </c>
      <c r="BB282" t="str">
        <f t="shared" si="4"/>
        <v>CCCRNenEnuguEast</v>
      </c>
    </row>
    <row r="283" spans="5:54" x14ac:dyDescent="0.25">
      <c r="E283" t="s">
        <v>762</v>
      </c>
      <c r="AV283" t="s">
        <v>822</v>
      </c>
      <c r="AW283" t="s">
        <v>174</v>
      </c>
      <c r="AX283" t="s">
        <v>621</v>
      </c>
      <c r="AY283" t="s">
        <v>1380</v>
      </c>
      <c r="AZ283" t="s">
        <v>1381</v>
      </c>
      <c r="BA283" t="s">
        <v>143</v>
      </c>
      <c r="BB283" t="str">
        <f t="shared" si="4"/>
        <v>CCCRNenEnuguEast</v>
      </c>
    </row>
    <row r="284" spans="5:54" x14ac:dyDescent="0.25">
      <c r="E284" t="s">
        <v>763</v>
      </c>
      <c r="AV284" t="s">
        <v>822</v>
      </c>
      <c r="AW284" t="s">
        <v>174</v>
      </c>
      <c r="AX284" t="s">
        <v>621</v>
      </c>
      <c r="AY284" t="s">
        <v>1382</v>
      </c>
      <c r="AZ284" t="s">
        <v>1383</v>
      </c>
      <c r="BA284" t="s">
        <v>143</v>
      </c>
      <c r="BB284" t="str">
        <f t="shared" si="4"/>
        <v>CCCRNenEnuguEast</v>
      </c>
    </row>
    <row r="285" spans="5:54" x14ac:dyDescent="0.25">
      <c r="E285" t="s">
        <v>759</v>
      </c>
      <c r="AV285" t="s">
        <v>822</v>
      </c>
      <c r="AW285" t="s">
        <v>174</v>
      </c>
      <c r="AX285" t="s">
        <v>621</v>
      </c>
      <c r="AY285" t="s">
        <v>1384</v>
      </c>
      <c r="AZ285" t="s">
        <v>1385</v>
      </c>
      <c r="BA285" t="s">
        <v>143</v>
      </c>
      <c r="BB285" t="str">
        <f t="shared" si="4"/>
        <v>CCCRNenEnuguEast</v>
      </c>
    </row>
    <row r="286" spans="5:54" x14ac:dyDescent="0.25">
      <c r="E286" t="s">
        <v>760</v>
      </c>
      <c r="AV286" t="s">
        <v>822</v>
      </c>
      <c r="AW286" t="s">
        <v>174</v>
      </c>
      <c r="AX286" t="s">
        <v>621</v>
      </c>
      <c r="AY286" t="s">
        <v>1386</v>
      </c>
      <c r="AZ286" t="s">
        <v>1387</v>
      </c>
      <c r="BA286" t="s">
        <v>143</v>
      </c>
      <c r="BB286" t="str">
        <f t="shared" si="4"/>
        <v>CCCRNenEnuguEast</v>
      </c>
    </row>
    <row r="287" spans="5:54" x14ac:dyDescent="0.25">
      <c r="E287" t="s">
        <v>767</v>
      </c>
      <c r="AV287" t="s">
        <v>822</v>
      </c>
      <c r="AW287" t="s">
        <v>174</v>
      </c>
      <c r="AX287" t="s">
        <v>621</v>
      </c>
      <c r="AY287" t="s">
        <v>1388</v>
      </c>
      <c r="AZ287" t="s">
        <v>1389</v>
      </c>
      <c r="BA287" t="s">
        <v>143</v>
      </c>
      <c r="BB287" t="str">
        <f t="shared" si="4"/>
        <v>CCCRNenEnuguEast</v>
      </c>
    </row>
    <row r="288" spans="5:54" x14ac:dyDescent="0.25">
      <c r="E288" t="s">
        <v>768</v>
      </c>
      <c r="AV288" t="s">
        <v>822</v>
      </c>
      <c r="AW288" t="s">
        <v>174</v>
      </c>
      <c r="AX288" t="s">
        <v>621</v>
      </c>
      <c r="AY288" t="s">
        <v>1390</v>
      </c>
      <c r="AZ288" t="s">
        <v>1391</v>
      </c>
      <c r="BA288" t="s">
        <v>143</v>
      </c>
      <c r="BB288" t="str">
        <f t="shared" si="4"/>
        <v>CCCRNenEnuguEast</v>
      </c>
    </row>
    <row r="289" spans="5:54" x14ac:dyDescent="0.25">
      <c r="E289" t="s">
        <v>769</v>
      </c>
      <c r="AV289" t="s">
        <v>822</v>
      </c>
      <c r="AW289" t="s">
        <v>174</v>
      </c>
      <c r="AX289" t="s">
        <v>621</v>
      </c>
      <c r="AY289" t="s">
        <v>1392</v>
      </c>
      <c r="AZ289" t="s">
        <v>1393</v>
      </c>
      <c r="BA289" t="s">
        <v>143</v>
      </c>
      <c r="BB289" t="str">
        <f t="shared" si="4"/>
        <v>CCCRNenEnuguEast</v>
      </c>
    </row>
    <row r="290" spans="5:54" x14ac:dyDescent="0.25">
      <c r="E290" t="s">
        <v>770</v>
      </c>
      <c r="AV290" t="s">
        <v>822</v>
      </c>
      <c r="AW290" t="s">
        <v>174</v>
      </c>
      <c r="AX290" t="s">
        <v>621</v>
      </c>
      <c r="AY290" t="s">
        <v>1394</v>
      </c>
      <c r="AZ290" t="s">
        <v>1395</v>
      </c>
      <c r="BA290" t="s">
        <v>143</v>
      </c>
      <c r="BB290" t="str">
        <f t="shared" si="4"/>
        <v>CCCRNenEnuguEast</v>
      </c>
    </row>
    <row r="291" spans="5:54" x14ac:dyDescent="0.25">
      <c r="E291" t="s">
        <v>771</v>
      </c>
      <c r="AV291" t="s">
        <v>822</v>
      </c>
      <c r="AW291" t="s">
        <v>174</v>
      </c>
      <c r="AX291" t="s">
        <v>621</v>
      </c>
      <c r="AY291" t="s">
        <v>1396</v>
      </c>
      <c r="AZ291" t="s">
        <v>1397</v>
      </c>
      <c r="BA291" t="s">
        <v>143</v>
      </c>
      <c r="BB291" t="str">
        <f t="shared" si="4"/>
        <v>CCCRNenEnuguEast</v>
      </c>
    </row>
    <row r="292" spans="5:54" x14ac:dyDescent="0.25">
      <c r="E292" t="s">
        <v>766</v>
      </c>
      <c r="AV292" t="s">
        <v>822</v>
      </c>
      <c r="AW292" t="s">
        <v>174</v>
      </c>
      <c r="AX292" t="s">
        <v>622</v>
      </c>
      <c r="AY292" t="s">
        <v>1398</v>
      </c>
      <c r="AZ292" t="s">
        <v>1399</v>
      </c>
      <c r="BA292" t="s">
        <v>143</v>
      </c>
      <c r="BB292" t="str">
        <f t="shared" si="4"/>
        <v>CCCRNenEnuguNorth</v>
      </c>
    </row>
    <row r="293" spans="5:54" x14ac:dyDescent="0.25">
      <c r="E293" t="s">
        <v>772</v>
      </c>
      <c r="AV293" t="s">
        <v>822</v>
      </c>
      <c r="AW293" t="s">
        <v>174</v>
      </c>
      <c r="AX293" t="s">
        <v>622</v>
      </c>
      <c r="AY293" t="s">
        <v>1400</v>
      </c>
      <c r="AZ293" t="s">
        <v>1401</v>
      </c>
      <c r="BA293" t="s">
        <v>143</v>
      </c>
      <c r="BB293" t="str">
        <f t="shared" si="4"/>
        <v>CCCRNenEnuguNorth</v>
      </c>
    </row>
    <row r="294" spans="5:54" x14ac:dyDescent="0.25">
      <c r="E294" t="s">
        <v>642</v>
      </c>
      <c r="AV294" t="s">
        <v>822</v>
      </c>
      <c r="AW294" t="s">
        <v>174</v>
      </c>
      <c r="AX294" t="s">
        <v>622</v>
      </c>
      <c r="AY294" t="s">
        <v>1402</v>
      </c>
      <c r="AZ294" t="s">
        <v>1403</v>
      </c>
      <c r="BA294" t="s">
        <v>143</v>
      </c>
      <c r="BB294" t="str">
        <f t="shared" si="4"/>
        <v>CCCRNenEnuguNorth</v>
      </c>
    </row>
    <row r="295" spans="5:54" x14ac:dyDescent="0.25">
      <c r="E295" t="s">
        <v>736</v>
      </c>
      <c r="AV295" t="s">
        <v>822</v>
      </c>
      <c r="AW295" t="s">
        <v>174</v>
      </c>
      <c r="AX295" t="s">
        <v>622</v>
      </c>
      <c r="AY295" t="s">
        <v>1404</v>
      </c>
      <c r="AZ295" t="s">
        <v>1405</v>
      </c>
      <c r="BA295" t="s">
        <v>143</v>
      </c>
      <c r="BB295" t="str">
        <f t="shared" si="4"/>
        <v>CCCRNenEnuguNorth</v>
      </c>
    </row>
    <row r="296" spans="5:54" x14ac:dyDescent="0.25">
      <c r="E296" t="s">
        <v>745</v>
      </c>
      <c r="AV296" t="s">
        <v>822</v>
      </c>
      <c r="AW296" t="s">
        <v>174</v>
      </c>
      <c r="AX296" t="s">
        <v>622</v>
      </c>
      <c r="AY296" t="s">
        <v>1406</v>
      </c>
      <c r="AZ296" t="s">
        <v>1407</v>
      </c>
      <c r="BA296" t="s">
        <v>143</v>
      </c>
      <c r="BB296" t="str">
        <f t="shared" si="4"/>
        <v>CCCRNenEnuguNorth</v>
      </c>
    </row>
    <row r="297" spans="5:54" x14ac:dyDescent="0.25">
      <c r="E297" t="s">
        <v>747</v>
      </c>
      <c r="AV297" t="s">
        <v>822</v>
      </c>
      <c r="AW297" t="s">
        <v>174</v>
      </c>
      <c r="AX297" t="s">
        <v>622</v>
      </c>
      <c r="AY297" t="s">
        <v>1408</v>
      </c>
      <c r="AZ297" t="s">
        <v>1409</v>
      </c>
      <c r="BA297" t="s">
        <v>143</v>
      </c>
      <c r="BB297" t="str">
        <f t="shared" si="4"/>
        <v>CCCRNenEnuguNorth</v>
      </c>
    </row>
    <row r="298" spans="5:54" x14ac:dyDescent="0.25">
      <c r="E298" t="s">
        <v>815</v>
      </c>
      <c r="AV298" t="s">
        <v>822</v>
      </c>
      <c r="AW298" t="s">
        <v>174</v>
      </c>
      <c r="AX298" t="s">
        <v>623</v>
      </c>
      <c r="AY298" t="s">
        <v>1410</v>
      </c>
      <c r="AZ298" t="s">
        <v>1411</v>
      </c>
      <c r="BA298" t="s">
        <v>143</v>
      </c>
      <c r="BB298" t="str">
        <f t="shared" si="4"/>
        <v>CCCRNenEnuguSouth</v>
      </c>
    </row>
    <row r="299" spans="5:54" x14ac:dyDescent="0.25">
      <c r="E299" t="s">
        <v>816</v>
      </c>
      <c r="AV299" t="s">
        <v>822</v>
      </c>
      <c r="AW299" t="s">
        <v>174</v>
      </c>
      <c r="AX299" t="s">
        <v>623</v>
      </c>
      <c r="AY299" t="s">
        <v>1412</v>
      </c>
      <c r="AZ299" t="s">
        <v>1413</v>
      </c>
      <c r="BA299" t="s">
        <v>143</v>
      </c>
      <c r="BB299" t="str">
        <f t="shared" si="4"/>
        <v>CCCRNenEnuguSouth</v>
      </c>
    </row>
    <row r="300" spans="5:54" x14ac:dyDescent="0.25">
      <c r="E300" t="s">
        <v>817</v>
      </c>
      <c r="AV300" t="s">
        <v>822</v>
      </c>
      <c r="AW300" t="s">
        <v>174</v>
      </c>
      <c r="AX300" t="s">
        <v>623</v>
      </c>
      <c r="AY300" t="s">
        <v>1414</v>
      </c>
      <c r="AZ300" t="s">
        <v>1415</v>
      </c>
      <c r="BA300" t="s">
        <v>143</v>
      </c>
      <c r="BB300" t="str">
        <f t="shared" si="4"/>
        <v>CCCRNenEnuguSouth</v>
      </c>
    </row>
    <row r="301" spans="5:54" x14ac:dyDescent="0.25">
      <c r="E301" t="s">
        <v>818</v>
      </c>
      <c r="AV301" t="s">
        <v>822</v>
      </c>
      <c r="AW301" t="s">
        <v>174</v>
      </c>
      <c r="AX301" t="s">
        <v>623</v>
      </c>
      <c r="AY301" t="s">
        <v>1416</v>
      </c>
      <c r="AZ301" t="s">
        <v>1417</v>
      </c>
      <c r="BA301" t="s">
        <v>143</v>
      </c>
      <c r="BB301" t="str">
        <f t="shared" si="4"/>
        <v>CCCRNenEnuguSouth</v>
      </c>
    </row>
    <row r="302" spans="5:54" x14ac:dyDescent="0.25">
      <c r="AV302" t="s">
        <v>822</v>
      </c>
      <c r="AW302" t="s">
        <v>174</v>
      </c>
      <c r="AX302" t="s">
        <v>623</v>
      </c>
      <c r="AY302" t="s">
        <v>1418</v>
      </c>
      <c r="AZ302" t="s">
        <v>1419</v>
      </c>
      <c r="BA302" t="s">
        <v>143</v>
      </c>
      <c r="BB302" t="str">
        <f t="shared" si="4"/>
        <v>CCCRNenEnuguSouth</v>
      </c>
    </row>
    <row r="303" spans="5:54" x14ac:dyDescent="0.25">
      <c r="AV303" t="s">
        <v>822</v>
      </c>
      <c r="AW303" t="s">
        <v>174</v>
      </c>
      <c r="AX303" t="s">
        <v>623</v>
      </c>
      <c r="AY303" t="s">
        <v>1420</v>
      </c>
      <c r="AZ303" t="s">
        <v>1421</v>
      </c>
      <c r="BA303" t="s">
        <v>143</v>
      </c>
      <c r="BB303" t="str">
        <f t="shared" si="4"/>
        <v>CCCRNenEnuguSouth</v>
      </c>
    </row>
    <row r="304" spans="5:54" x14ac:dyDescent="0.25">
      <c r="AV304" t="s">
        <v>822</v>
      </c>
      <c r="AW304" t="s">
        <v>174</v>
      </c>
      <c r="AX304" t="s">
        <v>624</v>
      </c>
      <c r="AY304" t="s">
        <v>1422</v>
      </c>
      <c r="AZ304" t="s">
        <v>1423</v>
      </c>
      <c r="BA304" t="s">
        <v>143</v>
      </c>
      <c r="BB304" t="str">
        <f t="shared" si="4"/>
        <v>CCCRNenIgboEtiti</v>
      </c>
    </row>
    <row r="305" spans="48:54" x14ac:dyDescent="0.25">
      <c r="AV305" t="s">
        <v>822</v>
      </c>
      <c r="AW305" t="s">
        <v>174</v>
      </c>
      <c r="AX305" t="s">
        <v>624</v>
      </c>
      <c r="AY305" t="s">
        <v>1424</v>
      </c>
      <c r="AZ305" t="s">
        <v>1425</v>
      </c>
      <c r="BA305" t="s">
        <v>143</v>
      </c>
      <c r="BB305" t="str">
        <f t="shared" si="4"/>
        <v>CCCRNenIgboEtiti</v>
      </c>
    </row>
    <row r="306" spans="48:54" x14ac:dyDescent="0.25">
      <c r="AV306" t="s">
        <v>822</v>
      </c>
      <c r="AW306" t="s">
        <v>174</v>
      </c>
      <c r="AX306" t="s">
        <v>624</v>
      </c>
      <c r="AY306" t="s">
        <v>1426</v>
      </c>
      <c r="AZ306" t="s">
        <v>1427</v>
      </c>
      <c r="BA306" t="s">
        <v>143</v>
      </c>
      <c r="BB306" t="str">
        <f t="shared" si="4"/>
        <v>CCCRNenIgboEtiti</v>
      </c>
    </row>
    <row r="307" spans="48:54" x14ac:dyDescent="0.25">
      <c r="AV307" t="s">
        <v>822</v>
      </c>
      <c r="AW307" t="s">
        <v>174</v>
      </c>
      <c r="AX307" t="s">
        <v>624</v>
      </c>
      <c r="AY307" t="s">
        <v>1428</v>
      </c>
      <c r="AZ307" t="s">
        <v>1429</v>
      </c>
      <c r="BA307" t="s">
        <v>143</v>
      </c>
      <c r="BB307" t="str">
        <f t="shared" si="4"/>
        <v>CCCRNenIgboEtiti</v>
      </c>
    </row>
    <row r="308" spans="48:54" x14ac:dyDescent="0.25">
      <c r="AV308" t="s">
        <v>822</v>
      </c>
      <c r="AW308" t="s">
        <v>174</v>
      </c>
      <c r="AX308" t="s">
        <v>624</v>
      </c>
      <c r="AY308" t="s">
        <v>1430</v>
      </c>
      <c r="AZ308" t="s">
        <v>1431</v>
      </c>
      <c r="BA308" t="s">
        <v>143</v>
      </c>
      <c r="BB308" t="str">
        <f t="shared" si="4"/>
        <v>CCCRNenIgboEtiti</v>
      </c>
    </row>
    <row r="309" spans="48:54" x14ac:dyDescent="0.25">
      <c r="AV309" t="s">
        <v>822</v>
      </c>
      <c r="AW309" t="s">
        <v>174</v>
      </c>
      <c r="AX309" t="s">
        <v>625</v>
      </c>
      <c r="AY309" t="s">
        <v>1432</v>
      </c>
      <c r="AZ309" t="s">
        <v>1433</v>
      </c>
      <c r="BA309" t="s">
        <v>143</v>
      </c>
      <c r="BB309" t="str">
        <f t="shared" si="4"/>
        <v>CCCRNenIgboEzeNorth</v>
      </c>
    </row>
    <row r="310" spans="48:54" x14ac:dyDescent="0.25">
      <c r="AV310" t="s">
        <v>822</v>
      </c>
      <c r="AW310" t="s">
        <v>174</v>
      </c>
      <c r="AX310" t="s">
        <v>625</v>
      </c>
      <c r="AY310" t="s">
        <v>1434</v>
      </c>
      <c r="AZ310" t="s">
        <v>1435</v>
      </c>
      <c r="BA310" t="s">
        <v>143</v>
      </c>
      <c r="BB310" t="str">
        <f t="shared" si="4"/>
        <v>CCCRNenIgboEzeNorth</v>
      </c>
    </row>
    <row r="311" spans="48:54" x14ac:dyDescent="0.25">
      <c r="AV311" t="s">
        <v>822</v>
      </c>
      <c r="AW311" t="s">
        <v>174</v>
      </c>
      <c r="AX311" t="s">
        <v>625</v>
      </c>
      <c r="AY311" t="s">
        <v>1436</v>
      </c>
      <c r="AZ311" t="s">
        <v>1437</v>
      </c>
      <c r="BA311" t="s">
        <v>143</v>
      </c>
      <c r="BB311" t="str">
        <f t="shared" si="4"/>
        <v>CCCRNenIgboEzeNorth</v>
      </c>
    </row>
    <row r="312" spans="48:54" x14ac:dyDescent="0.25">
      <c r="AV312" t="s">
        <v>822</v>
      </c>
      <c r="AW312" t="s">
        <v>174</v>
      </c>
      <c r="AX312" t="s">
        <v>625</v>
      </c>
      <c r="AY312" t="s">
        <v>1438</v>
      </c>
      <c r="AZ312" t="s">
        <v>1439</v>
      </c>
      <c r="BA312" t="s">
        <v>143</v>
      </c>
      <c r="BB312" t="str">
        <f t="shared" si="4"/>
        <v>CCCRNenIgboEzeNorth</v>
      </c>
    </row>
    <row r="313" spans="48:54" x14ac:dyDescent="0.25">
      <c r="AV313" t="s">
        <v>822</v>
      </c>
      <c r="AW313" t="s">
        <v>174</v>
      </c>
      <c r="AX313" t="s">
        <v>625</v>
      </c>
      <c r="AY313" t="s">
        <v>1440</v>
      </c>
      <c r="AZ313" t="s">
        <v>1441</v>
      </c>
      <c r="BA313" t="s">
        <v>143</v>
      </c>
      <c r="BB313" t="str">
        <f t="shared" si="4"/>
        <v>CCCRNenIgboEzeNorth</v>
      </c>
    </row>
    <row r="314" spans="48:54" x14ac:dyDescent="0.25">
      <c r="AV314" t="s">
        <v>822</v>
      </c>
      <c r="AW314" t="s">
        <v>174</v>
      </c>
      <c r="AX314" t="s">
        <v>625</v>
      </c>
      <c r="AY314" t="s">
        <v>1442</v>
      </c>
      <c r="AZ314" t="s">
        <v>1443</v>
      </c>
      <c r="BA314" t="s">
        <v>143</v>
      </c>
      <c r="BB314" t="str">
        <f t="shared" si="4"/>
        <v>CCCRNenIgboEzeNorth</v>
      </c>
    </row>
    <row r="315" spans="48:54" x14ac:dyDescent="0.25">
      <c r="AV315" t="s">
        <v>822</v>
      </c>
      <c r="AW315" t="s">
        <v>174</v>
      </c>
      <c r="AX315" t="s">
        <v>625</v>
      </c>
      <c r="AY315" t="s">
        <v>1444</v>
      </c>
      <c r="AZ315" t="s">
        <v>1445</v>
      </c>
      <c r="BA315" t="s">
        <v>143</v>
      </c>
      <c r="BB315" t="str">
        <f t="shared" si="4"/>
        <v>CCCRNenIgboEzeNorth</v>
      </c>
    </row>
    <row r="316" spans="48:54" x14ac:dyDescent="0.25">
      <c r="AV316" t="s">
        <v>822</v>
      </c>
      <c r="AW316" t="s">
        <v>174</v>
      </c>
      <c r="AX316" t="s">
        <v>626</v>
      </c>
      <c r="AY316" t="s">
        <v>1446</v>
      </c>
      <c r="AZ316" t="s">
        <v>1447</v>
      </c>
      <c r="BA316" t="s">
        <v>143</v>
      </c>
      <c r="BB316" t="str">
        <f t="shared" si="4"/>
        <v>CCCRNenIgboEzeSouth</v>
      </c>
    </row>
    <row r="317" spans="48:54" x14ac:dyDescent="0.25">
      <c r="AV317" t="s">
        <v>822</v>
      </c>
      <c r="AW317" t="s">
        <v>174</v>
      </c>
      <c r="AX317" t="s">
        <v>626</v>
      </c>
      <c r="AY317" t="s">
        <v>1448</v>
      </c>
      <c r="AZ317" t="s">
        <v>1449</v>
      </c>
      <c r="BA317" t="s">
        <v>143</v>
      </c>
      <c r="BB317" t="str">
        <f t="shared" si="4"/>
        <v>CCCRNenIgboEzeSouth</v>
      </c>
    </row>
    <row r="318" spans="48:54" x14ac:dyDescent="0.25">
      <c r="AV318" t="s">
        <v>822</v>
      </c>
      <c r="AW318" t="s">
        <v>174</v>
      </c>
      <c r="AX318" t="s">
        <v>626</v>
      </c>
      <c r="AY318" t="s">
        <v>1450</v>
      </c>
      <c r="AZ318" t="s">
        <v>1451</v>
      </c>
      <c r="BA318" t="s">
        <v>143</v>
      </c>
      <c r="BB318" t="str">
        <f t="shared" si="4"/>
        <v>CCCRNenIgboEzeSouth</v>
      </c>
    </row>
    <row r="319" spans="48:54" x14ac:dyDescent="0.25">
      <c r="AV319" t="s">
        <v>822</v>
      </c>
      <c r="AW319" t="s">
        <v>174</v>
      </c>
      <c r="AX319" t="s">
        <v>627</v>
      </c>
      <c r="AY319" t="s">
        <v>1452</v>
      </c>
      <c r="AZ319" t="s">
        <v>1453</v>
      </c>
      <c r="BA319" t="s">
        <v>143</v>
      </c>
      <c r="BB319" t="str">
        <f t="shared" si="4"/>
        <v>CCCRNenIsiuzo</v>
      </c>
    </row>
    <row r="320" spans="48:54" x14ac:dyDescent="0.25">
      <c r="AV320" t="s">
        <v>822</v>
      </c>
      <c r="AW320" t="s">
        <v>174</v>
      </c>
      <c r="AX320" t="s">
        <v>627</v>
      </c>
      <c r="AY320" t="s">
        <v>1454</v>
      </c>
      <c r="AZ320" t="s">
        <v>1455</v>
      </c>
      <c r="BA320" t="s">
        <v>143</v>
      </c>
      <c r="BB320" t="str">
        <f t="shared" si="4"/>
        <v>CCCRNenIsiuzo</v>
      </c>
    </row>
    <row r="321" spans="48:54" x14ac:dyDescent="0.25">
      <c r="AV321" t="s">
        <v>822</v>
      </c>
      <c r="AW321" t="s">
        <v>174</v>
      </c>
      <c r="AX321" t="s">
        <v>627</v>
      </c>
      <c r="AY321" t="s">
        <v>1456</v>
      </c>
      <c r="AZ321" t="s">
        <v>1457</v>
      </c>
      <c r="BA321" t="s">
        <v>143</v>
      </c>
      <c r="BB321" t="str">
        <f t="shared" si="4"/>
        <v>CCCRNenIsiuzo</v>
      </c>
    </row>
    <row r="322" spans="48:54" x14ac:dyDescent="0.25">
      <c r="AV322" t="s">
        <v>822</v>
      </c>
      <c r="AW322" t="s">
        <v>174</v>
      </c>
      <c r="AX322" t="s">
        <v>627</v>
      </c>
      <c r="AY322" t="s">
        <v>1458</v>
      </c>
      <c r="AZ322" t="s">
        <v>1459</v>
      </c>
      <c r="BA322" t="s">
        <v>143</v>
      </c>
      <c r="BB322" t="str">
        <f t="shared" si="4"/>
        <v>CCCRNenIsiuzo</v>
      </c>
    </row>
    <row r="323" spans="48:54" x14ac:dyDescent="0.25">
      <c r="AV323" t="s">
        <v>822</v>
      </c>
      <c r="AW323" t="s">
        <v>174</v>
      </c>
      <c r="AX323" t="s">
        <v>627</v>
      </c>
      <c r="AY323" t="s">
        <v>1460</v>
      </c>
      <c r="AZ323" t="s">
        <v>1461</v>
      </c>
      <c r="BA323" t="s">
        <v>143</v>
      </c>
      <c r="BB323" t="str">
        <f t="shared" ref="BB323:BB386" si="5">SUBSTITUTE(SUBSTITUTE(BA323&amp;AX323," ",""),"-","")</f>
        <v>CCCRNenIsiuzo</v>
      </c>
    </row>
    <row r="324" spans="48:54" x14ac:dyDescent="0.25">
      <c r="AV324" t="s">
        <v>822</v>
      </c>
      <c r="AW324" t="s">
        <v>174</v>
      </c>
      <c r="AX324" t="s">
        <v>628</v>
      </c>
      <c r="AY324" t="s">
        <v>1462</v>
      </c>
      <c r="AZ324" t="s">
        <v>1463</v>
      </c>
      <c r="BA324" t="s">
        <v>143</v>
      </c>
      <c r="BB324" t="str">
        <f t="shared" si="5"/>
        <v>CCCRNenNkanuEast</v>
      </c>
    </row>
    <row r="325" spans="48:54" x14ac:dyDescent="0.25">
      <c r="AV325" t="s">
        <v>822</v>
      </c>
      <c r="AW325" t="s">
        <v>174</v>
      </c>
      <c r="AX325" t="s">
        <v>629</v>
      </c>
      <c r="AY325" t="s">
        <v>1464</v>
      </c>
      <c r="AZ325" t="s">
        <v>1465</v>
      </c>
      <c r="BA325" t="s">
        <v>143</v>
      </c>
      <c r="BB325" t="str">
        <f t="shared" si="5"/>
        <v>CCCRNenNkanuWest</v>
      </c>
    </row>
    <row r="326" spans="48:54" x14ac:dyDescent="0.25">
      <c r="AV326" t="s">
        <v>822</v>
      </c>
      <c r="AW326" t="s">
        <v>174</v>
      </c>
      <c r="AX326" t="s">
        <v>629</v>
      </c>
      <c r="AY326" t="s">
        <v>1466</v>
      </c>
      <c r="AZ326" t="s">
        <v>1467</v>
      </c>
      <c r="BA326" t="s">
        <v>143</v>
      </c>
      <c r="BB326" t="str">
        <f t="shared" si="5"/>
        <v>CCCRNenNkanuWest</v>
      </c>
    </row>
    <row r="327" spans="48:54" x14ac:dyDescent="0.25">
      <c r="AV327" t="s">
        <v>822</v>
      </c>
      <c r="AW327" t="s">
        <v>174</v>
      </c>
      <c r="AX327" t="s">
        <v>629</v>
      </c>
      <c r="AY327" t="s">
        <v>1468</v>
      </c>
      <c r="AZ327" t="s">
        <v>1469</v>
      </c>
      <c r="BA327" t="s">
        <v>143</v>
      </c>
      <c r="BB327" t="str">
        <f t="shared" si="5"/>
        <v>CCCRNenNkanuWest</v>
      </c>
    </row>
    <row r="328" spans="48:54" x14ac:dyDescent="0.25">
      <c r="AV328" t="s">
        <v>822</v>
      </c>
      <c r="AW328" t="s">
        <v>174</v>
      </c>
      <c r="AX328" t="s">
        <v>630</v>
      </c>
      <c r="AY328" t="s">
        <v>1470</v>
      </c>
      <c r="AZ328" t="s">
        <v>1471</v>
      </c>
      <c r="BA328" t="s">
        <v>143</v>
      </c>
      <c r="BB328" t="str">
        <f t="shared" si="5"/>
        <v>CCCRNenNsukka</v>
      </c>
    </row>
    <row r="329" spans="48:54" x14ac:dyDescent="0.25">
      <c r="AV329" t="s">
        <v>822</v>
      </c>
      <c r="AW329" t="s">
        <v>174</v>
      </c>
      <c r="AX329" t="s">
        <v>630</v>
      </c>
      <c r="AY329" t="s">
        <v>1472</v>
      </c>
      <c r="AZ329" t="s">
        <v>1473</v>
      </c>
      <c r="BA329" t="s">
        <v>143</v>
      </c>
      <c r="BB329" t="str">
        <f t="shared" si="5"/>
        <v>CCCRNenNsukka</v>
      </c>
    </row>
    <row r="330" spans="48:54" x14ac:dyDescent="0.25">
      <c r="AV330" t="s">
        <v>822</v>
      </c>
      <c r="AW330" t="s">
        <v>174</v>
      </c>
      <c r="AX330" t="s">
        <v>630</v>
      </c>
      <c r="AY330" t="s">
        <v>1474</v>
      </c>
      <c r="AZ330" t="s">
        <v>1475</v>
      </c>
      <c r="BA330" t="s">
        <v>143</v>
      </c>
      <c r="BB330" t="str">
        <f t="shared" si="5"/>
        <v>CCCRNenNsukka</v>
      </c>
    </row>
    <row r="331" spans="48:54" x14ac:dyDescent="0.25">
      <c r="AV331" t="s">
        <v>822</v>
      </c>
      <c r="AW331" t="s">
        <v>174</v>
      </c>
      <c r="AX331" t="s">
        <v>630</v>
      </c>
      <c r="AY331" t="s">
        <v>1476</v>
      </c>
      <c r="AZ331" t="s">
        <v>1477</v>
      </c>
      <c r="BA331" t="s">
        <v>143</v>
      </c>
      <c r="BB331" t="str">
        <f t="shared" si="5"/>
        <v>CCCRNenNsukka</v>
      </c>
    </row>
    <row r="332" spans="48:54" x14ac:dyDescent="0.25">
      <c r="AV332" t="s">
        <v>822</v>
      </c>
      <c r="AW332" t="s">
        <v>174</v>
      </c>
      <c r="AX332" t="s">
        <v>630</v>
      </c>
      <c r="AY332" t="s">
        <v>1478</v>
      </c>
      <c r="AZ332" t="s">
        <v>1479</v>
      </c>
      <c r="BA332" t="s">
        <v>143</v>
      </c>
      <c r="BB332" t="str">
        <f t="shared" si="5"/>
        <v>CCCRNenNsukka</v>
      </c>
    </row>
    <row r="333" spans="48:54" x14ac:dyDescent="0.25">
      <c r="AV333" t="s">
        <v>822</v>
      </c>
      <c r="AW333" t="s">
        <v>174</v>
      </c>
      <c r="AX333" t="s">
        <v>630</v>
      </c>
      <c r="AY333" t="s">
        <v>1480</v>
      </c>
      <c r="AZ333" t="s">
        <v>1481</v>
      </c>
      <c r="BA333" t="s">
        <v>143</v>
      </c>
      <c r="BB333" t="str">
        <f t="shared" si="5"/>
        <v>CCCRNenNsukka</v>
      </c>
    </row>
    <row r="334" spans="48:54" x14ac:dyDescent="0.25">
      <c r="AV334" t="s">
        <v>822</v>
      </c>
      <c r="AW334" t="s">
        <v>174</v>
      </c>
      <c r="AX334" t="s">
        <v>630</v>
      </c>
      <c r="AY334" t="s">
        <v>1482</v>
      </c>
      <c r="AZ334" t="s">
        <v>1483</v>
      </c>
      <c r="BA334" t="s">
        <v>143</v>
      </c>
      <c r="BB334" t="str">
        <f t="shared" si="5"/>
        <v>CCCRNenNsukka</v>
      </c>
    </row>
    <row r="335" spans="48:54" x14ac:dyDescent="0.25">
      <c r="AV335" t="s">
        <v>822</v>
      </c>
      <c r="AW335" t="s">
        <v>174</v>
      </c>
      <c r="AX335" t="s">
        <v>630</v>
      </c>
      <c r="AY335" t="s">
        <v>1484</v>
      </c>
      <c r="AZ335" t="s">
        <v>1485</v>
      </c>
      <c r="BA335" t="s">
        <v>143</v>
      </c>
      <c r="BB335" t="str">
        <f t="shared" si="5"/>
        <v>CCCRNenNsukka</v>
      </c>
    </row>
    <row r="336" spans="48:54" x14ac:dyDescent="0.25">
      <c r="AV336" t="s">
        <v>822</v>
      </c>
      <c r="AW336" t="s">
        <v>174</v>
      </c>
      <c r="AX336" t="s">
        <v>630</v>
      </c>
      <c r="AY336" t="s">
        <v>1486</v>
      </c>
      <c r="AZ336" t="s">
        <v>1487</v>
      </c>
      <c r="BA336" t="s">
        <v>143</v>
      </c>
      <c r="BB336" t="str">
        <f t="shared" si="5"/>
        <v>CCCRNenNsukka</v>
      </c>
    </row>
    <row r="337" spans="48:54" x14ac:dyDescent="0.25">
      <c r="AV337" t="s">
        <v>822</v>
      </c>
      <c r="AW337" t="s">
        <v>174</v>
      </c>
      <c r="AX337" t="s">
        <v>630</v>
      </c>
      <c r="AY337" t="s">
        <v>1488</v>
      </c>
      <c r="AZ337" t="s">
        <v>1489</v>
      </c>
      <c r="BA337" t="s">
        <v>143</v>
      </c>
      <c r="BB337" t="str">
        <f t="shared" si="5"/>
        <v>CCCRNenNsukka</v>
      </c>
    </row>
    <row r="338" spans="48:54" x14ac:dyDescent="0.25">
      <c r="AV338" t="s">
        <v>822</v>
      </c>
      <c r="AW338" t="s">
        <v>174</v>
      </c>
      <c r="AX338" t="s">
        <v>631</v>
      </c>
      <c r="AY338" t="s">
        <v>1490</v>
      </c>
      <c r="AZ338" t="s">
        <v>1491</v>
      </c>
      <c r="BA338" t="s">
        <v>143</v>
      </c>
      <c r="BB338" t="str">
        <f t="shared" si="5"/>
        <v>CCCRNenUdenu</v>
      </c>
    </row>
    <row r="339" spans="48:54" x14ac:dyDescent="0.25">
      <c r="AV339" t="s">
        <v>822</v>
      </c>
      <c r="AW339" t="s">
        <v>174</v>
      </c>
      <c r="AX339" t="s">
        <v>631</v>
      </c>
      <c r="AY339" t="s">
        <v>1492</v>
      </c>
      <c r="AZ339" t="s">
        <v>1493</v>
      </c>
      <c r="BA339" t="s">
        <v>143</v>
      </c>
      <c r="BB339" t="str">
        <f t="shared" si="5"/>
        <v>CCCRNenUdenu</v>
      </c>
    </row>
    <row r="340" spans="48:54" x14ac:dyDescent="0.25">
      <c r="AV340" t="s">
        <v>822</v>
      </c>
      <c r="AW340" t="s">
        <v>174</v>
      </c>
      <c r="AX340" t="s">
        <v>631</v>
      </c>
      <c r="AY340" t="s">
        <v>1494</v>
      </c>
      <c r="AZ340" t="s">
        <v>1495</v>
      </c>
      <c r="BA340" t="s">
        <v>143</v>
      </c>
      <c r="BB340" t="str">
        <f t="shared" si="5"/>
        <v>CCCRNenUdenu</v>
      </c>
    </row>
    <row r="341" spans="48:54" x14ac:dyDescent="0.25">
      <c r="AV341" t="s">
        <v>822</v>
      </c>
      <c r="AW341" t="s">
        <v>174</v>
      </c>
      <c r="AX341" t="s">
        <v>631</v>
      </c>
      <c r="AY341" t="s">
        <v>1496</v>
      </c>
      <c r="AZ341" t="s">
        <v>1497</v>
      </c>
      <c r="BA341" t="s">
        <v>143</v>
      </c>
      <c r="BB341" t="str">
        <f t="shared" si="5"/>
        <v>CCCRNenUdenu</v>
      </c>
    </row>
    <row r="342" spans="48:54" x14ac:dyDescent="0.25">
      <c r="AV342" t="s">
        <v>822</v>
      </c>
      <c r="AW342" t="s">
        <v>174</v>
      </c>
      <c r="AX342" t="s">
        <v>631</v>
      </c>
      <c r="AY342" t="s">
        <v>1498</v>
      </c>
      <c r="AZ342" t="s">
        <v>1499</v>
      </c>
      <c r="BA342" t="s">
        <v>143</v>
      </c>
      <c r="BB342" t="str">
        <f t="shared" si="5"/>
        <v>CCCRNenUdenu</v>
      </c>
    </row>
    <row r="343" spans="48:54" x14ac:dyDescent="0.25">
      <c r="AV343" t="s">
        <v>822</v>
      </c>
      <c r="AW343" t="s">
        <v>174</v>
      </c>
      <c r="AX343" t="s">
        <v>631</v>
      </c>
      <c r="AY343" t="s">
        <v>1500</v>
      </c>
      <c r="AZ343" t="s">
        <v>1501</v>
      </c>
      <c r="BA343" t="s">
        <v>143</v>
      </c>
      <c r="BB343" t="str">
        <f t="shared" si="5"/>
        <v>CCCRNenUdenu</v>
      </c>
    </row>
    <row r="344" spans="48:54" x14ac:dyDescent="0.25">
      <c r="AV344" t="s">
        <v>822</v>
      </c>
      <c r="AW344" t="s">
        <v>174</v>
      </c>
      <c r="AX344" t="s">
        <v>631</v>
      </c>
      <c r="AY344" t="s">
        <v>1502</v>
      </c>
      <c r="AZ344" t="s">
        <v>1503</v>
      </c>
      <c r="BA344" t="s">
        <v>143</v>
      </c>
      <c r="BB344" t="str">
        <f t="shared" si="5"/>
        <v>CCCRNenUdenu</v>
      </c>
    </row>
    <row r="345" spans="48:54" x14ac:dyDescent="0.25">
      <c r="AV345" t="s">
        <v>822</v>
      </c>
      <c r="AW345" t="s">
        <v>174</v>
      </c>
      <c r="AX345" t="s">
        <v>631</v>
      </c>
      <c r="AY345" t="s">
        <v>1504</v>
      </c>
      <c r="AZ345" t="s">
        <v>1505</v>
      </c>
      <c r="BA345" t="s">
        <v>143</v>
      </c>
      <c r="BB345" t="str">
        <f t="shared" si="5"/>
        <v>CCCRNenUdenu</v>
      </c>
    </row>
    <row r="346" spans="48:54" x14ac:dyDescent="0.25">
      <c r="AV346" t="s">
        <v>822</v>
      </c>
      <c r="AW346" t="s">
        <v>174</v>
      </c>
      <c r="AX346" t="s">
        <v>631</v>
      </c>
      <c r="AY346" t="s">
        <v>1506</v>
      </c>
      <c r="AZ346" t="s">
        <v>1507</v>
      </c>
      <c r="BA346" t="s">
        <v>143</v>
      </c>
      <c r="BB346" t="str">
        <f t="shared" si="5"/>
        <v>CCCRNenUdenu</v>
      </c>
    </row>
    <row r="347" spans="48:54" x14ac:dyDescent="0.25">
      <c r="AV347" t="s">
        <v>822</v>
      </c>
      <c r="AW347" t="s">
        <v>177</v>
      </c>
      <c r="AX347" t="s">
        <v>654</v>
      </c>
      <c r="AY347" t="s">
        <v>1508</v>
      </c>
      <c r="AZ347" t="s">
        <v>1509</v>
      </c>
      <c r="BA347" t="s">
        <v>143</v>
      </c>
      <c r="BB347" t="str">
        <f t="shared" si="5"/>
        <v>CCCRNimAbohMbaise</v>
      </c>
    </row>
    <row r="348" spans="48:54" x14ac:dyDescent="0.25">
      <c r="AV348" t="s">
        <v>822</v>
      </c>
      <c r="AW348" t="s">
        <v>177</v>
      </c>
      <c r="AX348" t="s">
        <v>654</v>
      </c>
      <c r="AY348" t="s">
        <v>1510</v>
      </c>
      <c r="AZ348" t="s">
        <v>1511</v>
      </c>
      <c r="BA348" t="s">
        <v>143</v>
      </c>
      <c r="BB348" t="str">
        <f t="shared" si="5"/>
        <v>CCCRNimAbohMbaise</v>
      </c>
    </row>
    <row r="349" spans="48:54" x14ac:dyDescent="0.25">
      <c r="AV349" t="s">
        <v>822</v>
      </c>
      <c r="AW349" t="s">
        <v>177</v>
      </c>
      <c r="AX349" t="s">
        <v>654</v>
      </c>
      <c r="AY349" t="s">
        <v>1512</v>
      </c>
      <c r="AZ349" t="s">
        <v>1513</v>
      </c>
      <c r="BA349" t="s">
        <v>143</v>
      </c>
      <c r="BB349" t="str">
        <f t="shared" si="5"/>
        <v>CCCRNimAbohMbaise</v>
      </c>
    </row>
    <row r="350" spans="48:54" x14ac:dyDescent="0.25">
      <c r="AV350" t="s">
        <v>822</v>
      </c>
      <c r="AW350" t="s">
        <v>177</v>
      </c>
      <c r="AX350" t="s">
        <v>654</v>
      </c>
      <c r="AY350" t="s">
        <v>1514</v>
      </c>
      <c r="AZ350" t="s">
        <v>1515</v>
      </c>
      <c r="BA350" t="s">
        <v>143</v>
      </c>
      <c r="BB350" t="str">
        <f t="shared" si="5"/>
        <v>CCCRNimAbohMbaise</v>
      </c>
    </row>
    <row r="351" spans="48:54" x14ac:dyDescent="0.25">
      <c r="AV351" t="s">
        <v>822</v>
      </c>
      <c r="AW351" t="s">
        <v>177</v>
      </c>
      <c r="AX351" t="s">
        <v>654</v>
      </c>
      <c r="AY351" t="s">
        <v>1516</v>
      </c>
      <c r="AZ351" t="s">
        <v>1517</v>
      </c>
      <c r="BA351" t="s">
        <v>143</v>
      </c>
      <c r="BB351" t="str">
        <f t="shared" si="5"/>
        <v>CCCRNimAbohMbaise</v>
      </c>
    </row>
    <row r="352" spans="48:54" x14ac:dyDescent="0.25">
      <c r="AV352" t="s">
        <v>822</v>
      </c>
      <c r="AW352" t="s">
        <v>177</v>
      </c>
      <c r="AX352" t="s">
        <v>655</v>
      </c>
      <c r="AY352" t="s">
        <v>1518</v>
      </c>
      <c r="AZ352" t="s">
        <v>1519</v>
      </c>
      <c r="BA352" t="s">
        <v>143</v>
      </c>
      <c r="BB352" t="str">
        <f t="shared" si="5"/>
        <v>CCCRNimAhiazuMbaise</v>
      </c>
    </row>
    <row r="353" spans="48:54" x14ac:dyDescent="0.25">
      <c r="AV353" t="s">
        <v>822</v>
      </c>
      <c r="AW353" t="s">
        <v>177</v>
      </c>
      <c r="AX353" t="s">
        <v>655</v>
      </c>
      <c r="AY353" t="s">
        <v>1520</v>
      </c>
      <c r="AZ353" t="s">
        <v>1521</v>
      </c>
      <c r="BA353" t="s">
        <v>143</v>
      </c>
      <c r="BB353" t="str">
        <f t="shared" si="5"/>
        <v>CCCRNimAhiazuMbaise</v>
      </c>
    </row>
    <row r="354" spans="48:54" x14ac:dyDescent="0.25">
      <c r="AV354" t="s">
        <v>822</v>
      </c>
      <c r="AW354" t="s">
        <v>177</v>
      </c>
      <c r="AX354" t="s">
        <v>655</v>
      </c>
      <c r="AY354" t="s">
        <v>1522</v>
      </c>
      <c r="AZ354" t="s">
        <v>1523</v>
      </c>
      <c r="BA354" t="s">
        <v>143</v>
      </c>
      <c r="BB354" t="str">
        <f t="shared" si="5"/>
        <v>CCCRNimAhiazuMbaise</v>
      </c>
    </row>
    <row r="355" spans="48:54" x14ac:dyDescent="0.25">
      <c r="AV355" t="s">
        <v>822</v>
      </c>
      <c r="AW355" t="s">
        <v>177</v>
      </c>
      <c r="AX355" t="s">
        <v>656</v>
      </c>
      <c r="AY355" t="s">
        <v>1524</v>
      </c>
      <c r="AZ355" t="s">
        <v>1525</v>
      </c>
      <c r="BA355" t="s">
        <v>143</v>
      </c>
      <c r="BB355" t="str">
        <f t="shared" si="5"/>
        <v>CCCRNimEzinihitte</v>
      </c>
    </row>
    <row r="356" spans="48:54" x14ac:dyDescent="0.25">
      <c r="AV356" t="s">
        <v>822</v>
      </c>
      <c r="AW356" t="s">
        <v>177</v>
      </c>
      <c r="AX356" t="s">
        <v>656</v>
      </c>
      <c r="AY356" t="s">
        <v>1526</v>
      </c>
      <c r="AZ356" t="s">
        <v>1527</v>
      </c>
      <c r="BA356" t="s">
        <v>143</v>
      </c>
      <c r="BB356" t="str">
        <f t="shared" si="5"/>
        <v>CCCRNimEzinihitte</v>
      </c>
    </row>
    <row r="357" spans="48:54" x14ac:dyDescent="0.25">
      <c r="AV357" t="s">
        <v>822</v>
      </c>
      <c r="AW357" t="s">
        <v>177</v>
      </c>
      <c r="AX357" t="s">
        <v>656</v>
      </c>
      <c r="AY357" t="s">
        <v>1528</v>
      </c>
      <c r="AZ357" t="s">
        <v>1529</v>
      </c>
      <c r="BA357" t="s">
        <v>143</v>
      </c>
      <c r="BB357" t="str">
        <f t="shared" si="5"/>
        <v>CCCRNimEzinihitte</v>
      </c>
    </row>
    <row r="358" spans="48:54" x14ac:dyDescent="0.25">
      <c r="AV358" t="s">
        <v>822</v>
      </c>
      <c r="AW358" t="s">
        <v>177</v>
      </c>
      <c r="AX358" t="s">
        <v>657</v>
      </c>
      <c r="AY358" t="s">
        <v>1530</v>
      </c>
      <c r="AZ358" t="s">
        <v>1531</v>
      </c>
      <c r="BA358" t="s">
        <v>143</v>
      </c>
      <c r="BB358" t="str">
        <f t="shared" si="5"/>
        <v>CCCRNimIdeatoNorth</v>
      </c>
    </row>
    <row r="359" spans="48:54" x14ac:dyDescent="0.25">
      <c r="AV359" t="s">
        <v>822</v>
      </c>
      <c r="AW359" t="s">
        <v>177</v>
      </c>
      <c r="AX359" t="s">
        <v>657</v>
      </c>
      <c r="AY359" t="s">
        <v>1532</v>
      </c>
      <c r="AZ359" t="s">
        <v>1533</v>
      </c>
      <c r="BA359" t="s">
        <v>143</v>
      </c>
      <c r="BB359" t="str">
        <f t="shared" si="5"/>
        <v>CCCRNimIdeatoNorth</v>
      </c>
    </row>
    <row r="360" spans="48:54" x14ac:dyDescent="0.25">
      <c r="AV360" t="s">
        <v>822</v>
      </c>
      <c r="AW360" t="s">
        <v>177</v>
      </c>
      <c r="AX360" t="s">
        <v>657</v>
      </c>
      <c r="AY360" t="s">
        <v>1534</v>
      </c>
      <c r="AZ360" t="s">
        <v>1535</v>
      </c>
      <c r="BA360" t="s">
        <v>143</v>
      </c>
      <c r="BB360" t="str">
        <f t="shared" si="5"/>
        <v>CCCRNimIdeatoNorth</v>
      </c>
    </row>
    <row r="361" spans="48:54" x14ac:dyDescent="0.25">
      <c r="AV361" t="s">
        <v>822</v>
      </c>
      <c r="AW361" t="s">
        <v>177</v>
      </c>
      <c r="AX361" t="s">
        <v>657</v>
      </c>
      <c r="AY361" t="s">
        <v>1536</v>
      </c>
      <c r="AZ361" t="s">
        <v>1537</v>
      </c>
      <c r="BA361" t="s">
        <v>143</v>
      </c>
      <c r="BB361" t="str">
        <f t="shared" si="5"/>
        <v>CCCRNimIdeatoNorth</v>
      </c>
    </row>
    <row r="362" spans="48:54" x14ac:dyDescent="0.25">
      <c r="AV362" t="s">
        <v>822</v>
      </c>
      <c r="AW362" t="s">
        <v>177</v>
      </c>
      <c r="AX362" t="s">
        <v>657</v>
      </c>
      <c r="AY362" t="s">
        <v>1538</v>
      </c>
      <c r="AZ362" t="s">
        <v>1539</v>
      </c>
      <c r="BA362" t="s">
        <v>143</v>
      </c>
      <c r="BB362" t="str">
        <f t="shared" si="5"/>
        <v>CCCRNimIdeatoNorth</v>
      </c>
    </row>
    <row r="363" spans="48:54" x14ac:dyDescent="0.25">
      <c r="AV363" t="s">
        <v>822</v>
      </c>
      <c r="AW363" t="s">
        <v>177</v>
      </c>
      <c r="AX363" t="s">
        <v>658</v>
      </c>
      <c r="AY363" t="s">
        <v>1540</v>
      </c>
      <c r="AZ363" t="s">
        <v>1541</v>
      </c>
      <c r="BA363" t="s">
        <v>143</v>
      </c>
      <c r="BB363" t="str">
        <f t="shared" si="5"/>
        <v>CCCRNimIdeatoSouth</v>
      </c>
    </row>
    <row r="364" spans="48:54" x14ac:dyDescent="0.25">
      <c r="AV364" t="s">
        <v>822</v>
      </c>
      <c r="AW364" t="s">
        <v>177</v>
      </c>
      <c r="AX364" t="s">
        <v>659</v>
      </c>
      <c r="AY364" t="s">
        <v>1542</v>
      </c>
      <c r="AZ364" t="s">
        <v>1543</v>
      </c>
      <c r="BA364" t="s">
        <v>143</v>
      </c>
      <c r="BB364" t="str">
        <f t="shared" si="5"/>
        <v>CCCRNimIkeduru</v>
      </c>
    </row>
    <row r="365" spans="48:54" x14ac:dyDescent="0.25">
      <c r="AV365" t="s">
        <v>822</v>
      </c>
      <c r="AW365" t="s">
        <v>177</v>
      </c>
      <c r="AX365" t="s">
        <v>659</v>
      </c>
      <c r="AY365" t="s">
        <v>1544</v>
      </c>
      <c r="AZ365" t="s">
        <v>1545</v>
      </c>
      <c r="BA365" t="s">
        <v>143</v>
      </c>
      <c r="BB365" t="str">
        <f t="shared" si="5"/>
        <v>CCCRNimIkeduru</v>
      </c>
    </row>
    <row r="366" spans="48:54" x14ac:dyDescent="0.25">
      <c r="AV366" t="s">
        <v>822</v>
      </c>
      <c r="AW366" t="s">
        <v>177</v>
      </c>
      <c r="AX366" t="s">
        <v>659</v>
      </c>
      <c r="AY366" t="s">
        <v>1546</v>
      </c>
      <c r="AZ366" t="s">
        <v>1547</v>
      </c>
      <c r="BA366" t="s">
        <v>143</v>
      </c>
      <c r="BB366" t="str">
        <f t="shared" si="5"/>
        <v>CCCRNimIkeduru</v>
      </c>
    </row>
    <row r="367" spans="48:54" x14ac:dyDescent="0.25">
      <c r="AV367" t="s">
        <v>822</v>
      </c>
      <c r="AW367" t="s">
        <v>177</v>
      </c>
      <c r="AX367" t="s">
        <v>660</v>
      </c>
      <c r="AY367" t="s">
        <v>1548</v>
      </c>
      <c r="AZ367" t="s">
        <v>1549</v>
      </c>
      <c r="BA367" t="s">
        <v>143</v>
      </c>
      <c r="BB367" t="str">
        <f t="shared" si="5"/>
        <v>CCCRNimIsu</v>
      </c>
    </row>
    <row r="368" spans="48:54" x14ac:dyDescent="0.25">
      <c r="AV368" t="s">
        <v>822</v>
      </c>
      <c r="AW368" t="s">
        <v>177</v>
      </c>
      <c r="AX368" t="s">
        <v>660</v>
      </c>
      <c r="AY368" t="s">
        <v>1550</v>
      </c>
      <c r="AZ368" t="s">
        <v>1551</v>
      </c>
      <c r="BA368" t="s">
        <v>143</v>
      </c>
      <c r="BB368" t="str">
        <f t="shared" si="5"/>
        <v>CCCRNimIsu</v>
      </c>
    </row>
    <row r="369" spans="48:54" x14ac:dyDescent="0.25">
      <c r="AV369" t="s">
        <v>822</v>
      </c>
      <c r="AW369" t="s">
        <v>177</v>
      </c>
      <c r="AX369" t="s">
        <v>660</v>
      </c>
      <c r="AY369" t="s">
        <v>1552</v>
      </c>
      <c r="AZ369" t="s">
        <v>1553</v>
      </c>
      <c r="BA369" t="s">
        <v>143</v>
      </c>
      <c r="BB369" t="str">
        <f t="shared" si="5"/>
        <v>CCCRNimIsu</v>
      </c>
    </row>
    <row r="370" spans="48:54" x14ac:dyDescent="0.25">
      <c r="AV370" t="s">
        <v>822</v>
      </c>
      <c r="AW370" t="s">
        <v>177</v>
      </c>
      <c r="AX370" t="s">
        <v>661</v>
      </c>
      <c r="AY370" t="s">
        <v>1554</v>
      </c>
      <c r="AZ370" t="s">
        <v>1555</v>
      </c>
      <c r="BA370" t="s">
        <v>143</v>
      </c>
      <c r="BB370" t="str">
        <f t="shared" si="5"/>
        <v>CCCRNimMbaitoli</v>
      </c>
    </row>
    <row r="371" spans="48:54" x14ac:dyDescent="0.25">
      <c r="AV371" t="s">
        <v>822</v>
      </c>
      <c r="AW371" t="s">
        <v>177</v>
      </c>
      <c r="AX371" t="s">
        <v>661</v>
      </c>
      <c r="AY371" t="s">
        <v>1556</v>
      </c>
      <c r="AZ371" t="s">
        <v>1557</v>
      </c>
      <c r="BA371" t="s">
        <v>143</v>
      </c>
      <c r="BB371" t="str">
        <f t="shared" si="5"/>
        <v>CCCRNimMbaitoli</v>
      </c>
    </row>
    <row r="372" spans="48:54" x14ac:dyDescent="0.25">
      <c r="AV372" t="s">
        <v>822</v>
      </c>
      <c r="AW372" t="s">
        <v>177</v>
      </c>
      <c r="AX372" t="s">
        <v>661</v>
      </c>
      <c r="AY372" t="s">
        <v>1558</v>
      </c>
      <c r="AZ372" t="s">
        <v>1559</v>
      </c>
      <c r="BA372" t="s">
        <v>143</v>
      </c>
      <c r="BB372" t="str">
        <f t="shared" si="5"/>
        <v>CCCRNimMbaitoli</v>
      </c>
    </row>
    <row r="373" spans="48:54" x14ac:dyDescent="0.25">
      <c r="AV373" t="s">
        <v>822</v>
      </c>
      <c r="AW373" t="s">
        <v>177</v>
      </c>
      <c r="AX373" t="s">
        <v>661</v>
      </c>
      <c r="AY373" t="s">
        <v>1560</v>
      </c>
      <c r="AZ373" t="s">
        <v>1561</v>
      </c>
      <c r="BA373" t="s">
        <v>143</v>
      </c>
      <c r="BB373" t="str">
        <f t="shared" si="5"/>
        <v>CCCRNimMbaitoli</v>
      </c>
    </row>
    <row r="374" spans="48:54" x14ac:dyDescent="0.25">
      <c r="AV374" t="s">
        <v>822</v>
      </c>
      <c r="AW374" t="s">
        <v>177</v>
      </c>
      <c r="AX374" t="s">
        <v>662</v>
      </c>
      <c r="AY374" t="s">
        <v>1562</v>
      </c>
      <c r="AZ374" t="s">
        <v>1563</v>
      </c>
      <c r="BA374" t="s">
        <v>143</v>
      </c>
      <c r="BB374" t="str">
        <f t="shared" si="5"/>
        <v>CCCRNimNgorOkpala</v>
      </c>
    </row>
    <row r="375" spans="48:54" x14ac:dyDescent="0.25">
      <c r="AV375" t="s">
        <v>822</v>
      </c>
      <c r="AW375" t="s">
        <v>177</v>
      </c>
      <c r="AX375" t="s">
        <v>662</v>
      </c>
      <c r="AY375" t="s">
        <v>1564</v>
      </c>
      <c r="AZ375" t="s">
        <v>1565</v>
      </c>
      <c r="BA375" t="s">
        <v>143</v>
      </c>
      <c r="BB375" t="str">
        <f t="shared" si="5"/>
        <v>CCCRNimNgorOkpala</v>
      </c>
    </row>
    <row r="376" spans="48:54" x14ac:dyDescent="0.25">
      <c r="AV376" t="s">
        <v>822</v>
      </c>
      <c r="AW376" t="s">
        <v>177</v>
      </c>
      <c r="AX376" t="s">
        <v>662</v>
      </c>
      <c r="AY376" t="s">
        <v>1566</v>
      </c>
      <c r="AZ376" t="s">
        <v>1567</v>
      </c>
      <c r="BA376" t="s">
        <v>143</v>
      </c>
      <c r="BB376" t="str">
        <f t="shared" si="5"/>
        <v>CCCRNimNgorOkpala</v>
      </c>
    </row>
    <row r="377" spans="48:54" x14ac:dyDescent="0.25">
      <c r="AV377" t="s">
        <v>822</v>
      </c>
      <c r="AW377" t="s">
        <v>177</v>
      </c>
      <c r="AX377" t="s">
        <v>662</v>
      </c>
      <c r="AY377" t="s">
        <v>1568</v>
      </c>
      <c r="AZ377" t="s">
        <v>1569</v>
      </c>
      <c r="BA377" t="s">
        <v>143</v>
      </c>
      <c r="BB377" t="str">
        <f t="shared" si="5"/>
        <v>CCCRNimNgorOkpala</v>
      </c>
    </row>
    <row r="378" spans="48:54" x14ac:dyDescent="0.25">
      <c r="AV378" t="s">
        <v>822</v>
      </c>
      <c r="AW378" t="s">
        <v>177</v>
      </c>
      <c r="AX378" t="s">
        <v>663</v>
      </c>
      <c r="AY378" t="s">
        <v>1570</v>
      </c>
      <c r="AZ378" t="s">
        <v>1571</v>
      </c>
      <c r="BA378" t="s">
        <v>143</v>
      </c>
      <c r="BB378" t="str">
        <f t="shared" si="5"/>
        <v>CCCRNimNjaba</v>
      </c>
    </row>
    <row r="379" spans="48:54" x14ac:dyDescent="0.25">
      <c r="AV379" t="s">
        <v>822</v>
      </c>
      <c r="AW379" t="s">
        <v>177</v>
      </c>
      <c r="AX379" t="s">
        <v>663</v>
      </c>
      <c r="AY379" t="s">
        <v>1572</v>
      </c>
      <c r="AZ379" t="s">
        <v>1573</v>
      </c>
      <c r="BA379" t="s">
        <v>143</v>
      </c>
      <c r="BB379" t="str">
        <f t="shared" si="5"/>
        <v>CCCRNimNjaba</v>
      </c>
    </row>
    <row r="380" spans="48:54" x14ac:dyDescent="0.25">
      <c r="AV380" t="s">
        <v>822</v>
      </c>
      <c r="AW380" t="s">
        <v>177</v>
      </c>
      <c r="AX380" t="s">
        <v>664</v>
      </c>
      <c r="AY380" t="s">
        <v>1574</v>
      </c>
      <c r="AZ380" t="s">
        <v>1575</v>
      </c>
      <c r="BA380" t="s">
        <v>143</v>
      </c>
      <c r="BB380" t="str">
        <f t="shared" si="5"/>
        <v>CCCRNimNkwerre</v>
      </c>
    </row>
    <row r="381" spans="48:54" x14ac:dyDescent="0.25">
      <c r="AV381" t="s">
        <v>822</v>
      </c>
      <c r="AW381" t="s">
        <v>177</v>
      </c>
      <c r="AX381" t="s">
        <v>664</v>
      </c>
      <c r="AY381" t="s">
        <v>1576</v>
      </c>
      <c r="AZ381" t="s">
        <v>1577</v>
      </c>
      <c r="BA381" t="s">
        <v>143</v>
      </c>
      <c r="BB381" t="str">
        <f t="shared" si="5"/>
        <v>CCCRNimNkwerre</v>
      </c>
    </row>
    <row r="382" spans="48:54" x14ac:dyDescent="0.25">
      <c r="AV382" t="s">
        <v>822</v>
      </c>
      <c r="AW382" t="s">
        <v>177</v>
      </c>
      <c r="AX382" t="s">
        <v>664</v>
      </c>
      <c r="AY382" t="s">
        <v>1578</v>
      </c>
      <c r="AZ382" t="s">
        <v>1579</v>
      </c>
      <c r="BA382" t="s">
        <v>143</v>
      </c>
      <c r="BB382" t="str">
        <f t="shared" si="5"/>
        <v>CCCRNimNkwerre</v>
      </c>
    </row>
    <row r="383" spans="48:54" x14ac:dyDescent="0.25">
      <c r="AV383" t="s">
        <v>822</v>
      </c>
      <c r="AW383" t="s">
        <v>177</v>
      </c>
      <c r="AX383" t="s">
        <v>664</v>
      </c>
      <c r="AY383" t="s">
        <v>1580</v>
      </c>
      <c r="AZ383" t="s">
        <v>1581</v>
      </c>
      <c r="BA383" t="s">
        <v>143</v>
      </c>
      <c r="BB383" t="str">
        <f t="shared" si="5"/>
        <v>CCCRNimNkwerre</v>
      </c>
    </row>
    <row r="384" spans="48:54" x14ac:dyDescent="0.25">
      <c r="AV384" t="s">
        <v>822</v>
      </c>
      <c r="AW384" t="s">
        <v>177</v>
      </c>
      <c r="AX384" t="s">
        <v>664</v>
      </c>
      <c r="AY384" t="s">
        <v>1582</v>
      </c>
      <c r="AZ384" t="s">
        <v>1583</v>
      </c>
      <c r="BA384" t="s">
        <v>143</v>
      </c>
      <c r="BB384" t="str">
        <f t="shared" si="5"/>
        <v>CCCRNimNkwerre</v>
      </c>
    </row>
    <row r="385" spans="48:54" x14ac:dyDescent="0.25">
      <c r="AV385" t="s">
        <v>822</v>
      </c>
      <c r="AW385" t="s">
        <v>177</v>
      </c>
      <c r="AX385" t="s">
        <v>665</v>
      </c>
      <c r="AY385" t="s">
        <v>1584</v>
      </c>
      <c r="AZ385" t="s">
        <v>1585</v>
      </c>
      <c r="BA385" t="s">
        <v>143</v>
      </c>
      <c r="BB385" t="str">
        <f t="shared" si="5"/>
        <v>CCCRNimNwangele</v>
      </c>
    </row>
    <row r="386" spans="48:54" x14ac:dyDescent="0.25">
      <c r="AV386" t="s">
        <v>822</v>
      </c>
      <c r="AW386" t="s">
        <v>177</v>
      </c>
      <c r="AX386" t="s">
        <v>665</v>
      </c>
      <c r="AY386" t="s">
        <v>1586</v>
      </c>
      <c r="AZ386" t="s">
        <v>1587</v>
      </c>
      <c r="BA386" t="s">
        <v>143</v>
      </c>
      <c r="BB386" t="str">
        <f t="shared" si="5"/>
        <v>CCCRNimNwangele</v>
      </c>
    </row>
    <row r="387" spans="48:54" x14ac:dyDescent="0.25">
      <c r="AV387" t="s">
        <v>822</v>
      </c>
      <c r="AW387" t="s">
        <v>177</v>
      </c>
      <c r="AX387" t="s">
        <v>665</v>
      </c>
      <c r="AY387" t="s">
        <v>1588</v>
      </c>
      <c r="AZ387" t="s">
        <v>1589</v>
      </c>
      <c r="BA387" t="s">
        <v>143</v>
      </c>
      <c r="BB387" t="str">
        <f t="shared" ref="BB387:BB450" si="6">SUBSTITUTE(SUBSTITUTE(BA387&amp;AX387," ",""),"-","")</f>
        <v>CCCRNimNwangele</v>
      </c>
    </row>
    <row r="388" spans="48:54" x14ac:dyDescent="0.25">
      <c r="AV388" t="s">
        <v>822</v>
      </c>
      <c r="AW388" t="s">
        <v>177</v>
      </c>
      <c r="AX388" t="s">
        <v>666</v>
      </c>
      <c r="AY388" t="s">
        <v>1590</v>
      </c>
      <c r="AZ388" t="s">
        <v>1591</v>
      </c>
      <c r="BA388" t="s">
        <v>143</v>
      </c>
      <c r="BB388" t="str">
        <f t="shared" si="6"/>
        <v>CCCRNimOguta</v>
      </c>
    </row>
    <row r="389" spans="48:54" x14ac:dyDescent="0.25">
      <c r="AV389" t="s">
        <v>822</v>
      </c>
      <c r="AW389" t="s">
        <v>177</v>
      </c>
      <c r="AX389" t="s">
        <v>666</v>
      </c>
      <c r="AY389" t="s">
        <v>1592</v>
      </c>
      <c r="AZ389" t="s">
        <v>1593</v>
      </c>
      <c r="BA389" t="s">
        <v>143</v>
      </c>
      <c r="BB389" t="str">
        <f t="shared" si="6"/>
        <v>CCCRNimOguta</v>
      </c>
    </row>
    <row r="390" spans="48:54" x14ac:dyDescent="0.25">
      <c r="AV390" t="s">
        <v>822</v>
      </c>
      <c r="AW390" t="s">
        <v>177</v>
      </c>
      <c r="AX390" t="s">
        <v>666</v>
      </c>
      <c r="AY390" t="s">
        <v>1594</v>
      </c>
      <c r="AZ390" t="s">
        <v>1595</v>
      </c>
      <c r="BA390" t="s">
        <v>143</v>
      </c>
      <c r="BB390" t="str">
        <f t="shared" si="6"/>
        <v>CCCRNimOguta</v>
      </c>
    </row>
    <row r="391" spans="48:54" x14ac:dyDescent="0.25">
      <c r="AV391" t="s">
        <v>822</v>
      </c>
      <c r="AW391" t="s">
        <v>177</v>
      </c>
      <c r="AX391" t="s">
        <v>666</v>
      </c>
      <c r="AY391" t="s">
        <v>1596</v>
      </c>
      <c r="AZ391" t="s">
        <v>1597</v>
      </c>
      <c r="BA391" t="s">
        <v>143</v>
      </c>
      <c r="BB391" t="str">
        <f t="shared" si="6"/>
        <v>CCCRNimOguta</v>
      </c>
    </row>
    <row r="392" spans="48:54" x14ac:dyDescent="0.25">
      <c r="AV392" t="s">
        <v>822</v>
      </c>
      <c r="AW392" t="s">
        <v>177</v>
      </c>
      <c r="AX392" t="s">
        <v>666</v>
      </c>
      <c r="AY392" t="s">
        <v>1598</v>
      </c>
      <c r="AZ392" t="s">
        <v>1599</v>
      </c>
      <c r="BA392" t="s">
        <v>143</v>
      </c>
      <c r="BB392" t="str">
        <f t="shared" si="6"/>
        <v>CCCRNimOguta</v>
      </c>
    </row>
    <row r="393" spans="48:54" x14ac:dyDescent="0.25">
      <c r="AV393" t="s">
        <v>822</v>
      </c>
      <c r="AW393" t="s">
        <v>177</v>
      </c>
      <c r="AX393" t="s">
        <v>667</v>
      </c>
      <c r="AY393" t="s">
        <v>1600</v>
      </c>
      <c r="AZ393" t="s">
        <v>1601</v>
      </c>
      <c r="BA393" t="s">
        <v>143</v>
      </c>
      <c r="BB393" t="str">
        <f t="shared" si="6"/>
        <v>CCCRNimOhaji</v>
      </c>
    </row>
    <row r="394" spans="48:54" x14ac:dyDescent="0.25">
      <c r="AV394" t="s">
        <v>822</v>
      </c>
      <c r="AW394" t="s">
        <v>177</v>
      </c>
      <c r="AX394" t="s">
        <v>667</v>
      </c>
      <c r="AY394" t="s">
        <v>1600</v>
      </c>
      <c r="AZ394" t="s">
        <v>1602</v>
      </c>
      <c r="BA394" t="s">
        <v>143</v>
      </c>
      <c r="BB394" t="str">
        <f t="shared" si="6"/>
        <v>CCCRNimOhaji</v>
      </c>
    </row>
    <row r="395" spans="48:54" x14ac:dyDescent="0.25">
      <c r="AV395" t="s">
        <v>822</v>
      </c>
      <c r="AW395" t="s">
        <v>177</v>
      </c>
      <c r="AX395" t="s">
        <v>667</v>
      </c>
      <c r="AY395" t="s">
        <v>1600</v>
      </c>
      <c r="AZ395" t="s">
        <v>1603</v>
      </c>
      <c r="BA395" t="s">
        <v>143</v>
      </c>
      <c r="BB395" t="str">
        <f t="shared" si="6"/>
        <v>CCCRNimOhaji</v>
      </c>
    </row>
    <row r="396" spans="48:54" x14ac:dyDescent="0.25">
      <c r="AV396" t="s">
        <v>822</v>
      </c>
      <c r="AW396" t="s">
        <v>177</v>
      </c>
      <c r="AX396" t="s">
        <v>667</v>
      </c>
      <c r="AY396" t="s">
        <v>1600</v>
      </c>
      <c r="AZ396" t="s">
        <v>1604</v>
      </c>
      <c r="BA396" t="s">
        <v>143</v>
      </c>
      <c r="BB396" t="str">
        <f t="shared" si="6"/>
        <v>CCCRNimOhaji</v>
      </c>
    </row>
    <row r="397" spans="48:54" x14ac:dyDescent="0.25">
      <c r="AV397" t="s">
        <v>822</v>
      </c>
      <c r="AW397" t="s">
        <v>177</v>
      </c>
      <c r="AX397" t="s">
        <v>667</v>
      </c>
      <c r="AY397" t="s">
        <v>1600</v>
      </c>
      <c r="AZ397" t="s">
        <v>1605</v>
      </c>
      <c r="BA397" t="s">
        <v>143</v>
      </c>
      <c r="BB397" t="str">
        <f t="shared" si="6"/>
        <v>CCCRNimOhaji</v>
      </c>
    </row>
    <row r="398" spans="48:54" x14ac:dyDescent="0.25">
      <c r="AV398" t="s">
        <v>822</v>
      </c>
      <c r="AW398" t="s">
        <v>177</v>
      </c>
      <c r="AX398" t="s">
        <v>668</v>
      </c>
      <c r="AY398" t="s">
        <v>1606</v>
      </c>
      <c r="AZ398" t="s">
        <v>1607</v>
      </c>
      <c r="BA398" t="s">
        <v>143</v>
      </c>
      <c r="BB398" t="str">
        <f t="shared" si="6"/>
        <v>CCCRNimOrlu</v>
      </c>
    </row>
    <row r="399" spans="48:54" x14ac:dyDescent="0.25">
      <c r="AV399" t="s">
        <v>822</v>
      </c>
      <c r="AW399" t="s">
        <v>177</v>
      </c>
      <c r="AX399" t="s">
        <v>668</v>
      </c>
      <c r="AY399" t="s">
        <v>1608</v>
      </c>
      <c r="AZ399" t="s">
        <v>1609</v>
      </c>
      <c r="BA399" t="s">
        <v>143</v>
      </c>
      <c r="BB399" t="str">
        <f t="shared" si="6"/>
        <v>CCCRNimOrlu</v>
      </c>
    </row>
    <row r="400" spans="48:54" x14ac:dyDescent="0.25">
      <c r="AV400" t="s">
        <v>822</v>
      </c>
      <c r="AW400" t="s">
        <v>177</v>
      </c>
      <c r="AX400" t="s">
        <v>668</v>
      </c>
      <c r="AY400" t="s">
        <v>1610</v>
      </c>
      <c r="AZ400" t="s">
        <v>1611</v>
      </c>
      <c r="BA400" t="s">
        <v>143</v>
      </c>
      <c r="BB400" t="str">
        <f t="shared" si="6"/>
        <v>CCCRNimOrlu</v>
      </c>
    </row>
    <row r="401" spans="48:54" x14ac:dyDescent="0.25">
      <c r="AV401" t="s">
        <v>822</v>
      </c>
      <c r="AW401" t="s">
        <v>177</v>
      </c>
      <c r="AX401" t="s">
        <v>668</v>
      </c>
      <c r="AY401" t="s">
        <v>1612</v>
      </c>
      <c r="AZ401" t="s">
        <v>1613</v>
      </c>
      <c r="BA401" t="s">
        <v>143</v>
      </c>
      <c r="BB401" t="str">
        <f t="shared" si="6"/>
        <v>CCCRNimOrlu</v>
      </c>
    </row>
    <row r="402" spans="48:54" x14ac:dyDescent="0.25">
      <c r="AV402" t="s">
        <v>822</v>
      </c>
      <c r="AW402" t="s">
        <v>177</v>
      </c>
      <c r="AX402" t="s">
        <v>668</v>
      </c>
      <c r="AY402" t="s">
        <v>1614</v>
      </c>
      <c r="AZ402" t="s">
        <v>1615</v>
      </c>
      <c r="BA402" t="s">
        <v>143</v>
      </c>
      <c r="BB402" t="str">
        <f t="shared" si="6"/>
        <v>CCCRNimOrlu</v>
      </c>
    </row>
    <row r="403" spans="48:54" x14ac:dyDescent="0.25">
      <c r="AV403" t="s">
        <v>822</v>
      </c>
      <c r="AW403" t="s">
        <v>177</v>
      </c>
      <c r="AX403" t="s">
        <v>669</v>
      </c>
      <c r="AY403" t="s">
        <v>1616</v>
      </c>
      <c r="AZ403" t="s">
        <v>1617</v>
      </c>
      <c r="BA403" t="s">
        <v>143</v>
      </c>
      <c r="BB403" t="str">
        <f t="shared" si="6"/>
        <v>CCCRNimOrsu</v>
      </c>
    </row>
    <row r="404" spans="48:54" x14ac:dyDescent="0.25">
      <c r="AV404" t="s">
        <v>822</v>
      </c>
      <c r="AW404" t="s">
        <v>177</v>
      </c>
      <c r="AX404" t="s">
        <v>670</v>
      </c>
      <c r="AY404" t="s">
        <v>1618</v>
      </c>
      <c r="AZ404" t="s">
        <v>1619</v>
      </c>
      <c r="BA404" t="s">
        <v>143</v>
      </c>
      <c r="BB404" t="str">
        <f t="shared" si="6"/>
        <v>CCCRNimOruEast</v>
      </c>
    </row>
    <row r="405" spans="48:54" x14ac:dyDescent="0.25">
      <c r="AV405" t="s">
        <v>822</v>
      </c>
      <c r="AW405" t="s">
        <v>177</v>
      </c>
      <c r="AX405" t="s">
        <v>670</v>
      </c>
      <c r="AY405" t="s">
        <v>1620</v>
      </c>
      <c r="AZ405" t="s">
        <v>1621</v>
      </c>
      <c r="BA405" t="s">
        <v>143</v>
      </c>
      <c r="BB405" t="str">
        <f t="shared" si="6"/>
        <v>CCCRNimOruEast</v>
      </c>
    </row>
    <row r="406" spans="48:54" x14ac:dyDescent="0.25">
      <c r="AV406" t="s">
        <v>822</v>
      </c>
      <c r="AW406" t="s">
        <v>177</v>
      </c>
      <c r="AX406" t="s">
        <v>670</v>
      </c>
      <c r="AY406" t="s">
        <v>1622</v>
      </c>
      <c r="AZ406" t="s">
        <v>1623</v>
      </c>
      <c r="BA406" t="s">
        <v>143</v>
      </c>
      <c r="BB406" t="str">
        <f t="shared" si="6"/>
        <v>CCCRNimOruEast</v>
      </c>
    </row>
    <row r="407" spans="48:54" x14ac:dyDescent="0.25">
      <c r="AV407" t="s">
        <v>822</v>
      </c>
      <c r="AW407" t="s">
        <v>177</v>
      </c>
      <c r="AX407" t="s">
        <v>670</v>
      </c>
      <c r="AY407" t="s">
        <v>1624</v>
      </c>
      <c r="AZ407" t="s">
        <v>1625</v>
      </c>
      <c r="BA407" t="s">
        <v>143</v>
      </c>
      <c r="BB407" t="str">
        <f t="shared" si="6"/>
        <v>CCCRNimOruEast</v>
      </c>
    </row>
    <row r="408" spans="48:54" x14ac:dyDescent="0.25">
      <c r="AV408" t="s">
        <v>822</v>
      </c>
      <c r="AW408" t="s">
        <v>177</v>
      </c>
      <c r="AX408" t="s">
        <v>670</v>
      </c>
      <c r="AY408" t="s">
        <v>1626</v>
      </c>
      <c r="AZ408" t="s">
        <v>1627</v>
      </c>
      <c r="BA408" t="s">
        <v>143</v>
      </c>
      <c r="BB408" t="str">
        <f t="shared" si="6"/>
        <v>CCCRNimOruEast</v>
      </c>
    </row>
    <row r="409" spans="48:54" x14ac:dyDescent="0.25">
      <c r="AV409" t="s">
        <v>822</v>
      </c>
      <c r="AW409" t="s">
        <v>177</v>
      </c>
      <c r="AX409" t="s">
        <v>671</v>
      </c>
      <c r="AY409" t="s">
        <v>1628</v>
      </c>
      <c r="AZ409" t="s">
        <v>1629</v>
      </c>
      <c r="BA409" t="s">
        <v>143</v>
      </c>
      <c r="BB409" t="str">
        <f t="shared" si="6"/>
        <v>CCCRNimOruWest</v>
      </c>
    </row>
    <row r="410" spans="48:54" x14ac:dyDescent="0.25">
      <c r="AV410" t="s">
        <v>822</v>
      </c>
      <c r="AW410" t="s">
        <v>177</v>
      </c>
      <c r="AX410" t="s">
        <v>672</v>
      </c>
      <c r="AY410" t="s">
        <v>1630</v>
      </c>
      <c r="AZ410" t="s">
        <v>1631</v>
      </c>
      <c r="BA410" t="s">
        <v>143</v>
      </c>
      <c r="BB410" t="str">
        <f t="shared" si="6"/>
        <v>CCCRNimOwerriMunicipal</v>
      </c>
    </row>
    <row r="411" spans="48:54" x14ac:dyDescent="0.25">
      <c r="AV411" t="s">
        <v>822</v>
      </c>
      <c r="AW411" t="s">
        <v>177</v>
      </c>
      <c r="AX411" t="s">
        <v>672</v>
      </c>
      <c r="AY411" t="s">
        <v>1632</v>
      </c>
      <c r="AZ411" t="s">
        <v>1633</v>
      </c>
      <c r="BA411" t="s">
        <v>143</v>
      </c>
      <c r="BB411" t="str">
        <f t="shared" si="6"/>
        <v>CCCRNimOwerriMunicipal</v>
      </c>
    </row>
    <row r="412" spans="48:54" x14ac:dyDescent="0.25">
      <c r="AV412" t="s">
        <v>822</v>
      </c>
      <c r="AW412" t="s">
        <v>177</v>
      </c>
      <c r="AX412" t="s">
        <v>672</v>
      </c>
      <c r="AY412" t="s">
        <v>1634</v>
      </c>
      <c r="AZ412" t="s">
        <v>1635</v>
      </c>
      <c r="BA412" t="s">
        <v>143</v>
      </c>
      <c r="BB412" t="str">
        <f t="shared" si="6"/>
        <v>CCCRNimOwerriMunicipal</v>
      </c>
    </row>
    <row r="413" spans="48:54" x14ac:dyDescent="0.25">
      <c r="AV413" t="s">
        <v>822</v>
      </c>
      <c r="AW413" t="s">
        <v>177</v>
      </c>
      <c r="AX413" t="s">
        <v>672</v>
      </c>
      <c r="AY413" t="s">
        <v>1636</v>
      </c>
      <c r="AZ413" t="s">
        <v>1637</v>
      </c>
      <c r="BA413" t="s">
        <v>143</v>
      </c>
      <c r="BB413" t="str">
        <f t="shared" si="6"/>
        <v>CCCRNimOwerriMunicipal</v>
      </c>
    </row>
    <row r="414" spans="48:54" x14ac:dyDescent="0.25">
      <c r="AV414" t="s">
        <v>822</v>
      </c>
      <c r="AW414" t="s">
        <v>177</v>
      </c>
      <c r="AX414" t="s">
        <v>672</v>
      </c>
      <c r="AY414" t="s">
        <v>1638</v>
      </c>
      <c r="AZ414" t="s">
        <v>1639</v>
      </c>
      <c r="BA414" t="s">
        <v>143</v>
      </c>
      <c r="BB414" t="str">
        <f t="shared" si="6"/>
        <v>CCCRNimOwerriMunicipal</v>
      </c>
    </row>
    <row r="415" spans="48:54" x14ac:dyDescent="0.25">
      <c r="AV415" t="s">
        <v>822</v>
      </c>
      <c r="AW415" t="s">
        <v>177</v>
      </c>
      <c r="AX415" t="s">
        <v>673</v>
      </c>
      <c r="AY415" t="s">
        <v>1640</v>
      </c>
      <c r="AZ415" t="s">
        <v>1641</v>
      </c>
      <c r="BA415" t="s">
        <v>143</v>
      </c>
      <c r="BB415" t="str">
        <f t="shared" si="6"/>
        <v>CCCRNimOwerriNorth</v>
      </c>
    </row>
    <row r="416" spans="48:54" x14ac:dyDescent="0.25">
      <c r="AV416" t="s">
        <v>822</v>
      </c>
      <c r="AW416" t="s">
        <v>177</v>
      </c>
      <c r="AX416" t="s">
        <v>673</v>
      </c>
      <c r="AY416" t="s">
        <v>1642</v>
      </c>
      <c r="AZ416" t="s">
        <v>1643</v>
      </c>
      <c r="BA416" t="s">
        <v>143</v>
      </c>
      <c r="BB416" t="str">
        <f t="shared" si="6"/>
        <v>CCCRNimOwerriNorth</v>
      </c>
    </row>
    <row r="417" spans="48:54" x14ac:dyDescent="0.25">
      <c r="AV417" t="s">
        <v>822</v>
      </c>
      <c r="AW417" t="s">
        <v>177</v>
      </c>
      <c r="AX417" t="s">
        <v>673</v>
      </c>
      <c r="AY417" t="s">
        <v>1644</v>
      </c>
      <c r="AZ417" t="s">
        <v>1645</v>
      </c>
      <c r="BA417" t="s">
        <v>143</v>
      </c>
      <c r="BB417" t="str">
        <f t="shared" si="6"/>
        <v>CCCRNimOwerriNorth</v>
      </c>
    </row>
    <row r="418" spans="48:54" x14ac:dyDescent="0.25">
      <c r="AV418" t="s">
        <v>822</v>
      </c>
      <c r="AW418" t="s">
        <v>177</v>
      </c>
      <c r="AX418" t="s">
        <v>673</v>
      </c>
      <c r="AY418" t="s">
        <v>1646</v>
      </c>
      <c r="AZ418" t="s">
        <v>1647</v>
      </c>
      <c r="BA418" t="s">
        <v>143</v>
      </c>
      <c r="BB418" t="str">
        <f t="shared" si="6"/>
        <v>CCCRNimOwerriNorth</v>
      </c>
    </row>
    <row r="419" spans="48:54" x14ac:dyDescent="0.25">
      <c r="AV419" t="s">
        <v>822</v>
      </c>
      <c r="AW419" t="s">
        <v>177</v>
      </c>
      <c r="AX419" t="s">
        <v>673</v>
      </c>
      <c r="AY419" t="s">
        <v>1648</v>
      </c>
      <c r="AZ419" t="s">
        <v>1649</v>
      </c>
      <c r="BA419" t="s">
        <v>143</v>
      </c>
      <c r="BB419" t="str">
        <f t="shared" si="6"/>
        <v>CCCRNimOwerriNorth</v>
      </c>
    </row>
    <row r="420" spans="48:54" x14ac:dyDescent="0.25">
      <c r="AV420" t="s">
        <v>822</v>
      </c>
      <c r="AW420" t="s">
        <v>177</v>
      </c>
      <c r="AX420" t="s">
        <v>674</v>
      </c>
      <c r="AY420" t="s">
        <v>1650</v>
      </c>
      <c r="AZ420" t="s">
        <v>1651</v>
      </c>
      <c r="BA420" t="s">
        <v>143</v>
      </c>
      <c r="BB420" t="str">
        <f t="shared" si="6"/>
        <v>CCCRNimOwerriWest</v>
      </c>
    </row>
    <row r="421" spans="48:54" x14ac:dyDescent="0.25">
      <c r="AV421" t="s">
        <v>822</v>
      </c>
      <c r="AW421" t="s">
        <v>177</v>
      </c>
      <c r="AX421" t="s">
        <v>674</v>
      </c>
      <c r="AY421" t="s">
        <v>1652</v>
      </c>
      <c r="AZ421" t="s">
        <v>1653</v>
      </c>
      <c r="BA421" t="s">
        <v>143</v>
      </c>
      <c r="BB421" t="str">
        <f t="shared" si="6"/>
        <v>CCCRNimOwerriWest</v>
      </c>
    </row>
    <row r="422" spans="48:54" x14ac:dyDescent="0.25">
      <c r="AV422" t="s">
        <v>822</v>
      </c>
      <c r="AW422" t="s">
        <v>167</v>
      </c>
      <c r="AX422" t="s">
        <v>572</v>
      </c>
      <c r="AY422" t="s">
        <v>1654</v>
      </c>
      <c r="AZ422" t="s">
        <v>1655</v>
      </c>
      <c r="BA422" t="s">
        <v>151</v>
      </c>
      <c r="BB422" t="str">
        <f t="shared" si="6"/>
        <v>CCFNbeAgatu</v>
      </c>
    </row>
    <row r="423" spans="48:54" x14ac:dyDescent="0.25">
      <c r="AV423" t="s">
        <v>822</v>
      </c>
      <c r="AW423" t="s">
        <v>167</v>
      </c>
      <c r="AX423" t="s">
        <v>573</v>
      </c>
      <c r="AY423" t="s">
        <v>1656</v>
      </c>
      <c r="AZ423" t="s">
        <v>1657</v>
      </c>
      <c r="BA423" t="s">
        <v>151</v>
      </c>
      <c r="BB423" t="str">
        <f t="shared" si="6"/>
        <v>CCFNbeBuruku</v>
      </c>
    </row>
    <row r="424" spans="48:54" x14ac:dyDescent="0.25">
      <c r="AV424" t="s">
        <v>822</v>
      </c>
      <c r="AW424" t="s">
        <v>167</v>
      </c>
      <c r="AX424" t="s">
        <v>573</v>
      </c>
      <c r="AY424" t="s">
        <v>1658</v>
      </c>
      <c r="AZ424" t="s">
        <v>1659</v>
      </c>
      <c r="BA424" t="s">
        <v>151</v>
      </c>
      <c r="BB424" t="str">
        <f t="shared" si="6"/>
        <v>CCFNbeBuruku</v>
      </c>
    </row>
    <row r="425" spans="48:54" x14ac:dyDescent="0.25">
      <c r="AV425" t="s">
        <v>822</v>
      </c>
      <c r="AW425" t="s">
        <v>167</v>
      </c>
      <c r="AX425" t="s">
        <v>573</v>
      </c>
      <c r="AY425" t="s">
        <v>1660</v>
      </c>
      <c r="AZ425" t="s">
        <v>1661</v>
      </c>
      <c r="BA425" t="s">
        <v>151</v>
      </c>
      <c r="BB425" t="str">
        <f t="shared" si="6"/>
        <v>CCFNbeBuruku</v>
      </c>
    </row>
    <row r="426" spans="48:54" x14ac:dyDescent="0.25">
      <c r="AV426" t="s">
        <v>822</v>
      </c>
      <c r="AW426" t="s">
        <v>167</v>
      </c>
      <c r="AX426" t="s">
        <v>574</v>
      </c>
      <c r="AY426" t="s">
        <v>1662</v>
      </c>
      <c r="AZ426" t="s">
        <v>1663</v>
      </c>
      <c r="BA426" t="s">
        <v>151</v>
      </c>
      <c r="BB426" t="str">
        <f t="shared" si="6"/>
        <v>CCFNbeGboko</v>
      </c>
    </row>
    <row r="427" spans="48:54" x14ac:dyDescent="0.25">
      <c r="AV427" t="s">
        <v>822</v>
      </c>
      <c r="AW427" t="s">
        <v>167</v>
      </c>
      <c r="AX427" t="s">
        <v>575</v>
      </c>
      <c r="AY427" t="s">
        <v>1664</v>
      </c>
      <c r="AZ427" t="s">
        <v>1665</v>
      </c>
      <c r="BA427" t="s">
        <v>151</v>
      </c>
      <c r="BB427" t="str">
        <f t="shared" si="6"/>
        <v>CCFNbeGuma</v>
      </c>
    </row>
    <row r="428" spans="48:54" x14ac:dyDescent="0.25">
      <c r="AV428" t="s">
        <v>822</v>
      </c>
      <c r="AW428" t="s">
        <v>167</v>
      </c>
      <c r="AX428" t="s">
        <v>575</v>
      </c>
      <c r="AY428" t="s">
        <v>1666</v>
      </c>
      <c r="AZ428" t="s">
        <v>1667</v>
      </c>
      <c r="BA428" t="s">
        <v>151</v>
      </c>
      <c r="BB428" t="str">
        <f t="shared" si="6"/>
        <v>CCFNbeGuma</v>
      </c>
    </row>
    <row r="429" spans="48:54" x14ac:dyDescent="0.25">
      <c r="AV429" t="s">
        <v>822</v>
      </c>
      <c r="AW429" t="s">
        <v>167</v>
      </c>
      <c r="AX429" t="s">
        <v>576</v>
      </c>
      <c r="AY429" t="s">
        <v>1668</v>
      </c>
      <c r="AZ429" t="s">
        <v>1669</v>
      </c>
      <c r="BA429" t="s">
        <v>151</v>
      </c>
      <c r="BB429" t="str">
        <f t="shared" si="6"/>
        <v>CCFNbeGwerEast</v>
      </c>
    </row>
    <row r="430" spans="48:54" x14ac:dyDescent="0.25">
      <c r="AV430" t="s">
        <v>822</v>
      </c>
      <c r="AW430" t="s">
        <v>167</v>
      </c>
      <c r="AX430" t="s">
        <v>577</v>
      </c>
      <c r="AY430" t="s">
        <v>1670</v>
      </c>
      <c r="AZ430" t="s">
        <v>1671</v>
      </c>
      <c r="BA430" t="s">
        <v>151</v>
      </c>
      <c r="BB430" t="str">
        <f t="shared" si="6"/>
        <v>CCFNbeGwerWest</v>
      </c>
    </row>
    <row r="431" spans="48:54" x14ac:dyDescent="0.25">
      <c r="AV431" t="s">
        <v>822</v>
      </c>
      <c r="AW431" t="s">
        <v>167</v>
      </c>
      <c r="AX431" t="s">
        <v>577</v>
      </c>
      <c r="AY431" t="s">
        <v>1672</v>
      </c>
      <c r="AZ431" t="s">
        <v>1673</v>
      </c>
      <c r="BA431" t="s">
        <v>151</v>
      </c>
      <c r="BB431" t="str">
        <f t="shared" si="6"/>
        <v>CCFNbeGwerWest</v>
      </c>
    </row>
    <row r="432" spans="48:54" x14ac:dyDescent="0.25">
      <c r="AV432" t="s">
        <v>822</v>
      </c>
      <c r="AW432" t="s">
        <v>167</v>
      </c>
      <c r="AX432" t="s">
        <v>577</v>
      </c>
      <c r="AY432" t="s">
        <v>1674</v>
      </c>
      <c r="AZ432" t="s">
        <v>1675</v>
      </c>
      <c r="BA432" t="s">
        <v>151</v>
      </c>
      <c r="BB432" t="str">
        <f t="shared" si="6"/>
        <v>CCFNbeGwerWest</v>
      </c>
    </row>
    <row r="433" spans="48:54" x14ac:dyDescent="0.25">
      <c r="AV433" t="s">
        <v>822</v>
      </c>
      <c r="AW433" t="s">
        <v>167</v>
      </c>
      <c r="AX433" t="s">
        <v>578</v>
      </c>
      <c r="AY433" t="s">
        <v>1676</v>
      </c>
      <c r="AZ433" t="s">
        <v>1677</v>
      </c>
      <c r="BA433" t="s">
        <v>151</v>
      </c>
      <c r="BB433" t="str">
        <f t="shared" si="6"/>
        <v>CCFNbeKatsinaAla</v>
      </c>
    </row>
    <row r="434" spans="48:54" x14ac:dyDescent="0.25">
      <c r="AV434" t="s">
        <v>822</v>
      </c>
      <c r="AW434" t="s">
        <v>167</v>
      </c>
      <c r="AX434" t="s">
        <v>578</v>
      </c>
      <c r="AY434" t="s">
        <v>1678</v>
      </c>
      <c r="AZ434" t="s">
        <v>1679</v>
      </c>
      <c r="BA434" t="s">
        <v>151</v>
      </c>
      <c r="BB434" t="str">
        <f t="shared" si="6"/>
        <v>CCFNbeKatsinaAla</v>
      </c>
    </row>
    <row r="435" spans="48:54" x14ac:dyDescent="0.25">
      <c r="AV435" t="s">
        <v>822</v>
      </c>
      <c r="AW435" t="s">
        <v>167</v>
      </c>
      <c r="AX435" t="s">
        <v>578</v>
      </c>
      <c r="AY435" t="s">
        <v>1680</v>
      </c>
      <c r="AZ435" t="s">
        <v>1681</v>
      </c>
      <c r="BA435" t="s">
        <v>151</v>
      </c>
      <c r="BB435" t="str">
        <f t="shared" si="6"/>
        <v>CCFNbeKatsinaAla</v>
      </c>
    </row>
    <row r="436" spans="48:54" x14ac:dyDescent="0.25">
      <c r="AV436" t="s">
        <v>822</v>
      </c>
      <c r="AW436" t="s">
        <v>167</v>
      </c>
      <c r="AX436" t="s">
        <v>578</v>
      </c>
      <c r="AY436" t="s">
        <v>1682</v>
      </c>
      <c r="AZ436" t="s">
        <v>1683</v>
      </c>
      <c r="BA436" t="s">
        <v>151</v>
      </c>
      <c r="BB436" t="str">
        <f t="shared" si="6"/>
        <v>CCFNbeKatsinaAla</v>
      </c>
    </row>
    <row r="437" spans="48:54" x14ac:dyDescent="0.25">
      <c r="AV437" t="s">
        <v>822</v>
      </c>
      <c r="AW437" t="s">
        <v>167</v>
      </c>
      <c r="AX437" t="s">
        <v>579</v>
      </c>
      <c r="AY437" t="s">
        <v>1684</v>
      </c>
      <c r="AZ437" t="s">
        <v>1685</v>
      </c>
      <c r="BA437" t="s">
        <v>151</v>
      </c>
      <c r="BB437" t="str">
        <f t="shared" si="6"/>
        <v>CCFNbeKonshisha</v>
      </c>
    </row>
    <row r="438" spans="48:54" x14ac:dyDescent="0.25">
      <c r="AV438" t="s">
        <v>822</v>
      </c>
      <c r="AW438" t="s">
        <v>167</v>
      </c>
      <c r="AX438" t="s">
        <v>579</v>
      </c>
      <c r="AY438" t="s">
        <v>1686</v>
      </c>
      <c r="AZ438" t="s">
        <v>1687</v>
      </c>
      <c r="BA438" t="s">
        <v>151</v>
      </c>
      <c r="BB438" t="str">
        <f t="shared" si="6"/>
        <v>CCFNbeKonshisha</v>
      </c>
    </row>
    <row r="439" spans="48:54" x14ac:dyDescent="0.25">
      <c r="AV439" t="s">
        <v>822</v>
      </c>
      <c r="AW439" t="s">
        <v>167</v>
      </c>
      <c r="AX439" t="s">
        <v>579</v>
      </c>
      <c r="AY439" t="s">
        <v>1688</v>
      </c>
      <c r="AZ439" t="s">
        <v>1689</v>
      </c>
      <c r="BA439" t="s">
        <v>151</v>
      </c>
      <c r="BB439" t="str">
        <f t="shared" si="6"/>
        <v>CCFNbeKonshisha</v>
      </c>
    </row>
    <row r="440" spans="48:54" x14ac:dyDescent="0.25">
      <c r="AV440" t="s">
        <v>822</v>
      </c>
      <c r="AW440" t="s">
        <v>167</v>
      </c>
      <c r="AX440" t="s">
        <v>579</v>
      </c>
      <c r="AY440" t="s">
        <v>1690</v>
      </c>
      <c r="AZ440" t="s">
        <v>1691</v>
      </c>
      <c r="BA440" t="s">
        <v>151</v>
      </c>
      <c r="BB440" t="str">
        <f t="shared" si="6"/>
        <v>CCFNbeKonshisha</v>
      </c>
    </row>
    <row r="441" spans="48:54" x14ac:dyDescent="0.25">
      <c r="AV441" t="s">
        <v>822</v>
      </c>
      <c r="AW441" t="s">
        <v>167</v>
      </c>
      <c r="AX441" t="s">
        <v>579</v>
      </c>
      <c r="AY441" t="s">
        <v>1692</v>
      </c>
      <c r="AZ441" t="s">
        <v>1693</v>
      </c>
      <c r="BA441" t="s">
        <v>151</v>
      </c>
      <c r="BB441" t="str">
        <f t="shared" si="6"/>
        <v>CCFNbeKonshisha</v>
      </c>
    </row>
    <row r="442" spans="48:54" x14ac:dyDescent="0.25">
      <c r="AV442" t="s">
        <v>822</v>
      </c>
      <c r="AW442" t="s">
        <v>167</v>
      </c>
      <c r="AX442" t="s">
        <v>580</v>
      </c>
      <c r="AY442" t="s">
        <v>1694</v>
      </c>
      <c r="AZ442" t="s">
        <v>1695</v>
      </c>
      <c r="BA442" t="s">
        <v>151</v>
      </c>
      <c r="BB442" t="str">
        <f t="shared" si="6"/>
        <v>CCFNbeKwande</v>
      </c>
    </row>
    <row r="443" spans="48:54" x14ac:dyDescent="0.25">
      <c r="AV443" t="s">
        <v>822</v>
      </c>
      <c r="AW443" t="s">
        <v>167</v>
      </c>
      <c r="AX443" t="s">
        <v>580</v>
      </c>
      <c r="AY443" t="s">
        <v>1696</v>
      </c>
      <c r="AZ443" t="s">
        <v>1697</v>
      </c>
      <c r="BA443" t="s">
        <v>151</v>
      </c>
      <c r="BB443" t="str">
        <f t="shared" si="6"/>
        <v>CCFNbeKwande</v>
      </c>
    </row>
    <row r="444" spans="48:54" x14ac:dyDescent="0.25">
      <c r="AV444" t="s">
        <v>822</v>
      </c>
      <c r="AW444" t="s">
        <v>167</v>
      </c>
      <c r="AX444" t="s">
        <v>580</v>
      </c>
      <c r="AY444" t="s">
        <v>1698</v>
      </c>
      <c r="AZ444" t="s">
        <v>1699</v>
      </c>
      <c r="BA444" t="s">
        <v>151</v>
      </c>
      <c r="BB444" t="str">
        <f t="shared" si="6"/>
        <v>CCFNbeKwande</v>
      </c>
    </row>
    <row r="445" spans="48:54" x14ac:dyDescent="0.25">
      <c r="AV445" t="s">
        <v>822</v>
      </c>
      <c r="AW445" t="s">
        <v>167</v>
      </c>
      <c r="AX445" t="s">
        <v>580</v>
      </c>
      <c r="AY445" t="s">
        <v>1700</v>
      </c>
      <c r="AZ445" t="s">
        <v>1701</v>
      </c>
      <c r="BA445" t="s">
        <v>151</v>
      </c>
      <c r="BB445" t="str">
        <f t="shared" si="6"/>
        <v>CCFNbeKwande</v>
      </c>
    </row>
    <row r="446" spans="48:54" x14ac:dyDescent="0.25">
      <c r="AV446" t="s">
        <v>822</v>
      </c>
      <c r="AW446" t="s">
        <v>167</v>
      </c>
      <c r="AX446" t="s">
        <v>581</v>
      </c>
      <c r="AY446" t="s">
        <v>1702</v>
      </c>
      <c r="AZ446" t="s">
        <v>1703</v>
      </c>
      <c r="BA446" t="s">
        <v>151</v>
      </c>
      <c r="BB446" t="str">
        <f t="shared" si="6"/>
        <v>CCFNbeLogo</v>
      </c>
    </row>
    <row r="447" spans="48:54" x14ac:dyDescent="0.25">
      <c r="AV447" t="s">
        <v>822</v>
      </c>
      <c r="AW447" t="s">
        <v>167</v>
      </c>
      <c r="AX447" t="s">
        <v>581</v>
      </c>
      <c r="AY447" t="s">
        <v>1704</v>
      </c>
      <c r="AZ447" t="s">
        <v>1705</v>
      </c>
      <c r="BA447" t="s">
        <v>151</v>
      </c>
      <c r="BB447" t="str">
        <f t="shared" si="6"/>
        <v>CCFNbeLogo</v>
      </c>
    </row>
    <row r="448" spans="48:54" x14ac:dyDescent="0.25">
      <c r="AV448" t="s">
        <v>822</v>
      </c>
      <c r="AW448" t="s">
        <v>167</v>
      </c>
      <c r="AX448" t="s">
        <v>582</v>
      </c>
      <c r="AY448" t="s">
        <v>1706</v>
      </c>
      <c r="AZ448" t="s">
        <v>1707</v>
      </c>
      <c r="BA448" t="s">
        <v>151</v>
      </c>
      <c r="BB448" t="str">
        <f t="shared" si="6"/>
        <v>CCFNbeMakurdi</v>
      </c>
    </row>
    <row r="449" spans="48:54" x14ac:dyDescent="0.25">
      <c r="AV449" t="s">
        <v>822</v>
      </c>
      <c r="AW449" t="s">
        <v>167</v>
      </c>
      <c r="AX449" t="s">
        <v>583</v>
      </c>
      <c r="AY449" t="s">
        <v>1708</v>
      </c>
      <c r="AZ449" t="s">
        <v>1709</v>
      </c>
      <c r="BA449" t="s">
        <v>151</v>
      </c>
      <c r="BB449" t="str">
        <f t="shared" si="6"/>
        <v>CCFNbeOkpokwu</v>
      </c>
    </row>
    <row r="450" spans="48:54" x14ac:dyDescent="0.25">
      <c r="AV450" t="s">
        <v>822</v>
      </c>
      <c r="AW450" t="s">
        <v>167</v>
      </c>
      <c r="AX450" t="s">
        <v>583</v>
      </c>
      <c r="AY450" t="s">
        <v>1710</v>
      </c>
      <c r="AZ450" t="s">
        <v>1711</v>
      </c>
      <c r="BA450" t="s">
        <v>151</v>
      </c>
      <c r="BB450" t="str">
        <f t="shared" si="6"/>
        <v>CCFNbeOkpokwu</v>
      </c>
    </row>
    <row r="451" spans="48:54" x14ac:dyDescent="0.25">
      <c r="AV451" t="s">
        <v>822</v>
      </c>
      <c r="AW451" t="s">
        <v>167</v>
      </c>
      <c r="AX451" t="s">
        <v>583</v>
      </c>
      <c r="AY451" t="s">
        <v>1712</v>
      </c>
      <c r="AZ451" t="s">
        <v>1713</v>
      </c>
      <c r="BA451" t="s">
        <v>151</v>
      </c>
      <c r="BB451" t="str">
        <f t="shared" ref="BB451:BB514" si="7">SUBSTITUTE(SUBSTITUTE(BA451&amp;AX451," ",""),"-","")</f>
        <v>CCFNbeOkpokwu</v>
      </c>
    </row>
    <row r="452" spans="48:54" x14ac:dyDescent="0.25">
      <c r="AV452" t="s">
        <v>822</v>
      </c>
      <c r="AW452" t="s">
        <v>167</v>
      </c>
      <c r="AX452" t="s">
        <v>584</v>
      </c>
      <c r="AY452" t="s">
        <v>1714</v>
      </c>
      <c r="AZ452" t="s">
        <v>1715</v>
      </c>
      <c r="BA452" t="s">
        <v>151</v>
      </c>
      <c r="BB452" t="str">
        <f t="shared" si="7"/>
        <v>CCFNbeOtukpo</v>
      </c>
    </row>
    <row r="453" spans="48:54" x14ac:dyDescent="0.25">
      <c r="AV453" t="s">
        <v>822</v>
      </c>
      <c r="AW453" t="s">
        <v>167</v>
      </c>
      <c r="AX453" t="s">
        <v>584</v>
      </c>
      <c r="AY453" t="s">
        <v>1716</v>
      </c>
      <c r="AZ453" t="s">
        <v>1717</v>
      </c>
      <c r="BA453" t="s">
        <v>151</v>
      </c>
      <c r="BB453" t="str">
        <f t="shared" si="7"/>
        <v>CCFNbeOtukpo</v>
      </c>
    </row>
    <row r="454" spans="48:54" x14ac:dyDescent="0.25">
      <c r="AV454" t="s">
        <v>822</v>
      </c>
      <c r="AW454" t="s">
        <v>167</v>
      </c>
      <c r="AX454" t="s">
        <v>584</v>
      </c>
      <c r="AY454" t="s">
        <v>1718</v>
      </c>
      <c r="AZ454" t="s">
        <v>1719</v>
      </c>
      <c r="BA454" t="s">
        <v>151</v>
      </c>
      <c r="BB454" t="str">
        <f t="shared" si="7"/>
        <v>CCFNbeOtukpo</v>
      </c>
    </row>
    <row r="455" spans="48:54" x14ac:dyDescent="0.25">
      <c r="AV455" t="s">
        <v>822</v>
      </c>
      <c r="AW455" t="s">
        <v>167</v>
      </c>
      <c r="AX455" t="s">
        <v>585</v>
      </c>
      <c r="AY455" t="s">
        <v>1720</v>
      </c>
      <c r="AZ455" t="s">
        <v>1721</v>
      </c>
      <c r="BA455" t="s">
        <v>151</v>
      </c>
      <c r="BB455" t="str">
        <f t="shared" si="7"/>
        <v>CCFNbeTarka</v>
      </c>
    </row>
    <row r="456" spans="48:54" x14ac:dyDescent="0.25">
      <c r="AV456" t="s">
        <v>822</v>
      </c>
      <c r="AW456" t="s">
        <v>167</v>
      </c>
      <c r="AX456" t="s">
        <v>585</v>
      </c>
      <c r="AY456" t="s">
        <v>1722</v>
      </c>
      <c r="AZ456" t="s">
        <v>1723</v>
      </c>
      <c r="BA456" t="s">
        <v>151</v>
      </c>
      <c r="BB456" t="str">
        <f t="shared" si="7"/>
        <v>CCFNbeTarka</v>
      </c>
    </row>
    <row r="457" spans="48:54" x14ac:dyDescent="0.25">
      <c r="AV457" t="s">
        <v>822</v>
      </c>
      <c r="AW457" t="s">
        <v>167</v>
      </c>
      <c r="AX457" t="s">
        <v>586</v>
      </c>
      <c r="AY457" t="s">
        <v>1724</v>
      </c>
      <c r="AZ457" t="s">
        <v>1725</v>
      </c>
      <c r="BA457" t="s">
        <v>151</v>
      </c>
      <c r="BB457" t="str">
        <f t="shared" si="7"/>
        <v>CCFNbeUkum</v>
      </c>
    </row>
    <row r="458" spans="48:54" x14ac:dyDescent="0.25">
      <c r="AV458" t="s">
        <v>822</v>
      </c>
      <c r="AW458" t="s">
        <v>167</v>
      </c>
      <c r="AX458" t="s">
        <v>586</v>
      </c>
      <c r="AY458" t="s">
        <v>1726</v>
      </c>
      <c r="AZ458" t="s">
        <v>1727</v>
      </c>
      <c r="BA458" t="s">
        <v>151</v>
      </c>
      <c r="BB458" t="str">
        <f t="shared" si="7"/>
        <v>CCFNbeUkum</v>
      </c>
    </row>
    <row r="459" spans="48:54" x14ac:dyDescent="0.25">
      <c r="AV459" t="s">
        <v>822</v>
      </c>
      <c r="AW459" t="s">
        <v>167</v>
      </c>
      <c r="AX459" t="s">
        <v>586</v>
      </c>
      <c r="AY459" t="s">
        <v>1728</v>
      </c>
      <c r="AZ459" t="s">
        <v>1729</v>
      </c>
      <c r="BA459" t="s">
        <v>151</v>
      </c>
      <c r="BB459" t="str">
        <f t="shared" si="7"/>
        <v>CCFNbeUkum</v>
      </c>
    </row>
    <row r="460" spans="48:54" x14ac:dyDescent="0.25">
      <c r="AV460" t="s">
        <v>822</v>
      </c>
      <c r="AW460" t="s">
        <v>167</v>
      </c>
      <c r="AX460" t="s">
        <v>587</v>
      </c>
      <c r="AY460" t="s">
        <v>1730</v>
      </c>
      <c r="AZ460" t="s">
        <v>1731</v>
      </c>
      <c r="BA460" t="s">
        <v>151</v>
      </c>
      <c r="BB460" t="str">
        <f t="shared" si="7"/>
        <v>CCFNbeUshongo</v>
      </c>
    </row>
    <row r="461" spans="48:54" x14ac:dyDescent="0.25">
      <c r="AV461" t="s">
        <v>822</v>
      </c>
      <c r="AW461" t="s">
        <v>167</v>
      </c>
      <c r="AX461" t="s">
        <v>587</v>
      </c>
      <c r="AY461" t="s">
        <v>1732</v>
      </c>
      <c r="AZ461" t="s">
        <v>1733</v>
      </c>
      <c r="BA461" t="s">
        <v>151</v>
      </c>
      <c r="BB461" t="str">
        <f t="shared" si="7"/>
        <v>CCFNbeUshongo</v>
      </c>
    </row>
    <row r="462" spans="48:54" x14ac:dyDescent="0.25">
      <c r="AV462" t="s">
        <v>822</v>
      </c>
      <c r="AW462" t="s">
        <v>167</v>
      </c>
      <c r="AX462" t="s">
        <v>587</v>
      </c>
      <c r="AY462" t="s">
        <v>1734</v>
      </c>
      <c r="AZ462" t="s">
        <v>1735</v>
      </c>
      <c r="BA462" t="s">
        <v>151</v>
      </c>
      <c r="BB462" t="str">
        <f t="shared" si="7"/>
        <v>CCFNbeUshongo</v>
      </c>
    </row>
    <row r="463" spans="48:54" x14ac:dyDescent="0.25">
      <c r="AV463" t="s">
        <v>822</v>
      </c>
      <c r="AW463" t="s">
        <v>167</v>
      </c>
      <c r="AX463" t="s">
        <v>587</v>
      </c>
      <c r="AY463" t="s">
        <v>1736</v>
      </c>
      <c r="AZ463" t="s">
        <v>1737</v>
      </c>
      <c r="BA463" t="s">
        <v>151</v>
      </c>
      <c r="BB463" t="str">
        <f t="shared" si="7"/>
        <v>CCFNbeUshongo</v>
      </c>
    </row>
    <row r="464" spans="48:54" x14ac:dyDescent="0.25">
      <c r="AV464" t="s">
        <v>822</v>
      </c>
      <c r="AW464" t="s">
        <v>167</v>
      </c>
      <c r="AX464" t="s">
        <v>587</v>
      </c>
      <c r="AY464" t="s">
        <v>1738</v>
      </c>
      <c r="AZ464" t="s">
        <v>1739</v>
      </c>
      <c r="BA464" t="s">
        <v>151</v>
      </c>
      <c r="BB464" t="str">
        <f t="shared" si="7"/>
        <v>CCFNbeUshongo</v>
      </c>
    </row>
    <row r="465" spans="48:54" x14ac:dyDescent="0.25">
      <c r="AV465" t="s">
        <v>822</v>
      </c>
      <c r="AW465" t="s">
        <v>167</v>
      </c>
      <c r="AX465" t="s">
        <v>587</v>
      </c>
      <c r="AY465" t="s">
        <v>1740</v>
      </c>
      <c r="AZ465" t="s">
        <v>1741</v>
      </c>
      <c r="BA465" t="s">
        <v>151</v>
      </c>
      <c r="BB465" t="str">
        <f t="shared" si="7"/>
        <v>CCFNbeUshongo</v>
      </c>
    </row>
    <row r="466" spans="48:54" x14ac:dyDescent="0.25">
      <c r="AV466" t="s">
        <v>822</v>
      </c>
      <c r="AW466" t="s">
        <v>167</v>
      </c>
      <c r="AX466" t="s">
        <v>587</v>
      </c>
      <c r="AY466" t="s">
        <v>1742</v>
      </c>
      <c r="AZ466" t="s">
        <v>1743</v>
      </c>
      <c r="BA466" t="s">
        <v>151</v>
      </c>
      <c r="BB466" t="str">
        <f t="shared" si="7"/>
        <v>CCFNbeUshongo</v>
      </c>
    </row>
    <row r="467" spans="48:54" x14ac:dyDescent="0.25">
      <c r="AV467" t="s">
        <v>822</v>
      </c>
      <c r="AW467" t="s">
        <v>167</v>
      </c>
      <c r="AX467" t="s">
        <v>588</v>
      </c>
      <c r="AY467" t="s">
        <v>1744</v>
      </c>
      <c r="AZ467" t="s">
        <v>1745</v>
      </c>
      <c r="BA467" t="s">
        <v>151</v>
      </c>
      <c r="BB467" t="str">
        <f t="shared" si="7"/>
        <v>CCFNbeVandeikya</v>
      </c>
    </row>
    <row r="468" spans="48:54" x14ac:dyDescent="0.25">
      <c r="AV468" t="s">
        <v>822</v>
      </c>
      <c r="AW468" t="s">
        <v>167</v>
      </c>
      <c r="AX468" t="s">
        <v>588</v>
      </c>
      <c r="AY468" t="s">
        <v>1746</v>
      </c>
      <c r="AZ468" t="s">
        <v>1747</v>
      </c>
      <c r="BA468" t="s">
        <v>151</v>
      </c>
      <c r="BB468" t="str">
        <f t="shared" si="7"/>
        <v>CCFNbeVandeikya</v>
      </c>
    </row>
    <row r="469" spans="48:54" x14ac:dyDescent="0.25">
      <c r="AV469" t="s">
        <v>822</v>
      </c>
      <c r="AW469" t="s">
        <v>167</v>
      </c>
      <c r="AX469" t="s">
        <v>588</v>
      </c>
      <c r="AY469" t="s">
        <v>1748</v>
      </c>
      <c r="AZ469" t="s">
        <v>1749</v>
      </c>
      <c r="BA469" t="s">
        <v>151</v>
      </c>
      <c r="BB469" t="str">
        <f t="shared" si="7"/>
        <v>CCFNbeVandeikya</v>
      </c>
    </row>
    <row r="470" spans="48:54" x14ac:dyDescent="0.25">
      <c r="AV470" t="s">
        <v>822</v>
      </c>
      <c r="AW470" t="s">
        <v>167</v>
      </c>
      <c r="AX470" t="s">
        <v>588</v>
      </c>
      <c r="AY470" t="s">
        <v>1750</v>
      </c>
      <c r="AZ470" t="s">
        <v>1751</v>
      </c>
      <c r="BA470" t="s">
        <v>151</v>
      </c>
      <c r="BB470" t="str">
        <f t="shared" si="7"/>
        <v>CCFNbeVandeikya</v>
      </c>
    </row>
    <row r="471" spans="48:54" x14ac:dyDescent="0.25">
      <c r="AV471" t="s">
        <v>822</v>
      </c>
      <c r="AW471" t="s">
        <v>167</v>
      </c>
      <c r="AX471" t="s">
        <v>588</v>
      </c>
      <c r="AY471" t="s">
        <v>1752</v>
      </c>
      <c r="AZ471" t="s">
        <v>1753</v>
      </c>
      <c r="BA471" t="s">
        <v>151</v>
      </c>
      <c r="BB471" t="str">
        <f t="shared" si="7"/>
        <v>CCFNbeVandeikya</v>
      </c>
    </row>
    <row r="472" spans="48:54" x14ac:dyDescent="0.25">
      <c r="AV472" t="s">
        <v>822</v>
      </c>
      <c r="AW472" t="s">
        <v>167</v>
      </c>
      <c r="AX472" t="s">
        <v>588</v>
      </c>
      <c r="AY472" t="s">
        <v>1754</v>
      </c>
      <c r="AZ472" t="s">
        <v>1755</v>
      </c>
      <c r="BA472" t="s">
        <v>151</v>
      </c>
      <c r="BB472" t="str">
        <f t="shared" si="7"/>
        <v>CCFNbeVandeikya</v>
      </c>
    </row>
    <row r="473" spans="48:54" x14ac:dyDescent="0.25">
      <c r="AV473" t="s">
        <v>822</v>
      </c>
      <c r="AW473" t="s">
        <v>170</v>
      </c>
      <c r="AX473" t="s">
        <v>595</v>
      </c>
      <c r="AY473" t="s">
        <v>1756</v>
      </c>
      <c r="AZ473" t="s">
        <v>1757</v>
      </c>
      <c r="BA473" t="s">
        <v>151</v>
      </c>
      <c r="BB473" t="str">
        <f t="shared" si="7"/>
        <v>CCFNdeAniochaNorth</v>
      </c>
    </row>
    <row r="474" spans="48:54" x14ac:dyDescent="0.25">
      <c r="AV474" t="s">
        <v>822</v>
      </c>
      <c r="AW474" t="s">
        <v>170</v>
      </c>
      <c r="AX474" t="s">
        <v>596</v>
      </c>
      <c r="AY474" t="s">
        <v>1758</v>
      </c>
      <c r="AZ474" t="s">
        <v>1759</v>
      </c>
      <c r="BA474" t="s">
        <v>151</v>
      </c>
      <c r="BB474" t="str">
        <f t="shared" si="7"/>
        <v>CCFNdeEthiopeEast</v>
      </c>
    </row>
    <row r="475" spans="48:54" x14ac:dyDescent="0.25">
      <c r="AV475" t="s">
        <v>822</v>
      </c>
      <c r="AW475" t="s">
        <v>170</v>
      </c>
      <c r="AX475" t="s">
        <v>596</v>
      </c>
      <c r="AY475" t="s">
        <v>1760</v>
      </c>
      <c r="AZ475" t="s">
        <v>1761</v>
      </c>
      <c r="BA475" t="s">
        <v>151</v>
      </c>
      <c r="BB475" t="str">
        <f t="shared" si="7"/>
        <v>CCFNdeEthiopeEast</v>
      </c>
    </row>
    <row r="476" spans="48:54" x14ac:dyDescent="0.25">
      <c r="AV476" t="s">
        <v>822</v>
      </c>
      <c r="AW476" t="s">
        <v>170</v>
      </c>
      <c r="AX476" t="s">
        <v>597</v>
      </c>
      <c r="AY476" t="s">
        <v>1762</v>
      </c>
      <c r="AZ476" t="s">
        <v>1763</v>
      </c>
      <c r="BA476" t="s">
        <v>151</v>
      </c>
      <c r="BB476" t="str">
        <f t="shared" si="7"/>
        <v>CCFNdeSapele</v>
      </c>
    </row>
    <row r="477" spans="48:54" x14ac:dyDescent="0.25">
      <c r="AV477" t="s">
        <v>822</v>
      </c>
      <c r="AW477" t="s">
        <v>170</v>
      </c>
      <c r="AX477" t="s">
        <v>598</v>
      </c>
      <c r="AY477" t="s">
        <v>1764</v>
      </c>
      <c r="AZ477" t="s">
        <v>1765</v>
      </c>
      <c r="BA477" t="s">
        <v>151</v>
      </c>
      <c r="BB477" t="str">
        <f t="shared" si="7"/>
        <v>CCFNdeWarriNorth</v>
      </c>
    </row>
    <row r="478" spans="48:54" x14ac:dyDescent="0.25">
      <c r="AV478" t="s">
        <v>822</v>
      </c>
      <c r="AW478" t="s">
        <v>175</v>
      </c>
      <c r="AX478" t="s">
        <v>637</v>
      </c>
      <c r="AY478" t="s">
        <v>1766</v>
      </c>
      <c r="AZ478" t="s">
        <v>1767</v>
      </c>
      <c r="BA478" t="s">
        <v>151</v>
      </c>
      <c r="BB478" t="str">
        <f t="shared" si="7"/>
        <v>CCFNfcAbujaMunicipalAreaCouncil</v>
      </c>
    </row>
    <row r="479" spans="48:54" x14ac:dyDescent="0.25">
      <c r="AV479" t="s">
        <v>822</v>
      </c>
      <c r="AW479" t="s">
        <v>175</v>
      </c>
      <c r="AX479" t="s">
        <v>637</v>
      </c>
      <c r="AY479" t="s">
        <v>1768</v>
      </c>
      <c r="AZ479" t="s">
        <v>1769</v>
      </c>
      <c r="BA479" t="s">
        <v>151</v>
      </c>
      <c r="BB479" t="str">
        <f t="shared" si="7"/>
        <v>CCFNfcAbujaMunicipalAreaCouncil</v>
      </c>
    </row>
    <row r="480" spans="48:54" x14ac:dyDescent="0.25">
      <c r="AV480" t="s">
        <v>822</v>
      </c>
      <c r="AW480" t="s">
        <v>175</v>
      </c>
      <c r="AX480" t="s">
        <v>637</v>
      </c>
      <c r="AY480" t="s">
        <v>1770</v>
      </c>
      <c r="AZ480" t="s">
        <v>1771</v>
      </c>
      <c r="BA480" t="s">
        <v>151</v>
      </c>
      <c r="BB480" t="str">
        <f t="shared" si="7"/>
        <v>CCFNfcAbujaMunicipalAreaCouncil</v>
      </c>
    </row>
    <row r="481" spans="48:54" x14ac:dyDescent="0.25">
      <c r="AV481" t="s">
        <v>822</v>
      </c>
      <c r="AW481" t="s">
        <v>175</v>
      </c>
      <c r="AX481" t="s">
        <v>637</v>
      </c>
      <c r="AY481" t="s">
        <v>1772</v>
      </c>
      <c r="AZ481" t="s">
        <v>1773</v>
      </c>
      <c r="BA481" t="s">
        <v>151</v>
      </c>
      <c r="BB481" t="str">
        <f t="shared" si="7"/>
        <v>CCFNfcAbujaMunicipalAreaCouncil</v>
      </c>
    </row>
    <row r="482" spans="48:54" x14ac:dyDescent="0.25">
      <c r="AV482" t="s">
        <v>822</v>
      </c>
      <c r="AW482" t="s">
        <v>175</v>
      </c>
      <c r="AX482" t="s">
        <v>638</v>
      </c>
      <c r="AY482" t="s">
        <v>1774</v>
      </c>
      <c r="AZ482" t="s">
        <v>1775</v>
      </c>
      <c r="BA482" t="s">
        <v>151</v>
      </c>
      <c r="BB482" t="str">
        <f t="shared" si="7"/>
        <v>CCFNfcBwari</v>
      </c>
    </row>
    <row r="483" spans="48:54" x14ac:dyDescent="0.25">
      <c r="AV483" t="s">
        <v>822</v>
      </c>
      <c r="AW483" t="s">
        <v>175</v>
      </c>
      <c r="AX483" t="s">
        <v>638</v>
      </c>
      <c r="AY483" t="s">
        <v>1776</v>
      </c>
      <c r="AZ483" t="s">
        <v>1777</v>
      </c>
      <c r="BA483" t="s">
        <v>151</v>
      </c>
      <c r="BB483" t="str">
        <f t="shared" si="7"/>
        <v>CCFNfcBwari</v>
      </c>
    </row>
    <row r="484" spans="48:54" x14ac:dyDescent="0.25">
      <c r="AV484" t="s">
        <v>822</v>
      </c>
      <c r="AW484" t="s">
        <v>175</v>
      </c>
      <c r="AX484" t="s">
        <v>638</v>
      </c>
      <c r="AY484" t="s">
        <v>1778</v>
      </c>
      <c r="AZ484" t="s">
        <v>1779</v>
      </c>
      <c r="BA484" t="s">
        <v>151</v>
      </c>
      <c r="BB484" t="str">
        <f t="shared" si="7"/>
        <v>CCFNfcBwari</v>
      </c>
    </row>
    <row r="485" spans="48:54" x14ac:dyDescent="0.25">
      <c r="AV485" t="s">
        <v>822</v>
      </c>
      <c r="AW485" t="s">
        <v>179</v>
      </c>
      <c r="AX485" t="s">
        <v>681</v>
      </c>
      <c r="AY485" t="s">
        <v>1780</v>
      </c>
      <c r="AZ485" t="s">
        <v>1781</v>
      </c>
      <c r="BA485" t="s">
        <v>151</v>
      </c>
      <c r="BB485" t="str">
        <f t="shared" si="7"/>
        <v>CCFNkdChikun</v>
      </c>
    </row>
    <row r="486" spans="48:54" x14ac:dyDescent="0.25">
      <c r="AV486" t="s">
        <v>822</v>
      </c>
      <c r="AW486" t="s">
        <v>179</v>
      </c>
      <c r="AX486" t="s">
        <v>681</v>
      </c>
      <c r="AY486" t="s">
        <v>1782</v>
      </c>
      <c r="AZ486" t="s">
        <v>1783</v>
      </c>
      <c r="BA486" t="s">
        <v>151</v>
      </c>
      <c r="BB486" t="str">
        <f t="shared" si="7"/>
        <v>CCFNkdChikun</v>
      </c>
    </row>
    <row r="487" spans="48:54" x14ac:dyDescent="0.25">
      <c r="AV487" t="s">
        <v>822</v>
      </c>
      <c r="AW487" t="s">
        <v>179</v>
      </c>
      <c r="AX487" t="s">
        <v>3801</v>
      </c>
      <c r="AY487" t="s">
        <v>1784</v>
      </c>
      <c r="AZ487" t="s">
        <v>1785</v>
      </c>
      <c r="BA487" t="s">
        <v>151</v>
      </c>
      <c r="BB487" t="str">
        <f t="shared" si="7"/>
        <v>CCFNkdJemaa</v>
      </c>
    </row>
    <row r="488" spans="48:54" x14ac:dyDescent="0.25">
      <c r="AV488" t="s">
        <v>822</v>
      </c>
      <c r="AW488" t="s">
        <v>179</v>
      </c>
      <c r="AX488" t="s">
        <v>683</v>
      </c>
      <c r="AY488" t="s">
        <v>1786</v>
      </c>
      <c r="AZ488" t="s">
        <v>1787</v>
      </c>
      <c r="BA488" t="s">
        <v>151</v>
      </c>
      <c r="BB488" t="str">
        <f t="shared" si="7"/>
        <v>CCFNkdKadunaSouth</v>
      </c>
    </row>
    <row r="489" spans="48:54" x14ac:dyDescent="0.25">
      <c r="AV489" t="s">
        <v>822</v>
      </c>
      <c r="AW489" t="s">
        <v>179</v>
      </c>
      <c r="AX489" t="s">
        <v>684</v>
      </c>
      <c r="AY489" t="s">
        <v>1788</v>
      </c>
      <c r="AZ489" t="s">
        <v>1789</v>
      </c>
      <c r="BA489" t="s">
        <v>151</v>
      </c>
      <c r="BB489" t="str">
        <f t="shared" si="7"/>
        <v>CCFNkdKubau</v>
      </c>
    </row>
    <row r="490" spans="48:54" x14ac:dyDescent="0.25">
      <c r="AV490" t="s">
        <v>822</v>
      </c>
      <c r="AW490" t="s">
        <v>179</v>
      </c>
      <c r="AX490" t="s">
        <v>685</v>
      </c>
      <c r="AY490" t="s">
        <v>1790</v>
      </c>
      <c r="AZ490" t="s">
        <v>1791</v>
      </c>
      <c r="BA490" t="s">
        <v>151</v>
      </c>
      <c r="BB490" t="str">
        <f t="shared" si="7"/>
        <v>CCFNkdLere</v>
      </c>
    </row>
    <row r="491" spans="48:54" x14ac:dyDescent="0.25">
      <c r="AV491" t="s">
        <v>822</v>
      </c>
      <c r="AW491" t="s">
        <v>179</v>
      </c>
      <c r="AX491" t="s">
        <v>685</v>
      </c>
      <c r="AY491" t="s">
        <v>1792</v>
      </c>
      <c r="AZ491" t="s">
        <v>1793</v>
      </c>
      <c r="BA491" t="s">
        <v>151</v>
      </c>
      <c r="BB491" t="str">
        <f t="shared" si="7"/>
        <v>CCFNkdLere</v>
      </c>
    </row>
    <row r="492" spans="48:54" x14ac:dyDescent="0.25">
      <c r="AV492" t="s">
        <v>822</v>
      </c>
      <c r="AW492" t="s">
        <v>179</v>
      </c>
      <c r="AX492" t="s">
        <v>686</v>
      </c>
      <c r="AY492" t="s">
        <v>1794</v>
      </c>
      <c r="AZ492" t="s">
        <v>1795</v>
      </c>
      <c r="BA492" t="s">
        <v>151</v>
      </c>
      <c r="BB492" t="str">
        <f t="shared" si="7"/>
        <v>CCFNkdSanga</v>
      </c>
    </row>
    <row r="493" spans="48:54" x14ac:dyDescent="0.25">
      <c r="AV493" t="s">
        <v>822</v>
      </c>
      <c r="AW493" t="s">
        <v>179</v>
      </c>
      <c r="AX493" t="s">
        <v>687</v>
      </c>
      <c r="AY493" t="s">
        <v>1796</v>
      </c>
      <c r="AZ493" t="s">
        <v>1797</v>
      </c>
      <c r="BA493" t="s">
        <v>151</v>
      </c>
      <c r="BB493" t="str">
        <f t="shared" si="7"/>
        <v>CCFNkdZangoKataf</v>
      </c>
    </row>
    <row r="494" spans="48:54" x14ac:dyDescent="0.25">
      <c r="AV494" t="s">
        <v>822</v>
      </c>
      <c r="AW494" t="s">
        <v>179</v>
      </c>
      <c r="AX494" t="s">
        <v>687</v>
      </c>
      <c r="AY494" t="s">
        <v>1798</v>
      </c>
      <c r="AZ494" t="s">
        <v>1799</v>
      </c>
      <c r="BA494" t="s">
        <v>151</v>
      </c>
      <c r="BB494" t="str">
        <f t="shared" si="7"/>
        <v>CCFNkdZangoKataf</v>
      </c>
    </row>
    <row r="495" spans="48:54" x14ac:dyDescent="0.25">
      <c r="AV495" t="s">
        <v>822</v>
      </c>
      <c r="AW495" t="s">
        <v>183</v>
      </c>
      <c r="AX495" t="s">
        <v>710</v>
      </c>
      <c r="AY495" t="s">
        <v>1800</v>
      </c>
      <c r="AZ495" t="s">
        <v>1801</v>
      </c>
      <c r="BA495" t="s">
        <v>151</v>
      </c>
      <c r="BB495" t="str">
        <f t="shared" si="7"/>
        <v>CCFNkoDekina</v>
      </c>
    </row>
    <row r="496" spans="48:54" x14ac:dyDescent="0.25">
      <c r="AV496" t="s">
        <v>822</v>
      </c>
      <c r="AW496" t="s">
        <v>183</v>
      </c>
      <c r="AX496" t="s">
        <v>710</v>
      </c>
      <c r="AY496" t="s">
        <v>1802</v>
      </c>
      <c r="AZ496" t="s">
        <v>1803</v>
      </c>
      <c r="BA496" t="s">
        <v>151</v>
      </c>
      <c r="BB496" t="str">
        <f t="shared" si="7"/>
        <v>CCFNkoDekina</v>
      </c>
    </row>
    <row r="497" spans="48:54" x14ac:dyDescent="0.25">
      <c r="AV497" t="s">
        <v>822</v>
      </c>
      <c r="AW497" t="s">
        <v>183</v>
      </c>
      <c r="AX497" t="s">
        <v>710</v>
      </c>
      <c r="AY497" t="s">
        <v>1804</v>
      </c>
      <c r="AZ497" t="s">
        <v>1805</v>
      </c>
      <c r="BA497" t="s">
        <v>151</v>
      </c>
      <c r="BB497" t="str">
        <f t="shared" si="7"/>
        <v>CCFNkoDekina</v>
      </c>
    </row>
    <row r="498" spans="48:54" x14ac:dyDescent="0.25">
      <c r="AV498" t="s">
        <v>822</v>
      </c>
      <c r="AW498" t="s">
        <v>183</v>
      </c>
      <c r="AX498" t="s">
        <v>711</v>
      </c>
      <c r="AY498" t="s">
        <v>1806</v>
      </c>
      <c r="AZ498" t="s">
        <v>1807</v>
      </c>
      <c r="BA498" t="s">
        <v>151</v>
      </c>
      <c r="BB498" t="str">
        <f t="shared" si="7"/>
        <v>CCFNkoIdah</v>
      </c>
    </row>
    <row r="499" spans="48:54" x14ac:dyDescent="0.25">
      <c r="AV499" t="s">
        <v>822</v>
      </c>
      <c r="AW499" t="s">
        <v>183</v>
      </c>
      <c r="AX499" t="s">
        <v>712</v>
      </c>
      <c r="AY499" t="s">
        <v>1808</v>
      </c>
      <c r="AZ499" t="s">
        <v>1809</v>
      </c>
      <c r="BA499" t="s">
        <v>151</v>
      </c>
      <c r="BB499" t="str">
        <f t="shared" si="7"/>
        <v>CCFNkoKabba</v>
      </c>
    </row>
    <row r="500" spans="48:54" x14ac:dyDescent="0.25">
      <c r="AV500" t="s">
        <v>822</v>
      </c>
      <c r="AW500" t="s">
        <v>185</v>
      </c>
      <c r="AX500" t="s">
        <v>726</v>
      </c>
      <c r="AY500" t="s">
        <v>1810</v>
      </c>
      <c r="AZ500" t="s">
        <v>1811</v>
      </c>
      <c r="BA500" t="s">
        <v>151</v>
      </c>
      <c r="BB500" t="str">
        <f t="shared" si="7"/>
        <v>CCFNlaAlimosho</v>
      </c>
    </row>
    <row r="501" spans="48:54" x14ac:dyDescent="0.25">
      <c r="AV501" t="s">
        <v>822</v>
      </c>
      <c r="AW501" t="s">
        <v>185</v>
      </c>
      <c r="AX501" t="s">
        <v>726</v>
      </c>
      <c r="AY501" t="s">
        <v>1812</v>
      </c>
      <c r="AZ501" t="s">
        <v>1813</v>
      </c>
      <c r="BA501" t="s">
        <v>151</v>
      </c>
      <c r="BB501" t="str">
        <f t="shared" si="7"/>
        <v>CCFNlaAlimosho</v>
      </c>
    </row>
    <row r="502" spans="48:54" x14ac:dyDescent="0.25">
      <c r="AV502" t="s">
        <v>822</v>
      </c>
      <c r="AW502" t="s">
        <v>185</v>
      </c>
      <c r="AX502" t="s">
        <v>726</v>
      </c>
      <c r="AY502" t="s">
        <v>1814</v>
      </c>
      <c r="AZ502" t="s">
        <v>1815</v>
      </c>
      <c r="BA502" t="s">
        <v>151</v>
      </c>
      <c r="BB502" t="str">
        <f t="shared" si="7"/>
        <v>CCFNlaAlimosho</v>
      </c>
    </row>
    <row r="503" spans="48:54" x14ac:dyDescent="0.25">
      <c r="AV503" t="s">
        <v>822</v>
      </c>
      <c r="AW503" t="s">
        <v>185</v>
      </c>
      <c r="AX503" t="s">
        <v>726</v>
      </c>
      <c r="AY503" t="s">
        <v>1816</v>
      </c>
      <c r="AZ503" t="s">
        <v>1817</v>
      </c>
      <c r="BA503" t="s">
        <v>151</v>
      </c>
      <c r="BB503" t="str">
        <f t="shared" si="7"/>
        <v>CCFNlaAlimosho</v>
      </c>
    </row>
    <row r="504" spans="48:54" x14ac:dyDescent="0.25">
      <c r="AV504" t="s">
        <v>822</v>
      </c>
      <c r="AW504" t="s">
        <v>185</v>
      </c>
      <c r="AX504" t="s">
        <v>726</v>
      </c>
      <c r="AY504" t="s">
        <v>1818</v>
      </c>
      <c r="AZ504" t="s">
        <v>1819</v>
      </c>
      <c r="BA504" t="s">
        <v>151</v>
      </c>
      <c r="BB504" t="str">
        <f t="shared" si="7"/>
        <v>CCFNlaAlimosho</v>
      </c>
    </row>
    <row r="505" spans="48:54" x14ac:dyDescent="0.25">
      <c r="AV505" t="s">
        <v>822</v>
      </c>
      <c r="AW505" t="s">
        <v>185</v>
      </c>
      <c r="AX505" t="s">
        <v>732</v>
      </c>
      <c r="AY505" t="s">
        <v>1820</v>
      </c>
      <c r="AZ505" t="s">
        <v>1821</v>
      </c>
      <c r="BA505" t="s">
        <v>151</v>
      </c>
      <c r="BB505" t="str">
        <f t="shared" si="7"/>
        <v>CCFNlaIkeja</v>
      </c>
    </row>
    <row r="506" spans="48:54" x14ac:dyDescent="0.25">
      <c r="AV506" t="s">
        <v>822</v>
      </c>
      <c r="AW506" t="s">
        <v>185</v>
      </c>
      <c r="AX506" t="s">
        <v>732</v>
      </c>
      <c r="AY506" t="s">
        <v>1822</v>
      </c>
      <c r="AZ506" t="s">
        <v>1823</v>
      </c>
      <c r="BA506" t="s">
        <v>151</v>
      </c>
      <c r="BB506" t="str">
        <f t="shared" si="7"/>
        <v>CCFNlaIkeja</v>
      </c>
    </row>
    <row r="507" spans="48:54" x14ac:dyDescent="0.25">
      <c r="AV507" t="s">
        <v>822</v>
      </c>
      <c r="AW507" t="s">
        <v>186</v>
      </c>
      <c r="AX507" t="s">
        <v>736</v>
      </c>
      <c r="AY507" t="s">
        <v>1824</v>
      </c>
      <c r="AZ507" t="s">
        <v>1825</v>
      </c>
      <c r="BA507" t="s">
        <v>151</v>
      </c>
      <c r="BB507" t="str">
        <f t="shared" si="7"/>
        <v>CCFNnaAkwanga</v>
      </c>
    </row>
    <row r="508" spans="48:54" x14ac:dyDescent="0.25">
      <c r="AV508" t="s">
        <v>822</v>
      </c>
      <c r="AW508" t="s">
        <v>186</v>
      </c>
      <c r="AX508" t="s">
        <v>737</v>
      </c>
      <c r="AY508" t="s">
        <v>1826</v>
      </c>
      <c r="AZ508" t="s">
        <v>1827</v>
      </c>
      <c r="BA508" t="s">
        <v>151</v>
      </c>
      <c r="BB508" t="str">
        <f t="shared" si="7"/>
        <v>CCFNnaDoma</v>
      </c>
    </row>
    <row r="509" spans="48:54" x14ac:dyDescent="0.25">
      <c r="AV509" t="s">
        <v>822</v>
      </c>
      <c r="AW509" t="s">
        <v>186</v>
      </c>
      <c r="AX509" t="s">
        <v>737</v>
      </c>
      <c r="AY509" t="s">
        <v>1828</v>
      </c>
      <c r="AZ509" t="s">
        <v>1829</v>
      </c>
      <c r="BA509" t="s">
        <v>151</v>
      </c>
      <c r="BB509" t="str">
        <f t="shared" si="7"/>
        <v>CCFNnaDoma</v>
      </c>
    </row>
    <row r="510" spans="48:54" x14ac:dyDescent="0.25">
      <c r="AV510" t="s">
        <v>822</v>
      </c>
      <c r="AW510" t="s">
        <v>186</v>
      </c>
      <c r="AX510" t="s">
        <v>738</v>
      </c>
      <c r="AY510" t="s">
        <v>1830</v>
      </c>
      <c r="AZ510" t="s">
        <v>1831</v>
      </c>
      <c r="BA510" t="s">
        <v>151</v>
      </c>
      <c r="BB510" t="str">
        <f t="shared" si="7"/>
        <v>CCFNnaKeffi</v>
      </c>
    </row>
    <row r="511" spans="48:54" x14ac:dyDescent="0.25">
      <c r="AV511" t="s">
        <v>822</v>
      </c>
      <c r="AW511" t="s">
        <v>186</v>
      </c>
      <c r="AX511" t="s">
        <v>739</v>
      </c>
      <c r="AY511" t="s">
        <v>1832</v>
      </c>
      <c r="AZ511" t="s">
        <v>1833</v>
      </c>
      <c r="BA511" t="s">
        <v>151</v>
      </c>
      <c r="BB511" t="str">
        <f t="shared" si="7"/>
        <v>CCFNnaLafia</v>
      </c>
    </row>
    <row r="512" spans="48:54" x14ac:dyDescent="0.25">
      <c r="AV512" t="s">
        <v>822</v>
      </c>
      <c r="AW512" t="s">
        <v>186</v>
      </c>
      <c r="AX512" t="s">
        <v>739</v>
      </c>
      <c r="AY512" t="s">
        <v>1834</v>
      </c>
      <c r="AZ512" t="s">
        <v>1835</v>
      </c>
      <c r="BA512" t="s">
        <v>151</v>
      </c>
      <c r="BB512" t="str">
        <f t="shared" si="7"/>
        <v>CCFNnaLafia</v>
      </c>
    </row>
    <row r="513" spans="48:54" x14ac:dyDescent="0.25">
      <c r="AV513" t="s">
        <v>822</v>
      </c>
      <c r="AW513" t="s">
        <v>186</v>
      </c>
      <c r="AX513" t="s">
        <v>740</v>
      </c>
      <c r="AY513" t="s">
        <v>1836</v>
      </c>
      <c r="AZ513" t="s">
        <v>1837</v>
      </c>
      <c r="BA513" t="s">
        <v>151</v>
      </c>
      <c r="BB513" t="str">
        <f t="shared" si="7"/>
        <v>CCFNnaObi</v>
      </c>
    </row>
    <row r="514" spans="48:54" x14ac:dyDescent="0.25">
      <c r="AV514" t="s">
        <v>822</v>
      </c>
      <c r="AW514" t="s">
        <v>186</v>
      </c>
      <c r="AX514" t="s">
        <v>740</v>
      </c>
      <c r="AY514" t="s">
        <v>1838</v>
      </c>
      <c r="AZ514" t="s">
        <v>1839</v>
      </c>
      <c r="BA514" t="s">
        <v>151</v>
      </c>
      <c r="BB514" t="str">
        <f t="shared" si="7"/>
        <v>CCFNnaObi</v>
      </c>
    </row>
    <row r="515" spans="48:54" x14ac:dyDescent="0.25">
      <c r="AV515" t="s">
        <v>822</v>
      </c>
      <c r="AW515" t="s">
        <v>186</v>
      </c>
      <c r="AX515" t="s">
        <v>740</v>
      </c>
      <c r="AY515" t="s">
        <v>1840</v>
      </c>
      <c r="AZ515" t="s">
        <v>1841</v>
      </c>
      <c r="BA515" t="s">
        <v>151</v>
      </c>
      <c r="BB515" t="str">
        <f t="shared" ref="BB515:BB578" si="8">SUBSTITUTE(SUBSTITUTE(BA515&amp;AX515," ",""),"-","")</f>
        <v>CCFNnaObi</v>
      </c>
    </row>
    <row r="516" spans="48:54" x14ac:dyDescent="0.25">
      <c r="AV516" t="s">
        <v>822</v>
      </c>
      <c r="AW516" t="s">
        <v>186</v>
      </c>
      <c r="AX516" t="s">
        <v>740</v>
      </c>
      <c r="AY516" t="s">
        <v>1842</v>
      </c>
      <c r="AZ516" t="s">
        <v>1843</v>
      </c>
      <c r="BA516" t="s">
        <v>151</v>
      </c>
      <c r="BB516" t="str">
        <f t="shared" si="8"/>
        <v>CCFNnaObi</v>
      </c>
    </row>
    <row r="517" spans="48:54" x14ac:dyDescent="0.25">
      <c r="AV517" t="s">
        <v>822</v>
      </c>
      <c r="AW517" t="s">
        <v>188</v>
      </c>
      <c r="AX517" t="s">
        <v>752</v>
      </c>
      <c r="AY517" t="s">
        <v>1844</v>
      </c>
      <c r="AZ517" t="s">
        <v>1845</v>
      </c>
      <c r="BA517" t="s">
        <v>151</v>
      </c>
      <c r="BB517" t="str">
        <f t="shared" si="8"/>
        <v>CCFNogIfo</v>
      </c>
    </row>
    <row r="518" spans="48:54" x14ac:dyDescent="0.25">
      <c r="AV518" t="s">
        <v>822</v>
      </c>
      <c r="AW518" t="s">
        <v>188</v>
      </c>
      <c r="AX518" t="s">
        <v>750</v>
      </c>
      <c r="AY518" t="s">
        <v>1846</v>
      </c>
      <c r="AZ518" t="s">
        <v>1847</v>
      </c>
      <c r="BA518" t="s">
        <v>151</v>
      </c>
      <c r="BB518" t="str">
        <f t="shared" si="8"/>
        <v>CCFNogYewaNorth</v>
      </c>
    </row>
    <row r="519" spans="48:54" x14ac:dyDescent="0.25">
      <c r="AV519" t="s">
        <v>822</v>
      </c>
      <c r="AW519" t="s">
        <v>189</v>
      </c>
      <c r="AX519" t="s">
        <v>757</v>
      </c>
      <c r="AY519" t="s">
        <v>1848</v>
      </c>
      <c r="AZ519" t="s">
        <v>1849</v>
      </c>
      <c r="BA519" t="s">
        <v>151</v>
      </c>
      <c r="BB519" t="str">
        <f t="shared" si="8"/>
        <v>CCFNonAkokoSouthWest</v>
      </c>
    </row>
    <row r="520" spans="48:54" x14ac:dyDescent="0.25">
      <c r="AV520" t="s">
        <v>822</v>
      </c>
      <c r="AW520" t="s">
        <v>189</v>
      </c>
      <c r="AX520" t="s">
        <v>758</v>
      </c>
      <c r="AY520" t="s">
        <v>1850</v>
      </c>
      <c r="AZ520" t="s">
        <v>1851</v>
      </c>
      <c r="BA520" t="s">
        <v>151</v>
      </c>
      <c r="BB520" t="str">
        <f t="shared" si="8"/>
        <v>CCFNonEseOdo</v>
      </c>
    </row>
    <row r="521" spans="48:54" x14ac:dyDescent="0.25">
      <c r="AV521" t="s">
        <v>822</v>
      </c>
      <c r="AW521" t="s">
        <v>189</v>
      </c>
      <c r="AX521" t="s">
        <v>759</v>
      </c>
      <c r="AY521" t="s">
        <v>1852</v>
      </c>
      <c r="AZ521" t="s">
        <v>1853</v>
      </c>
      <c r="BA521" t="s">
        <v>151</v>
      </c>
      <c r="BB521" t="str">
        <f t="shared" si="8"/>
        <v>CCFNonOndoWest</v>
      </c>
    </row>
    <row r="522" spans="48:54" x14ac:dyDescent="0.25">
      <c r="AV522" t="s">
        <v>822</v>
      </c>
      <c r="AW522" t="s">
        <v>189</v>
      </c>
      <c r="AX522" t="s">
        <v>760</v>
      </c>
      <c r="AY522" t="s">
        <v>1854</v>
      </c>
      <c r="AZ522" t="s">
        <v>1855</v>
      </c>
      <c r="BA522" t="s">
        <v>151</v>
      </c>
      <c r="BB522" t="str">
        <f t="shared" si="8"/>
        <v>CCFNonOwo</v>
      </c>
    </row>
    <row r="523" spans="48:54" x14ac:dyDescent="0.25">
      <c r="AV523" t="s">
        <v>822</v>
      </c>
      <c r="AW523" t="s">
        <v>190</v>
      </c>
      <c r="AX523" t="s">
        <v>764</v>
      </c>
      <c r="AY523" t="s">
        <v>1856</v>
      </c>
      <c r="AZ523" t="s">
        <v>1857</v>
      </c>
      <c r="BA523" t="s">
        <v>151</v>
      </c>
      <c r="BB523" t="str">
        <f t="shared" si="8"/>
        <v>CCFNosIfeNorth</v>
      </c>
    </row>
    <row r="524" spans="48:54" x14ac:dyDescent="0.25">
      <c r="AV524" t="s">
        <v>822</v>
      </c>
      <c r="AW524" t="s">
        <v>190</v>
      </c>
      <c r="AX524" t="s">
        <v>765</v>
      </c>
      <c r="AY524" t="s">
        <v>1858</v>
      </c>
      <c r="AZ524" t="s">
        <v>1859</v>
      </c>
      <c r="BA524" t="s">
        <v>151</v>
      </c>
      <c r="BB524" t="str">
        <f t="shared" si="8"/>
        <v>CCFNosIsokan</v>
      </c>
    </row>
    <row r="525" spans="48:54" x14ac:dyDescent="0.25">
      <c r="AV525" t="s">
        <v>822</v>
      </c>
      <c r="AW525" t="s">
        <v>190</v>
      </c>
      <c r="AX525" t="s">
        <v>766</v>
      </c>
      <c r="AY525" t="s">
        <v>1860</v>
      </c>
      <c r="AZ525" t="s">
        <v>1861</v>
      </c>
      <c r="BA525" t="s">
        <v>151</v>
      </c>
      <c r="BB525" t="str">
        <f t="shared" si="8"/>
        <v>CCFNosIwo</v>
      </c>
    </row>
    <row r="526" spans="48:54" x14ac:dyDescent="0.25">
      <c r="AV526" t="s">
        <v>822</v>
      </c>
      <c r="AW526" t="s">
        <v>191</v>
      </c>
      <c r="AX526" t="s">
        <v>803</v>
      </c>
      <c r="AY526" t="s">
        <v>1862</v>
      </c>
      <c r="AZ526" t="s">
        <v>1863</v>
      </c>
      <c r="BA526" t="s">
        <v>151</v>
      </c>
      <c r="BB526" t="str">
        <f t="shared" si="8"/>
        <v>CCFNoyEgbeda</v>
      </c>
    </row>
    <row r="527" spans="48:54" x14ac:dyDescent="0.25">
      <c r="AV527" t="s">
        <v>822</v>
      </c>
      <c r="AW527" t="s">
        <v>192</v>
      </c>
      <c r="AX527" t="s">
        <v>805</v>
      </c>
      <c r="AY527" t="s">
        <v>1864</v>
      </c>
      <c r="AZ527" t="s">
        <v>1865</v>
      </c>
      <c r="BA527" t="s">
        <v>151</v>
      </c>
      <c r="BB527" t="str">
        <f t="shared" si="8"/>
        <v>CCFNplBassa</v>
      </c>
    </row>
    <row r="528" spans="48:54" x14ac:dyDescent="0.25">
      <c r="AV528" t="s">
        <v>822</v>
      </c>
      <c r="AW528" t="s">
        <v>192</v>
      </c>
      <c r="AX528" t="s">
        <v>805</v>
      </c>
      <c r="AY528" t="s">
        <v>1866</v>
      </c>
      <c r="AZ528" t="s">
        <v>1867</v>
      </c>
      <c r="BA528" t="s">
        <v>151</v>
      </c>
      <c r="BB528" t="str">
        <f t="shared" si="8"/>
        <v>CCFNplBassa</v>
      </c>
    </row>
    <row r="529" spans="48:54" x14ac:dyDescent="0.25">
      <c r="AV529" t="s">
        <v>822</v>
      </c>
      <c r="AW529" t="s">
        <v>192</v>
      </c>
      <c r="AX529" t="s">
        <v>814</v>
      </c>
      <c r="AY529" t="s">
        <v>1868</v>
      </c>
      <c r="AZ529" t="s">
        <v>1869</v>
      </c>
      <c r="BA529" t="s">
        <v>151</v>
      </c>
      <c r="BB529" t="str">
        <f t="shared" si="8"/>
        <v>CCFNplBokkos</v>
      </c>
    </row>
    <row r="530" spans="48:54" x14ac:dyDescent="0.25">
      <c r="AV530" t="s">
        <v>822</v>
      </c>
      <c r="AW530" t="s">
        <v>192</v>
      </c>
      <c r="AX530" t="s">
        <v>814</v>
      </c>
      <c r="AY530" t="s">
        <v>1870</v>
      </c>
      <c r="AZ530" t="s">
        <v>1871</v>
      </c>
      <c r="BA530" t="s">
        <v>151</v>
      </c>
      <c r="BB530" t="str">
        <f t="shared" si="8"/>
        <v>CCFNplBokkos</v>
      </c>
    </row>
    <row r="531" spans="48:54" x14ac:dyDescent="0.25">
      <c r="AV531" t="s">
        <v>822</v>
      </c>
      <c r="AW531" t="s">
        <v>192</v>
      </c>
      <c r="AX531" t="s">
        <v>807</v>
      </c>
      <c r="AY531" t="s">
        <v>1872</v>
      </c>
      <c r="AZ531" t="s">
        <v>1873</v>
      </c>
      <c r="BA531" t="s">
        <v>151</v>
      </c>
      <c r="BB531" t="str">
        <f t="shared" si="8"/>
        <v>CCFNplJosNorth</v>
      </c>
    </row>
    <row r="532" spans="48:54" x14ac:dyDescent="0.25">
      <c r="AV532" t="s">
        <v>822</v>
      </c>
      <c r="AW532" t="s">
        <v>192</v>
      </c>
      <c r="AX532" t="s">
        <v>807</v>
      </c>
      <c r="AY532" t="s">
        <v>1874</v>
      </c>
      <c r="AZ532" t="s">
        <v>1875</v>
      </c>
      <c r="BA532" t="s">
        <v>151</v>
      </c>
      <c r="BB532" t="str">
        <f t="shared" si="8"/>
        <v>CCFNplJosNorth</v>
      </c>
    </row>
    <row r="533" spans="48:54" x14ac:dyDescent="0.25">
      <c r="AV533" t="s">
        <v>822</v>
      </c>
      <c r="AW533" t="s">
        <v>192</v>
      </c>
      <c r="AX533" t="s">
        <v>808</v>
      </c>
      <c r="AY533" t="s">
        <v>1876</v>
      </c>
      <c r="AZ533" t="s">
        <v>1877</v>
      </c>
      <c r="BA533" t="s">
        <v>151</v>
      </c>
      <c r="BB533" t="str">
        <f t="shared" si="8"/>
        <v>CCFNplJosSouth</v>
      </c>
    </row>
    <row r="534" spans="48:54" x14ac:dyDescent="0.25">
      <c r="AV534" t="s">
        <v>822</v>
      </c>
      <c r="AW534" t="s">
        <v>192</v>
      </c>
      <c r="AX534" t="s">
        <v>808</v>
      </c>
      <c r="AY534" t="s">
        <v>1878</v>
      </c>
      <c r="AZ534" t="s">
        <v>1879</v>
      </c>
      <c r="BA534" t="s">
        <v>151</v>
      </c>
      <c r="BB534" t="str">
        <f t="shared" si="8"/>
        <v>CCFNplJosSouth</v>
      </c>
    </row>
    <row r="535" spans="48:54" x14ac:dyDescent="0.25">
      <c r="AV535" t="s">
        <v>822</v>
      </c>
      <c r="AW535" t="s">
        <v>192</v>
      </c>
      <c r="AX535" t="s">
        <v>3800</v>
      </c>
      <c r="AY535" t="s">
        <v>1880</v>
      </c>
      <c r="AZ535" t="s">
        <v>1881</v>
      </c>
      <c r="BA535" t="s">
        <v>151</v>
      </c>
      <c r="BB535" t="str">
        <f t="shared" si="8"/>
        <v>CCFNplQuaanPan</v>
      </c>
    </row>
    <row r="536" spans="48:54" x14ac:dyDescent="0.25">
      <c r="AV536" t="s">
        <v>822</v>
      </c>
      <c r="AW536" t="s">
        <v>192</v>
      </c>
      <c r="AX536" t="s">
        <v>813</v>
      </c>
      <c r="AY536" t="s">
        <v>1882</v>
      </c>
      <c r="AZ536" t="s">
        <v>1883</v>
      </c>
      <c r="BA536" t="s">
        <v>151</v>
      </c>
      <c r="BB536" t="str">
        <f t="shared" si="8"/>
        <v>CCFNplShendam</v>
      </c>
    </row>
    <row r="537" spans="48:54" x14ac:dyDescent="0.25">
      <c r="AV537" t="s">
        <v>822</v>
      </c>
      <c r="AW537" t="s">
        <v>167</v>
      </c>
      <c r="AX537" t="s">
        <v>589</v>
      </c>
      <c r="AY537" t="s">
        <v>1884</v>
      </c>
      <c r="AZ537" t="s">
        <v>1885</v>
      </c>
      <c r="BA537" t="s">
        <v>570</v>
      </c>
      <c r="BB537" t="str">
        <f t="shared" si="8"/>
        <v>CIHPbeAdo</v>
      </c>
    </row>
    <row r="538" spans="48:54" x14ac:dyDescent="0.25">
      <c r="AV538" t="s">
        <v>822</v>
      </c>
      <c r="AW538" t="s">
        <v>167</v>
      </c>
      <c r="AX538" t="s">
        <v>589</v>
      </c>
      <c r="AY538" t="s">
        <v>1886</v>
      </c>
      <c r="AZ538" t="s">
        <v>1887</v>
      </c>
      <c r="BA538" t="s">
        <v>570</v>
      </c>
      <c r="BB538" t="str">
        <f t="shared" si="8"/>
        <v>CIHPbeAdo</v>
      </c>
    </row>
    <row r="539" spans="48:54" x14ac:dyDescent="0.25">
      <c r="AV539" t="s">
        <v>822</v>
      </c>
      <c r="AW539" t="s">
        <v>167</v>
      </c>
      <c r="AX539" t="s">
        <v>572</v>
      </c>
      <c r="AY539" t="s">
        <v>1888</v>
      </c>
      <c r="AZ539" t="s">
        <v>1889</v>
      </c>
      <c r="BA539" t="s">
        <v>570</v>
      </c>
      <c r="BB539" t="str">
        <f t="shared" si="8"/>
        <v>CIHPbeAgatu</v>
      </c>
    </row>
    <row r="540" spans="48:54" x14ac:dyDescent="0.25">
      <c r="AV540" t="s">
        <v>822</v>
      </c>
      <c r="AW540" t="s">
        <v>167</v>
      </c>
      <c r="AX540" t="s">
        <v>590</v>
      </c>
      <c r="AY540" t="s">
        <v>1890</v>
      </c>
      <c r="AZ540" t="s">
        <v>1891</v>
      </c>
      <c r="BA540" t="s">
        <v>570</v>
      </c>
      <c r="BB540" t="str">
        <f t="shared" si="8"/>
        <v>CIHPbeApa</v>
      </c>
    </row>
    <row r="541" spans="48:54" x14ac:dyDescent="0.25">
      <c r="AV541" t="s">
        <v>822</v>
      </c>
      <c r="AW541" t="s">
        <v>167</v>
      </c>
      <c r="AX541" t="s">
        <v>590</v>
      </c>
      <c r="AY541" t="s">
        <v>1892</v>
      </c>
      <c r="AZ541" t="s">
        <v>1893</v>
      </c>
      <c r="BA541" t="s">
        <v>570</v>
      </c>
      <c r="BB541" t="str">
        <f t="shared" si="8"/>
        <v>CIHPbeApa</v>
      </c>
    </row>
    <row r="542" spans="48:54" x14ac:dyDescent="0.25">
      <c r="AV542" t="s">
        <v>822</v>
      </c>
      <c r="AW542" t="s">
        <v>167</v>
      </c>
      <c r="AX542" t="s">
        <v>573</v>
      </c>
      <c r="AY542" t="s">
        <v>1894</v>
      </c>
      <c r="AZ542" t="s">
        <v>1895</v>
      </c>
      <c r="BA542" t="s">
        <v>570</v>
      </c>
      <c r="BB542" t="str">
        <f t="shared" si="8"/>
        <v>CIHPbeBuruku</v>
      </c>
    </row>
    <row r="543" spans="48:54" x14ac:dyDescent="0.25">
      <c r="AV543" t="s">
        <v>822</v>
      </c>
      <c r="AW543" t="s">
        <v>167</v>
      </c>
      <c r="AX543" t="s">
        <v>573</v>
      </c>
      <c r="AY543" t="s">
        <v>1896</v>
      </c>
      <c r="AZ543" t="s">
        <v>1897</v>
      </c>
      <c r="BA543" t="s">
        <v>570</v>
      </c>
      <c r="BB543" t="str">
        <f t="shared" si="8"/>
        <v>CIHPbeBuruku</v>
      </c>
    </row>
    <row r="544" spans="48:54" x14ac:dyDescent="0.25">
      <c r="AV544" t="s">
        <v>822</v>
      </c>
      <c r="AW544" t="s">
        <v>167</v>
      </c>
      <c r="AX544" t="s">
        <v>573</v>
      </c>
      <c r="AY544" t="s">
        <v>1898</v>
      </c>
      <c r="AZ544" t="s">
        <v>1899</v>
      </c>
      <c r="BA544" t="s">
        <v>570</v>
      </c>
      <c r="BB544" t="str">
        <f t="shared" si="8"/>
        <v>CIHPbeBuruku</v>
      </c>
    </row>
    <row r="545" spans="48:54" x14ac:dyDescent="0.25">
      <c r="AV545" t="s">
        <v>822</v>
      </c>
      <c r="AW545" t="s">
        <v>167</v>
      </c>
      <c r="AX545" t="s">
        <v>573</v>
      </c>
      <c r="AY545" t="s">
        <v>1900</v>
      </c>
      <c r="AZ545" t="s">
        <v>1901</v>
      </c>
      <c r="BA545" t="s">
        <v>570</v>
      </c>
      <c r="BB545" t="str">
        <f t="shared" si="8"/>
        <v>CIHPbeBuruku</v>
      </c>
    </row>
    <row r="546" spans="48:54" x14ac:dyDescent="0.25">
      <c r="AV546" t="s">
        <v>822</v>
      </c>
      <c r="AW546" t="s">
        <v>167</v>
      </c>
      <c r="AX546" t="s">
        <v>573</v>
      </c>
      <c r="AY546" t="s">
        <v>1902</v>
      </c>
      <c r="AZ546" t="s">
        <v>1903</v>
      </c>
      <c r="BA546" t="s">
        <v>570</v>
      </c>
      <c r="BB546" t="str">
        <f t="shared" si="8"/>
        <v>CIHPbeBuruku</v>
      </c>
    </row>
    <row r="547" spans="48:54" x14ac:dyDescent="0.25">
      <c r="AV547" t="s">
        <v>822</v>
      </c>
      <c r="AW547" t="s">
        <v>167</v>
      </c>
      <c r="AX547" t="s">
        <v>573</v>
      </c>
      <c r="AY547" t="s">
        <v>1904</v>
      </c>
      <c r="AZ547" t="s">
        <v>1905</v>
      </c>
      <c r="BA547" t="s">
        <v>570</v>
      </c>
      <c r="BB547" t="str">
        <f t="shared" si="8"/>
        <v>CIHPbeBuruku</v>
      </c>
    </row>
    <row r="548" spans="48:54" x14ac:dyDescent="0.25">
      <c r="AV548" t="s">
        <v>822</v>
      </c>
      <c r="AW548" t="s">
        <v>167</v>
      </c>
      <c r="AX548" t="s">
        <v>573</v>
      </c>
      <c r="AY548" t="s">
        <v>1906</v>
      </c>
      <c r="AZ548" t="s">
        <v>1907</v>
      </c>
      <c r="BA548" t="s">
        <v>570</v>
      </c>
      <c r="BB548" t="str">
        <f t="shared" si="8"/>
        <v>CIHPbeBuruku</v>
      </c>
    </row>
    <row r="549" spans="48:54" x14ac:dyDescent="0.25">
      <c r="AV549" t="s">
        <v>822</v>
      </c>
      <c r="AW549" t="s">
        <v>167</v>
      </c>
      <c r="AX549" t="s">
        <v>573</v>
      </c>
      <c r="AY549" t="s">
        <v>1908</v>
      </c>
      <c r="AZ549" t="s">
        <v>1909</v>
      </c>
      <c r="BA549" t="s">
        <v>570</v>
      </c>
      <c r="BB549" t="str">
        <f t="shared" si="8"/>
        <v>CIHPbeBuruku</v>
      </c>
    </row>
    <row r="550" spans="48:54" x14ac:dyDescent="0.25">
      <c r="AV550" t="s">
        <v>822</v>
      </c>
      <c r="AW550" t="s">
        <v>167</v>
      </c>
      <c r="AX550" t="s">
        <v>573</v>
      </c>
      <c r="AY550" t="s">
        <v>1910</v>
      </c>
      <c r="AZ550" t="s">
        <v>1911</v>
      </c>
      <c r="BA550" t="s">
        <v>570</v>
      </c>
      <c r="BB550" t="str">
        <f t="shared" si="8"/>
        <v>CIHPbeBuruku</v>
      </c>
    </row>
    <row r="551" spans="48:54" x14ac:dyDescent="0.25">
      <c r="AV551" t="s">
        <v>822</v>
      </c>
      <c r="AW551" t="s">
        <v>167</v>
      </c>
      <c r="AX551" t="s">
        <v>573</v>
      </c>
      <c r="AY551" t="s">
        <v>1912</v>
      </c>
      <c r="AZ551" t="s">
        <v>1913</v>
      </c>
      <c r="BA551" t="s">
        <v>570</v>
      </c>
      <c r="BB551" t="str">
        <f t="shared" si="8"/>
        <v>CIHPbeBuruku</v>
      </c>
    </row>
    <row r="552" spans="48:54" x14ac:dyDescent="0.25">
      <c r="AV552" t="s">
        <v>822</v>
      </c>
      <c r="AW552" t="s">
        <v>167</v>
      </c>
      <c r="AX552" t="s">
        <v>573</v>
      </c>
      <c r="AY552" t="s">
        <v>1914</v>
      </c>
      <c r="AZ552" t="s">
        <v>1915</v>
      </c>
      <c r="BA552" t="s">
        <v>570</v>
      </c>
      <c r="BB552" t="str">
        <f t="shared" si="8"/>
        <v>CIHPbeBuruku</v>
      </c>
    </row>
    <row r="553" spans="48:54" x14ac:dyDescent="0.25">
      <c r="AV553" t="s">
        <v>822</v>
      </c>
      <c r="AW553" t="s">
        <v>167</v>
      </c>
      <c r="AX553" t="s">
        <v>573</v>
      </c>
      <c r="AY553" t="s">
        <v>1916</v>
      </c>
      <c r="AZ553" t="s">
        <v>1917</v>
      </c>
      <c r="BA553" t="s">
        <v>570</v>
      </c>
      <c r="BB553" t="str">
        <f t="shared" si="8"/>
        <v>CIHPbeBuruku</v>
      </c>
    </row>
    <row r="554" spans="48:54" x14ac:dyDescent="0.25">
      <c r="AV554" t="s">
        <v>822</v>
      </c>
      <c r="AW554" t="s">
        <v>167</v>
      </c>
      <c r="AX554" t="s">
        <v>573</v>
      </c>
      <c r="AY554" t="s">
        <v>1918</v>
      </c>
      <c r="AZ554" t="s">
        <v>1919</v>
      </c>
      <c r="BA554" t="s">
        <v>570</v>
      </c>
      <c r="BB554" t="str">
        <f t="shared" si="8"/>
        <v>CIHPbeBuruku</v>
      </c>
    </row>
    <row r="555" spans="48:54" x14ac:dyDescent="0.25">
      <c r="AV555" t="s">
        <v>822</v>
      </c>
      <c r="AW555" t="s">
        <v>167</v>
      </c>
      <c r="AX555" t="s">
        <v>573</v>
      </c>
      <c r="AY555" t="s">
        <v>1920</v>
      </c>
      <c r="AZ555" t="s">
        <v>1921</v>
      </c>
      <c r="BA555" t="s">
        <v>570</v>
      </c>
      <c r="BB555" t="str">
        <f t="shared" si="8"/>
        <v>CIHPbeBuruku</v>
      </c>
    </row>
    <row r="556" spans="48:54" x14ac:dyDescent="0.25">
      <c r="AV556" t="s">
        <v>822</v>
      </c>
      <c r="AW556" t="s">
        <v>167</v>
      </c>
      <c r="AX556" t="s">
        <v>573</v>
      </c>
      <c r="AY556" t="s">
        <v>1922</v>
      </c>
      <c r="AZ556" t="s">
        <v>1923</v>
      </c>
      <c r="BA556" t="s">
        <v>570</v>
      </c>
      <c r="BB556" t="str">
        <f t="shared" si="8"/>
        <v>CIHPbeBuruku</v>
      </c>
    </row>
    <row r="557" spans="48:54" x14ac:dyDescent="0.25">
      <c r="AV557" t="s">
        <v>822</v>
      </c>
      <c r="AW557" t="s">
        <v>167</v>
      </c>
      <c r="AX557" t="s">
        <v>573</v>
      </c>
      <c r="AY557" t="s">
        <v>1924</v>
      </c>
      <c r="AZ557" t="s">
        <v>1925</v>
      </c>
      <c r="BA557" t="s">
        <v>570</v>
      </c>
      <c r="BB557" t="str">
        <f t="shared" si="8"/>
        <v>CIHPbeBuruku</v>
      </c>
    </row>
    <row r="558" spans="48:54" x14ac:dyDescent="0.25">
      <c r="AV558" t="s">
        <v>822</v>
      </c>
      <c r="AW558" t="s">
        <v>167</v>
      </c>
      <c r="AX558" t="s">
        <v>573</v>
      </c>
      <c r="AY558" t="s">
        <v>1926</v>
      </c>
      <c r="AZ558" t="s">
        <v>1927</v>
      </c>
      <c r="BA558" t="s">
        <v>570</v>
      </c>
      <c r="BB558" t="str">
        <f t="shared" si="8"/>
        <v>CIHPbeBuruku</v>
      </c>
    </row>
    <row r="559" spans="48:54" x14ac:dyDescent="0.25">
      <c r="AV559" t="s">
        <v>822</v>
      </c>
      <c r="AW559" t="s">
        <v>167</v>
      </c>
      <c r="AX559" t="s">
        <v>573</v>
      </c>
      <c r="AY559" t="s">
        <v>1928</v>
      </c>
      <c r="AZ559" t="s">
        <v>1929</v>
      </c>
      <c r="BA559" t="s">
        <v>570</v>
      </c>
      <c r="BB559" t="str">
        <f t="shared" si="8"/>
        <v>CIHPbeBuruku</v>
      </c>
    </row>
    <row r="560" spans="48:54" x14ac:dyDescent="0.25">
      <c r="AV560" t="s">
        <v>822</v>
      </c>
      <c r="AW560" t="s">
        <v>167</v>
      </c>
      <c r="AX560" t="s">
        <v>573</v>
      </c>
      <c r="AY560" t="s">
        <v>1930</v>
      </c>
      <c r="AZ560" t="s">
        <v>1931</v>
      </c>
      <c r="BA560" t="s">
        <v>570</v>
      </c>
      <c r="BB560" t="str">
        <f t="shared" si="8"/>
        <v>CIHPbeBuruku</v>
      </c>
    </row>
    <row r="561" spans="48:54" x14ac:dyDescent="0.25">
      <c r="AV561" t="s">
        <v>822</v>
      </c>
      <c r="AW561" t="s">
        <v>167</v>
      </c>
      <c r="AX561" t="s">
        <v>573</v>
      </c>
      <c r="AY561" t="s">
        <v>1932</v>
      </c>
      <c r="AZ561" t="s">
        <v>1933</v>
      </c>
      <c r="BA561" t="s">
        <v>570</v>
      </c>
      <c r="BB561" t="str">
        <f t="shared" si="8"/>
        <v>CIHPbeBuruku</v>
      </c>
    </row>
    <row r="562" spans="48:54" x14ac:dyDescent="0.25">
      <c r="AV562" t="s">
        <v>822</v>
      </c>
      <c r="AW562" t="s">
        <v>167</v>
      </c>
      <c r="AX562" t="s">
        <v>573</v>
      </c>
      <c r="AY562" t="s">
        <v>1934</v>
      </c>
      <c r="AZ562" t="s">
        <v>1935</v>
      </c>
      <c r="BA562" t="s">
        <v>570</v>
      </c>
      <c r="BB562" t="str">
        <f t="shared" si="8"/>
        <v>CIHPbeBuruku</v>
      </c>
    </row>
    <row r="563" spans="48:54" x14ac:dyDescent="0.25">
      <c r="AV563" t="s">
        <v>822</v>
      </c>
      <c r="AW563" t="s">
        <v>167</v>
      </c>
      <c r="AX563" t="s">
        <v>573</v>
      </c>
      <c r="AY563" t="s">
        <v>1936</v>
      </c>
      <c r="AZ563" t="s">
        <v>1937</v>
      </c>
      <c r="BA563" t="s">
        <v>570</v>
      </c>
      <c r="BB563" t="str">
        <f t="shared" si="8"/>
        <v>CIHPbeBuruku</v>
      </c>
    </row>
    <row r="564" spans="48:54" x14ac:dyDescent="0.25">
      <c r="AV564" t="s">
        <v>822</v>
      </c>
      <c r="AW564" t="s">
        <v>167</v>
      </c>
      <c r="AX564" t="s">
        <v>573</v>
      </c>
      <c r="AY564" t="s">
        <v>1938</v>
      </c>
      <c r="AZ564" t="s">
        <v>1939</v>
      </c>
      <c r="BA564" t="s">
        <v>570</v>
      </c>
      <c r="BB564" t="str">
        <f t="shared" si="8"/>
        <v>CIHPbeBuruku</v>
      </c>
    </row>
    <row r="565" spans="48:54" x14ac:dyDescent="0.25">
      <c r="AV565" t="s">
        <v>822</v>
      </c>
      <c r="AW565" t="s">
        <v>167</v>
      </c>
      <c r="AX565" t="s">
        <v>573</v>
      </c>
      <c r="AY565" t="s">
        <v>1940</v>
      </c>
      <c r="AZ565" t="s">
        <v>1941</v>
      </c>
      <c r="BA565" t="s">
        <v>570</v>
      </c>
      <c r="BB565" t="str">
        <f t="shared" si="8"/>
        <v>CIHPbeBuruku</v>
      </c>
    </row>
    <row r="566" spans="48:54" x14ac:dyDescent="0.25">
      <c r="AV566" t="s">
        <v>822</v>
      </c>
      <c r="AW566" t="s">
        <v>167</v>
      </c>
      <c r="AX566" t="s">
        <v>573</v>
      </c>
      <c r="AY566" t="s">
        <v>1660</v>
      </c>
      <c r="AZ566" t="s">
        <v>1661</v>
      </c>
      <c r="BA566" t="s">
        <v>570</v>
      </c>
      <c r="BB566" t="str">
        <f t="shared" si="8"/>
        <v>CIHPbeBuruku</v>
      </c>
    </row>
    <row r="567" spans="48:54" x14ac:dyDescent="0.25">
      <c r="AV567" t="s">
        <v>822</v>
      </c>
      <c r="AW567" t="s">
        <v>167</v>
      </c>
      <c r="AX567" t="s">
        <v>573</v>
      </c>
      <c r="AY567" t="s">
        <v>1942</v>
      </c>
      <c r="AZ567" t="s">
        <v>1943</v>
      </c>
      <c r="BA567" t="s">
        <v>570</v>
      </c>
      <c r="BB567" t="str">
        <f t="shared" si="8"/>
        <v>CIHPbeBuruku</v>
      </c>
    </row>
    <row r="568" spans="48:54" x14ac:dyDescent="0.25">
      <c r="AV568" t="s">
        <v>822</v>
      </c>
      <c r="AW568" t="s">
        <v>167</v>
      </c>
      <c r="AX568" t="s">
        <v>573</v>
      </c>
      <c r="AY568" t="s">
        <v>1944</v>
      </c>
      <c r="AZ568" t="s">
        <v>1945</v>
      </c>
      <c r="BA568" t="s">
        <v>570</v>
      </c>
      <c r="BB568" t="str">
        <f t="shared" si="8"/>
        <v>CIHPbeBuruku</v>
      </c>
    </row>
    <row r="569" spans="48:54" x14ac:dyDescent="0.25">
      <c r="AV569" t="s">
        <v>822</v>
      </c>
      <c r="AW569" t="s">
        <v>167</v>
      </c>
      <c r="AX569" t="s">
        <v>573</v>
      </c>
      <c r="AY569" t="s">
        <v>1946</v>
      </c>
      <c r="AZ569" t="s">
        <v>1947</v>
      </c>
      <c r="BA569" t="s">
        <v>570</v>
      </c>
      <c r="BB569" t="str">
        <f t="shared" si="8"/>
        <v>CIHPbeBuruku</v>
      </c>
    </row>
    <row r="570" spans="48:54" x14ac:dyDescent="0.25">
      <c r="AV570" t="s">
        <v>822</v>
      </c>
      <c r="AW570" t="s">
        <v>167</v>
      </c>
      <c r="AX570" t="s">
        <v>573</v>
      </c>
      <c r="AY570" t="s">
        <v>1948</v>
      </c>
      <c r="AZ570" t="s">
        <v>1949</v>
      </c>
      <c r="BA570" t="s">
        <v>570</v>
      </c>
      <c r="BB570" t="str">
        <f t="shared" si="8"/>
        <v>CIHPbeBuruku</v>
      </c>
    </row>
    <row r="571" spans="48:54" x14ac:dyDescent="0.25">
      <c r="AV571" t="s">
        <v>822</v>
      </c>
      <c r="AW571" t="s">
        <v>167</v>
      </c>
      <c r="AX571" t="s">
        <v>573</v>
      </c>
      <c r="AY571" t="s">
        <v>1950</v>
      </c>
      <c r="AZ571" t="s">
        <v>1951</v>
      </c>
      <c r="BA571" t="s">
        <v>570</v>
      </c>
      <c r="BB571" t="str">
        <f t="shared" si="8"/>
        <v>CIHPbeBuruku</v>
      </c>
    </row>
    <row r="572" spans="48:54" x14ac:dyDescent="0.25">
      <c r="AV572" t="s">
        <v>822</v>
      </c>
      <c r="AW572" t="s">
        <v>167</v>
      </c>
      <c r="AX572" t="s">
        <v>573</v>
      </c>
      <c r="AY572" t="s">
        <v>1952</v>
      </c>
      <c r="AZ572" t="s">
        <v>1953</v>
      </c>
      <c r="BA572" t="s">
        <v>570</v>
      </c>
      <c r="BB572" t="str">
        <f t="shared" si="8"/>
        <v>CIHPbeBuruku</v>
      </c>
    </row>
    <row r="573" spans="48:54" x14ac:dyDescent="0.25">
      <c r="AV573" t="s">
        <v>822</v>
      </c>
      <c r="AW573" t="s">
        <v>167</v>
      </c>
      <c r="AX573" t="s">
        <v>573</v>
      </c>
      <c r="AY573" t="s">
        <v>1954</v>
      </c>
      <c r="AZ573" t="s">
        <v>1955</v>
      </c>
      <c r="BA573" t="s">
        <v>570</v>
      </c>
      <c r="BB573" t="str">
        <f t="shared" si="8"/>
        <v>CIHPbeBuruku</v>
      </c>
    </row>
    <row r="574" spans="48:54" x14ac:dyDescent="0.25">
      <c r="AV574" t="s">
        <v>822</v>
      </c>
      <c r="AW574" t="s">
        <v>167</v>
      </c>
      <c r="AX574" t="s">
        <v>573</v>
      </c>
      <c r="AY574" t="s">
        <v>1956</v>
      </c>
      <c r="AZ574" t="s">
        <v>1957</v>
      </c>
      <c r="BA574" t="s">
        <v>570</v>
      </c>
      <c r="BB574" t="str">
        <f t="shared" si="8"/>
        <v>CIHPbeBuruku</v>
      </c>
    </row>
    <row r="575" spans="48:54" x14ac:dyDescent="0.25">
      <c r="AV575" t="s">
        <v>822</v>
      </c>
      <c r="AW575" t="s">
        <v>167</v>
      </c>
      <c r="AX575" t="s">
        <v>574</v>
      </c>
      <c r="AY575" t="s">
        <v>1958</v>
      </c>
      <c r="AZ575" t="s">
        <v>1959</v>
      </c>
      <c r="BA575" t="s">
        <v>570</v>
      </c>
      <c r="BB575" t="str">
        <f t="shared" si="8"/>
        <v>CIHPbeGboko</v>
      </c>
    </row>
    <row r="576" spans="48:54" x14ac:dyDescent="0.25">
      <c r="AV576" t="s">
        <v>822</v>
      </c>
      <c r="AW576" t="s">
        <v>167</v>
      </c>
      <c r="AX576" t="s">
        <v>574</v>
      </c>
      <c r="AY576" t="s">
        <v>1960</v>
      </c>
      <c r="AZ576" t="s">
        <v>1961</v>
      </c>
      <c r="BA576" t="s">
        <v>570</v>
      </c>
      <c r="BB576" t="str">
        <f t="shared" si="8"/>
        <v>CIHPbeGboko</v>
      </c>
    </row>
    <row r="577" spans="48:54" x14ac:dyDescent="0.25">
      <c r="AV577" t="s">
        <v>822</v>
      </c>
      <c r="AW577" t="s">
        <v>167</v>
      </c>
      <c r="AX577" t="s">
        <v>574</v>
      </c>
      <c r="AY577" t="s">
        <v>1962</v>
      </c>
      <c r="AZ577" t="s">
        <v>1963</v>
      </c>
      <c r="BA577" t="s">
        <v>570</v>
      </c>
      <c r="BB577" t="str">
        <f t="shared" si="8"/>
        <v>CIHPbeGboko</v>
      </c>
    </row>
    <row r="578" spans="48:54" x14ac:dyDescent="0.25">
      <c r="AV578" t="s">
        <v>822</v>
      </c>
      <c r="AW578" t="s">
        <v>167</v>
      </c>
      <c r="AX578" t="s">
        <v>574</v>
      </c>
      <c r="AY578" t="s">
        <v>1964</v>
      </c>
      <c r="AZ578" t="s">
        <v>1965</v>
      </c>
      <c r="BA578" t="s">
        <v>570</v>
      </c>
      <c r="BB578" t="str">
        <f t="shared" si="8"/>
        <v>CIHPbeGboko</v>
      </c>
    </row>
    <row r="579" spans="48:54" x14ac:dyDescent="0.25">
      <c r="AV579" t="s">
        <v>822</v>
      </c>
      <c r="AW579" t="s">
        <v>167</v>
      </c>
      <c r="AX579" t="s">
        <v>574</v>
      </c>
      <c r="AY579" t="s">
        <v>1966</v>
      </c>
      <c r="AZ579" t="s">
        <v>1967</v>
      </c>
      <c r="BA579" t="s">
        <v>570</v>
      </c>
      <c r="BB579" t="str">
        <f t="shared" ref="BB579:BB642" si="9">SUBSTITUTE(SUBSTITUTE(BA579&amp;AX579," ",""),"-","")</f>
        <v>CIHPbeGboko</v>
      </c>
    </row>
    <row r="580" spans="48:54" x14ac:dyDescent="0.25">
      <c r="AV580" t="s">
        <v>822</v>
      </c>
      <c r="AW580" t="s">
        <v>167</v>
      </c>
      <c r="AX580" t="s">
        <v>574</v>
      </c>
      <c r="AY580" t="s">
        <v>1968</v>
      </c>
      <c r="AZ580" t="s">
        <v>1969</v>
      </c>
      <c r="BA580" t="s">
        <v>570</v>
      </c>
      <c r="BB580" t="str">
        <f t="shared" si="9"/>
        <v>CIHPbeGboko</v>
      </c>
    </row>
    <row r="581" spans="48:54" x14ac:dyDescent="0.25">
      <c r="AV581" t="s">
        <v>822</v>
      </c>
      <c r="AW581" t="s">
        <v>167</v>
      </c>
      <c r="AX581" t="s">
        <v>574</v>
      </c>
      <c r="AY581" t="s">
        <v>1970</v>
      </c>
      <c r="AZ581" t="s">
        <v>1971</v>
      </c>
      <c r="BA581" t="s">
        <v>570</v>
      </c>
      <c r="BB581" t="str">
        <f t="shared" si="9"/>
        <v>CIHPbeGboko</v>
      </c>
    </row>
    <row r="582" spans="48:54" x14ac:dyDescent="0.25">
      <c r="AV582" t="s">
        <v>822</v>
      </c>
      <c r="AW582" t="s">
        <v>167</v>
      </c>
      <c r="AX582" t="s">
        <v>574</v>
      </c>
      <c r="AY582" t="s">
        <v>1972</v>
      </c>
      <c r="AZ582" t="s">
        <v>1973</v>
      </c>
      <c r="BA582" t="s">
        <v>570</v>
      </c>
      <c r="BB582" t="str">
        <f t="shared" si="9"/>
        <v>CIHPbeGboko</v>
      </c>
    </row>
    <row r="583" spans="48:54" x14ac:dyDescent="0.25">
      <c r="AV583" t="s">
        <v>822</v>
      </c>
      <c r="AW583" t="s">
        <v>167</v>
      </c>
      <c r="AX583" t="s">
        <v>574</v>
      </c>
      <c r="AY583" t="s">
        <v>1974</v>
      </c>
      <c r="AZ583" t="s">
        <v>1975</v>
      </c>
      <c r="BA583" t="s">
        <v>570</v>
      </c>
      <c r="BB583" t="str">
        <f t="shared" si="9"/>
        <v>CIHPbeGboko</v>
      </c>
    </row>
    <row r="584" spans="48:54" x14ac:dyDescent="0.25">
      <c r="AV584" t="s">
        <v>822</v>
      </c>
      <c r="AW584" t="s">
        <v>167</v>
      </c>
      <c r="AX584" t="s">
        <v>574</v>
      </c>
      <c r="AY584" t="s">
        <v>1976</v>
      </c>
      <c r="AZ584" t="s">
        <v>1977</v>
      </c>
      <c r="BA584" t="s">
        <v>570</v>
      </c>
      <c r="BB584" t="str">
        <f t="shared" si="9"/>
        <v>CIHPbeGboko</v>
      </c>
    </row>
    <row r="585" spans="48:54" x14ac:dyDescent="0.25">
      <c r="AV585" t="s">
        <v>822</v>
      </c>
      <c r="AW585" t="s">
        <v>167</v>
      </c>
      <c r="AX585" t="s">
        <v>574</v>
      </c>
      <c r="AY585" t="s">
        <v>1978</v>
      </c>
      <c r="AZ585" t="s">
        <v>1979</v>
      </c>
      <c r="BA585" t="s">
        <v>570</v>
      </c>
      <c r="BB585" t="str">
        <f t="shared" si="9"/>
        <v>CIHPbeGboko</v>
      </c>
    </row>
    <row r="586" spans="48:54" x14ac:dyDescent="0.25">
      <c r="AV586" t="s">
        <v>822</v>
      </c>
      <c r="AW586" t="s">
        <v>167</v>
      </c>
      <c r="AX586" t="s">
        <v>574</v>
      </c>
      <c r="AY586" t="s">
        <v>1980</v>
      </c>
      <c r="AZ586" t="s">
        <v>1981</v>
      </c>
      <c r="BA586" t="s">
        <v>570</v>
      </c>
      <c r="BB586" t="str">
        <f t="shared" si="9"/>
        <v>CIHPbeGboko</v>
      </c>
    </row>
    <row r="587" spans="48:54" x14ac:dyDescent="0.25">
      <c r="AV587" t="s">
        <v>822</v>
      </c>
      <c r="AW587" t="s">
        <v>167</v>
      </c>
      <c r="AX587" t="s">
        <v>574</v>
      </c>
      <c r="AY587" t="s">
        <v>1982</v>
      </c>
      <c r="AZ587" t="s">
        <v>1983</v>
      </c>
      <c r="BA587" t="s">
        <v>570</v>
      </c>
      <c r="BB587" t="str">
        <f t="shared" si="9"/>
        <v>CIHPbeGboko</v>
      </c>
    </row>
    <row r="588" spans="48:54" x14ac:dyDescent="0.25">
      <c r="AV588" t="s">
        <v>822</v>
      </c>
      <c r="AW588" t="s">
        <v>167</v>
      </c>
      <c r="AX588" t="s">
        <v>574</v>
      </c>
      <c r="AY588" t="s">
        <v>1984</v>
      </c>
      <c r="AZ588" t="s">
        <v>1985</v>
      </c>
      <c r="BA588" t="s">
        <v>570</v>
      </c>
      <c r="BB588" t="str">
        <f t="shared" si="9"/>
        <v>CIHPbeGboko</v>
      </c>
    </row>
    <row r="589" spans="48:54" x14ac:dyDescent="0.25">
      <c r="AV589" t="s">
        <v>822</v>
      </c>
      <c r="AW589" t="s">
        <v>167</v>
      </c>
      <c r="AX589" t="s">
        <v>574</v>
      </c>
      <c r="AY589" t="s">
        <v>1986</v>
      </c>
      <c r="AZ589" t="s">
        <v>1987</v>
      </c>
      <c r="BA589" t="s">
        <v>570</v>
      </c>
      <c r="BB589" t="str">
        <f t="shared" si="9"/>
        <v>CIHPbeGboko</v>
      </c>
    </row>
    <row r="590" spans="48:54" x14ac:dyDescent="0.25">
      <c r="AV590" t="s">
        <v>822</v>
      </c>
      <c r="AW590" t="s">
        <v>167</v>
      </c>
      <c r="AX590" t="s">
        <v>574</v>
      </c>
      <c r="AY590" t="s">
        <v>1988</v>
      </c>
      <c r="AZ590" t="s">
        <v>1989</v>
      </c>
      <c r="BA590" t="s">
        <v>570</v>
      </c>
      <c r="BB590" t="str">
        <f t="shared" si="9"/>
        <v>CIHPbeGboko</v>
      </c>
    </row>
    <row r="591" spans="48:54" x14ac:dyDescent="0.25">
      <c r="AV591" t="s">
        <v>822</v>
      </c>
      <c r="AW591" t="s">
        <v>167</v>
      </c>
      <c r="AX591" t="s">
        <v>574</v>
      </c>
      <c r="AY591" t="s">
        <v>1990</v>
      </c>
      <c r="AZ591" t="s">
        <v>1991</v>
      </c>
      <c r="BA591" t="s">
        <v>570</v>
      </c>
      <c r="BB591" t="str">
        <f t="shared" si="9"/>
        <v>CIHPbeGboko</v>
      </c>
    </row>
    <row r="592" spans="48:54" x14ac:dyDescent="0.25">
      <c r="AV592" t="s">
        <v>822</v>
      </c>
      <c r="AW592" t="s">
        <v>167</v>
      </c>
      <c r="AX592" t="s">
        <v>574</v>
      </c>
      <c r="AY592" t="s">
        <v>1992</v>
      </c>
      <c r="AZ592" t="s">
        <v>1993</v>
      </c>
      <c r="BA592" t="s">
        <v>570</v>
      </c>
      <c r="BB592" t="str">
        <f t="shared" si="9"/>
        <v>CIHPbeGboko</v>
      </c>
    </row>
    <row r="593" spans="48:54" x14ac:dyDescent="0.25">
      <c r="AV593" t="s">
        <v>822</v>
      </c>
      <c r="AW593" t="s">
        <v>167</v>
      </c>
      <c r="AX593" t="s">
        <v>574</v>
      </c>
      <c r="AY593" t="s">
        <v>1994</v>
      </c>
      <c r="AZ593" t="s">
        <v>1995</v>
      </c>
      <c r="BA593" t="s">
        <v>570</v>
      </c>
      <c r="BB593" t="str">
        <f t="shared" si="9"/>
        <v>CIHPbeGboko</v>
      </c>
    </row>
    <row r="594" spans="48:54" x14ac:dyDescent="0.25">
      <c r="AV594" t="s">
        <v>822</v>
      </c>
      <c r="AW594" t="s">
        <v>167</v>
      </c>
      <c r="AX594" t="s">
        <v>574</v>
      </c>
      <c r="AY594" t="s">
        <v>1996</v>
      </c>
      <c r="AZ594" t="s">
        <v>1997</v>
      </c>
      <c r="BA594" t="s">
        <v>570</v>
      </c>
      <c r="BB594" t="str">
        <f t="shared" si="9"/>
        <v>CIHPbeGboko</v>
      </c>
    </row>
    <row r="595" spans="48:54" x14ac:dyDescent="0.25">
      <c r="AV595" t="s">
        <v>822</v>
      </c>
      <c r="AW595" t="s">
        <v>167</v>
      </c>
      <c r="AX595" t="s">
        <v>574</v>
      </c>
      <c r="AY595" t="s">
        <v>1998</v>
      </c>
      <c r="AZ595" t="s">
        <v>1999</v>
      </c>
      <c r="BA595" t="s">
        <v>570</v>
      </c>
      <c r="BB595" t="str">
        <f t="shared" si="9"/>
        <v>CIHPbeGboko</v>
      </c>
    </row>
    <row r="596" spans="48:54" x14ac:dyDescent="0.25">
      <c r="AV596" t="s">
        <v>822</v>
      </c>
      <c r="AW596" t="s">
        <v>167</v>
      </c>
      <c r="AX596" t="s">
        <v>574</v>
      </c>
      <c r="AY596" t="s">
        <v>2000</v>
      </c>
      <c r="AZ596" t="s">
        <v>2001</v>
      </c>
      <c r="BA596" t="s">
        <v>570</v>
      </c>
      <c r="BB596" t="str">
        <f t="shared" si="9"/>
        <v>CIHPbeGboko</v>
      </c>
    </row>
    <row r="597" spans="48:54" x14ac:dyDescent="0.25">
      <c r="AV597" t="s">
        <v>822</v>
      </c>
      <c r="AW597" t="s">
        <v>167</v>
      </c>
      <c r="AX597" t="s">
        <v>574</v>
      </c>
      <c r="AY597" t="s">
        <v>2002</v>
      </c>
      <c r="AZ597" t="s">
        <v>2003</v>
      </c>
      <c r="BA597" t="s">
        <v>570</v>
      </c>
      <c r="BB597" t="str">
        <f t="shared" si="9"/>
        <v>CIHPbeGboko</v>
      </c>
    </row>
    <row r="598" spans="48:54" x14ac:dyDescent="0.25">
      <c r="AV598" t="s">
        <v>822</v>
      </c>
      <c r="AW598" t="s">
        <v>167</v>
      </c>
      <c r="AX598" t="s">
        <v>574</v>
      </c>
      <c r="AY598" t="s">
        <v>2004</v>
      </c>
      <c r="AZ598" t="s">
        <v>2005</v>
      </c>
      <c r="BA598" t="s">
        <v>570</v>
      </c>
      <c r="BB598" t="str">
        <f t="shared" si="9"/>
        <v>CIHPbeGboko</v>
      </c>
    </row>
    <row r="599" spans="48:54" x14ac:dyDescent="0.25">
      <c r="AV599" t="s">
        <v>822</v>
      </c>
      <c r="AW599" t="s">
        <v>167</v>
      </c>
      <c r="AX599" t="s">
        <v>574</v>
      </c>
      <c r="AY599" t="s">
        <v>2006</v>
      </c>
      <c r="AZ599" t="s">
        <v>2007</v>
      </c>
      <c r="BA599" t="s">
        <v>570</v>
      </c>
      <c r="BB599" t="str">
        <f t="shared" si="9"/>
        <v>CIHPbeGboko</v>
      </c>
    </row>
    <row r="600" spans="48:54" x14ac:dyDescent="0.25">
      <c r="AV600" t="s">
        <v>822</v>
      </c>
      <c r="AW600" t="s">
        <v>167</v>
      </c>
      <c r="AX600" t="s">
        <v>575</v>
      </c>
      <c r="AY600" t="s">
        <v>2008</v>
      </c>
      <c r="AZ600" t="s">
        <v>2009</v>
      </c>
      <c r="BA600" t="s">
        <v>570</v>
      </c>
      <c r="BB600" t="str">
        <f t="shared" si="9"/>
        <v>CIHPbeGuma</v>
      </c>
    </row>
    <row r="601" spans="48:54" x14ac:dyDescent="0.25">
      <c r="AV601" t="s">
        <v>822</v>
      </c>
      <c r="AW601" t="s">
        <v>167</v>
      </c>
      <c r="AX601" t="s">
        <v>575</v>
      </c>
      <c r="AY601" t="s">
        <v>2010</v>
      </c>
      <c r="AZ601" t="s">
        <v>2011</v>
      </c>
      <c r="BA601" t="s">
        <v>570</v>
      </c>
      <c r="BB601" t="str">
        <f t="shared" si="9"/>
        <v>CIHPbeGuma</v>
      </c>
    </row>
    <row r="602" spans="48:54" x14ac:dyDescent="0.25">
      <c r="AV602" t="s">
        <v>822</v>
      </c>
      <c r="AW602" t="s">
        <v>167</v>
      </c>
      <c r="AX602" t="s">
        <v>575</v>
      </c>
      <c r="AY602" t="s">
        <v>2012</v>
      </c>
      <c r="AZ602" t="s">
        <v>2013</v>
      </c>
      <c r="BA602" t="s">
        <v>570</v>
      </c>
      <c r="BB602" t="str">
        <f t="shared" si="9"/>
        <v>CIHPbeGuma</v>
      </c>
    </row>
    <row r="603" spans="48:54" x14ac:dyDescent="0.25">
      <c r="AV603" t="s">
        <v>822</v>
      </c>
      <c r="AW603" t="s">
        <v>167</v>
      </c>
      <c r="AX603" t="s">
        <v>575</v>
      </c>
      <c r="AY603" t="s">
        <v>2014</v>
      </c>
      <c r="AZ603" t="s">
        <v>2015</v>
      </c>
      <c r="BA603" t="s">
        <v>570</v>
      </c>
      <c r="BB603" t="str">
        <f t="shared" si="9"/>
        <v>CIHPbeGuma</v>
      </c>
    </row>
    <row r="604" spans="48:54" x14ac:dyDescent="0.25">
      <c r="AV604" t="s">
        <v>822</v>
      </c>
      <c r="AW604" t="s">
        <v>167</v>
      </c>
      <c r="AX604" t="s">
        <v>575</v>
      </c>
      <c r="AY604" t="s">
        <v>2016</v>
      </c>
      <c r="AZ604" t="s">
        <v>2017</v>
      </c>
      <c r="BA604" t="s">
        <v>570</v>
      </c>
      <c r="BB604" t="str">
        <f t="shared" si="9"/>
        <v>CIHPbeGuma</v>
      </c>
    </row>
    <row r="605" spans="48:54" x14ac:dyDescent="0.25">
      <c r="AV605" t="s">
        <v>822</v>
      </c>
      <c r="AW605" t="s">
        <v>167</v>
      </c>
      <c r="AX605" t="s">
        <v>575</v>
      </c>
      <c r="AY605" t="s">
        <v>2018</v>
      </c>
      <c r="AZ605" t="s">
        <v>2019</v>
      </c>
      <c r="BA605" t="s">
        <v>570</v>
      </c>
      <c r="BB605" t="str">
        <f t="shared" si="9"/>
        <v>CIHPbeGuma</v>
      </c>
    </row>
    <row r="606" spans="48:54" x14ac:dyDescent="0.25">
      <c r="AV606" t="s">
        <v>822</v>
      </c>
      <c r="AW606" t="s">
        <v>167</v>
      </c>
      <c r="AX606" t="s">
        <v>576</v>
      </c>
      <c r="AY606" t="s">
        <v>2020</v>
      </c>
      <c r="AZ606" t="s">
        <v>2021</v>
      </c>
      <c r="BA606" t="s">
        <v>570</v>
      </c>
      <c r="BB606" t="str">
        <f t="shared" si="9"/>
        <v>CIHPbeGwerEast</v>
      </c>
    </row>
    <row r="607" spans="48:54" x14ac:dyDescent="0.25">
      <c r="AV607" t="s">
        <v>822</v>
      </c>
      <c r="AW607" t="s">
        <v>167</v>
      </c>
      <c r="AX607" t="s">
        <v>576</v>
      </c>
      <c r="AY607" t="s">
        <v>2022</v>
      </c>
      <c r="AZ607" t="s">
        <v>2023</v>
      </c>
      <c r="BA607" t="s">
        <v>570</v>
      </c>
      <c r="BB607" t="str">
        <f t="shared" si="9"/>
        <v>CIHPbeGwerEast</v>
      </c>
    </row>
    <row r="608" spans="48:54" x14ac:dyDescent="0.25">
      <c r="AV608" t="s">
        <v>822</v>
      </c>
      <c r="AW608" t="s">
        <v>167</v>
      </c>
      <c r="AX608" t="s">
        <v>576</v>
      </c>
      <c r="AY608" t="s">
        <v>2024</v>
      </c>
      <c r="AZ608" t="s">
        <v>2025</v>
      </c>
      <c r="BA608" t="s">
        <v>570</v>
      </c>
      <c r="BB608" t="str">
        <f t="shared" si="9"/>
        <v>CIHPbeGwerEast</v>
      </c>
    </row>
    <row r="609" spans="48:54" x14ac:dyDescent="0.25">
      <c r="AV609" t="s">
        <v>822</v>
      </c>
      <c r="AW609" t="s">
        <v>167</v>
      </c>
      <c r="AX609" t="s">
        <v>576</v>
      </c>
      <c r="AY609" t="s">
        <v>2026</v>
      </c>
      <c r="AZ609" t="s">
        <v>2027</v>
      </c>
      <c r="BA609" t="s">
        <v>570</v>
      </c>
      <c r="BB609" t="str">
        <f t="shared" si="9"/>
        <v>CIHPbeGwerEast</v>
      </c>
    </row>
    <row r="610" spans="48:54" x14ac:dyDescent="0.25">
      <c r="AV610" t="s">
        <v>822</v>
      </c>
      <c r="AW610" t="s">
        <v>167</v>
      </c>
      <c r="AX610" t="s">
        <v>576</v>
      </c>
      <c r="AY610" t="s">
        <v>2028</v>
      </c>
      <c r="AZ610" t="s">
        <v>2029</v>
      </c>
      <c r="BA610" t="s">
        <v>570</v>
      </c>
      <c r="BB610" t="str">
        <f t="shared" si="9"/>
        <v>CIHPbeGwerEast</v>
      </c>
    </row>
    <row r="611" spans="48:54" x14ac:dyDescent="0.25">
      <c r="AV611" t="s">
        <v>822</v>
      </c>
      <c r="AW611" t="s">
        <v>167</v>
      </c>
      <c r="AX611" t="s">
        <v>577</v>
      </c>
      <c r="AY611" t="s">
        <v>2030</v>
      </c>
      <c r="AZ611" t="s">
        <v>2031</v>
      </c>
      <c r="BA611" t="s">
        <v>570</v>
      </c>
      <c r="BB611" t="str">
        <f t="shared" si="9"/>
        <v>CIHPbeGwerWest</v>
      </c>
    </row>
    <row r="612" spans="48:54" x14ac:dyDescent="0.25">
      <c r="AV612" t="s">
        <v>822</v>
      </c>
      <c r="AW612" t="s">
        <v>167</v>
      </c>
      <c r="AX612" t="s">
        <v>577</v>
      </c>
      <c r="AY612" t="s">
        <v>2032</v>
      </c>
      <c r="AZ612" t="s">
        <v>2033</v>
      </c>
      <c r="BA612" t="s">
        <v>570</v>
      </c>
      <c r="BB612" t="str">
        <f t="shared" si="9"/>
        <v>CIHPbeGwerWest</v>
      </c>
    </row>
    <row r="613" spans="48:54" x14ac:dyDescent="0.25">
      <c r="AV613" t="s">
        <v>822</v>
      </c>
      <c r="AW613" t="s">
        <v>167</v>
      </c>
      <c r="AX613" t="s">
        <v>577</v>
      </c>
      <c r="AY613" t="s">
        <v>2034</v>
      </c>
      <c r="AZ613" t="s">
        <v>2035</v>
      </c>
      <c r="BA613" t="s">
        <v>570</v>
      </c>
      <c r="BB613" t="str">
        <f t="shared" si="9"/>
        <v>CIHPbeGwerWest</v>
      </c>
    </row>
    <row r="614" spans="48:54" x14ac:dyDescent="0.25">
      <c r="AV614" t="s">
        <v>822</v>
      </c>
      <c r="AW614" t="s">
        <v>167</v>
      </c>
      <c r="AX614" t="s">
        <v>577</v>
      </c>
      <c r="AY614" t="s">
        <v>2036</v>
      </c>
      <c r="AZ614" t="s">
        <v>2037</v>
      </c>
      <c r="BA614" t="s">
        <v>570</v>
      </c>
      <c r="BB614" t="str">
        <f t="shared" si="9"/>
        <v>CIHPbeGwerWest</v>
      </c>
    </row>
    <row r="615" spans="48:54" x14ac:dyDescent="0.25">
      <c r="AV615" t="s">
        <v>822</v>
      </c>
      <c r="AW615" t="s">
        <v>167</v>
      </c>
      <c r="AX615" t="s">
        <v>577</v>
      </c>
      <c r="AY615" t="s">
        <v>2038</v>
      </c>
      <c r="AZ615" t="s">
        <v>2039</v>
      </c>
      <c r="BA615" t="s">
        <v>570</v>
      </c>
      <c r="BB615" t="str">
        <f t="shared" si="9"/>
        <v>CIHPbeGwerWest</v>
      </c>
    </row>
    <row r="616" spans="48:54" x14ac:dyDescent="0.25">
      <c r="AV616" t="s">
        <v>822</v>
      </c>
      <c r="AW616" t="s">
        <v>167</v>
      </c>
      <c r="AX616" t="s">
        <v>577</v>
      </c>
      <c r="AY616" t="s">
        <v>2040</v>
      </c>
      <c r="AZ616" t="s">
        <v>2041</v>
      </c>
      <c r="BA616" t="s">
        <v>570</v>
      </c>
      <c r="BB616" t="str">
        <f t="shared" si="9"/>
        <v>CIHPbeGwerWest</v>
      </c>
    </row>
    <row r="617" spans="48:54" x14ac:dyDescent="0.25">
      <c r="AV617" t="s">
        <v>822</v>
      </c>
      <c r="AW617" t="s">
        <v>167</v>
      </c>
      <c r="AX617" t="s">
        <v>577</v>
      </c>
      <c r="AY617" t="s">
        <v>2042</v>
      </c>
      <c r="AZ617" t="s">
        <v>2043</v>
      </c>
      <c r="BA617" t="s">
        <v>570</v>
      </c>
      <c r="BB617" t="str">
        <f t="shared" si="9"/>
        <v>CIHPbeGwerWest</v>
      </c>
    </row>
    <row r="618" spans="48:54" x14ac:dyDescent="0.25">
      <c r="AV618" t="s">
        <v>822</v>
      </c>
      <c r="AW618" t="s">
        <v>167</v>
      </c>
      <c r="AX618" t="s">
        <v>577</v>
      </c>
      <c r="AY618" t="s">
        <v>2044</v>
      </c>
      <c r="AZ618" t="s">
        <v>2045</v>
      </c>
      <c r="BA618" t="s">
        <v>570</v>
      </c>
      <c r="BB618" t="str">
        <f t="shared" si="9"/>
        <v>CIHPbeGwerWest</v>
      </c>
    </row>
    <row r="619" spans="48:54" x14ac:dyDescent="0.25">
      <c r="AV619" t="s">
        <v>822</v>
      </c>
      <c r="AW619" t="s">
        <v>167</v>
      </c>
      <c r="AX619" t="s">
        <v>577</v>
      </c>
      <c r="AY619" t="s">
        <v>2046</v>
      </c>
      <c r="AZ619" t="s">
        <v>2047</v>
      </c>
      <c r="BA619" t="s">
        <v>570</v>
      </c>
      <c r="BB619" t="str">
        <f t="shared" si="9"/>
        <v>CIHPbeGwerWest</v>
      </c>
    </row>
    <row r="620" spans="48:54" x14ac:dyDescent="0.25">
      <c r="AV620" t="s">
        <v>822</v>
      </c>
      <c r="AW620" t="s">
        <v>167</v>
      </c>
      <c r="AX620" t="s">
        <v>577</v>
      </c>
      <c r="AY620" t="s">
        <v>2048</v>
      </c>
      <c r="AZ620" t="s">
        <v>2049</v>
      </c>
      <c r="BA620" t="s">
        <v>570</v>
      </c>
      <c r="BB620" t="str">
        <f t="shared" si="9"/>
        <v>CIHPbeGwerWest</v>
      </c>
    </row>
    <row r="621" spans="48:54" x14ac:dyDescent="0.25">
      <c r="AV621" t="s">
        <v>822</v>
      </c>
      <c r="AW621" t="s">
        <v>167</v>
      </c>
      <c r="AX621" t="s">
        <v>577</v>
      </c>
      <c r="AY621" t="s">
        <v>2050</v>
      </c>
      <c r="AZ621" t="s">
        <v>2051</v>
      </c>
      <c r="BA621" t="s">
        <v>570</v>
      </c>
      <c r="BB621" t="str">
        <f t="shared" si="9"/>
        <v>CIHPbeGwerWest</v>
      </c>
    </row>
    <row r="622" spans="48:54" x14ac:dyDescent="0.25">
      <c r="AV622" t="s">
        <v>822</v>
      </c>
      <c r="AW622" t="s">
        <v>167</v>
      </c>
      <c r="AX622" t="s">
        <v>577</v>
      </c>
      <c r="AY622" t="s">
        <v>2052</v>
      </c>
      <c r="AZ622" t="s">
        <v>2053</v>
      </c>
      <c r="BA622" t="s">
        <v>570</v>
      </c>
      <c r="BB622" t="str">
        <f t="shared" si="9"/>
        <v>CIHPbeGwerWest</v>
      </c>
    </row>
    <row r="623" spans="48:54" x14ac:dyDescent="0.25">
      <c r="AV623" t="s">
        <v>822</v>
      </c>
      <c r="AW623" t="s">
        <v>167</v>
      </c>
      <c r="AX623" t="s">
        <v>577</v>
      </c>
      <c r="AY623" t="s">
        <v>2054</v>
      </c>
      <c r="AZ623" t="s">
        <v>2055</v>
      </c>
      <c r="BA623" t="s">
        <v>570</v>
      </c>
      <c r="BB623" t="str">
        <f t="shared" si="9"/>
        <v>CIHPbeGwerWest</v>
      </c>
    </row>
    <row r="624" spans="48:54" x14ac:dyDescent="0.25">
      <c r="AV624" t="s">
        <v>822</v>
      </c>
      <c r="AW624" t="s">
        <v>167</v>
      </c>
      <c r="AX624" t="s">
        <v>577</v>
      </c>
      <c r="AY624" t="s">
        <v>2056</v>
      </c>
      <c r="AZ624" t="s">
        <v>2057</v>
      </c>
      <c r="BA624" t="s">
        <v>570</v>
      </c>
      <c r="BB624" t="str">
        <f t="shared" si="9"/>
        <v>CIHPbeGwerWest</v>
      </c>
    </row>
    <row r="625" spans="48:54" x14ac:dyDescent="0.25">
      <c r="AV625" t="s">
        <v>822</v>
      </c>
      <c r="AW625" t="s">
        <v>167</v>
      </c>
      <c r="AX625" t="s">
        <v>577</v>
      </c>
      <c r="AY625" t="s">
        <v>2058</v>
      </c>
      <c r="AZ625" t="s">
        <v>2059</v>
      </c>
      <c r="BA625" t="s">
        <v>570</v>
      </c>
      <c r="BB625" t="str">
        <f t="shared" si="9"/>
        <v>CIHPbeGwerWest</v>
      </c>
    </row>
    <row r="626" spans="48:54" x14ac:dyDescent="0.25">
      <c r="AV626" t="s">
        <v>822</v>
      </c>
      <c r="AW626" t="s">
        <v>167</v>
      </c>
      <c r="AX626" t="s">
        <v>577</v>
      </c>
      <c r="AY626" t="s">
        <v>2060</v>
      </c>
      <c r="AZ626" t="s">
        <v>2061</v>
      </c>
      <c r="BA626" t="s">
        <v>570</v>
      </c>
      <c r="BB626" t="str">
        <f t="shared" si="9"/>
        <v>CIHPbeGwerWest</v>
      </c>
    </row>
    <row r="627" spans="48:54" x14ac:dyDescent="0.25">
      <c r="AV627" t="s">
        <v>822</v>
      </c>
      <c r="AW627" t="s">
        <v>167</v>
      </c>
      <c r="AX627" t="s">
        <v>577</v>
      </c>
      <c r="AY627" t="s">
        <v>2062</v>
      </c>
      <c r="AZ627" t="s">
        <v>2063</v>
      </c>
      <c r="BA627" t="s">
        <v>570</v>
      </c>
      <c r="BB627" t="str">
        <f t="shared" si="9"/>
        <v>CIHPbeGwerWest</v>
      </c>
    </row>
    <row r="628" spans="48:54" x14ac:dyDescent="0.25">
      <c r="AV628" t="s">
        <v>822</v>
      </c>
      <c r="AW628" t="s">
        <v>167</v>
      </c>
      <c r="AX628" t="s">
        <v>577</v>
      </c>
      <c r="AY628" t="s">
        <v>2064</v>
      </c>
      <c r="AZ628" t="s">
        <v>2065</v>
      </c>
      <c r="BA628" t="s">
        <v>570</v>
      </c>
      <c r="BB628" t="str">
        <f t="shared" si="9"/>
        <v>CIHPbeGwerWest</v>
      </c>
    </row>
    <row r="629" spans="48:54" x14ac:dyDescent="0.25">
      <c r="AV629" t="s">
        <v>822</v>
      </c>
      <c r="AW629" t="s">
        <v>167</v>
      </c>
      <c r="AX629" t="s">
        <v>577</v>
      </c>
      <c r="AY629" t="s">
        <v>2066</v>
      </c>
      <c r="AZ629" t="s">
        <v>2067</v>
      </c>
      <c r="BA629" t="s">
        <v>570</v>
      </c>
      <c r="BB629" t="str">
        <f t="shared" si="9"/>
        <v>CIHPbeGwerWest</v>
      </c>
    </row>
    <row r="630" spans="48:54" x14ac:dyDescent="0.25">
      <c r="AV630" t="s">
        <v>822</v>
      </c>
      <c r="AW630" t="s">
        <v>167</v>
      </c>
      <c r="AX630" t="s">
        <v>577</v>
      </c>
      <c r="AY630" t="s">
        <v>2068</v>
      </c>
      <c r="AZ630" t="s">
        <v>2069</v>
      </c>
      <c r="BA630" t="s">
        <v>570</v>
      </c>
      <c r="BB630" t="str">
        <f t="shared" si="9"/>
        <v>CIHPbeGwerWest</v>
      </c>
    </row>
    <row r="631" spans="48:54" x14ac:dyDescent="0.25">
      <c r="AV631" t="s">
        <v>822</v>
      </c>
      <c r="AW631" t="s">
        <v>167</v>
      </c>
      <c r="AX631" t="s">
        <v>580</v>
      </c>
      <c r="AY631" t="s">
        <v>2070</v>
      </c>
      <c r="AZ631" t="s">
        <v>2071</v>
      </c>
      <c r="BA631" t="s">
        <v>570</v>
      </c>
      <c r="BB631" t="str">
        <f t="shared" si="9"/>
        <v>CIHPbeKwande</v>
      </c>
    </row>
    <row r="632" spans="48:54" x14ac:dyDescent="0.25">
      <c r="AV632" t="s">
        <v>822</v>
      </c>
      <c r="AW632" t="s">
        <v>167</v>
      </c>
      <c r="AX632" t="s">
        <v>580</v>
      </c>
      <c r="AY632" t="s">
        <v>2072</v>
      </c>
      <c r="AZ632" t="s">
        <v>2073</v>
      </c>
      <c r="BA632" t="s">
        <v>570</v>
      </c>
      <c r="BB632" t="str">
        <f t="shared" si="9"/>
        <v>CIHPbeKwande</v>
      </c>
    </row>
    <row r="633" spans="48:54" x14ac:dyDescent="0.25">
      <c r="AV633" t="s">
        <v>822</v>
      </c>
      <c r="AW633" t="s">
        <v>167</v>
      </c>
      <c r="AX633" t="s">
        <v>580</v>
      </c>
      <c r="AY633" t="s">
        <v>2074</v>
      </c>
      <c r="AZ633" t="s">
        <v>2075</v>
      </c>
      <c r="BA633" t="s">
        <v>570</v>
      </c>
      <c r="BB633" t="str">
        <f t="shared" si="9"/>
        <v>CIHPbeKwande</v>
      </c>
    </row>
    <row r="634" spans="48:54" x14ac:dyDescent="0.25">
      <c r="AV634" t="s">
        <v>822</v>
      </c>
      <c r="AW634" t="s">
        <v>167</v>
      </c>
      <c r="AX634" t="s">
        <v>580</v>
      </c>
      <c r="AY634" t="s">
        <v>2076</v>
      </c>
      <c r="AZ634" t="s">
        <v>2077</v>
      </c>
      <c r="BA634" t="s">
        <v>570</v>
      </c>
      <c r="BB634" t="str">
        <f t="shared" si="9"/>
        <v>CIHPbeKwande</v>
      </c>
    </row>
    <row r="635" spans="48:54" x14ac:dyDescent="0.25">
      <c r="AV635" t="s">
        <v>822</v>
      </c>
      <c r="AW635" t="s">
        <v>167</v>
      </c>
      <c r="AX635" t="s">
        <v>580</v>
      </c>
      <c r="AY635" t="s">
        <v>2078</v>
      </c>
      <c r="AZ635" t="s">
        <v>2079</v>
      </c>
      <c r="BA635" t="s">
        <v>570</v>
      </c>
      <c r="BB635" t="str">
        <f t="shared" si="9"/>
        <v>CIHPbeKwande</v>
      </c>
    </row>
    <row r="636" spans="48:54" x14ac:dyDescent="0.25">
      <c r="AV636" t="s">
        <v>822</v>
      </c>
      <c r="AW636" t="s">
        <v>167</v>
      </c>
      <c r="AX636" t="s">
        <v>580</v>
      </c>
      <c r="AY636" t="s">
        <v>2080</v>
      </c>
      <c r="AZ636" t="s">
        <v>2081</v>
      </c>
      <c r="BA636" t="s">
        <v>570</v>
      </c>
      <c r="BB636" t="str">
        <f t="shared" si="9"/>
        <v>CIHPbeKwande</v>
      </c>
    </row>
    <row r="637" spans="48:54" x14ac:dyDescent="0.25">
      <c r="AV637" t="s">
        <v>822</v>
      </c>
      <c r="AW637" t="s">
        <v>167</v>
      </c>
      <c r="AX637" t="s">
        <v>580</v>
      </c>
      <c r="AY637" t="s">
        <v>2082</v>
      </c>
      <c r="AZ637" t="s">
        <v>2083</v>
      </c>
      <c r="BA637" t="s">
        <v>570</v>
      </c>
      <c r="BB637" t="str">
        <f t="shared" si="9"/>
        <v>CIHPbeKwande</v>
      </c>
    </row>
    <row r="638" spans="48:54" x14ac:dyDescent="0.25">
      <c r="AV638" t="s">
        <v>822</v>
      </c>
      <c r="AW638" t="s">
        <v>167</v>
      </c>
      <c r="AX638" t="s">
        <v>580</v>
      </c>
      <c r="AY638" t="s">
        <v>2084</v>
      </c>
      <c r="AZ638" t="s">
        <v>2085</v>
      </c>
      <c r="BA638" t="s">
        <v>570</v>
      </c>
      <c r="BB638" t="str">
        <f t="shared" si="9"/>
        <v>CIHPbeKwande</v>
      </c>
    </row>
    <row r="639" spans="48:54" x14ac:dyDescent="0.25">
      <c r="AV639" t="s">
        <v>822</v>
      </c>
      <c r="AW639" t="s">
        <v>167</v>
      </c>
      <c r="AX639" t="s">
        <v>580</v>
      </c>
      <c r="AY639" t="s">
        <v>2086</v>
      </c>
      <c r="AZ639" t="s">
        <v>2087</v>
      </c>
      <c r="BA639" t="s">
        <v>570</v>
      </c>
      <c r="BB639" t="str">
        <f t="shared" si="9"/>
        <v>CIHPbeKwande</v>
      </c>
    </row>
    <row r="640" spans="48:54" x14ac:dyDescent="0.25">
      <c r="AV640" t="s">
        <v>822</v>
      </c>
      <c r="AW640" t="s">
        <v>167</v>
      </c>
      <c r="AX640" t="s">
        <v>580</v>
      </c>
      <c r="AY640" t="s">
        <v>2088</v>
      </c>
      <c r="AZ640" t="s">
        <v>2089</v>
      </c>
      <c r="BA640" t="s">
        <v>570</v>
      </c>
      <c r="BB640" t="str">
        <f t="shared" si="9"/>
        <v>CIHPbeKwande</v>
      </c>
    </row>
    <row r="641" spans="48:54" x14ac:dyDescent="0.25">
      <c r="AV641" t="s">
        <v>822</v>
      </c>
      <c r="AW641" t="s">
        <v>167</v>
      </c>
      <c r="AX641" t="s">
        <v>580</v>
      </c>
      <c r="AY641" t="s">
        <v>2090</v>
      </c>
      <c r="AZ641" t="s">
        <v>2091</v>
      </c>
      <c r="BA641" t="s">
        <v>570</v>
      </c>
      <c r="BB641" t="str">
        <f t="shared" si="9"/>
        <v>CIHPbeKwande</v>
      </c>
    </row>
    <row r="642" spans="48:54" x14ac:dyDescent="0.25">
      <c r="AV642" t="s">
        <v>822</v>
      </c>
      <c r="AW642" t="s">
        <v>167</v>
      </c>
      <c r="AX642" t="s">
        <v>580</v>
      </c>
      <c r="AY642" t="s">
        <v>2092</v>
      </c>
      <c r="AZ642" t="s">
        <v>2093</v>
      </c>
      <c r="BA642" t="s">
        <v>570</v>
      </c>
      <c r="BB642" t="str">
        <f t="shared" si="9"/>
        <v>CIHPbeKwande</v>
      </c>
    </row>
    <row r="643" spans="48:54" x14ac:dyDescent="0.25">
      <c r="AV643" t="s">
        <v>822</v>
      </c>
      <c r="AW643" t="s">
        <v>167</v>
      </c>
      <c r="AX643" t="s">
        <v>581</v>
      </c>
      <c r="AY643" t="s">
        <v>2094</v>
      </c>
      <c r="AZ643" t="s">
        <v>2095</v>
      </c>
      <c r="BA643" t="s">
        <v>570</v>
      </c>
      <c r="BB643" t="str">
        <f t="shared" ref="BB643:BB706" si="10">SUBSTITUTE(SUBSTITUTE(BA643&amp;AX643," ",""),"-","")</f>
        <v>CIHPbeLogo</v>
      </c>
    </row>
    <row r="644" spans="48:54" x14ac:dyDescent="0.25">
      <c r="AV644" t="s">
        <v>822</v>
      </c>
      <c r="AW644" t="s">
        <v>167</v>
      </c>
      <c r="AX644" t="s">
        <v>581</v>
      </c>
      <c r="AY644" t="s">
        <v>2096</v>
      </c>
      <c r="AZ644" t="s">
        <v>2097</v>
      </c>
      <c r="BA644" t="s">
        <v>570</v>
      </c>
      <c r="BB644" t="str">
        <f t="shared" si="10"/>
        <v>CIHPbeLogo</v>
      </c>
    </row>
    <row r="645" spans="48:54" x14ac:dyDescent="0.25">
      <c r="AV645" t="s">
        <v>822</v>
      </c>
      <c r="AW645" t="s">
        <v>167</v>
      </c>
      <c r="AX645" t="s">
        <v>581</v>
      </c>
      <c r="AY645" t="s">
        <v>2098</v>
      </c>
      <c r="AZ645" t="s">
        <v>2099</v>
      </c>
      <c r="BA645" t="s">
        <v>570</v>
      </c>
      <c r="BB645" t="str">
        <f t="shared" si="10"/>
        <v>CIHPbeLogo</v>
      </c>
    </row>
    <row r="646" spans="48:54" x14ac:dyDescent="0.25">
      <c r="AV646" t="s">
        <v>822</v>
      </c>
      <c r="AW646" t="s">
        <v>167</v>
      </c>
      <c r="AX646" t="s">
        <v>581</v>
      </c>
      <c r="AY646" t="s">
        <v>2100</v>
      </c>
      <c r="AZ646" t="s">
        <v>2101</v>
      </c>
      <c r="BA646" t="s">
        <v>570</v>
      </c>
      <c r="BB646" t="str">
        <f t="shared" si="10"/>
        <v>CIHPbeLogo</v>
      </c>
    </row>
    <row r="647" spans="48:54" x14ac:dyDescent="0.25">
      <c r="AV647" t="s">
        <v>822</v>
      </c>
      <c r="AW647" t="s">
        <v>167</v>
      </c>
      <c r="AX647" t="s">
        <v>581</v>
      </c>
      <c r="AY647" t="s">
        <v>2102</v>
      </c>
      <c r="AZ647" t="s">
        <v>2103</v>
      </c>
      <c r="BA647" t="s">
        <v>570</v>
      </c>
      <c r="BB647" t="str">
        <f t="shared" si="10"/>
        <v>CIHPbeLogo</v>
      </c>
    </row>
    <row r="648" spans="48:54" x14ac:dyDescent="0.25">
      <c r="AV648" t="s">
        <v>822</v>
      </c>
      <c r="AW648" t="s">
        <v>167</v>
      </c>
      <c r="AX648" t="s">
        <v>581</v>
      </c>
      <c r="AY648" t="s">
        <v>2104</v>
      </c>
      <c r="AZ648" t="s">
        <v>2105</v>
      </c>
      <c r="BA648" t="s">
        <v>570</v>
      </c>
      <c r="BB648" t="str">
        <f t="shared" si="10"/>
        <v>CIHPbeLogo</v>
      </c>
    </row>
    <row r="649" spans="48:54" x14ac:dyDescent="0.25">
      <c r="AV649" t="s">
        <v>822</v>
      </c>
      <c r="AW649" t="s">
        <v>167</v>
      </c>
      <c r="AX649" t="s">
        <v>581</v>
      </c>
      <c r="AY649" t="s">
        <v>2106</v>
      </c>
      <c r="AZ649" t="s">
        <v>2107</v>
      </c>
      <c r="BA649" t="s">
        <v>570</v>
      </c>
      <c r="BB649" t="str">
        <f t="shared" si="10"/>
        <v>CIHPbeLogo</v>
      </c>
    </row>
    <row r="650" spans="48:54" x14ac:dyDescent="0.25">
      <c r="AV650" t="s">
        <v>822</v>
      </c>
      <c r="AW650" t="s">
        <v>167</v>
      </c>
      <c r="AX650" t="s">
        <v>581</v>
      </c>
      <c r="AY650" t="s">
        <v>2108</v>
      </c>
      <c r="AZ650" t="s">
        <v>2109</v>
      </c>
      <c r="BA650" t="s">
        <v>570</v>
      </c>
      <c r="BB650" t="str">
        <f t="shared" si="10"/>
        <v>CIHPbeLogo</v>
      </c>
    </row>
    <row r="651" spans="48:54" x14ac:dyDescent="0.25">
      <c r="AV651" t="s">
        <v>822</v>
      </c>
      <c r="AW651" t="s">
        <v>167</v>
      </c>
      <c r="AX651" t="s">
        <v>581</v>
      </c>
      <c r="AY651" t="s">
        <v>2110</v>
      </c>
      <c r="AZ651" t="s">
        <v>2111</v>
      </c>
      <c r="BA651" t="s">
        <v>570</v>
      </c>
      <c r="BB651" t="str">
        <f t="shared" si="10"/>
        <v>CIHPbeLogo</v>
      </c>
    </row>
    <row r="652" spans="48:54" x14ac:dyDescent="0.25">
      <c r="AV652" t="s">
        <v>822</v>
      </c>
      <c r="AW652" t="s">
        <v>167</v>
      </c>
      <c r="AX652" t="s">
        <v>581</v>
      </c>
      <c r="AY652" t="s">
        <v>2112</v>
      </c>
      <c r="AZ652" t="s">
        <v>2113</v>
      </c>
      <c r="BA652" t="s">
        <v>570</v>
      </c>
      <c r="BB652" t="str">
        <f t="shared" si="10"/>
        <v>CIHPbeLogo</v>
      </c>
    </row>
    <row r="653" spans="48:54" x14ac:dyDescent="0.25">
      <c r="AV653" t="s">
        <v>822</v>
      </c>
      <c r="AW653" t="s">
        <v>167</v>
      </c>
      <c r="AX653" t="s">
        <v>581</v>
      </c>
      <c r="AY653" t="s">
        <v>2114</v>
      </c>
      <c r="AZ653" t="s">
        <v>2115</v>
      </c>
      <c r="BA653" t="s">
        <v>570</v>
      </c>
      <c r="BB653" t="str">
        <f t="shared" si="10"/>
        <v>CIHPbeLogo</v>
      </c>
    </row>
    <row r="654" spans="48:54" x14ac:dyDescent="0.25">
      <c r="AV654" t="s">
        <v>822</v>
      </c>
      <c r="AW654" t="s">
        <v>167</v>
      </c>
      <c r="AX654" t="s">
        <v>581</v>
      </c>
      <c r="AY654" t="s">
        <v>2116</v>
      </c>
      <c r="AZ654" t="s">
        <v>2117</v>
      </c>
      <c r="BA654" t="s">
        <v>570</v>
      </c>
      <c r="BB654" t="str">
        <f t="shared" si="10"/>
        <v>CIHPbeLogo</v>
      </c>
    </row>
    <row r="655" spans="48:54" x14ac:dyDescent="0.25">
      <c r="AV655" t="s">
        <v>822</v>
      </c>
      <c r="AW655" t="s">
        <v>167</v>
      </c>
      <c r="AX655" t="s">
        <v>581</v>
      </c>
      <c r="AY655" t="s">
        <v>2118</v>
      </c>
      <c r="AZ655" t="s">
        <v>2119</v>
      </c>
      <c r="BA655" t="s">
        <v>570</v>
      </c>
      <c r="BB655" t="str">
        <f t="shared" si="10"/>
        <v>CIHPbeLogo</v>
      </c>
    </row>
    <row r="656" spans="48:54" x14ac:dyDescent="0.25">
      <c r="AV656" t="s">
        <v>822</v>
      </c>
      <c r="AW656" t="s">
        <v>167</v>
      </c>
      <c r="AX656" t="s">
        <v>581</v>
      </c>
      <c r="AY656" t="s">
        <v>2120</v>
      </c>
      <c r="AZ656" t="s">
        <v>2121</v>
      </c>
      <c r="BA656" t="s">
        <v>570</v>
      </c>
      <c r="BB656" t="str">
        <f t="shared" si="10"/>
        <v>CIHPbeLogo</v>
      </c>
    </row>
    <row r="657" spans="48:54" x14ac:dyDescent="0.25">
      <c r="AV657" t="s">
        <v>822</v>
      </c>
      <c r="AW657" t="s">
        <v>167</v>
      </c>
      <c r="AX657" t="s">
        <v>581</v>
      </c>
      <c r="AY657" t="s">
        <v>2122</v>
      </c>
      <c r="AZ657" t="s">
        <v>2123</v>
      </c>
      <c r="BA657" t="s">
        <v>570</v>
      </c>
      <c r="BB657" t="str">
        <f t="shared" si="10"/>
        <v>CIHPbeLogo</v>
      </c>
    </row>
    <row r="658" spans="48:54" x14ac:dyDescent="0.25">
      <c r="AV658" t="s">
        <v>822</v>
      </c>
      <c r="AW658" t="s">
        <v>167</v>
      </c>
      <c r="AX658" t="s">
        <v>581</v>
      </c>
      <c r="AY658" t="s">
        <v>2124</v>
      </c>
      <c r="AZ658" t="s">
        <v>2125</v>
      </c>
      <c r="BA658" t="s">
        <v>570</v>
      </c>
      <c r="BB658" t="str">
        <f t="shared" si="10"/>
        <v>CIHPbeLogo</v>
      </c>
    </row>
    <row r="659" spans="48:54" x14ac:dyDescent="0.25">
      <c r="AV659" t="s">
        <v>822</v>
      </c>
      <c r="AW659" t="s">
        <v>167</v>
      </c>
      <c r="AX659" t="s">
        <v>581</v>
      </c>
      <c r="AY659" t="s">
        <v>2126</v>
      </c>
      <c r="AZ659" t="s">
        <v>2127</v>
      </c>
      <c r="BA659" t="s">
        <v>570</v>
      </c>
      <c r="BB659" t="str">
        <f t="shared" si="10"/>
        <v>CIHPbeLogo</v>
      </c>
    </row>
    <row r="660" spans="48:54" x14ac:dyDescent="0.25">
      <c r="AV660" t="s">
        <v>822</v>
      </c>
      <c r="AW660" t="s">
        <v>167</v>
      </c>
      <c r="AX660" t="s">
        <v>581</v>
      </c>
      <c r="AY660" t="s">
        <v>2128</v>
      </c>
      <c r="AZ660" t="s">
        <v>2129</v>
      </c>
      <c r="BA660" t="s">
        <v>570</v>
      </c>
      <c r="BB660" t="str">
        <f t="shared" si="10"/>
        <v>CIHPbeLogo</v>
      </c>
    </row>
    <row r="661" spans="48:54" x14ac:dyDescent="0.25">
      <c r="AV661" t="s">
        <v>822</v>
      </c>
      <c r="AW661" t="s">
        <v>167</v>
      </c>
      <c r="AX661" t="s">
        <v>581</v>
      </c>
      <c r="AY661" t="s">
        <v>2130</v>
      </c>
      <c r="AZ661" t="s">
        <v>2131</v>
      </c>
      <c r="BA661" t="s">
        <v>570</v>
      </c>
      <c r="BB661" t="str">
        <f t="shared" si="10"/>
        <v>CIHPbeLogo</v>
      </c>
    </row>
    <row r="662" spans="48:54" x14ac:dyDescent="0.25">
      <c r="AV662" t="s">
        <v>822</v>
      </c>
      <c r="AW662" t="s">
        <v>167</v>
      </c>
      <c r="AX662" t="s">
        <v>581</v>
      </c>
      <c r="AY662" t="s">
        <v>2132</v>
      </c>
      <c r="AZ662" t="s">
        <v>2133</v>
      </c>
      <c r="BA662" t="s">
        <v>570</v>
      </c>
      <c r="BB662" t="str">
        <f t="shared" si="10"/>
        <v>CIHPbeLogo</v>
      </c>
    </row>
    <row r="663" spans="48:54" x14ac:dyDescent="0.25">
      <c r="AV663" t="s">
        <v>822</v>
      </c>
      <c r="AW663" t="s">
        <v>167</v>
      </c>
      <c r="AX663" t="s">
        <v>581</v>
      </c>
      <c r="AY663" t="s">
        <v>2134</v>
      </c>
      <c r="AZ663" t="s">
        <v>2135</v>
      </c>
      <c r="BA663" t="s">
        <v>570</v>
      </c>
      <c r="BB663" t="str">
        <f t="shared" si="10"/>
        <v>CIHPbeLogo</v>
      </c>
    </row>
    <row r="664" spans="48:54" x14ac:dyDescent="0.25">
      <c r="AV664" t="s">
        <v>822</v>
      </c>
      <c r="AW664" t="s">
        <v>167</v>
      </c>
      <c r="AX664" t="s">
        <v>581</v>
      </c>
      <c r="AY664" t="s">
        <v>2136</v>
      </c>
      <c r="AZ664" t="s">
        <v>2137</v>
      </c>
      <c r="BA664" t="s">
        <v>570</v>
      </c>
      <c r="BB664" t="str">
        <f t="shared" si="10"/>
        <v>CIHPbeLogo</v>
      </c>
    </row>
    <row r="665" spans="48:54" x14ac:dyDescent="0.25">
      <c r="AV665" t="s">
        <v>822</v>
      </c>
      <c r="AW665" t="s">
        <v>167</v>
      </c>
      <c r="AX665" t="s">
        <v>581</v>
      </c>
      <c r="AY665" t="s">
        <v>2138</v>
      </c>
      <c r="AZ665" t="s">
        <v>2139</v>
      </c>
      <c r="BA665" t="s">
        <v>570</v>
      </c>
      <c r="BB665" t="str">
        <f t="shared" si="10"/>
        <v>CIHPbeLogo</v>
      </c>
    </row>
    <row r="666" spans="48:54" x14ac:dyDescent="0.25">
      <c r="AV666" t="s">
        <v>822</v>
      </c>
      <c r="AW666" t="s">
        <v>167</v>
      </c>
      <c r="AX666" t="s">
        <v>581</v>
      </c>
      <c r="AY666" t="s">
        <v>2140</v>
      </c>
      <c r="AZ666" t="s">
        <v>2141</v>
      </c>
      <c r="BA666" t="s">
        <v>570</v>
      </c>
      <c r="BB666" t="str">
        <f t="shared" si="10"/>
        <v>CIHPbeLogo</v>
      </c>
    </row>
    <row r="667" spans="48:54" x14ac:dyDescent="0.25">
      <c r="AV667" t="s">
        <v>822</v>
      </c>
      <c r="AW667" t="s">
        <v>167</v>
      </c>
      <c r="AX667" t="s">
        <v>581</v>
      </c>
      <c r="AY667" t="s">
        <v>2142</v>
      </c>
      <c r="AZ667" t="s">
        <v>2143</v>
      </c>
      <c r="BA667" t="s">
        <v>570</v>
      </c>
      <c r="BB667" t="str">
        <f t="shared" si="10"/>
        <v>CIHPbeLogo</v>
      </c>
    </row>
    <row r="668" spans="48:54" x14ac:dyDescent="0.25">
      <c r="AV668" t="s">
        <v>822</v>
      </c>
      <c r="AW668" t="s">
        <v>167</v>
      </c>
      <c r="AX668" t="s">
        <v>581</v>
      </c>
      <c r="AY668" t="s">
        <v>2144</v>
      </c>
      <c r="AZ668" t="s">
        <v>2145</v>
      </c>
      <c r="BA668" t="s">
        <v>570</v>
      </c>
      <c r="BB668" t="str">
        <f t="shared" si="10"/>
        <v>CIHPbeLogo</v>
      </c>
    </row>
    <row r="669" spans="48:54" x14ac:dyDescent="0.25">
      <c r="AV669" t="s">
        <v>822</v>
      </c>
      <c r="AW669" t="s">
        <v>167</v>
      </c>
      <c r="AX669" t="s">
        <v>581</v>
      </c>
      <c r="AY669" t="s">
        <v>2146</v>
      </c>
      <c r="AZ669" t="s">
        <v>2147</v>
      </c>
      <c r="BA669" t="s">
        <v>570</v>
      </c>
      <c r="BB669" t="str">
        <f t="shared" si="10"/>
        <v>CIHPbeLogo</v>
      </c>
    </row>
    <row r="670" spans="48:54" x14ac:dyDescent="0.25">
      <c r="AV670" t="s">
        <v>822</v>
      </c>
      <c r="AW670" t="s">
        <v>167</v>
      </c>
      <c r="AX670" t="s">
        <v>581</v>
      </c>
      <c r="AY670" t="s">
        <v>2148</v>
      </c>
      <c r="AZ670" t="s">
        <v>2149</v>
      </c>
      <c r="BA670" t="s">
        <v>570</v>
      </c>
      <c r="BB670" t="str">
        <f t="shared" si="10"/>
        <v>CIHPbeLogo</v>
      </c>
    </row>
    <row r="671" spans="48:54" x14ac:dyDescent="0.25">
      <c r="AV671" t="s">
        <v>822</v>
      </c>
      <c r="AW671" t="s">
        <v>167</v>
      </c>
      <c r="AX671" t="s">
        <v>581</v>
      </c>
      <c r="AY671" t="s">
        <v>2150</v>
      </c>
      <c r="AZ671" t="s">
        <v>2151</v>
      </c>
      <c r="BA671" t="s">
        <v>570</v>
      </c>
      <c r="BB671" t="str">
        <f t="shared" si="10"/>
        <v>CIHPbeLogo</v>
      </c>
    </row>
    <row r="672" spans="48:54" x14ac:dyDescent="0.25">
      <c r="AV672" t="s">
        <v>822</v>
      </c>
      <c r="AW672" t="s">
        <v>167</v>
      </c>
      <c r="AX672" t="s">
        <v>581</v>
      </c>
      <c r="AY672" t="s">
        <v>2152</v>
      </c>
      <c r="AZ672" t="s">
        <v>2153</v>
      </c>
      <c r="BA672" t="s">
        <v>570</v>
      </c>
      <c r="BB672" t="str">
        <f t="shared" si="10"/>
        <v>CIHPbeLogo</v>
      </c>
    </row>
    <row r="673" spans="48:54" x14ac:dyDescent="0.25">
      <c r="AV673" t="s">
        <v>822</v>
      </c>
      <c r="AW673" t="s">
        <v>167</v>
      </c>
      <c r="AX673" t="s">
        <v>581</v>
      </c>
      <c r="AY673" t="s">
        <v>2154</v>
      </c>
      <c r="AZ673" t="s">
        <v>2155</v>
      </c>
      <c r="BA673" t="s">
        <v>570</v>
      </c>
      <c r="BB673" t="str">
        <f t="shared" si="10"/>
        <v>CIHPbeLogo</v>
      </c>
    </row>
    <row r="674" spans="48:54" x14ac:dyDescent="0.25">
      <c r="AV674" t="s">
        <v>822</v>
      </c>
      <c r="AW674" t="s">
        <v>167</v>
      </c>
      <c r="AX674" t="s">
        <v>581</v>
      </c>
      <c r="AY674" t="s">
        <v>2156</v>
      </c>
      <c r="AZ674" t="s">
        <v>2157</v>
      </c>
      <c r="BA674" t="s">
        <v>570</v>
      </c>
      <c r="BB674" t="str">
        <f t="shared" si="10"/>
        <v>CIHPbeLogo</v>
      </c>
    </row>
    <row r="675" spans="48:54" x14ac:dyDescent="0.25">
      <c r="AV675" t="s">
        <v>822</v>
      </c>
      <c r="AW675" t="s">
        <v>167</v>
      </c>
      <c r="AX675" t="s">
        <v>581</v>
      </c>
      <c r="AY675" t="s">
        <v>2158</v>
      </c>
      <c r="AZ675" t="s">
        <v>2159</v>
      </c>
      <c r="BA675" t="s">
        <v>570</v>
      </c>
      <c r="BB675" t="str">
        <f t="shared" si="10"/>
        <v>CIHPbeLogo</v>
      </c>
    </row>
    <row r="676" spans="48:54" x14ac:dyDescent="0.25">
      <c r="AV676" t="s">
        <v>822</v>
      </c>
      <c r="AW676" t="s">
        <v>167</v>
      </c>
      <c r="AX676" t="s">
        <v>582</v>
      </c>
      <c r="AY676" t="s">
        <v>2160</v>
      </c>
      <c r="AZ676" t="s">
        <v>2161</v>
      </c>
      <c r="BA676" t="s">
        <v>570</v>
      </c>
      <c r="BB676" t="str">
        <f t="shared" si="10"/>
        <v>CIHPbeMakurdi</v>
      </c>
    </row>
    <row r="677" spans="48:54" x14ac:dyDescent="0.25">
      <c r="AV677" t="s">
        <v>822</v>
      </c>
      <c r="AW677" t="s">
        <v>167</v>
      </c>
      <c r="AX677" t="s">
        <v>582</v>
      </c>
      <c r="AY677" t="s">
        <v>2162</v>
      </c>
      <c r="AZ677" t="s">
        <v>2163</v>
      </c>
      <c r="BA677" t="s">
        <v>570</v>
      </c>
      <c r="BB677" t="str">
        <f t="shared" si="10"/>
        <v>CIHPbeMakurdi</v>
      </c>
    </row>
    <row r="678" spans="48:54" x14ac:dyDescent="0.25">
      <c r="AV678" t="s">
        <v>822</v>
      </c>
      <c r="AW678" t="s">
        <v>167</v>
      </c>
      <c r="AX678" t="s">
        <v>582</v>
      </c>
      <c r="AY678" t="s">
        <v>2164</v>
      </c>
      <c r="AZ678" t="s">
        <v>2165</v>
      </c>
      <c r="BA678" t="s">
        <v>570</v>
      </c>
      <c r="BB678" t="str">
        <f t="shared" si="10"/>
        <v>CIHPbeMakurdi</v>
      </c>
    </row>
    <row r="679" spans="48:54" x14ac:dyDescent="0.25">
      <c r="AV679" t="s">
        <v>822</v>
      </c>
      <c r="AW679" t="s">
        <v>167</v>
      </c>
      <c r="AX679" t="s">
        <v>582</v>
      </c>
      <c r="AY679" t="s">
        <v>2166</v>
      </c>
      <c r="AZ679" t="s">
        <v>2167</v>
      </c>
      <c r="BA679" t="s">
        <v>570</v>
      </c>
      <c r="BB679" t="str">
        <f t="shared" si="10"/>
        <v>CIHPbeMakurdi</v>
      </c>
    </row>
    <row r="680" spans="48:54" x14ac:dyDescent="0.25">
      <c r="AV680" t="s">
        <v>822</v>
      </c>
      <c r="AW680" t="s">
        <v>167</v>
      </c>
      <c r="AX680" t="s">
        <v>582</v>
      </c>
      <c r="AY680" t="s">
        <v>2168</v>
      </c>
      <c r="AZ680" t="s">
        <v>2169</v>
      </c>
      <c r="BA680" t="s">
        <v>570</v>
      </c>
      <c r="BB680" t="str">
        <f t="shared" si="10"/>
        <v>CIHPbeMakurdi</v>
      </c>
    </row>
    <row r="681" spans="48:54" x14ac:dyDescent="0.25">
      <c r="AV681" t="s">
        <v>822</v>
      </c>
      <c r="AW681" t="s">
        <v>167</v>
      </c>
      <c r="AX681" t="s">
        <v>582</v>
      </c>
      <c r="AY681" t="s">
        <v>2170</v>
      </c>
      <c r="AZ681" t="s">
        <v>2171</v>
      </c>
      <c r="BA681" t="s">
        <v>570</v>
      </c>
      <c r="BB681" t="str">
        <f t="shared" si="10"/>
        <v>CIHPbeMakurdi</v>
      </c>
    </row>
    <row r="682" spans="48:54" x14ac:dyDescent="0.25">
      <c r="AV682" t="s">
        <v>822</v>
      </c>
      <c r="AW682" t="s">
        <v>167</v>
      </c>
      <c r="AX682" t="s">
        <v>591</v>
      </c>
      <c r="AY682" t="s">
        <v>2172</v>
      </c>
      <c r="AZ682" t="s">
        <v>2173</v>
      </c>
      <c r="BA682" t="s">
        <v>570</v>
      </c>
      <c r="BB682" t="str">
        <f t="shared" si="10"/>
        <v>CIHPbeObi</v>
      </c>
    </row>
    <row r="683" spans="48:54" x14ac:dyDescent="0.25">
      <c r="AV683" t="s">
        <v>822</v>
      </c>
      <c r="AW683" t="s">
        <v>167</v>
      </c>
      <c r="AX683" t="s">
        <v>591</v>
      </c>
      <c r="AY683" t="s">
        <v>2174</v>
      </c>
      <c r="AZ683" t="s">
        <v>2175</v>
      </c>
      <c r="BA683" t="s">
        <v>570</v>
      </c>
      <c r="BB683" t="str">
        <f t="shared" si="10"/>
        <v>CIHPbeObi</v>
      </c>
    </row>
    <row r="684" spans="48:54" x14ac:dyDescent="0.25">
      <c r="AV684" t="s">
        <v>822</v>
      </c>
      <c r="AW684" t="s">
        <v>167</v>
      </c>
      <c r="AX684" t="s">
        <v>591</v>
      </c>
      <c r="AY684" t="s">
        <v>2176</v>
      </c>
      <c r="AZ684" t="s">
        <v>2177</v>
      </c>
      <c r="BA684" t="s">
        <v>570</v>
      </c>
      <c r="BB684" t="str">
        <f t="shared" si="10"/>
        <v>CIHPbeObi</v>
      </c>
    </row>
    <row r="685" spans="48:54" x14ac:dyDescent="0.25">
      <c r="AV685" t="s">
        <v>822</v>
      </c>
      <c r="AW685" t="s">
        <v>167</v>
      </c>
      <c r="AX685" t="s">
        <v>591</v>
      </c>
      <c r="AY685" t="s">
        <v>2178</v>
      </c>
      <c r="AZ685" t="s">
        <v>2179</v>
      </c>
      <c r="BA685" t="s">
        <v>570</v>
      </c>
      <c r="BB685" t="str">
        <f t="shared" si="10"/>
        <v>CIHPbeObi</v>
      </c>
    </row>
    <row r="686" spans="48:54" x14ac:dyDescent="0.25">
      <c r="AV686" t="s">
        <v>822</v>
      </c>
      <c r="AW686" t="s">
        <v>167</v>
      </c>
      <c r="AX686" t="s">
        <v>591</v>
      </c>
      <c r="AY686" t="s">
        <v>2180</v>
      </c>
      <c r="AZ686" t="s">
        <v>2181</v>
      </c>
      <c r="BA686" t="s">
        <v>570</v>
      </c>
      <c r="BB686" t="str">
        <f t="shared" si="10"/>
        <v>CIHPbeObi</v>
      </c>
    </row>
    <row r="687" spans="48:54" x14ac:dyDescent="0.25">
      <c r="AV687" t="s">
        <v>822</v>
      </c>
      <c r="AW687" t="s">
        <v>167</v>
      </c>
      <c r="AX687" t="s">
        <v>592</v>
      </c>
      <c r="AY687" t="s">
        <v>2182</v>
      </c>
      <c r="AZ687" t="s">
        <v>2183</v>
      </c>
      <c r="BA687" t="s">
        <v>570</v>
      </c>
      <c r="BB687" t="str">
        <f t="shared" si="10"/>
        <v>CIHPbeOgbadibo</v>
      </c>
    </row>
    <row r="688" spans="48:54" x14ac:dyDescent="0.25">
      <c r="AV688" t="s">
        <v>822</v>
      </c>
      <c r="AW688" t="s">
        <v>167</v>
      </c>
      <c r="AX688" t="s">
        <v>593</v>
      </c>
      <c r="AY688" t="s">
        <v>2184</v>
      </c>
      <c r="AZ688" t="s">
        <v>2185</v>
      </c>
      <c r="BA688" t="s">
        <v>570</v>
      </c>
      <c r="BB688" t="str">
        <f t="shared" si="10"/>
        <v>CIHPbeOhimini</v>
      </c>
    </row>
    <row r="689" spans="48:54" x14ac:dyDescent="0.25">
      <c r="AV689" t="s">
        <v>822</v>
      </c>
      <c r="AW689" t="s">
        <v>167</v>
      </c>
      <c r="AX689" t="s">
        <v>593</v>
      </c>
      <c r="AY689" t="s">
        <v>2186</v>
      </c>
      <c r="AZ689" t="s">
        <v>2187</v>
      </c>
      <c r="BA689" t="s">
        <v>570</v>
      </c>
      <c r="BB689" t="str">
        <f t="shared" si="10"/>
        <v>CIHPbeOhimini</v>
      </c>
    </row>
    <row r="690" spans="48:54" x14ac:dyDescent="0.25">
      <c r="AV690" t="s">
        <v>822</v>
      </c>
      <c r="AW690" t="s">
        <v>167</v>
      </c>
      <c r="AX690" t="s">
        <v>583</v>
      </c>
      <c r="AY690" t="s">
        <v>2188</v>
      </c>
      <c r="AZ690" t="s">
        <v>2189</v>
      </c>
      <c r="BA690" t="s">
        <v>570</v>
      </c>
      <c r="BB690" t="str">
        <f t="shared" si="10"/>
        <v>CIHPbeOkpokwu</v>
      </c>
    </row>
    <row r="691" spans="48:54" x14ac:dyDescent="0.25">
      <c r="AV691" t="s">
        <v>822</v>
      </c>
      <c r="AW691" t="s">
        <v>167</v>
      </c>
      <c r="AX691" t="s">
        <v>583</v>
      </c>
      <c r="AY691" t="s">
        <v>2190</v>
      </c>
      <c r="AZ691" t="s">
        <v>2191</v>
      </c>
      <c r="BA691" t="s">
        <v>570</v>
      </c>
      <c r="BB691" t="str">
        <f t="shared" si="10"/>
        <v>CIHPbeOkpokwu</v>
      </c>
    </row>
    <row r="692" spans="48:54" x14ac:dyDescent="0.25">
      <c r="AV692" t="s">
        <v>822</v>
      </c>
      <c r="AW692" t="s">
        <v>167</v>
      </c>
      <c r="AX692" t="s">
        <v>584</v>
      </c>
      <c r="AY692" t="s">
        <v>2192</v>
      </c>
      <c r="AZ692" t="s">
        <v>2193</v>
      </c>
      <c r="BA692" t="s">
        <v>570</v>
      </c>
      <c r="BB692" t="str">
        <f t="shared" si="10"/>
        <v>CIHPbeOtukpo</v>
      </c>
    </row>
    <row r="693" spans="48:54" x14ac:dyDescent="0.25">
      <c r="AV693" t="s">
        <v>822</v>
      </c>
      <c r="AW693" t="s">
        <v>167</v>
      </c>
      <c r="AX693" t="s">
        <v>584</v>
      </c>
      <c r="AY693" t="s">
        <v>2194</v>
      </c>
      <c r="AZ693" t="s">
        <v>2195</v>
      </c>
      <c r="BA693" t="s">
        <v>570</v>
      </c>
      <c r="BB693" t="str">
        <f t="shared" si="10"/>
        <v>CIHPbeOtukpo</v>
      </c>
    </row>
    <row r="694" spans="48:54" x14ac:dyDescent="0.25">
      <c r="AV694" t="s">
        <v>822</v>
      </c>
      <c r="AW694" t="s">
        <v>167</v>
      </c>
      <c r="AX694" t="s">
        <v>584</v>
      </c>
      <c r="AY694" t="s">
        <v>2196</v>
      </c>
      <c r="AZ694" t="s">
        <v>2197</v>
      </c>
      <c r="BA694" t="s">
        <v>570</v>
      </c>
      <c r="BB694" t="str">
        <f t="shared" si="10"/>
        <v>CIHPbeOtukpo</v>
      </c>
    </row>
    <row r="695" spans="48:54" x14ac:dyDescent="0.25">
      <c r="AV695" t="s">
        <v>822</v>
      </c>
      <c r="AW695" t="s">
        <v>167</v>
      </c>
      <c r="AX695" t="s">
        <v>584</v>
      </c>
      <c r="AY695" t="s">
        <v>2198</v>
      </c>
      <c r="AZ695" t="s">
        <v>2199</v>
      </c>
      <c r="BA695" t="s">
        <v>570</v>
      </c>
      <c r="BB695" t="str">
        <f t="shared" si="10"/>
        <v>CIHPbeOtukpo</v>
      </c>
    </row>
    <row r="696" spans="48:54" x14ac:dyDescent="0.25">
      <c r="AV696" t="s">
        <v>822</v>
      </c>
      <c r="AW696" t="s">
        <v>167</v>
      </c>
      <c r="AX696" t="s">
        <v>584</v>
      </c>
      <c r="AY696" t="s">
        <v>2200</v>
      </c>
      <c r="AZ696" t="s">
        <v>2201</v>
      </c>
      <c r="BA696" t="s">
        <v>570</v>
      </c>
      <c r="BB696" t="str">
        <f t="shared" si="10"/>
        <v>CIHPbeOtukpo</v>
      </c>
    </row>
    <row r="697" spans="48:54" x14ac:dyDescent="0.25">
      <c r="AV697" t="s">
        <v>822</v>
      </c>
      <c r="AW697" t="s">
        <v>167</v>
      </c>
      <c r="AX697" t="s">
        <v>584</v>
      </c>
      <c r="AY697" t="s">
        <v>2202</v>
      </c>
      <c r="AZ697" t="s">
        <v>2203</v>
      </c>
      <c r="BA697" t="s">
        <v>570</v>
      </c>
      <c r="BB697" t="str">
        <f t="shared" si="10"/>
        <v>CIHPbeOtukpo</v>
      </c>
    </row>
    <row r="698" spans="48:54" x14ac:dyDescent="0.25">
      <c r="AV698" t="s">
        <v>822</v>
      </c>
      <c r="AW698" t="s">
        <v>167</v>
      </c>
      <c r="AX698" t="s">
        <v>584</v>
      </c>
      <c r="AY698" t="s">
        <v>2204</v>
      </c>
      <c r="AZ698" t="s">
        <v>2205</v>
      </c>
      <c r="BA698" t="s">
        <v>570</v>
      </c>
      <c r="BB698" t="str">
        <f t="shared" si="10"/>
        <v>CIHPbeOtukpo</v>
      </c>
    </row>
    <row r="699" spans="48:54" x14ac:dyDescent="0.25">
      <c r="AV699" t="s">
        <v>822</v>
      </c>
      <c r="AW699" t="s">
        <v>167</v>
      </c>
      <c r="AX699" t="s">
        <v>584</v>
      </c>
      <c r="AY699" t="s">
        <v>2206</v>
      </c>
      <c r="AZ699" t="s">
        <v>2207</v>
      </c>
      <c r="BA699" t="s">
        <v>570</v>
      </c>
      <c r="BB699" t="str">
        <f t="shared" si="10"/>
        <v>CIHPbeOtukpo</v>
      </c>
    </row>
    <row r="700" spans="48:54" x14ac:dyDescent="0.25">
      <c r="AV700" t="s">
        <v>822</v>
      </c>
      <c r="AW700" t="s">
        <v>167</v>
      </c>
      <c r="AX700" t="s">
        <v>585</v>
      </c>
      <c r="AY700" t="s">
        <v>2208</v>
      </c>
      <c r="AZ700" t="s">
        <v>2209</v>
      </c>
      <c r="BA700" t="s">
        <v>570</v>
      </c>
      <c r="BB700" t="str">
        <f t="shared" si="10"/>
        <v>CIHPbeTarka</v>
      </c>
    </row>
    <row r="701" spans="48:54" x14ac:dyDescent="0.25">
      <c r="AV701" t="s">
        <v>822</v>
      </c>
      <c r="AW701" t="s">
        <v>167</v>
      </c>
      <c r="AX701" t="s">
        <v>585</v>
      </c>
      <c r="AY701" t="s">
        <v>2210</v>
      </c>
      <c r="AZ701" t="s">
        <v>2211</v>
      </c>
      <c r="BA701" t="s">
        <v>570</v>
      </c>
      <c r="BB701" t="str">
        <f t="shared" si="10"/>
        <v>CIHPbeTarka</v>
      </c>
    </row>
    <row r="702" spans="48:54" x14ac:dyDescent="0.25">
      <c r="AV702" t="s">
        <v>822</v>
      </c>
      <c r="AW702" t="s">
        <v>167</v>
      </c>
      <c r="AX702" t="s">
        <v>585</v>
      </c>
      <c r="AY702" t="s">
        <v>2212</v>
      </c>
      <c r="AZ702" t="s">
        <v>2213</v>
      </c>
      <c r="BA702" t="s">
        <v>570</v>
      </c>
      <c r="BB702" t="str">
        <f t="shared" si="10"/>
        <v>CIHPbeTarka</v>
      </c>
    </row>
    <row r="703" spans="48:54" x14ac:dyDescent="0.25">
      <c r="AV703" t="s">
        <v>822</v>
      </c>
      <c r="AW703" t="s">
        <v>167</v>
      </c>
      <c r="AX703" t="s">
        <v>585</v>
      </c>
      <c r="AY703" t="s">
        <v>2214</v>
      </c>
      <c r="AZ703" t="s">
        <v>2215</v>
      </c>
      <c r="BA703" t="s">
        <v>570</v>
      </c>
      <c r="BB703" t="str">
        <f t="shared" si="10"/>
        <v>CIHPbeTarka</v>
      </c>
    </row>
    <row r="704" spans="48:54" x14ac:dyDescent="0.25">
      <c r="AV704" t="s">
        <v>822</v>
      </c>
      <c r="AW704" t="s">
        <v>167</v>
      </c>
      <c r="AX704" t="s">
        <v>585</v>
      </c>
      <c r="AY704" t="s">
        <v>2216</v>
      </c>
      <c r="AZ704" t="s">
        <v>2217</v>
      </c>
      <c r="BA704" t="s">
        <v>570</v>
      </c>
      <c r="BB704" t="str">
        <f t="shared" si="10"/>
        <v>CIHPbeTarka</v>
      </c>
    </row>
    <row r="705" spans="48:54" x14ac:dyDescent="0.25">
      <c r="AV705" t="s">
        <v>822</v>
      </c>
      <c r="AW705" t="s">
        <v>167</v>
      </c>
      <c r="AX705" t="s">
        <v>585</v>
      </c>
      <c r="AY705" t="s">
        <v>2218</v>
      </c>
      <c r="AZ705" t="s">
        <v>2219</v>
      </c>
      <c r="BA705" t="s">
        <v>570</v>
      </c>
      <c r="BB705" t="str">
        <f t="shared" si="10"/>
        <v>CIHPbeTarka</v>
      </c>
    </row>
    <row r="706" spans="48:54" x14ac:dyDescent="0.25">
      <c r="AV706" t="s">
        <v>822</v>
      </c>
      <c r="AW706" t="s">
        <v>167</v>
      </c>
      <c r="AX706" t="s">
        <v>585</v>
      </c>
      <c r="AY706" t="s">
        <v>2220</v>
      </c>
      <c r="AZ706" t="s">
        <v>2221</v>
      </c>
      <c r="BA706" t="s">
        <v>570</v>
      </c>
      <c r="BB706" t="str">
        <f t="shared" si="10"/>
        <v>CIHPbeTarka</v>
      </c>
    </row>
    <row r="707" spans="48:54" x14ac:dyDescent="0.25">
      <c r="AV707" t="s">
        <v>822</v>
      </c>
      <c r="AW707" t="s">
        <v>167</v>
      </c>
      <c r="AX707" t="s">
        <v>585</v>
      </c>
      <c r="AY707" t="s">
        <v>2222</v>
      </c>
      <c r="AZ707" t="s">
        <v>2223</v>
      </c>
      <c r="BA707" t="s">
        <v>570</v>
      </c>
      <c r="BB707" t="str">
        <f t="shared" ref="BB707:BB770" si="11">SUBSTITUTE(SUBSTITUTE(BA707&amp;AX707," ",""),"-","")</f>
        <v>CIHPbeTarka</v>
      </c>
    </row>
    <row r="708" spans="48:54" x14ac:dyDescent="0.25">
      <c r="AV708" t="s">
        <v>822</v>
      </c>
      <c r="AW708" t="s">
        <v>167</v>
      </c>
      <c r="AX708" t="s">
        <v>585</v>
      </c>
      <c r="AY708" t="s">
        <v>2224</v>
      </c>
      <c r="AZ708" t="s">
        <v>2225</v>
      </c>
      <c r="BA708" t="s">
        <v>570</v>
      </c>
      <c r="BB708" t="str">
        <f t="shared" si="11"/>
        <v>CIHPbeTarka</v>
      </c>
    </row>
    <row r="709" spans="48:54" x14ac:dyDescent="0.25">
      <c r="AV709" t="s">
        <v>822</v>
      </c>
      <c r="AW709" t="s">
        <v>167</v>
      </c>
      <c r="AX709" t="s">
        <v>585</v>
      </c>
      <c r="AY709" t="s">
        <v>2226</v>
      </c>
      <c r="AZ709" t="s">
        <v>2227</v>
      </c>
      <c r="BA709" t="s">
        <v>570</v>
      </c>
      <c r="BB709" t="str">
        <f t="shared" si="11"/>
        <v>CIHPbeTarka</v>
      </c>
    </row>
    <row r="710" spans="48:54" x14ac:dyDescent="0.25">
      <c r="AV710" t="s">
        <v>822</v>
      </c>
      <c r="AW710" t="s">
        <v>167</v>
      </c>
      <c r="AX710" t="s">
        <v>585</v>
      </c>
      <c r="AY710" t="s">
        <v>2228</v>
      </c>
      <c r="AZ710" t="s">
        <v>2229</v>
      </c>
      <c r="BA710" t="s">
        <v>570</v>
      </c>
      <c r="BB710" t="str">
        <f t="shared" si="11"/>
        <v>CIHPbeTarka</v>
      </c>
    </row>
    <row r="711" spans="48:54" x14ac:dyDescent="0.25">
      <c r="AV711" t="s">
        <v>822</v>
      </c>
      <c r="AW711" t="s">
        <v>167</v>
      </c>
      <c r="AX711" t="s">
        <v>585</v>
      </c>
      <c r="AY711" t="s">
        <v>2230</v>
      </c>
      <c r="AZ711" t="s">
        <v>2231</v>
      </c>
      <c r="BA711" t="s">
        <v>570</v>
      </c>
      <c r="BB711" t="str">
        <f t="shared" si="11"/>
        <v>CIHPbeTarka</v>
      </c>
    </row>
    <row r="712" spans="48:54" x14ac:dyDescent="0.25">
      <c r="AV712" t="s">
        <v>822</v>
      </c>
      <c r="AW712" t="s">
        <v>167</v>
      </c>
      <c r="AX712" t="s">
        <v>585</v>
      </c>
      <c r="AY712" t="s">
        <v>2232</v>
      </c>
      <c r="AZ712" t="s">
        <v>2233</v>
      </c>
      <c r="BA712" t="s">
        <v>570</v>
      </c>
      <c r="BB712" t="str">
        <f t="shared" si="11"/>
        <v>CIHPbeTarka</v>
      </c>
    </row>
    <row r="713" spans="48:54" x14ac:dyDescent="0.25">
      <c r="AV713" t="s">
        <v>822</v>
      </c>
      <c r="AW713" t="s">
        <v>167</v>
      </c>
      <c r="AX713" t="s">
        <v>585</v>
      </c>
      <c r="AY713" t="s">
        <v>2234</v>
      </c>
      <c r="AZ713" t="s">
        <v>2235</v>
      </c>
      <c r="BA713" t="s">
        <v>570</v>
      </c>
      <c r="BB713" t="str">
        <f t="shared" si="11"/>
        <v>CIHPbeTarka</v>
      </c>
    </row>
    <row r="714" spans="48:54" x14ac:dyDescent="0.25">
      <c r="AV714" t="s">
        <v>822</v>
      </c>
      <c r="AW714" t="s">
        <v>167</v>
      </c>
      <c r="AX714" t="s">
        <v>585</v>
      </c>
      <c r="AY714" t="s">
        <v>2236</v>
      </c>
      <c r="AZ714" t="s">
        <v>2237</v>
      </c>
      <c r="BA714" t="s">
        <v>570</v>
      </c>
      <c r="BB714" t="str">
        <f t="shared" si="11"/>
        <v>CIHPbeTarka</v>
      </c>
    </row>
    <row r="715" spans="48:54" x14ac:dyDescent="0.25">
      <c r="AV715" t="s">
        <v>822</v>
      </c>
      <c r="AW715" t="s">
        <v>167</v>
      </c>
      <c r="AX715" t="s">
        <v>585</v>
      </c>
      <c r="AY715" t="s">
        <v>2238</v>
      </c>
      <c r="AZ715" t="s">
        <v>2239</v>
      </c>
      <c r="BA715" t="s">
        <v>570</v>
      </c>
      <c r="BB715" t="str">
        <f t="shared" si="11"/>
        <v>CIHPbeTarka</v>
      </c>
    </row>
    <row r="716" spans="48:54" x14ac:dyDescent="0.25">
      <c r="AV716" t="s">
        <v>822</v>
      </c>
      <c r="AW716" t="s">
        <v>167</v>
      </c>
      <c r="AX716" t="s">
        <v>585</v>
      </c>
      <c r="AY716" t="s">
        <v>2240</v>
      </c>
      <c r="AZ716" t="s">
        <v>2241</v>
      </c>
      <c r="BA716" t="s">
        <v>570</v>
      </c>
      <c r="BB716" t="str">
        <f t="shared" si="11"/>
        <v>CIHPbeTarka</v>
      </c>
    </row>
    <row r="717" spans="48:54" x14ac:dyDescent="0.25">
      <c r="AV717" t="s">
        <v>822</v>
      </c>
      <c r="AW717" t="s">
        <v>167</v>
      </c>
      <c r="AX717" t="s">
        <v>585</v>
      </c>
      <c r="AY717" t="s">
        <v>2242</v>
      </c>
      <c r="AZ717" t="s">
        <v>2243</v>
      </c>
      <c r="BA717" t="s">
        <v>570</v>
      </c>
      <c r="BB717" t="str">
        <f t="shared" si="11"/>
        <v>CIHPbeTarka</v>
      </c>
    </row>
    <row r="718" spans="48:54" x14ac:dyDescent="0.25">
      <c r="AV718" t="s">
        <v>822</v>
      </c>
      <c r="AW718" t="s">
        <v>167</v>
      </c>
      <c r="AX718" t="s">
        <v>585</v>
      </c>
      <c r="AY718" t="s">
        <v>2244</v>
      </c>
      <c r="AZ718" t="s">
        <v>2245</v>
      </c>
      <c r="BA718" t="s">
        <v>570</v>
      </c>
      <c r="BB718" t="str">
        <f t="shared" si="11"/>
        <v>CIHPbeTarka</v>
      </c>
    </row>
    <row r="719" spans="48:54" x14ac:dyDescent="0.25">
      <c r="AV719" t="s">
        <v>822</v>
      </c>
      <c r="AW719" t="s">
        <v>167</v>
      </c>
      <c r="AX719" t="s">
        <v>585</v>
      </c>
      <c r="AY719" t="s">
        <v>2246</v>
      </c>
      <c r="AZ719" t="s">
        <v>2247</v>
      </c>
      <c r="BA719" t="s">
        <v>570</v>
      </c>
      <c r="BB719" t="str">
        <f t="shared" si="11"/>
        <v>CIHPbeTarka</v>
      </c>
    </row>
    <row r="720" spans="48:54" x14ac:dyDescent="0.25">
      <c r="AV720" t="s">
        <v>822</v>
      </c>
      <c r="AW720" t="s">
        <v>167</v>
      </c>
      <c r="AX720" t="s">
        <v>586</v>
      </c>
      <c r="AY720" t="s">
        <v>2248</v>
      </c>
      <c r="AZ720" t="s">
        <v>2249</v>
      </c>
      <c r="BA720" t="s">
        <v>570</v>
      </c>
      <c r="BB720" t="str">
        <f t="shared" si="11"/>
        <v>CIHPbeUkum</v>
      </c>
    </row>
    <row r="721" spans="48:54" x14ac:dyDescent="0.25">
      <c r="AV721" t="s">
        <v>822</v>
      </c>
      <c r="AW721" t="s">
        <v>167</v>
      </c>
      <c r="AX721" t="s">
        <v>586</v>
      </c>
      <c r="AY721" t="s">
        <v>2250</v>
      </c>
      <c r="AZ721" t="s">
        <v>2251</v>
      </c>
      <c r="BA721" t="s">
        <v>570</v>
      </c>
      <c r="BB721" t="str">
        <f t="shared" si="11"/>
        <v>CIHPbeUkum</v>
      </c>
    </row>
    <row r="722" spans="48:54" x14ac:dyDescent="0.25">
      <c r="AV722" t="s">
        <v>822</v>
      </c>
      <c r="AW722" t="s">
        <v>167</v>
      </c>
      <c r="AX722" t="s">
        <v>586</v>
      </c>
      <c r="AY722" t="s">
        <v>2252</v>
      </c>
      <c r="AZ722" t="s">
        <v>2253</v>
      </c>
      <c r="BA722" t="s">
        <v>570</v>
      </c>
      <c r="BB722" t="str">
        <f t="shared" si="11"/>
        <v>CIHPbeUkum</v>
      </c>
    </row>
    <row r="723" spans="48:54" x14ac:dyDescent="0.25">
      <c r="AV723" t="s">
        <v>822</v>
      </c>
      <c r="AW723" t="s">
        <v>167</v>
      </c>
      <c r="AX723" t="s">
        <v>586</v>
      </c>
      <c r="AY723" t="s">
        <v>2254</v>
      </c>
      <c r="AZ723" t="s">
        <v>2255</v>
      </c>
      <c r="BA723" t="s">
        <v>570</v>
      </c>
      <c r="BB723" t="str">
        <f t="shared" si="11"/>
        <v>CIHPbeUkum</v>
      </c>
    </row>
    <row r="724" spans="48:54" x14ac:dyDescent="0.25">
      <c r="AV724" t="s">
        <v>822</v>
      </c>
      <c r="AW724" t="s">
        <v>167</v>
      </c>
      <c r="AX724" t="s">
        <v>586</v>
      </c>
      <c r="AY724" t="s">
        <v>2256</v>
      </c>
      <c r="AZ724" t="s">
        <v>2257</v>
      </c>
      <c r="BA724" t="s">
        <v>570</v>
      </c>
      <c r="BB724" t="str">
        <f t="shared" si="11"/>
        <v>CIHPbeUkum</v>
      </c>
    </row>
    <row r="725" spans="48:54" x14ac:dyDescent="0.25">
      <c r="AV725" t="s">
        <v>822</v>
      </c>
      <c r="AW725" t="s">
        <v>167</v>
      </c>
      <c r="AX725" t="s">
        <v>586</v>
      </c>
      <c r="AY725" t="s">
        <v>2258</v>
      </c>
      <c r="AZ725" t="s">
        <v>2259</v>
      </c>
      <c r="BA725" t="s">
        <v>570</v>
      </c>
      <c r="BB725" t="str">
        <f t="shared" si="11"/>
        <v>CIHPbeUkum</v>
      </c>
    </row>
    <row r="726" spans="48:54" x14ac:dyDescent="0.25">
      <c r="AV726" t="s">
        <v>822</v>
      </c>
      <c r="AW726" t="s">
        <v>167</v>
      </c>
      <c r="AX726" t="s">
        <v>586</v>
      </c>
      <c r="AY726" t="s">
        <v>2260</v>
      </c>
      <c r="AZ726" t="s">
        <v>2261</v>
      </c>
      <c r="BA726" t="s">
        <v>570</v>
      </c>
      <c r="BB726" t="str">
        <f t="shared" si="11"/>
        <v>CIHPbeUkum</v>
      </c>
    </row>
    <row r="727" spans="48:54" x14ac:dyDescent="0.25">
      <c r="AV727" t="s">
        <v>822</v>
      </c>
      <c r="AW727" t="s">
        <v>167</v>
      </c>
      <c r="AX727" t="s">
        <v>586</v>
      </c>
      <c r="AY727" t="s">
        <v>2262</v>
      </c>
      <c r="AZ727" t="s">
        <v>2263</v>
      </c>
      <c r="BA727" t="s">
        <v>570</v>
      </c>
      <c r="BB727" t="str">
        <f t="shared" si="11"/>
        <v>CIHPbeUkum</v>
      </c>
    </row>
    <row r="728" spans="48:54" x14ac:dyDescent="0.25">
      <c r="AV728" t="s">
        <v>822</v>
      </c>
      <c r="AW728" t="s">
        <v>167</v>
      </c>
      <c r="AX728" t="s">
        <v>586</v>
      </c>
      <c r="AY728" t="s">
        <v>2264</v>
      </c>
      <c r="AZ728" t="s">
        <v>2265</v>
      </c>
      <c r="BA728" t="s">
        <v>570</v>
      </c>
      <c r="BB728" t="str">
        <f t="shared" si="11"/>
        <v>CIHPbeUkum</v>
      </c>
    </row>
    <row r="729" spans="48:54" x14ac:dyDescent="0.25">
      <c r="AV729" t="s">
        <v>822</v>
      </c>
      <c r="AW729" t="s">
        <v>167</v>
      </c>
      <c r="AX729" t="s">
        <v>586</v>
      </c>
      <c r="AY729" t="s">
        <v>2266</v>
      </c>
      <c r="AZ729" t="s">
        <v>2267</v>
      </c>
      <c r="BA729" t="s">
        <v>570</v>
      </c>
      <c r="BB729" t="str">
        <f t="shared" si="11"/>
        <v>CIHPbeUkum</v>
      </c>
    </row>
    <row r="730" spans="48:54" x14ac:dyDescent="0.25">
      <c r="AV730" t="s">
        <v>822</v>
      </c>
      <c r="AW730" t="s">
        <v>167</v>
      </c>
      <c r="AX730" t="s">
        <v>586</v>
      </c>
      <c r="AY730" t="s">
        <v>2268</v>
      </c>
      <c r="AZ730" t="s">
        <v>2269</v>
      </c>
      <c r="BA730" t="s">
        <v>570</v>
      </c>
      <c r="BB730" t="str">
        <f t="shared" si="11"/>
        <v>CIHPbeUkum</v>
      </c>
    </row>
    <row r="731" spans="48:54" x14ac:dyDescent="0.25">
      <c r="AV731" t="s">
        <v>822</v>
      </c>
      <c r="AW731" t="s">
        <v>167</v>
      </c>
      <c r="AX731" t="s">
        <v>586</v>
      </c>
      <c r="AY731" t="s">
        <v>2270</v>
      </c>
      <c r="AZ731" t="s">
        <v>2271</v>
      </c>
      <c r="BA731" t="s">
        <v>570</v>
      </c>
      <c r="BB731" t="str">
        <f t="shared" si="11"/>
        <v>CIHPbeUkum</v>
      </c>
    </row>
    <row r="732" spans="48:54" x14ac:dyDescent="0.25">
      <c r="AV732" t="s">
        <v>822</v>
      </c>
      <c r="AW732" t="s">
        <v>167</v>
      </c>
      <c r="AX732" t="s">
        <v>586</v>
      </c>
      <c r="AY732" t="s">
        <v>2272</v>
      </c>
      <c r="AZ732" t="s">
        <v>2273</v>
      </c>
      <c r="BA732" t="s">
        <v>570</v>
      </c>
      <c r="BB732" t="str">
        <f t="shared" si="11"/>
        <v>CIHPbeUkum</v>
      </c>
    </row>
    <row r="733" spans="48:54" x14ac:dyDescent="0.25">
      <c r="AV733" t="s">
        <v>822</v>
      </c>
      <c r="AW733" t="s">
        <v>167</v>
      </c>
      <c r="AX733" t="s">
        <v>586</v>
      </c>
      <c r="AY733" t="s">
        <v>2274</v>
      </c>
      <c r="AZ733" t="s">
        <v>2275</v>
      </c>
      <c r="BA733" t="s">
        <v>570</v>
      </c>
      <c r="BB733" t="str">
        <f t="shared" si="11"/>
        <v>CIHPbeUkum</v>
      </c>
    </row>
    <row r="734" spans="48:54" x14ac:dyDescent="0.25">
      <c r="AV734" t="s">
        <v>822</v>
      </c>
      <c r="AW734" t="s">
        <v>167</v>
      </c>
      <c r="AX734" t="s">
        <v>586</v>
      </c>
      <c r="AY734" t="s">
        <v>2276</v>
      </c>
      <c r="AZ734" t="s">
        <v>2277</v>
      </c>
      <c r="BA734" t="s">
        <v>570</v>
      </c>
      <c r="BB734" t="str">
        <f t="shared" si="11"/>
        <v>CIHPbeUkum</v>
      </c>
    </row>
    <row r="735" spans="48:54" x14ac:dyDescent="0.25">
      <c r="AV735" t="s">
        <v>822</v>
      </c>
      <c r="AW735" t="s">
        <v>167</v>
      </c>
      <c r="AX735" t="s">
        <v>586</v>
      </c>
      <c r="AY735" t="s">
        <v>2278</v>
      </c>
      <c r="AZ735" t="s">
        <v>2279</v>
      </c>
      <c r="BA735" t="s">
        <v>570</v>
      </c>
      <c r="BB735" t="str">
        <f t="shared" si="11"/>
        <v>CIHPbeUkum</v>
      </c>
    </row>
    <row r="736" spans="48:54" x14ac:dyDescent="0.25">
      <c r="AV736" t="s">
        <v>822</v>
      </c>
      <c r="AW736" t="s">
        <v>167</v>
      </c>
      <c r="AX736" t="s">
        <v>588</v>
      </c>
      <c r="AY736" t="s">
        <v>2280</v>
      </c>
      <c r="AZ736" t="s">
        <v>2281</v>
      </c>
      <c r="BA736" t="s">
        <v>570</v>
      </c>
      <c r="BB736" t="str">
        <f t="shared" si="11"/>
        <v>CIHPbeVandeikya</v>
      </c>
    </row>
    <row r="737" spans="48:54" x14ac:dyDescent="0.25">
      <c r="AV737" t="s">
        <v>822</v>
      </c>
      <c r="AW737" t="s">
        <v>167</v>
      </c>
      <c r="AX737" t="s">
        <v>588</v>
      </c>
      <c r="AY737" t="s">
        <v>2282</v>
      </c>
      <c r="AZ737" t="s">
        <v>2283</v>
      </c>
      <c r="BA737" t="s">
        <v>570</v>
      </c>
      <c r="BB737" t="str">
        <f t="shared" si="11"/>
        <v>CIHPbeVandeikya</v>
      </c>
    </row>
    <row r="738" spans="48:54" x14ac:dyDescent="0.25">
      <c r="AV738" t="s">
        <v>822</v>
      </c>
      <c r="AW738" t="s">
        <v>167</v>
      </c>
      <c r="AX738" t="s">
        <v>588</v>
      </c>
      <c r="AY738" t="s">
        <v>2284</v>
      </c>
      <c r="AZ738" t="s">
        <v>2285</v>
      </c>
      <c r="BA738" t="s">
        <v>570</v>
      </c>
      <c r="BB738" t="str">
        <f t="shared" si="11"/>
        <v>CIHPbeVandeikya</v>
      </c>
    </row>
    <row r="739" spans="48:54" x14ac:dyDescent="0.25">
      <c r="AV739" t="s">
        <v>822</v>
      </c>
      <c r="AW739" t="s">
        <v>167</v>
      </c>
      <c r="AX739" t="s">
        <v>588</v>
      </c>
      <c r="AY739" t="s">
        <v>2286</v>
      </c>
      <c r="AZ739" t="s">
        <v>2287</v>
      </c>
      <c r="BA739" t="s">
        <v>570</v>
      </c>
      <c r="BB739" t="str">
        <f t="shared" si="11"/>
        <v>CIHPbeVandeikya</v>
      </c>
    </row>
    <row r="740" spans="48:54" x14ac:dyDescent="0.25">
      <c r="AV740" t="s">
        <v>822</v>
      </c>
      <c r="AW740" t="s">
        <v>167</v>
      </c>
      <c r="AX740" t="s">
        <v>588</v>
      </c>
      <c r="AY740" t="s">
        <v>2288</v>
      </c>
      <c r="AZ740" t="s">
        <v>2289</v>
      </c>
      <c r="BA740" t="s">
        <v>570</v>
      </c>
      <c r="BB740" t="str">
        <f t="shared" si="11"/>
        <v>CIHPbeVandeikya</v>
      </c>
    </row>
    <row r="741" spans="48:54" x14ac:dyDescent="0.25">
      <c r="AV741" t="s">
        <v>822</v>
      </c>
      <c r="AW741" t="s">
        <v>167</v>
      </c>
      <c r="AX741" t="s">
        <v>588</v>
      </c>
      <c r="AY741" t="s">
        <v>2290</v>
      </c>
      <c r="AZ741" t="s">
        <v>2291</v>
      </c>
      <c r="BA741" t="s">
        <v>570</v>
      </c>
      <c r="BB741" t="str">
        <f t="shared" si="11"/>
        <v>CIHPbeVandeikya</v>
      </c>
    </row>
    <row r="742" spans="48:54" x14ac:dyDescent="0.25">
      <c r="AV742" t="s">
        <v>822</v>
      </c>
      <c r="AW742" t="s">
        <v>167</v>
      </c>
      <c r="AX742" t="s">
        <v>588</v>
      </c>
      <c r="AY742" t="s">
        <v>2292</v>
      </c>
      <c r="AZ742" t="s">
        <v>2293</v>
      </c>
      <c r="BA742" t="s">
        <v>570</v>
      </c>
      <c r="BB742" t="str">
        <f t="shared" si="11"/>
        <v>CIHPbeVandeikya</v>
      </c>
    </row>
    <row r="743" spans="48:54" x14ac:dyDescent="0.25">
      <c r="AV743" t="s">
        <v>822</v>
      </c>
      <c r="AW743" t="s">
        <v>167</v>
      </c>
      <c r="AX743" t="s">
        <v>588</v>
      </c>
      <c r="AY743" t="s">
        <v>2294</v>
      </c>
      <c r="AZ743" t="s">
        <v>2295</v>
      </c>
      <c r="BA743" t="s">
        <v>570</v>
      </c>
      <c r="BB743" t="str">
        <f t="shared" si="11"/>
        <v>CIHPbeVandeikya</v>
      </c>
    </row>
    <row r="744" spans="48:54" x14ac:dyDescent="0.25">
      <c r="AV744" t="s">
        <v>822</v>
      </c>
      <c r="AW744" t="s">
        <v>167</v>
      </c>
      <c r="AX744" t="s">
        <v>588</v>
      </c>
      <c r="AY744" t="s">
        <v>2296</v>
      </c>
      <c r="AZ744" t="s">
        <v>2297</v>
      </c>
      <c r="BA744" t="s">
        <v>570</v>
      </c>
      <c r="BB744" t="str">
        <f t="shared" si="11"/>
        <v>CIHPbeVandeikya</v>
      </c>
    </row>
    <row r="745" spans="48:54" x14ac:dyDescent="0.25">
      <c r="AV745" t="s">
        <v>822</v>
      </c>
      <c r="AW745" t="s">
        <v>167</v>
      </c>
      <c r="AX745" t="s">
        <v>588</v>
      </c>
      <c r="AY745" t="s">
        <v>2298</v>
      </c>
      <c r="AZ745" t="s">
        <v>2299</v>
      </c>
      <c r="BA745" t="s">
        <v>570</v>
      </c>
      <c r="BB745" t="str">
        <f t="shared" si="11"/>
        <v>CIHPbeVandeikya</v>
      </c>
    </row>
    <row r="746" spans="48:54" x14ac:dyDescent="0.25">
      <c r="AV746" t="s">
        <v>822</v>
      </c>
      <c r="AW746" t="s">
        <v>167</v>
      </c>
      <c r="AX746" t="s">
        <v>588</v>
      </c>
      <c r="AY746" t="s">
        <v>2300</v>
      </c>
      <c r="AZ746" t="s">
        <v>2301</v>
      </c>
      <c r="BA746" t="s">
        <v>570</v>
      </c>
      <c r="BB746" t="str">
        <f t="shared" si="11"/>
        <v>CIHPbeVandeikya</v>
      </c>
    </row>
    <row r="747" spans="48:54" x14ac:dyDescent="0.25">
      <c r="AV747" t="s">
        <v>822</v>
      </c>
      <c r="AW747" t="s">
        <v>167</v>
      </c>
      <c r="AX747" t="s">
        <v>588</v>
      </c>
      <c r="AY747" t="s">
        <v>2302</v>
      </c>
      <c r="AZ747" t="s">
        <v>2303</v>
      </c>
      <c r="BA747" t="s">
        <v>570</v>
      </c>
      <c r="BB747" t="str">
        <f t="shared" si="11"/>
        <v>CIHPbeVandeikya</v>
      </c>
    </row>
    <row r="748" spans="48:54" x14ac:dyDescent="0.25">
      <c r="AV748" t="s">
        <v>822</v>
      </c>
      <c r="AW748" t="s">
        <v>167</v>
      </c>
      <c r="AX748" t="s">
        <v>588</v>
      </c>
      <c r="AY748" t="s">
        <v>2304</v>
      </c>
      <c r="AZ748" t="s">
        <v>2305</v>
      </c>
      <c r="BA748" t="s">
        <v>570</v>
      </c>
      <c r="BB748" t="str">
        <f t="shared" si="11"/>
        <v>CIHPbeVandeikya</v>
      </c>
    </row>
    <row r="749" spans="48:54" x14ac:dyDescent="0.25">
      <c r="AV749" t="s">
        <v>822</v>
      </c>
      <c r="AW749" t="s">
        <v>167</v>
      </c>
      <c r="AX749" t="s">
        <v>588</v>
      </c>
      <c r="AY749" t="s">
        <v>2306</v>
      </c>
      <c r="AZ749" t="s">
        <v>2307</v>
      </c>
      <c r="BA749" t="s">
        <v>570</v>
      </c>
      <c r="BB749" t="str">
        <f t="shared" si="11"/>
        <v>CIHPbeVandeikya</v>
      </c>
    </row>
    <row r="750" spans="48:54" x14ac:dyDescent="0.25">
      <c r="AV750" t="s">
        <v>822</v>
      </c>
      <c r="AW750" t="s">
        <v>167</v>
      </c>
      <c r="AX750" t="s">
        <v>588</v>
      </c>
      <c r="AY750" t="s">
        <v>2308</v>
      </c>
      <c r="AZ750" t="s">
        <v>2309</v>
      </c>
      <c r="BA750" t="s">
        <v>570</v>
      </c>
      <c r="BB750" t="str">
        <f t="shared" si="11"/>
        <v>CIHPbeVandeikya</v>
      </c>
    </row>
    <row r="751" spans="48:54" x14ac:dyDescent="0.25">
      <c r="AV751" t="s">
        <v>822</v>
      </c>
      <c r="AW751" t="s">
        <v>176</v>
      </c>
      <c r="AX751" t="s">
        <v>643</v>
      </c>
      <c r="AY751" t="s">
        <v>2310</v>
      </c>
      <c r="AZ751" t="s">
        <v>2311</v>
      </c>
      <c r="BA751" t="s">
        <v>570</v>
      </c>
      <c r="BB751" t="str">
        <f t="shared" si="11"/>
        <v>CIHPgoBalanga</v>
      </c>
    </row>
    <row r="752" spans="48:54" x14ac:dyDescent="0.25">
      <c r="AV752" t="s">
        <v>822</v>
      </c>
      <c r="AW752" t="s">
        <v>176</v>
      </c>
      <c r="AX752" t="s">
        <v>643</v>
      </c>
      <c r="AY752" t="s">
        <v>2312</v>
      </c>
      <c r="AZ752" t="s">
        <v>2313</v>
      </c>
      <c r="BA752" t="s">
        <v>570</v>
      </c>
      <c r="BB752" t="str">
        <f t="shared" si="11"/>
        <v>CIHPgoBalanga</v>
      </c>
    </row>
    <row r="753" spans="48:54" x14ac:dyDescent="0.25">
      <c r="AV753" t="s">
        <v>822</v>
      </c>
      <c r="AW753" t="s">
        <v>176</v>
      </c>
      <c r="AX753" t="s">
        <v>643</v>
      </c>
      <c r="AY753" t="s">
        <v>2314</v>
      </c>
      <c r="AZ753" t="s">
        <v>2315</v>
      </c>
      <c r="BA753" t="s">
        <v>570</v>
      </c>
      <c r="BB753" t="str">
        <f t="shared" si="11"/>
        <v>CIHPgoBalanga</v>
      </c>
    </row>
    <row r="754" spans="48:54" x14ac:dyDescent="0.25">
      <c r="AV754" t="s">
        <v>822</v>
      </c>
      <c r="AW754" t="s">
        <v>176</v>
      </c>
      <c r="AX754" t="s">
        <v>643</v>
      </c>
      <c r="AY754" t="s">
        <v>2316</v>
      </c>
      <c r="AZ754" t="s">
        <v>2317</v>
      </c>
      <c r="BA754" t="s">
        <v>570</v>
      </c>
      <c r="BB754" t="str">
        <f t="shared" si="11"/>
        <v>CIHPgoBalanga</v>
      </c>
    </row>
    <row r="755" spans="48:54" x14ac:dyDescent="0.25">
      <c r="AV755" t="s">
        <v>822</v>
      </c>
      <c r="AW755" t="s">
        <v>176</v>
      </c>
      <c r="AX755" t="s">
        <v>644</v>
      </c>
      <c r="AY755" t="s">
        <v>2318</v>
      </c>
      <c r="AZ755" t="s">
        <v>2319</v>
      </c>
      <c r="BA755" t="s">
        <v>570</v>
      </c>
      <c r="BB755" t="str">
        <f t="shared" si="11"/>
        <v>CIHPgoBilliri</v>
      </c>
    </row>
    <row r="756" spans="48:54" x14ac:dyDescent="0.25">
      <c r="AV756" t="s">
        <v>822</v>
      </c>
      <c r="AW756" t="s">
        <v>176</v>
      </c>
      <c r="AX756" t="s">
        <v>644</v>
      </c>
      <c r="AY756" t="s">
        <v>2320</v>
      </c>
      <c r="AZ756" t="s">
        <v>2321</v>
      </c>
      <c r="BA756" t="s">
        <v>570</v>
      </c>
      <c r="BB756" t="str">
        <f t="shared" si="11"/>
        <v>CIHPgoBilliri</v>
      </c>
    </row>
    <row r="757" spans="48:54" x14ac:dyDescent="0.25">
      <c r="AV757" t="s">
        <v>822</v>
      </c>
      <c r="AW757" t="s">
        <v>176</v>
      </c>
      <c r="AX757" t="s">
        <v>644</v>
      </c>
      <c r="AY757" t="s">
        <v>2322</v>
      </c>
      <c r="AZ757" t="s">
        <v>2323</v>
      </c>
      <c r="BA757" t="s">
        <v>570</v>
      </c>
      <c r="BB757" t="str">
        <f t="shared" si="11"/>
        <v>CIHPgoBilliri</v>
      </c>
    </row>
    <row r="758" spans="48:54" x14ac:dyDescent="0.25">
      <c r="AV758" t="s">
        <v>822</v>
      </c>
      <c r="AW758" t="s">
        <v>176</v>
      </c>
      <c r="AX758" t="s">
        <v>644</v>
      </c>
      <c r="AY758" t="s">
        <v>2324</v>
      </c>
      <c r="AZ758" t="s">
        <v>2325</v>
      </c>
      <c r="BA758" t="s">
        <v>570</v>
      </c>
      <c r="BB758" t="str">
        <f t="shared" si="11"/>
        <v>CIHPgoBilliri</v>
      </c>
    </row>
    <row r="759" spans="48:54" x14ac:dyDescent="0.25">
      <c r="AV759" t="s">
        <v>822</v>
      </c>
      <c r="AW759" t="s">
        <v>176</v>
      </c>
      <c r="AX759" t="s">
        <v>645</v>
      </c>
      <c r="AY759" t="s">
        <v>2326</v>
      </c>
      <c r="AZ759" t="s">
        <v>2327</v>
      </c>
      <c r="BA759" t="s">
        <v>570</v>
      </c>
      <c r="BB759" t="str">
        <f t="shared" si="11"/>
        <v>CIHPgoDukku</v>
      </c>
    </row>
    <row r="760" spans="48:54" x14ac:dyDescent="0.25">
      <c r="AV760" t="s">
        <v>822</v>
      </c>
      <c r="AW760" t="s">
        <v>176</v>
      </c>
      <c r="AX760" t="s">
        <v>645</v>
      </c>
      <c r="AY760" t="s">
        <v>2328</v>
      </c>
      <c r="AZ760" t="s">
        <v>2329</v>
      </c>
      <c r="BA760" t="s">
        <v>570</v>
      </c>
      <c r="BB760" t="str">
        <f t="shared" si="11"/>
        <v>CIHPgoDukku</v>
      </c>
    </row>
    <row r="761" spans="48:54" x14ac:dyDescent="0.25">
      <c r="AV761" t="s">
        <v>822</v>
      </c>
      <c r="AW761" t="s">
        <v>176</v>
      </c>
      <c r="AX761" t="s">
        <v>646</v>
      </c>
      <c r="AY761" t="s">
        <v>2330</v>
      </c>
      <c r="AZ761" t="s">
        <v>2331</v>
      </c>
      <c r="BA761" t="s">
        <v>570</v>
      </c>
      <c r="BB761" t="str">
        <f t="shared" si="11"/>
        <v>CIHPgoFunakaye</v>
      </c>
    </row>
    <row r="762" spans="48:54" x14ac:dyDescent="0.25">
      <c r="AV762" t="s">
        <v>822</v>
      </c>
      <c r="AW762" t="s">
        <v>176</v>
      </c>
      <c r="AX762" t="s">
        <v>646</v>
      </c>
      <c r="AY762" t="s">
        <v>2332</v>
      </c>
      <c r="AZ762" t="s">
        <v>2333</v>
      </c>
      <c r="BA762" t="s">
        <v>570</v>
      </c>
      <c r="BB762" t="str">
        <f t="shared" si="11"/>
        <v>CIHPgoFunakaye</v>
      </c>
    </row>
    <row r="763" spans="48:54" x14ac:dyDescent="0.25">
      <c r="AV763" t="s">
        <v>822</v>
      </c>
      <c r="AW763" t="s">
        <v>176</v>
      </c>
      <c r="AX763" t="s">
        <v>646</v>
      </c>
      <c r="AY763" t="s">
        <v>2334</v>
      </c>
      <c r="AZ763" t="s">
        <v>2335</v>
      </c>
      <c r="BA763" t="s">
        <v>570</v>
      </c>
      <c r="BB763" t="str">
        <f t="shared" si="11"/>
        <v>CIHPgoFunakaye</v>
      </c>
    </row>
    <row r="764" spans="48:54" x14ac:dyDescent="0.25">
      <c r="AV764" t="s">
        <v>822</v>
      </c>
      <c r="AW764" t="s">
        <v>176</v>
      </c>
      <c r="AX764" t="s">
        <v>647</v>
      </c>
      <c r="AY764" t="s">
        <v>2336</v>
      </c>
      <c r="AZ764" t="s">
        <v>2337</v>
      </c>
      <c r="BA764" t="s">
        <v>570</v>
      </c>
      <c r="BB764" t="str">
        <f t="shared" si="11"/>
        <v>CIHPgoGombe</v>
      </c>
    </row>
    <row r="765" spans="48:54" x14ac:dyDescent="0.25">
      <c r="AV765" t="s">
        <v>822</v>
      </c>
      <c r="AW765" t="s">
        <v>176</v>
      </c>
      <c r="AX765" t="s">
        <v>647</v>
      </c>
      <c r="AY765" t="s">
        <v>2338</v>
      </c>
      <c r="AZ765" t="s">
        <v>2339</v>
      </c>
      <c r="BA765" t="s">
        <v>570</v>
      </c>
      <c r="BB765" t="str">
        <f t="shared" si="11"/>
        <v>CIHPgoGombe</v>
      </c>
    </row>
    <row r="766" spans="48:54" x14ac:dyDescent="0.25">
      <c r="AV766" t="s">
        <v>822</v>
      </c>
      <c r="AW766" t="s">
        <v>176</v>
      </c>
      <c r="AX766" t="s">
        <v>647</v>
      </c>
      <c r="AY766" t="s">
        <v>2340</v>
      </c>
      <c r="AZ766" t="s">
        <v>2341</v>
      </c>
      <c r="BA766" t="s">
        <v>570</v>
      </c>
      <c r="BB766" t="str">
        <f t="shared" si="11"/>
        <v>CIHPgoGombe</v>
      </c>
    </row>
    <row r="767" spans="48:54" x14ac:dyDescent="0.25">
      <c r="AV767" t="s">
        <v>822</v>
      </c>
      <c r="AW767" t="s">
        <v>176</v>
      </c>
      <c r="AX767" t="s">
        <v>647</v>
      </c>
      <c r="AY767" t="s">
        <v>2342</v>
      </c>
      <c r="AZ767" t="s">
        <v>2343</v>
      </c>
      <c r="BA767" t="s">
        <v>570</v>
      </c>
      <c r="BB767" t="str">
        <f t="shared" si="11"/>
        <v>CIHPgoGombe</v>
      </c>
    </row>
    <row r="768" spans="48:54" x14ac:dyDescent="0.25">
      <c r="AV768" t="s">
        <v>822</v>
      </c>
      <c r="AW768" t="s">
        <v>176</v>
      </c>
      <c r="AX768" t="s">
        <v>647</v>
      </c>
      <c r="AY768" t="s">
        <v>2344</v>
      </c>
      <c r="AZ768" t="s">
        <v>2345</v>
      </c>
      <c r="BA768" t="s">
        <v>570</v>
      </c>
      <c r="BB768" t="str">
        <f t="shared" si="11"/>
        <v>CIHPgoGombe</v>
      </c>
    </row>
    <row r="769" spans="12:54" x14ac:dyDescent="0.25">
      <c r="AV769" t="s">
        <v>822</v>
      </c>
      <c r="AW769" t="s">
        <v>176</v>
      </c>
      <c r="AX769" t="s">
        <v>647</v>
      </c>
      <c r="AY769" t="s">
        <v>2346</v>
      </c>
      <c r="AZ769" t="s">
        <v>2347</v>
      </c>
      <c r="BA769" t="s">
        <v>570</v>
      </c>
      <c r="BB769" t="str">
        <f t="shared" si="11"/>
        <v>CIHPgoGombe</v>
      </c>
    </row>
    <row r="770" spans="12:54" x14ac:dyDescent="0.25">
      <c r="AV770" t="s">
        <v>822</v>
      </c>
      <c r="AW770" t="s">
        <v>176</v>
      </c>
      <c r="AX770" t="s">
        <v>647</v>
      </c>
      <c r="AY770" t="s">
        <v>2348</v>
      </c>
      <c r="AZ770" t="s">
        <v>2349</v>
      </c>
      <c r="BA770" t="s">
        <v>570</v>
      </c>
      <c r="BB770" t="str">
        <f t="shared" si="11"/>
        <v>CIHPgoGombe</v>
      </c>
    </row>
    <row r="771" spans="12:54" x14ac:dyDescent="0.25">
      <c r="AV771" t="s">
        <v>822</v>
      </c>
      <c r="AW771" t="s">
        <v>176</v>
      </c>
      <c r="AX771" t="s">
        <v>647</v>
      </c>
      <c r="AY771" t="s">
        <v>2350</v>
      </c>
      <c r="AZ771" t="s">
        <v>2351</v>
      </c>
      <c r="BA771" t="s">
        <v>570</v>
      </c>
      <c r="BB771" t="str">
        <f t="shared" ref="BB771:BB834" si="12">SUBSTITUTE(SUBSTITUTE(BA771&amp;AX771," ",""),"-","")</f>
        <v>CIHPgoGombe</v>
      </c>
    </row>
    <row r="772" spans="12:54" x14ac:dyDescent="0.25">
      <c r="AV772" t="s">
        <v>822</v>
      </c>
      <c r="AW772" t="s">
        <v>176</v>
      </c>
      <c r="AX772" t="s">
        <v>647</v>
      </c>
      <c r="AY772" t="s">
        <v>2352</v>
      </c>
      <c r="AZ772" t="s">
        <v>2353</v>
      </c>
      <c r="BA772" t="s">
        <v>570</v>
      </c>
      <c r="BB772" t="str">
        <f t="shared" si="12"/>
        <v>CIHPgoGombe</v>
      </c>
    </row>
    <row r="773" spans="12:54" x14ac:dyDescent="0.25">
      <c r="AV773" t="s">
        <v>822</v>
      </c>
      <c r="AW773" t="s">
        <v>176</v>
      </c>
      <c r="AX773" t="s">
        <v>647</v>
      </c>
      <c r="AY773" t="s">
        <v>2354</v>
      </c>
      <c r="AZ773" t="s">
        <v>2355</v>
      </c>
      <c r="BA773" t="s">
        <v>570</v>
      </c>
      <c r="BB773" t="str">
        <f t="shared" si="12"/>
        <v>CIHPgoGombe</v>
      </c>
    </row>
    <row r="774" spans="12:54" x14ac:dyDescent="0.25">
      <c r="AV774" t="s">
        <v>822</v>
      </c>
      <c r="AW774" t="s">
        <v>176</v>
      </c>
      <c r="AX774" t="s">
        <v>647</v>
      </c>
      <c r="AY774" t="s">
        <v>2356</v>
      </c>
      <c r="AZ774" t="s">
        <v>2357</v>
      </c>
      <c r="BA774" t="s">
        <v>570</v>
      </c>
      <c r="BB774" t="str">
        <f t="shared" si="12"/>
        <v>CIHPgoGombe</v>
      </c>
    </row>
    <row r="775" spans="12:54" x14ac:dyDescent="0.25">
      <c r="L775" s="55"/>
      <c r="M775" s="55"/>
      <c r="AV775" t="s">
        <v>822</v>
      </c>
      <c r="AW775" t="s">
        <v>176</v>
      </c>
      <c r="AX775" t="s">
        <v>647</v>
      </c>
      <c r="AY775" t="s">
        <v>2358</v>
      </c>
      <c r="AZ775" t="s">
        <v>2359</v>
      </c>
      <c r="BA775" t="s">
        <v>570</v>
      </c>
      <c r="BB775" t="str">
        <f t="shared" si="12"/>
        <v>CIHPgoGombe</v>
      </c>
    </row>
    <row r="776" spans="12:54" x14ac:dyDescent="0.25">
      <c r="AV776" t="s">
        <v>822</v>
      </c>
      <c r="AW776" t="s">
        <v>176</v>
      </c>
      <c r="AX776" t="s">
        <v>647</v>
      </c>
      <c r="AY776" t="s">
        <v>2360</v>
      </c>
      <c r="AZ776" t="s">
        <v>2361</v>
      </c>
      <c r="BA776" t="s">
        <v>570</v>
      </c>
      <c r="BB776" t="str">
        <f t="shared" si="12"/>
        <v>CIHPgoGombe</v>
      </c>
    </row>
    <row r="777" spans="12:54" x14ac:dyDescent="0.25">
      <c r="AV777" t="s">
        <v>822</v>
      </c>
      <c r="AW777" t="s">
        <v>176</v>
      </c>
      <c r="AX777" t="s">
        <v>647</v>
      </c>
      <c r="AY777" t="s">
        <v>2362</v>
      </c>
      <c r="AZ777" t="s">
        <v>2363</v>
      </c>
      <c r="BA777" t="s">
        <v>570</v>
      </c>
      <c r="BB777" t="str">
        <f t="shared" si="12"/>
        <v>CIHPgoGombe</v>
      </c>
    </row>
    <row r="778" spans="12:54" x14ac:dyDescent="0.25">
      <c r="AV778" t="s">
        <v>822</v>
      </c>
      <c r="AW778" t="s">
        <v>176</v>
      </c>
      <c r="AX778" t="s">
        <v>647</v>
      </c>
      <c r="AY778" t="s">
        <v>2364</v>
      </c>
      <c r="AZ778" t="s">
        <v>2365</v>
      </c>
      <c r="BA778" t="s">
        <v>570</v>
      </c>
      <c r="BB778" t="str">
        <f t="shared" si="12"/>
        <v>CIHPgoGombe</v>
      </c>
    </row>
    <row r="779" spans="12:54" x14ac:dyDescent="0.25">
      <c r="AV779" t="s">
        <v>822</v>
      </c>
      <c r="AW779" t="s">
        <v>176</v>
      </c>
      <c r="AX779" t="s">
        <v>648</v>
      </c>
      <c r="AY779" t="s">
        <v>2366</v>
      </c>
      <c r="AZ779" t="s">
        <v>2367</v>
      </c>
      <c r="BA779" t="s">
        <v>570</v>
      </c>
      <c r="BB779" t="str">
        <f t="shared" si="12"/>
        <v>CIHPgoKaltungo</v>
      </c>
    </row>
    <row r="780" spans="12:54" x14ac:dyDescent="0.25">
      <c r="AV780" t="s">
        <v>822</v>
      </c>
      <c r="AW780" t="s">
        <v>176</v>
      </c>
      <c r="AX780" t="s">
        <v>648</v>
      </c>
      <c r="AY780" t="s">
        <v>2368</v>
      </c>
      <c r="AZ780" t="s">
        <v>2369</v>
      </c>
      <c r="BA780" t="s">
        <v>570</v>
      </c>
      <c r="BB780" t="str">
        <f t="shared" si="12"/>
        <v>CIHPgoKaltungo</v>
      </c>
    </row>
    <row r="781" spans="12:54" x14ac:dyDescent="0.25">
      <c r="AV781" t="s">
        <v>822</v>
      </c>
      <c r="AW781" t="s">
        <v>176</v>
      </c>
      <c r="AX781" t="s">
        <v>648</v>
      </c>
      <c r="AY781" t="s">
        <v>2370</v>
      </c>
      <c r="AZ781" t="s">
        <v>2371</v>
      </c>
      <c r="BA781" t="s">
        <v>570</v>
      </c>
      <c r="BB781" t="str">
        <f t="shared" si="12"/>
        <v>CIHPgoKaltungo</v>
      </c>
    </row>
    <row r="782" spans="12:54" x14ac:dyDescent="0.25">
      <c r="AV782" t="s">
        <v>822</v>
      </c>
      <c r="AW782" t="s">
        <v>176</v>
      </c>
      <c r="AX782" t="s">
        <v>648</v>
      </c>
      <c r="AY782" t="s">
        <v>2372</v>
      </c>
      <c r="AZ782" t="s">
        <v>2373</v>
      </c>
      <c r="BA782" t="s">
        <v>570</v>
      </c>
      <c r="BB782" t="str">
        <f t="shared" si="12"/>
        <v>CIHPgoKaltungo</v>
      </c>
    </row>
    <row r="783" spans="12:54" x14ac:dyDescent="0.25">
      <c r="AV783" t="s">
        <v>822</v>
      </c>
      <c r="AW783" t="s">
        <v>176</v>
      </c>
      <c r="AX783" t="s">
        <v>648</v>
      </c>
      <c r="AY783" t="s">
        <v>2374</v>
      </c>
      <c r="AZ783" t="s">
        <v>2375</v>
      </c>
      <c r="BA783" t="s">
        <v>570</v>
      </c>
      <c r="BB783" t="str">
        <f t="shared" si="12"/>
        <v>CIHPgoKaltungo</v>
      </c>
    </row>
    <row r="784" spans="12:54" x14ac:dyDescent="0.25">
      <c r="AV784" t="s">
        <v>822</v>
      </c>
      <c r="AW784" t="s">
        <v>176</v>
      </c>
      <c r="AX784" t="s">
        <v>648</v>
      </c>
      <c r="AY784" t="s">
        <v>2376</v>
      </c>
      <c r="AZ784" t="s">
        <v>2377</v>
      </c>
      <c r="BA784" t="s">
        <v>570</v>
      </c>
      <c r="BB784" t="str">
        <f t="shared" si="12"/>
        <v>CIHPgoKaltungo</v>
      </c>
    </row>
    <row r="785" spans="48:54" x14ac:dyDescent="0.25">
      <c r="AV785" t="s">
        <v>822</v>
      </c>
      <c r="AW785" t="s">
        <v>176</v>
      </c>
      <c r="AX785" t="s">
        <v>648</v>
      </c>
      <c r="AY785" t="s">
        <v>2378</v>
      </c>
      <c r="AZ785" t="s">
        <v>2379</v>
      </c>
      <c r="BA785" t="s">
        <v>570</v>
      </c>
      <c r="BB785" t="str">
        <f t="shared" si="12"/>
        <v>CIHPgoKaltungo</v>
      </c>
    </row>
    <row r="786" spans="48:54" x14ac:dyDescent="0.25">
      <c r="AV786" t="s">
        <v>822</v>
      </c>
      <c r="AW786" t="s">
        <v>176</v>
      </c>
      <c r="AX786" t="s">
        <v>649</v>
      </c>
      <c r="AY786" t="s">
        <v>2380</v>
      </c>
      <c r="AZ786" t="s">
        <v>2381</v>
      </c>
      <c r="BA786" t="s">
        <v>570</v>
      </c>
      <c r="BB786" t="str">
        <f t="shared" si="12"/>
        <v>CIHPgoKwami</v>
      </c>
    </row>
    <row r="787" spans="48:54" x14ac:dyDescent="0.25">
      <c r="AV787" t="s">
        <v>822</v>
      </c>
      <c r="AW787" t="s">
        <v>176</v>
      </c>
      <c r="AX787" t="s">
        <v>649</v>
      </c>
      <c r="AY787" t="s">
        <v>2382</v>
      </c>
      <c r="AZ787" t="s">
        <v>2383</v>
      </c>
      <c r="BA787" t="s">
        <v>570</v>
      </c>
      <c r="BB787" t="str">
        <f t="shared" si="12"/>
        <v>CIHPgoKwami</v>
      </c>
    </row>
    <row r="788" spans="48:54" x14ac:dyDescent="0.25">
      <c r="AV788" t="s">
        <v>822</v>
      </c>
      <c r="AW788" t="s">
        <v>176</v>
      </c>
      <c r="AX788" t="s">
        <v>650</v>
      </c>
      <c r="AY788" t="s">
        <v>2384</v>
      </c>
      <c r="AZ788" t="s">
        <v>2385</v>
      </c>
      <c r="BA788" t="s">
        <v>570</v>
      </c>
      <c r="BB788" t="str">
        <f t="shared" si="12"/>
        <v>CIHPgoNafada</v>
      </c>
    </row>
    <row r="789" spans="48:54" x14ac:dyDescent="0.25">
      <c r="AV789" t="s">
        <v>822</v>
      </c>
      <c r="AW789" t="s">
        <v>176</v>
      </c>
      <c r="AX789" t="s">
        <v>651</v>
      </c>
      <c r="AY789" t="s">
        <v>2386</v>
      </c>
      <c r="AZ789" t="s">
        <v>2387</v>
      </c>
      <c r="BA789" t="s">
        <v>570</v>
      </c>
      <c r="BB789" t="str">
        <f t="shared" si="12"/>
        <v>CIHPgoShongom</v>
      </c>
    </row>
    <row r="790" spans="48:54" x14ac:dyDescent="0.25">
      <c r="AV790" t="s">
        <v>822</v>
      </c>
      <c r="AW790" t="s">
        <v>176</v>
      </c>
      <c r="AX790" t="s">
        <v>651</v>
      </c>
      <c r="AY790" t="s">
        <v>2388</v>
      </c>
      <c r="AZ790" t="s">
        <v>2389</v>
      </c>
      <c r="BA790" t="s">
        <v>570</v>
      </c>
      <c r="BB790" t="str">
        <f t="shared" si="12"/>
        <v>CIHPgoShongom</v>
      </c>
    </row>
    <row r="791" spans="48:54" x14ac:dyDescent="0.25">
      <c r="AV791" t="s">
        <v>822</v>
      </c>
      <c r="AW791" t="s">
        <v>179</v>
      </c>
      <c r="AX791" t="s">
        <v>681</v>
      </c>
      <c r="AY791" t="s">
        <v>2390</v>
      </c>
      <c r="AZ791" t="s">
        <v>2391</v>
      </c>
      <c r="BA791" t="s">
        <v>570</v>
      </c>
      <c r="BB791" t="str">
        <f t="shared" si="12"/>
        <v>CIHPkdChikun</v>
      </c>
    </row>
    <row r="792" spans="48:54" x14ac:dyDescent="0.25">
      <c r="AV792" t="s">
        <v>822</v>
      </c>
      <c r="AW792" t="s">
        <v>179</v>
      </c>
      <c r="AX792" t="s">
        <v>681</v>
      </c>
      <c r="AY792" t="s">
        <v>2392</v>
      </c>
      <c r="AZ792" t="s">
        <v>2393</v>
      </c>
      <c r="BA792" t="s">
        <v>570</v>
      </c>
      <c r="BB792" t="str">
        <f t="shared" si="12"/>
        <v>CIHPkdChikun</v>
      </c>
    </row>
    <row r="793" spans="48:54" x14ac:dyDescent="0.25">
      <c r="AV793" t="s">
        <v>822</v>
      </c>
      <c r="AW793" t="s">
        <v>179</v>
      </c>
      <c r="AX793" t="s">
        <v>681</v>
      </c>
      <c r="AY793" t="s">
        <v>2394</v>
      </c>
      <c r="AZ793" t="s">
        <v>2395</v>
      </c>
      <c r="BA793" t="s">
        <v>570</v>
      </c>
      <c r="BB793" t="str">
        <f t="shared" si="12"/>
        <v>CIHPkdChikun</v>
      </c>
    </row>
    <row r="794" spans="48:54" x14ac:dyDescent="0.25">
      <c r="AV794" t="s">
        <v>822</v>
      </c>
      <c r="AW794" t="s">
        <v>179</v>
      </c>
      <c r="AX794" t="s">
        <v>681</v>
      </c>
      <c r="AY794" t="s">
        <v>2396</v>
      </c>
      <c r="AZ794" t="s">
        <v>2397</v>
      </c>
      <c r="BA794" t="s">
        <v>570</v>
      </c>
      <c r="BB794" t="str">
        <f t="shared" si="12"/>
        <v>CIHPkdChikun</v>
      </c>
    </row>
    <row r="795" spans="48:54" x14ac:dyDescent="0.25">
      <c r="AV795" t="s">
        <v>822</v>
      </c>
      <c r="AW795" t="s">
        <v>179</v>
      </c>
      <c r="AX795" t="s">
        <v>681</v>
      </c>
      <c r="AY795" t="s">
        <v>2398</v>
      </c>
      <c r="AZ795" t="s">
        <v>2399</v>
      </c>
      <c r="BA795" t="s">
        <v>570</v>
      </c>
      <c r="BB795" t="str">
        <f t="shared" si="12"/>
        <v>CIHPkdChikun</v>
      </c>
    </row>
    <row r="796" spans="48:54" x14ac:dyDescent="0.25">
      <c r="AV796" t="s">
        <v>822</v>
      </c>
      <c r="AW796" t="s">
        <v>179</v>
      </c>
      <c r="AX796" t="s">
        <v>681</v>
      </c>
      <c r="AY796" t="s">
        <v>2400</v>
      </c>
      <c r="AZ796" t="s">
        <v>2401</v>
      </c>
      <c r="BA796" t="s">
        <v>570</v>
      </c>
      <c r="BB796" t="str">
        <f t="shared" si="12"/>
        <v>CIHPkdChikun</v>
      </c>
    </row>
    <row r="797" spans="48:54" x14ac:dyDescent="0.25">
      <c r="AV797" t="s">
        <v>822</v>
      </c>
      <c r="AW797" t="s">
        <v>179</v>
      </c>
      <c r="AX797" t="s">
        <v>688</v>
      </c>
      <c r="AY797" t="s">
        <v>2402</v>
      </c>
      <c r="AZ797" t="s">
        <v>2403</v>
      </c>
      <c r="BA797" t="s">
        <v>570</v>
      </c>
      <c r="BB797" t="str">
        <f t="shared" si="12"/>
        <v>CIHPkdIgabi</v>
      </c>
    </row>
    <row r="798" spans="48:54" x14ac:dyDescent="0.25">
      <c r="AV798" t="s">
        <v>822</v>
      </c>
      <c r="AW798" t="s">
        <v>179</v>
      </c>
      <c r="AX798" t="s">
        <v>689</v>
      </c>
      <c r="AY798" t="s">
        <v>2404</v>
      </c>
      <c r="AZ798" t="s">
        <v>2405</v>
      </c>
      <c r="BA798" t="s">
        <v>570</v>
      </c>
      <c r="BB798" t="str">
        <f t="shared" si="12"/>
        <v>CIHPkdJaba</v>
      </c>
    </row>
    <row r="799" spans="48:54" x14ac:dyDescent="0.25">
      <c r="AV799" t="s">
        <v>822</v>
      </c>
      <c r="AW799" t="s">
        <v>179</v>
      </c>
      <c r="AX799" t="s">
        <v>689</v>
      </c>
      <c r="AY799" t="s">
        <v>2406</v>
      </c>
      <c r="AZ799" t="s">
        <v>2407</v>
      </c>
      <c r="BA799" t="s">
        <v>570</v>
      </c>
      <c r="BB799" t="str">
        <f t="shared" si="12"/>
        <v>CIHPkdJaba</v>
      </c>
    </row>
    <row r="800" spans="48:54" x14ac:dyDescent="0.25">
      <c r="AV800" t="s">
        <v>822</v>
      </c>
      <c r="AW800" t="s">
        <v>179</v>
      </c>
      <c r="AX800" t="s">
        <v>689</v>
      </c>
      <c r="AY800" t="s">
        <v>2408</v>
      </c>
      <c r="AZ800" t="s">
        <v>2409</v>
      </c>
      <c r="BA800" t="s">
        <v>570</v>
      </c>
      <c r="BB800" t="str">
        <f t="shared" si="12"/>
        <v>CIHPkdJaba</v>
      </c>
    </row>
    <row r="801" spans="48:54" x14ac:dyDescent="0.25">
      <c r="AV801" t="s">
        <v>822</v>
      </c>
      <c r="AW801" t="s">
        <v>179</v>
      </c>
      <c r="AX801" t="s">
        <v>689</v>
      </c>
      <c r="AY801" t="s">
        <v>2410</v>
      </c>
      <c r="AZ801" t="s">
        <v>2411</v>
      </c>
      <c r="BA801" t="s">
        <v>570</v>
      </c>
      <c r="BB801" t="str">
        <f t="shared" si="12"/>
        <v>CIHPkdJaba</v>
      </c>
    </row>
    <row r="802" spans="48:54" x14ac:dyDescent="0.25">
      <c r="AV802" t="s">
        <v>822</v>
      </c>
      <c r="AW802" t="s">
        <v>179</v>
      </c>
      <c r="AX802" t="s">
        <v>689</v>
      </c>
      <c r="AY802" t="s">
        <v>2412</v>
      </c>
      <c r="AZ802" t="s">
        <v>2413</v>
      </c>
      <c r="BA802" t="s">
        <v>570</v>
      </c>
      <c r="BB802" t="str">
        <f t="shared" si="12"/>
        <v>CIHPkdJaba</v>
      </c>
    </row>
    <row r="803" spans="48:54" x14ac:dyDescent="0.25">
      <c r="AV803" t="s">
        <v>822</v>
      </c>
      <c r="AW803" t="s">
        <v>179</v>
      </c>
      <c r="AX803" t="s">
        <v>3801</v>
      </c>
      <c r="AY803" t="s">
        <v>2414</v>
      </c>
      <c r="AZ803" t="s">
        <v>2415</v>
      </c>
      <c r="BA803" t="s">
        <v>570</v>
      </c>
      <c r="BB803" t="str">
        <f t="shared" si="12"/>
        <v>CIHPkdJemaa</v>
      </c>
    </row>
    <row r="804" spans="48:54" x14ac:dyDescent="0.25">
      <c r="AV804" t="s">
        <v>822</v>
      </c>
      <c r="AW804" t="s">
        <v>179</v>
      </c>
      <c r="AX804" t="s">
        <v>3801</v>
      </c>
      <c r="AY804" t="s">
        <v>2416</v>
      </c>
      <c r="AZ804" t="s">
        <v>2417</v>
      </c>
      <c r="BA804" t="s">
        <v>570</v>
      </c>
      <c r="BB804" t="str">
        <f t="shared" si="12"/>
        <v>CIHPkdJemaa</v>
      </c>
    </row>
    <row r="805" spans="48:54" x14ac:dyDescent="0.25">
      <c r="AV805" t="s">
        <v>822</v>
      </c>
      <c r="AW805" t="s">
        <v>179</v>
      </c>
      <c r="AX805" t="s">
        <v>3801</v>
      </c>
      <c r="AY805" t="s">
        <v>2418</v>
      </c>
      <c r="AZ805" t="s">
        <v>2419</v>
      </c>
      <c r="BA805" t="s">
        <v>570</v>
      </c>
      <c r="BB805" t="str">
        <f t="shared" si="12"/>
        <v>CIHPkdJemaa</v>
      </c>
    </row>
    <row r="806" spans="48:54" x14ac:dyDescent="0.25">
      <c r="AV806" t="s">
        <v>822</v>
      </c>
      <c r="AW806" t="s">
        <v>179</v>
      </c>
      <c r="AX806" t="s">
        <v>3801</v>
      </c>
      <c r="AY806" t="s">
        <v>2420</v>
      </c>
      <c r="AZ806" t="s">
        <v>2421</v>
      </c>
      <c r="BA806" t="s">
        <v>570</v>
      </c>
      <c r="BB806" t="str">
        <f t="shared" si="12"/>
        <v>CIHPkdJemaa</v>
      </c>
    </row>
    <row r="807" spans="48:54" x14ac:dyDescent="0.25">
      <c r="AV807" t="s">
        <v>822</v>
      </c>
      <c r="AW807" t="s">
        <v>179</v>
      </c>
      <c r="AX807" t="s">
        <v>3801</v>
      </c>
      <c r="AY807" t="s">
        <v>2422</v>
      </c>
      <c r="AZ807" t="s">
        <v>2423</v>
      </c>
      <c r="BA807" t="s">
        <v>570</v>
      </c>
      <c r="BB807" t="str">
        <f t="shared" si="12"/>
        <v>CIHPkdJemaa</v>
      </c>
    </row>
    <row r="808" spans="48:54" x14ac:dyDescent="0.25">
      <c r="AV808" t="s">
        <v>822</v>
      </c>
      <c r="AW808" t="s">
        <v>179</v>
      </c>
      <c r="AX808" t="s">
        <v>3801</v>
      </c>
      <c r="AY808" t="s">
        <v>2424</v>
      </c>
      <c r="AZ808" t="s">
        <v>2425</v>
      </c>
      <c r="BA808" t="s">
        <v>570</v>
      </c>
      <c r="BB808" t="str">
        <f t="shared" si="12"/>
        <v>CIHPkdJemaa</v>
      </c>
    </row>
    <row r="809" spans="48:54" x14ac:dyDescent="0.25">
      <c r="AV809" t="s">
        <v>822</v>
      </c>
      <c r="AW809" t="s">
        <v>179</v>
      </c>
      <c r="AX809" t="s">
        <v>3801</v>
      </c>
      <c r="AY809" t="s">
        <v>2426</v>
      </c>
      <c r="AZ809" t="s">
        <v>2427</v>
      </c>
      <c r="BA809" t="s">
        <v>570</v>
      </c>
      <c r="BB809" t="str">
        <f t="shared" si="12"/>
        <v>CIHPkdJemaa</v>
      </c>
    </row>
    <row r="810" spans="48:54" x14ac:dyDescent="0.25">
      <c r="AV810" t="s">
        <v>822</v>
      </c>
      <c r="AW810" t="s">
        <v>179</v>
      </c>
      <c r="AX810" t="s">
        <v>3801</v>
      </c>
      <c r="AY810" t="s">
        <v>2428</v>
      </c>
      <c r="AZ810" t="s">
        <v>2429</v>
      </c>
      <c r="BA810" t="s">
        <v>570</v>
      </c>
      <c r="BB810" t="str">
        <f t="shared" si="12"/>
        <v>CIHPkdJemaa</v>
      </c>
    </row>
    <row r="811" spans="48:54" x14ac:dyDescent="0.25">
      <c r="AV811" t="s">
        <v>822</v>
      </c>
      <c r="AW811" t="s">
        <v>179</v>
      </c>
      <c r="AX811" t="s">
        <v>3801</v>
      </c>
      <c r="AY811" t="s">
        <v>2430</v>
      </c>
      <c r="AZ811" t="s">
        <v>2431</v>
      </c>
      <c r="BA811" t="s">
        <v>570</v>
      </c>
      <c r="BB811" t="str">
        <f t="shared" si="12"/>
        <v>CIHPkdJemaa</v>
      </c>
    </row>
    <row r="812" spans="48:54" x14ac:dyDescent="0.25">
      <c r="AV812" t="s">
        <v>822</v>
      </c>
      <c r="AW812" t="s">
        <v>179</v>
      </c>
      <c r="AX812" t="s">
        <v>3801</v>
      </c>
      <c r="AY812" t="s">
        <v>2432</v>
      </c>
      <c r="AZ812" t="s">
        <v>2433</v>
      </c>
      <c r="BA812" t="s">
        <v>570</v>
      </c>
      <c r="BB812" t="str">
        <f t="shared" si="12"/>
        <v>CIHPkdJemaa</v>
      </c>
    </row>
    <row r="813" spans="48:54" x14ac:dyDescent="0.25">
      <c r="AV813" t="s">
        <v>822</v>
      </c>
      <c r="AW813" t="s">
        <v>179</v>
      </c>
      <c r="AX813" t="s">
        <v>690</v>
      </c>
      <c r="AY813" t="s">
        <v>2434</v>
      </c>
      <c r="AZ813" t="s">
        <v>2435</v>
      </c>
      <c r="BA813" t="s">
        <v>570</v>
      </c>
      <c r="BB813" t="str">
        <f t="shared" si="12"/>
        <v>CIHPkdKachia</v>
      </c>
    </row>
    <row r="814" spans="48:54" x14ac:dyDescent="0.25">
      <c r="AV814" t="s">
        <v>822</v>
      </c>
      <c r="AW814" t="s">
        <v>179</v>
      </c>
      <c r="AX814" t="s">
        <v>690</v>
      </c>
      <c r="AY814" t="s">
        <v>2436</v>
      </c>
      <c r="AZ814" t="s">
        <v>2437</v>
      </c>
      <c r="BA814" t="s">
        <v>570</v>
      </c>
      <c r="BB814" t="str">
        <f t="shared" si="12"/>
        <v>CIHPkdKachia</v>
      </c>
    </row>
    <row r="815" spans="48:54" x14ac:dyDescent="0.25">
      <c r="AV815" t="s">
        <v>822</v>
      </c>
      <c r="AW815" t="s">
        <v>179</v>
      </c>
      <c r="AX815" t="s">
        <v>690</v>
      </c>
      <c r="AY815" t="s">
        <v>2438</v>
      </c>
      <c r="AZ815" t="s">
        <v>2439</v>
      </c>
      <c r="BA815" t="s">
        <v>570</v>
      </c>
      <c r="BB815" t="str">
        <f t="shared" si="12"/>
        <v>CIHPkdKachia</v>
      </c>
    </row>
    <row r="816" spans="48:54" x14ac:dyDescent="0.25">
      <c r="AV816" t="s">
        <v>822</v>
      </c>
      <c r="AW816" t="s">
        <v>179</v>
      </c>
      <c r="AX816" t="s">
        <v>691</v>
      </c>
      <c r="AY816" t="s">
        <v>2440</v>
      </c>
      <c r="AZ816" t="s">
        <v>2441</v>
      </c>
      <c r="BA816" t="s">
        <v>570</v>
      </c>
      <c r="BB816" t="str">
        <f t="shared" si="12"/>
        <v>CIHPkdKadunaNorth</v>
      </c>
    </row>
    <row r="817" spans="48:54" x14ac:dyDescent="0.25">
      <c r="AV817" t="s">
        <v>822</v>
      </c>
      <c r="AW817" t="s">
        <v>179</v>
      </c>
      <c r="AX817" t="s">
        <v>691</v>
      </c>
      <c r="AY817" t="s">
        <v>2442</v>
      </c>
      <c r="AZ817" t="s">
        <v>2443</v>
      </c>
      <c r="BA817" t="s">
        <v>570</v>
      </c>
      <c r="BB817" t="str">
        <f t="shared" si="12"/>
        <v>CIHPkdKadunaNorth</v>
      </c>
    </row>
    <row r="818" spans="48:54" x14ac:dyDescent="0.25">
      <c r="AV818" t="s">
        <v>822</v>
      </c>
      <c r="AW818" t="s">
        <v>179</v>
      </c>
      <c r="AX818" t="s">
        <v>691</v>
      </c>
      <c r="AY818" t="s">
        <v>2444</v>
      </c>
      <c r="AZ818" t="s">
        <v>2445</v>
      </c>
      <c r="BA818" t="s">
        <v>570</v>
      </c>
      <c r="BB818" t="str">
        <f t="shared" si="12"/>
        <v>CIHPkdKadunaNorth</v>
      </c>
    </row>
    <row r="819" spans="48:54" x14ac:dyDescent="0.25">
      <c r="AV819" t="s">
        <v>822</v>
      </c>
      <c r="AW819" t="s">
        <v>179</v>
      </c>
      <c r="AX819" t="s">
        <v>691</v>
      </c>
      <c r="AY819" t="s">
        <v>2446</v>
      </c>
      <c r="AZ819" t="s">
        <v>2447</v>
      </c>
      <c r="BA819" t="s">
        <v>570</v>
      </c>
      <c r="BB819" t="str">
        <f t="shared" si="12"/>
        <v>CIHPkdKadunaNorth</v>
      </c>
    </row>
    <row r="820" spans="48:54" x14ac:dyDescent="0.25">
      <c r="AV820" t="s">
        <v>822</v>
      </c>
      <c r="AW820" t="s">
        <v>179</v>
      </c>
      <c r="AX820" t="s">
        <v>691</v>
      </c>
      <c r="AY820" t="s">
        <v>2448</v>
      </c>
      <c r="AZ820" t="s">
        <v>2449</v>
      </c>
      <c r="BA820" t="s">
        <v>570</v>
      </c>
      <c r="BB820" t="str">
        <f t="shared" si="12"/>
        <v>CIHPkdKadunaNorth</v>
      </c>
    </row>
    <row r="821" spans="48:54" x14ac:dyDescent="0.25">
      <c r="AV821" t="s">
        <v>822</v>
      </c>
      <c r="AW821" t="s">
        <v>179</v>
      </c>
      <c r="AX821" t="s">
        <v>691</v>
      </c>
      <c r="AY821" t="s">
        <v>2450</v>
      </c>
      <c r="AZ821" t="s">
        <v>2451</v>
      </c>
      <c r="BA821" t="s">
        <v>570</v>
      </c>
      <c r="BB821" t="str">
        <f t="shared" si="12"/>
        <v>CIHPkdKadunaNorth</v>
      </c>
    </row>
    <row r="822" spans="48:54" x14ac:dyDescent="0.25">
      <c r="AV822" t="s">
        <v>822</v>
      </c>
      <c r="AW822" t="s">
        <v>179</v>
      </c>
      <c r="AX822" t="s">
        <v>691</v>
      </c>
      <c r="AY822" t="s">
        <v>2452</v>
      </c>
      <c r="AZ822" t="s">
        <v>2453</v>
      </c>
      <c r="BA822" t="s">
        <v>570</v>
      </c>
      <c r="BB822" t="str">
        <f t="shared" si="12"/>
        <v>CIHPkdKadunaNorth</v>
      </c>
    </row>
    <row r="823" spans="48:54" x14ac:dyDescent="0.25">
      <c r="AV823" t="s">
        <v>822</v>
      </c>
      <c r="AW823" t="s">
        <v>179</v>
      </c>
      <c r="AX823" t="s">
        <v>691</v>
      </c>
      <c r="AY823" t="s">
        <v>2454</v>
      </c>
      <c r="AZ823" t="s">
        <v>2455</v>
      </c>
      <c r="BA823" t="s">
        <v>570</v>
      </c>
      <c r="BB823" t="str">
        <f t="shared" si="12"/>
        <v>CIHPkdKadunaNorth</v>
      </c>
    </row>
    <row r="824" spans="48:54" x14ac:dyDescent="0.25">
      <c r="AV824" t="s">
        <v>822</v>
      </c>
      <c r="AW824" t="s">
        <v>179</v>
      </c>
      <c r="AX824" t="s">
        <v>683</v>
      </c>
      <c r="AY824" t="s">
        <v>2456</v>
      </c>
      <c r="AZ824" t="s">
        <v>2457</v>
      </c>
      <c r="BA824" t="s">
        <v>570</v>
      </c>
      <c r="BB824" t="str">
        <f t="shared" si="12"/>
        <v>CIHPkdKadunaSouth</v>
      </c>
    </row>
    <row r="825" spans="48:54" x14ac:dyDescent="0.25">
      <c r="AV825" t="s">
        <v>822</v>
      </c>
      <c r="AW825" t="s">
        <v>179</v>
      </c>
      <c r="AX825" t="s">
        <v>683</v>
      </c>
      <c r="AY825" t="s">
        <v>2458</v>
      </c>
      <c r="AZ825" t="s">
        <v>2459</v>
      </c>
      <c r="BA825" t="s">
        <v>570</v>
      </c>
      <c r="BB825" t="str">
        <f t="shared" si="12"/>
        <v>CIHPkdKadunaSouth</v>
      </c>
    </row>
    <row r="826" spans="48:54" x14ac:dyDescent="0.25">
      <c r="AV826" t="s">
        <v>822</v>
      </c>
      <c r="AW826" t="s">
        <v>179</v>
      </c>
      <c r="AX826" t="s">
        <v>683</v>
      </c>
      <c r="AY826" t="s">
        <v>2460</v>
      </c>
      <c r="AZ826" t="s">
        <v>2461</v>
      </c>
      <c r="BA826" t="s">
        <v>570</v>
      </c>
      <c r="BB826" t="str">
        <f t="shared" si="12"/>
        <v>CIHPkdKadunaSouth</v>
      </c>
    </row>
    <row r="827" spans="48:54" x14ac:dyDescent="0.25">
      <c r="AV827" t="s">
        <v>822</v>
      </c>
      <c r="AW827" t="s">
        <v>179</v>
      </c>
      <c r="AX827" t="s">
        <v>683</v>
      </c>
      <c r="AY827" t="s">
        <v>2462</v>
      </c>
      <c r="AZ827" t="s">
        <v>2463</v>
      </c>
      <c r="BA827" t="s">
        <v>570</v>
      </c>
      <c r="BB827" t="str">
        <f t="shared" si="12"/>
        <v>CIHPkdKadunaSouth</v>
      </c>
    </row>
    <row r="828" spans="48:54" x14ac:dyDescent="0.25">
      <c r="AV828" t="s">
        <v>822</v>
      </c>
      <c r="AW828" t="s">
        <v>179</v>
      </c>
      <c r="AX828" t="s">
        <v>683</v>
      </c>
      <c r="AY828" t="s">
        <v>2464</v>
      </c>
      <c r="AZ828" t="s">
        <v>2465</v>
      </c>
      <c r="BA828" t="s">
        <v>570</v>
      </c>
      <c r="BB828" t="str">
        <f t="shared" si="12"/>
        <v>CIHPkdKadunaSouth</v>
      </c>
    </row>
    <row r="829" spans="48:54" x14ac:dyDescent="0.25">
      <c r="AV829" t="s">
        <v>822</v>
      </c>
      <c r="AW829" t="s">
        <v>179</v>
      </c>
      <c r="AX829" t="s">
        <v>683</v>
      </c>
      <c r="AY829" t="s">
        <v>2466</v>
      </c>
      <c r="AZ829" t="s">
        <v>2467</v>
      </c>
      <c r="BA829" t="s">
        <v>570</v>
      </c>
      <c r="BB829" t="str">
        <f t="shared" si="12"/>
        <v>CIHPkdKadunaSouth</v>
      </c>
    </row>
    <row r="830" spans="48:54" x14ac:dyDescent="0.25">
      <c r="AV830" t="s">
        <v>822</v>
      </c>
      <c r="AW830" t="s">
        <v>179</v>
      </c>
      <c r="AX830" t="s">
        <v>683</v>
      </c>
      <c r="AY830" t="s">
        <v>2468</v>
      </c>
      <c r="AZ830" t="s">
        <v>2469</v>
      </c>
      <c r="BA830" t="s">
        <v>570</v>
      </c>
      <c r="BB830" t="str">
        <f t="shared" si="12"/>
        <v>CIHPkdKadunaSouth</v>
      </c>
    </row>
    <row r="831" spans="48:54" x14ac:dyDescent="0.25">
      <c r="AV831" t="s">
        <v>822</v>
      </c>
      <c r="AW831" t="s">
        <v>179</v>
      </c>
      <c r="AX831" t="s">
        <v>683</v>
      </c>
      <c r="AY831" t="s">
        <v>2470</v>
      </c>
      <c r="AZ831" t="s">
        <v>2471</v>
      </c>
      <c r="BA831" t="s">
        <v>570</v>
      </c>
      <c r="BB831" t="str">
        <f t="shared" si="12"/>
        <v>CIHPkdKadunaSouth</v>
      </c>
    </row>
    <row r="832" spans="48:54" x14ac:dyDescent="0.25">
      <c r="AV832" t="s">
        <v>822</v>
      </c>
      <c r="AW832" t="s">
        <v>179</v>
      </c>
      <c r="AX832" t="s">
        <v>683</v>
      </c>
      <c r="AY832" t="s">
        <v>2472</v>
      </c>
      <c r="AZ832" t="s">
        <v>2473</v>
      </c>
      <c r="BA832" t="s">
        <v>570</v>
      </c>
      <c r="BB832" t="str">
        <f t="shared" si="12"/>
        <v>CIHPkdKadunaSouth</v>
      </c>
    </row>
    <row r="833" spans="48:54" x14ac:dyDescent="0.25">
      <c r="AV833" t="s">
        <v>822</v>
      </c>
      <c r="AW833" t="s">
        <v>179</v>
      </c>
      <c r="AX833" t="s">
        <v>683</v>
      </c>
      <c r="AY833" t="s">
        <v>2474</v>
      </c>
      <c r="AZ833" t="s">
        <v>2475</v>
      </c>
      <c r="BA833" t="s">
        <v>570</v>
      </c>
      <c r="BB833" t="str">
        <f t="shared" si="12"/>
        <v>CIHPkdKadunaSouth</v>
      </c>
    </row>
    <row r="834" spans="48:54" x14ac:dyDescent="0.25">
      <c r="AV834" t="s">
        <v>822</v>
      </c>
      <c r="AW834" t="s">
        <v>179</v>
      </c>
      <c r="AX834" t="s">
        <v>683</v>
      </c>
      <c r="AY834" t="s">
        <v>2476</v>
      </c>
      <c r="AZ834" t="s">
        <v>2477</v>
      </c>
      <c r="BA834" t="s">
        <v>570</v>
      </c>
      <c r="BB834" t="str">
        <f t="shared" si="12"/>
        <v>CIHPkdKadunaSouth</v>
      </c>
    </row>
    <row r="835" spans="48:54" x14ac:dyDescent="0.25">
      <c r="AV835" t="s">
        <v>822</v>
      </c>
      <c r="AW835" t="s">
        <v>179</v>
      </c>
      <c r="AX835" t="s">
        <v>683</v>
      </c>
      <c r="AY835" t="s">
        <v>2478</v>
      </c>
      <c r="AZ835" t="s">
        <v>2479</v>
      </c>
      <c r="BA835" t="s">
        <v>570</v>
      </c>
      <c r="BB835" t="str">
        <f t="shared" ref="BB835:BB898" si="13">SUBSTITUTE(SUBSTITUTE(BA835&amp;AX835," ",""),"-","")</f>
        <v>CIHPkdKadunaSouth</v>
      </c>
    </row>
    <row r="836" spans="48:54" x14ac:dyDescent="0.25">
      <c r="AV836" t="s">
        <v>822</v>
      </c>
      <c r="AW836" t="s">
        <v>179</v>
      </c>
      <c r="AX836" t="s">
        <v>683</v>
      </c>
      <c r="AY836" t="s">
        <v>2480</v>
      </c>
      <c r="AZ836" t="s">
        <v>2481</v>
      </c>
      <c r="BA836" t="s">
        <v>570</v>
      </c>
      <c r="BB836" t="str">
        <f t="shared" si="13"/>
        <v>CIHPkdKadunaSouth</v>
      </c>
    </row>
    <row r="837" spans="48:54" x14ac:dyDescent="0.25">
      <c r="AV837" t="s">
        <v>822</v>
      </c>
      <c r="AW837" t="s">
        <v>179</v>
      </c>
      <c r="AX837" t="s">
        <v>692</v>
      </c>
      <c r="AY837" t="s">
        <v>2482</v>
      </c>
      <c r="AZ837" t="s">
        <v>2483</v>
      </c>
      <c r="BA837" t="s">
        <v>570</v>
      </c>
      <c r="BB837" t="str">
        <f t="shared" si="13"/>
        <v>CIHPkdKagarko</v>
      </c>
    </row>
    <row r="838" spans="48:54" x14ac:dyDescent="0.25">
      <c r="AV838" t="s">
        <v>822</v>
      </c>
      <c r="AW838" t="s">
        <v>179</v>
      </c>
      <c r="AX838" t="s">
        <v>692</v>
      </c>
      <c r="AY838" t="s">
        <v>2484</v>
      </c>
      <c r="AZ838" t="s">
        <v>2485</v>
      </c>
      <c r="BA838" t="s">
        <v>570</v>
      </c>
      <c r="BB838" t="str">
        <f t="shared" si="13"/>
        <v>CIHPkdKagarko</v>
      </c>
    </row>
    <row r="839" spans="48:54" x14ac:dyDescent="0.25">
      <c r="AV839" t="s">
        <v>822</v>
      </c>
      <c r="AW839" t="s">
        <v>179</v>
      </c>
      <c r="AX839" t="s">
        <v>693</v>
      </c>
      <c r="AY839" t="s">
        <v>2486</v>
      </c>
      <c r="AZ839" t="s">
        <v>2487</v>
      </c>
      <c r="BA839" t="s">
        <v>570</v>
      </c>
      <c r="BB839" t="str">
        <f t="shared" si="13"/>
        <v>CIHPkdKajuru</v>
      </c>
    </row>
    <row r="840" spans="48:54" x14ac:dyDescent="0.25">
      <c r="AV840" t="s">
        <v>822</v>
      </c>
      <c r="AW840" t="s">
        <v>179</v>
      </c>
      <c r="AX840" t="s">
        <v>694</v>
      </c>
      <c r="AY840" t="s">
        <v>2488</v>
      </c>
      <c r="AZ840" t="s">
        <v>2489</v>
      </c>
      <c r="BA840" t="s">
        <v>570</v>
      </c>
      <c r="BB840" t="str">
        <f t="shared" si="13"/>
        <v>CIHPkdKaura</v>
      </c>
    </row>
    <row r="841" spans="48:54" x14ac:dyDescent="0.25">
      <c r="AV841" t="s">
        <v>822</v>
      </c>
      <c r="AW841" t="s">
        <v>179</v>
      </c>
      <c r="AX841" t="s">
        <v>694</v>
      </c>
      <c r="AY841" t="s">
        <v>2490</v>
      </c>
      <c r="AZ841" t="s">
        <v>2491</v>
      </c>
      <c r="BA841" t="s">
        <v>570</v>
      </c>
      <c r="BB841" t="str">
        <f t="shared" si="13"/>
        <v>CIHPkdKaura</v>
      </c>
    </row>
    <row r="842" spans="48:54" x14ac:dyDescent="0.25">
      <c r="AV842" t="s">
        <v>822</v>
      </c>
      <c r="AW842" t="s">
        <v>179</v>
      </c>
      <c r="AX842" t="s">
        <v>694</v>
      </c>
      <c r="AY842" t="s">
        <v>2492</v>
      </c>
      <c r="AZ842" t="s">
        <v>2493</v>
      </c>
      <c r="BA842" t="s">
        <v>570</v>
      </c>
      <c r="BB842" t="str">
        <f t="shared" si="13"/>
        <v>CIHPkdKaura</v>
      </c>
    </row>
    <row r="843" spans="48:54" x14ac:dyDescent="0.25">
      <c r="AV843" t="s">
        <v>822</v>
      </c>
      <c r="AW843" t="s">
        <v>179</v>
      </c>
      <c r="AX843" t="s">
        <v>694</v>
      </c>
      <c r="AY843" t="s">
        <v>2494</v>
      </c>
      <c r="AZ843" t="s">
        <v>2495</v>
      </c>
      <c r="BA843" t="s">
        <v>570</v>
      </c>
      <c r="BB843" t="str">
        <f t="shared" si="13"/>
        <v>CIHPkdKaura</v>
      </c>
    </row>
    <row r="844" spans="48:54" x14ac:dyDescent="0.25">
      <c r="AV844" t="s">
        <v>822</v>
      </c>
      <c r="AW844" t="s">
        <v>179</v>
      </c>
      <c r="AX844" t="s">
        <v>694</v>
      </c>
      <c r="AY844" t="s">
        <v>2496</v>
      </c>
      <c r="AZ844" t="s">
        <v>2497</v>
      </c>
      <c r="BA844" t="s">
        <v>570</v>
      </c>
      <c r="BB844" t="str">
        <f t="shared" si="13"/>
        <v>CIHPkdKaura</v>
      </c>
    </row>
    <row r="845" spans="48:54" x14ac:dyDescent="0.25">
      <c r="AV845" t="s">
        <v>822</v>
      </c>
      <c r="AW845" t="s">
        <v>179</v>
      </c>
      <c r="AX845" t="s">
        <v>684</v>
      </c>
      <c r="AY845" t="s">
        <v>2498</v>
      </c>
      <c r="AZ845" t="s">
        <v>2499</v>
      </c>
      <c r="BA845" t="s">
        <v>570</v>
      </c>
      <c r="BB845" t="str">
        <f t="shared" si="13"/>
        <v>CIHPkdKubau</v>
      </c>
    </row>
    <row r="846" spans="48:54" x14ac:dyDescent="0.25">
      <c r="AV846" t="s">
        <v>822</v>
      </c>
      <c r="AW846" t="s">
        <v>179</v>
      </c>
      <c r="AX846" t="s">
        <v>686</v>
      </c>
      <c r="AY846" t="s">
        <v>2500</v>
      </c>
      <c r="AZ846" t="s">
        <v>2501</v>
      </c>
      <c r="BA846" t="s">
        <v>570</v>
      </c>
      <c r="BB846" t="str">
        <f t="shared" si="13"/>
        <v>CIHPkdSanga</v>
      </c>
    </row>
    <row r="847" spans="48:54" x14ac:dyDescent="0.25">
      <c r="AV847" t="s">
        <v>822</v>
      </c>
      <c r="AW847" t="s">
        <v>179</v>
      </c>
      <c r="AX847" t="s">
        <v>686</v>
      </c>
      <c r="AY847" t="s">
        <v>2502</v>
      </c>
      <c r="AZ847" t="s">
        <v>2503</v>
      </c>
      <c r="BA847" t="s">
        <v>570</v>
      </c>
      <c r="BB847" t="str">
        <f t="shared" si="13"/>
        <v>CIHPkdSanga</v>
      </c>
    </row>
    <row r="848" spans="48:54" x14ac:dyDescent="0.25">
      <c r="AV848" t="s">
        <v>822</v>
      </c>
      <c r="AW848" t="s">
        <v>179</v>
      </c>
      <c r="AX848" t="s">
        <v>686</v>
      </c>
      <c r="AY848" t="s">
        <v>2504</v>
      </c>
      <c r="AZ848" t="s">
        <v>2505</v>
      </c>
      <c r="BA848" t="s">
        <v>570</v>
      </c>
      <c r="BB848" t="str">
        <f t="shared" si="13"/>
        <v>CIHPkdSanga</v>
      </c>
    </row>
    <row r="849" spans="48:54" x14ac:dyDescent="0.25">
      <c r="AV849" t="s">
        <v>822</v>
      </c>
      <c r="AW849" t="s">
        <v>179</v>
      </c>
      <c r="AX849" t="s">
        <v>686</v>
      </c>
      <c r="AY849" t="s">
        <v>2506</v>
      </c>
      <c r="AZ849" t="s">
        <v>2507</v>
      </c>
      <c r="BA849" t="s">
        <v>570</v>
      </c>
      <c r="BB849" t="str">
        <f t="shared" si="13"/>
        <v>CIHPkdSanga</v>
      </c>
    </row>
    <row r="850" spans="48:54" x14ac:dyDescent="0.25">
      <c r="AV850" t="s">
        <v>822</v>
      </c>
      <c r="AW850" t="s">
        <v>179</v>
      </c>
      <c r="AX850" t="s">
        <v>686</v>
      </c>
      <c r="AY850" t="s">
        <v>2508</v>
      </c>
      <c r="AZ850" t="s">
        <v>2509</v>
      </c>
      <c r="BA850" t="s">
        <v>570</v>
      </c>
      <c r="BB850" t="str">
        <f t="shared" si="13"/>
        <v>CIHPkdSanga</v>
      </c>
    </row>
    <row r="851" spans="48:54" x14ac:dyDescent="0.25">
      <c r="AV851" t="s">
        <v>822</v>
      </c>
      <c r="AW851" t="s">
        <v>179</v>
      </c>
      <c r="AX851" t="s">
        <v>686</v>
      </c>
      <c r="AY851" t="s">
        <v>2510</v>
      </c>
      <c r="AZ851" t="s">
        <v>2511</v>
      </c>
      <c r="BA851" t="s">
        <v>570</v>
      </c>
      <c r="BB851" t="str">
        <f t="shared" si="13"/>
        <v>CIHPkdSanga</v>
      </c>
    </row>
    <row r="852" spans="48:54" x14ac:dyDescent="0.25">
      <c r="AV852" t="s">
        <v>822</v>
      </c>
      <c r="AW852" t="s">
        <v>179</v>
      </c>
      <c r="AX852" t="s">
        <v>686</v>
      </c>
      <c r="AY852" t="s">
        <v>2512</v>
      </c>
      <c r="AZ852" t="s">
        <v>2513</v>
      </c>
      <c r="BA852" t="s">
        <v>570</v>
      </c>
      <c r="BB852" t="str">
        <f t="shared" si="13"/>
        <v>CIHPkdSanga</v>
      </c>
    </row>
    <row r="853" spans="48:54" x14ac:dyDescent="0.25">
      <c r="AV853" t="s">
        <v>822</v>
      </c>
      <c r="AW853" t="s">
        <v>179</v>
      </c>
      <c r="AX853" t="s">
        <v>686</v>
      </c>
      <c r="AY853" t="s">
        <v>2514</v>
      </c>
      <c r="AZ853" t="s">
        <v>2515</v>
      </c>
      <c r="BA853" t="s">
        <v>570</v>
      </c>
      <c r="BB853" t="str">
        <f t="shared" si="13"/>
        <v>CIHPkdSanga</v>
      </c>
    </row>
    <row r="854" spans="48:54" x14ac:dyDescent="0.25">
      <c r="AV854" t="s">
        <v>822</v>
      </c>
      <c r="AW854" t="s">
        <v>179</v>
      </c>
      <c r="AX854" t="s">
        <v>695</v>
      </c>
      <c r="AY854" t="s">
        <v>2516</v>
      </c>
      <c r="AZ854" t="s">
        <v>2517</v>
      </c>
      <c r="BA854" t="s">
        <v>570</v>
      </c>
      <c r="BB854" t="str">
        <f t="shared" si="13"/>
        <v>CIHPkdSoba</v>
      </c>
    </row>
    <row r="855" spans="48:54" x14ac:dyDescent="0.25">
      <c r="AV855" t="s">
        <v>822</v>
      </c>
      <c r="AW855" t="s">
        <v>179</v>
      </c>
      <c r="AX855" t="s">
        <v>687</v>
      </c>
      <c r="AY855" t="s">
        <v>2518</v>
      </c>
      <c r="AZ855" t="s">
        <v>2519</v>
      </c>
      <c r="BA855" t="s">
        <v>570</v>
      </c>
      <c r="BB855" t="str">
        <f t="shared" si="13"/>
        <v>CIHPkdZangoKataf</v>
      </c>
    </row>
    <row r="856" spans="48:54" x14ac:dyDescent="0.25">
      <c r="AV856" t="s">
        <v>822</v>
      </c>
      <c r="AW856" t="s">
        <v>179</v>
      </c>
      <c r="AX856" t="s">
        <v>696</v>
      </c>
      <c r="AY856" t="s">
        <v>2520</v>
      </c>
      <c r="AZ856" t="s">
        <v>2521</v>
      </c>
      <c r="BA856" t="s">
        <v>570</v>
      </c>
      <c r="BB856" t="str">
        <f t="shared" si="13"/>
        <v>CIHPkdZaria</v>
      </c>
    </row>
    <row r="857" spans="48:54" x14ac:dyDescent="0.25">
      <c r="AV857" t="s">
        <v>822</v>
      </c>
      <c r="AW857" t="s">
        <v>179</v>
      </c>
      <c r="AX857" t="s">
        <v>696</v>
      </c>
      <c r="AY857" t="s">
        <v>2522</v>
      </c>
      <c r="AZ857" t="s">
        <v>2523</v>
      </c>
      <c r="BA857" t="s">
        <v>570</v>
      </c>
      <c r="BB857" t="str">
        <f t="shared" si="13"/>
        <v>CIHPkdZaria</v>
      </c>
    </row>
    <row r="858" spans="48:54" x14ac:dyDescent="0.25">
      <c r="AV858" t="s">
        <v>822</v>
      </c>
      <c r="AW858" t="s">
        <v>179</v>
      </c>
      <c r="AX858" t="s">
        <v>696</v>
      </c>
      <c r="AY858" t="s">
        <v>2524</v>
      </c>
      <c r="AZ858" t="s">
        <v>2525</v>
      </c>
      <c r="BA858" t="s">
        <v>570</v>
      </c>
      <c r="BB858" t="str">
        <f t="shared" si="13"/>
        <v>CIHPkdZaria</v>
      </c>
    </row>
    <row r="859" spans="48:54" x14ac:dyDescent="0.25">
      <c r="AV859" t="s">
        <v>822</v>
      </c>
      <c r="AW859" t="s">
        <v>183</v>
      </c>
      <c r="AX859" t="s">
        <v>713</v>
      </c>
      <c r="AY859" t="s">
        <v>2526</v>
      </c>
      <c r="AZ859" t="s">
        <v>2527</v>
      </c>
      <c r="BA859" t="s">
        <v>570</v>
      </c>
      <c r="BB859" t="str">
        <f t="shared" si="13"/>
        <v>CIHPkoAdavi</v>
      </c>
    </row>
    <row r="860" spans="48:54" x14ac:dyDescent="0.25">
      <c r="AV860" t="s">
        <v>822</v>
      </c>
      <c r="AW860" t="s">
        <v>183</v>
      </c>
      <c r="AX860" t="s">
        <v>713</v>
      </c>
      <c r="AY860" t="s">
        <v>2528</v>
      </c>
      <c r="AZ860" t="s">
        <v>2529</v>
      </c>
      <c r="BA860" t="s">
        <v>570</v>
      </c>
      <c r="BB860" t="str">
        <f t="shared" si="13"/>
        <v>CIHPkoAdavi</v>
      </c>
    </row>
    <row r="861" spans="48:54" x14ac:dyDescent="0.25">
      <c r="AV861" t="s">
        <v>822</v>
      </c>
      <c r="AW861" t="s">
        <v>183</v>
      </c>
      <c r="AX861" t="s">
        <v>714</v>
      </c>
      <c r="AY861" t="s">
        <v>2530</v>
      </c>
      <c r="AZ861" t="s">
        <v>2531</v>
      </c>
      <c r="BA861" t="s">
        <v>570</v>
      </c>
      <c r="BB861" t="str">
        <f t="shared" si="13"/>
        <v>CIHPkoAjaokuta</v>
      </c>
    </row>
    <row r="862" spans="48:54" x14ac:dyDescent="0.25">
      <c r="AV862" t="s">
        <v>822</v>
      </c>
      <c r="AW862" t="s">
        <v>183</v>
      </c>
      <c r="AX862" t="s">
        <v>715</v>
      </c>
      <c r="AY862" t="s">
        <v>2532</v>
      </c>
      <c r="AZ862" t="s">
        <v>2533</v>
      </c>
      <c r="BA862" t="s">
        <v>570</v>
      </c>
      <c r="BB862" t="str">
        <f t="shared" si="13"/>
        <v>CIHPkoAnkpa</v>
      </c>
    </row>
    <row r="863" spans="48:54" x14ac:dyDescent="0.25">
      <c r="AV863" t="s">
        <v>822</v>
      </c>
      <c r="AW863" t="s">
        <v>183</v>
      </c>
      <c r="AX863" t="s">
        <v>715</v>
      </c>
      <c r="AY863" t="s">
        <v>2534</v>
      </c>
      <c r="AZ863" t="s">
        <v>2535</v>
      </c>
      <c r="BA863" t="s">
        <v>570</v>
      </c>
      <c r="BB863" t="str">
        <f t="shared" si="13"/>
        <v>CIHPkoAnkpa</v>
      </c>
    </row>
    <row r="864" spans="48:54" x14ac:dyDescent="0.25">
      <c r="AV864" t="s">
        <v>822</v>
      </c>
      <c r="AW864" t="s">
        <v>183</v>
      </c>
      <c r="AX864" t="s">
        <v>715</v>
      </c>
      <c r="AY864" t="s">
        <v>2536</v>
      </c>
      <c r="AZ864" t="s">
        <v>2537</v>
      </c>
      <c r="BA864" t="s">
        <v>570</v>
      </c>
      <c r="BB864" t="str">
        <f t="shared" si="13"/>
        <v>CIHPkoAnkpa</v>
      </c>
    </row>
    <row r="865" spans="48:54" x14ac:dyDescent="0.25">
      <c r="AV865" t="s">
        <v>822</v>
      </c>
      <c r="AW865" t="s">
        <v>183</v>
      </c>
      <c r="AX865" t="s">
        <v>715</v>
      </c>
      <c r="AY865" t="s">
        <v>2538</v>
      </c>
      <c r="AZ865" t="s">
        <v>2539</v>
      </c>
      <c r="BA865" t="s">
        <v>570</v>
      </c>
      <c r="BB865" t="str">
        <f t="shared" si="13"/>
        <v>CIHPkoAnkpa</v>
      </c>
    </row>
    <row r="866" spans="48:54" x14ac:dyDescent="0.25">
      <c r="AV866" t="s">
        <v>822</v>
      </c>
      <c r="AW866" t="s">
        <v>183</v>
      </c>
      <c r="AX866" t="s">
        <v>715</v>
      </c>
      <c r="AY866" t="s">
        <v>2540</v>
      </c>
      <c r="AZ866" t="s">
        <v>2541</v>
      </c>
      <c r="BA866" t="s">
        <v>570</v>
      </c>
      <c r="BB866" t="str">
        <f t="shared" si="13"/>
        <v>CIHPkoAnkpa</v>
      </c>
    </row>
    <row r="867" spans="48:54" x14ac:dyDescent="0.25">
      <c r="AV867" t="s">
        <v>822</v>
      </c>
      <c r="AW867" t="s">
        <v>183</v>
      </c>
      <c r="AX867" t="s">
        <v>715</v>
      </c>
      <c r="AY867" t="s">
        <v>2542</v>
      </c>
      <c r="AZ867" t="s">
        <v>2543</v>
      </c>
      <c r="BA867" t="s">
        <v>570</v>
      </c>
      <c r="BB867" t="str">
        <f t="shared" si="13"/>
        <v>CIHPkoAnkpa</v>
      </c>
    </row>
    <row r="868" spans="48:54" x14ac:dyDescent="0.25">
      <c r="AV868" t="s">
        <v>822</v>
      </c>
      <c r="AW868" t="s">
        <v>183</v>
      </c>
      <c r="AX868" t="s">
        <v>715</v>
      </c>
      <c r="AY868" t="s">
        <v>2544</v>
      </c>
      <c r="AZ868" t="s">
        <v>2545</v>
      </c>
      <c r="BA868" t="s">
        <v>570</v>
      </c>
      <c r="BB868" t="str">
        <f t="shared" si="13"/>
        <v>CIHPkoAnkpa</v>
      </c>
    </row>
    <row r="869" spans="48:54" x14ac:dyDescent="0.25">
      <c r="AV869" t="s">
        <v>822</v>
      </c>
      <c r="AW869" t="s">
        <v>183</v>
      </c>
      <c r="AX869" t="s">
        <v>710</v>
      </c>
      <c r="AY869" t="s">
        <v>2546</v>
      </c>
      <c r="AZ869" t="s">
        <v>2547</v>
      </c>
      <c r="BA869" t="s">
        <v>570</v>
      </c>
      <c r="BB869" t="str">
        <f t="shared" si="13"/>
        <v>CIHPkoDekina</v>
      </c>
    </row>
    <row r="870" spans="48:54" x14ac:dyDescent="0.25">
      <c r="AV870" t="s">
        <v>822</v>
      </c>
      <c r="AW870" t="s">
        <v>183</v>
      </c>
      <c r="AX870" t="s">
        <v>710</v>
      </c>
      <c r="AY870" t="s">
        <v>2548</v>
      </c>
      <c r="AZ870" t="s">
        <v>2549</v>
      </c>
      <c r="BA870" t="s">
        <v>570</v>
      </c>
      <c r="BB870" t="str">
        <f t="shared" si="13"/>
        <v>CIHPkoDekina</v>
      </c>
    </row>
    <row r="871" spans="48:54" x14ac:dyDescent="0.25">
      <c r="AV871" t="s">
        <v>822</v>
      </c>
      <c r="AW871" t="s">
        <v>183</v>
      </c>
      <c r="AX871" t="s">
        <v>710</v>
      </c>
      <c r="AY871" t="s">
        <v>2550</v>
      </c>
      <c r="AZ871" t="s">
        <v>2551</v>
      </c>
      <c r="BA871" t="s">
        <v>570</v>
      </c>
      <c r="BB871" t="str">
        <f t="shared" si="13"/>
        <v>CIHPkoDekina</v>
      </c>
    </row>
    <row r="872" spans="48:54" x14ac:dyDescent="0.25">
      <c r="AV872" t="s">
        <v>822</v>
      </c>
      <c r="AW872" t="s">
        <v>183</v>
      </c>
      <c r="AX872" t="s">
        <v>710</v>
      </c>
      <c r="AY872" t="s">
        <v>2552</v>
      </c>
      <c r="AZ872" t="s">
        <v>2553</v>
      </c>
      <c r="BA872" t="s">
        <v>570</v>
      </c>
      <c r="BB872" t="str">
        <f t="shared" si="13"/>
        <v>CIHPkoDekina</v>
      </c>
    </row>
    <row r="873" spans="48:54" x14ac:dyDescent="0.25">
      <c r="AV873" t="s">
        <v>822</v>
      </c>
      <c r="AW873" t="s">
        <v>183</v>
      </c>
      <c r="AX873" t="s">
        <v>716</v>
      </c>
      <c r="AY873" t="s">
        <v>2554</v>
      </c>
      <c r="AZ873" t="s">
        <v>2555</v>
      </c>
      <c r="BA873" t="s">
        <v>570</v>
      </c>
      <c r="BB873" t="str">
        <f t="shared" si="13"/>
        <v>CIHPkoIbaji</v>
      </c>
    </row>
    <row r="874" spans="48:54" x14ac:dyDescent="0.25">
      <c r="AV874" t="s">
        <v>822</v>
      </c>
      <c r="AW874" t="s">
        <v>183</v>
      </c>
      <c r="AX874" t="s">
        <v>711</v>
      </c>
      <c r="AY874" t="s">
        <v>2556</v>
      </c>
      <c r="AZ874" t="s">
        <v>2557</v>
      </c>
      <c r="BA874" t="s">
        <v>570</v>
      </c>
      <c r="BB874" t="str">
        <f t="shared" si="13"/>
        <v>CIHPkoIdah</v>
      </c>
    </row>
    <row r="875" spans="48:54" x14ac:dyDescent="0.25">
      <c r="AV875" t="s">
        <v>822</v>
      </c>
      <c r="AW875" t="s">
        <v>183</v>
      </c>
      <c r="AX875" t="s">
        <v>717</v>
      </c>
      <c r="AY875" t="s">
        <v>2558</v>
      </c>
      <c r="AZ875" t="s">
        <v>2559</v>
      </c>
      <c r="BA875" t="s">
        <v>570</v>
      </c>
      <c r="BB875" t="str">
        <f t="shared" si="13"/>
        <v>CIHPkoIgalamelaOdolu</v>
      </c>
    </row>
    <row r="876" spans="48:54" x14ac:dyDescent="0.25">
      <c r="AV876" t="s">
        <v>822</v>
      </c>
      <c r="AW876" t="s">
        <v>183</v>
      </c>
      <c r="AX876" t="s">
        <v>718</v>
      </c>
      <c r="AY876" t="s">
        <v>2560</v>
      </c>
      <c r="AZ876" t="s">
        <v>2561</v>
      </c>
      <c r="BA876" t="s">
        <v>570</v>
      </c>
      <c r="BB876" t="str">
        <f t="shared" si="13"/>
        <v>CIHPkoKogi</v>
      </c>
    </row>
    <row r="877" spans="48:54" x14ac:dyDescent="0.25">
      <c r="AV877" t="s">
        <v>822</v>
      </c>
      <c r="AW877" t="s">
        <v>183</v>
      </c>
      <c r="AX877" t="s">
        <v>718</v>
      </c>
      <c r="AY877" t="s">
        <v>2562</v>
      </c>
      <c r="AZ877" t="s">
        <v>2563</v>
      </c>
      <c r="BA877" t="s">
        <v>570</v>
      </c>
      <c r="BB877" t="str">
        <f t="shared" si="13"/>
        <v>CIHPkoKogi</v>
      </c>
    </row>
    <row r="878" spans="48:54" x14ac:dyDescent="0.25">
      <c r="AV878" t="s">
        <v>822</v>
      </c>
      <c r="AW878" t="s">
        <v>183</v>
      </c>
      <c r="AX878" t="s">
        <v>718</v>
      </c>
      <c r="AY878" t="s">
        <v>2564</v>
      </c>
      <c r="AZ878" t="s">
        <v>2565</v>
      </c>
      <c r="BA878" t="s">
        <v>570</v>
      </c>
      <c r="BB878" t="str">
        <f t="shared" si="13"/>
        <v>CIHPkoKogi</v>
      </c>
    </row>
    <row r="879" spans="48:54" x14ac:dyDescent="0.25">
      <c r="AV879" t="s">
        <v>822</v>
      </c>
      <c r="AW879" t="s">
        <v>183</v>
      </c>
      <c r="AX879" t="s">
        <v>719</v>
      </c>
      <c r="AY879" t="s">
        <v>2566</v>
      </c>
      <c r="AZ879" t="s">
        <v>2567</v>
      </c>
      <c r="BA879" t="s">
        <v>570</v>
      </c>
      <c r="BB879" t="str">
        <f t="shared" si="13"/>
        <v>CIHPkoLokoja</v>
      </c>
    </row>
    <row r="880" spans="48:54" x14ac:dyDescent="0.25">
      <c r="AV880" t="s">
        <v>822</v>
      </c>
      <c r="AW880" t="s">
        <v>183</v>
      </c>
      <c r="AX880" t="s">
        <v>719</v>
      </c>
      <c r="AY880" t="s">
        <v>2568</v>
      </c>
      <c r="AZ880" t="s">
        <v>2569</v>
      </c>
      <c r="BA880" t="s">
        <v>570</v>
      </c>
      <c r="BB880" t="str">
        <f t="shared" si="13"/>
        <v>CIHPkoLokoja</v>
      </c>
    </row>
    <row r="881" spans="48:54" x14ac:dyDescent="0.25">
      <c r="AV881" t="s">
        <v>822</v>
      </c>
      <c r="AW881" t="s">
        <v>183</v>
      </c>
      <c r="AX881" t="s">
        <v>720</v>
      </c>
      <c r="AY881" t="s">
        <v>2570</v>
      </c>
      <c r="AZ881" t="s">
        <v>2571</v>
      </c>
      <c r="BA881" t="s">
        <v>570</v>
      </c>
      <c r="BB881" t="str">
        <f t="shared" si="13"/>
        <v>CIHPkoOfu</v>
      </c>
    </row>
    <row r="882" spans="48:54" x14ac:dyDescent="0.25">
      <c r="AV882" t="s">
        <v>822</v>
      </c>
      <c r="AW882" t="s">
        <v>183</v>
      </c>
      <c r="AX882" t="s">
        <v>720</v>
      </c>
      <c r="AY882" t="s">
        <v>2572</v>
      </c>
      <c r="AZ882" t="s">
        <v>2573</v>
      </c>
      <c r="BA882" t="s">
        <v>570</v>
      </c>
      <c r="BB882" t="str">
        <f t="shared" si="13"/>
        <v>CIHPkoOfu</v>
      </c>
    </row>
    <row r="883" spans="48:54" x14ac:dyDescent="0.25">
      <c r="AV883" t="s">
        <v>822</v>
      </c>
      <c r="AW883" t="s">
        <v>183</v>
      </c>
      <c r="AX883" t="s">
        <v>721</v>
      </c>
      <c r="AY883" t="s">
        <v>2574</v>
      </c>
      <c r="AZ883" t="s">
        <v>2575</v>
      </c>
      <c r="BA883" t="s">
        <v>570</v>
      </c>
      <c r="BB883" t="str">
        <f t="shared" si="13"/>
        <v>CIHPkoOkehi</v>
      </c>
    </row>
    <row r="884" spans="48:54" x14ac:dyDescent="0.25">
      <c r="AV884" t="s">
        <v>822</v>
      </c>
      <c r="AW884" t="s">
        <v>183</v>
      </c>
      <c r="AX884" t="s">
        <v>721</v>
      </c>
      <c r="AY884" t="s">
        <v>2576</v>
      </c>
      <c r="AZ884" t="s">
        <v>2577</v>
      </c>
      <c r="BA884" t="s">
        <v>570</v>
      </c>
      <c r="BB884" t="str">
        <f t="shared" si="13"/>
        <v>CIHPkoOkehi</v>
      </c>
    </row>
    <row r="885" spans="48:54" x14ac:dyDescent="0.25">
      <c r="AV885" t="s">
        <v>822</v>
      </c>
      <c r="AW885" t="s">
        <v>183</v>
      </c>
      <c r="AX885" t="s">
        <v>722</v>
      </c>
      <c r="AY885" t="s">
        <v>2578</v>
      </c>
      <c r="AZ885" t="s">
        <v>2579</v>
      </c>
      <c r="BA885" t="s">
        <v>570</v>
      </c>
      <c r="BB885" t="str">
        <f t="shared" si="13"/>
        <v>CIHPkoOkene</v>
      </c>
    </row>
    <row r="886" spans="48:54" x14ac:dyDescent="0.25">
      <c r="AV886" t="s">
        <v>822</v>
      </c>
      <c r="AW886" t="s">
        <v>183</v>
      </c>
      <c r="AX886" t="s">
        <v>722</v>
      </c>
      <c r="AY886" t="s">
        <v>2580</v>
      </c>
      <c r="AZ886" t="s">
        <v>2581</v>
      </c>
      <c r="BA886" t="s">
        <v>570</v>
      </c>
      <c r="BB886" t="str">
        <f t="shared" si="13"/>
        <v>CIHPkoOkene</v>
      </c>
    </row>
    <row r="887" spans="48:54" x14ac:dyDescent="0.25">
      <c r="AV887" t="s">
        <v>822</v>
      </c>
      <c r="AW887" t="s">
        <v>183</v>
      </c>
      <c r="AX887" t="s">
        <v>722</v>
      </c>
      <c r="AY887" t="s">
        <v>2582</v>
      </c>
      <c r="AZ887" t="s">
        <v>2583</v>
      </c>
      <c r="BA887" t="s">
        <v>570</v>
      </c>
      <c r="BB887" t="str">
        <f t="shared" si="13"/>
        <v>CIHPkoOkene</v>
      </c>
    </row>
    <row r="888" spans="48:54" x14ac:dyDescent="0.25">
      <c r="AV888" t="s">
        <v>822</v>
      </c>
      <c r="AW888" t="s">
        <v>183</v>
      </c>
      <c r="AX888" t="s">
        <v>723</v>
      </c>
      <c r="AY888" t="s">
        <v>2584</v>
      </c>
      <c r="AZ888" t="s">
        <v>2585</v>
      </c>
      <c r="BA888" t="s">
        <v>570</v>
      </c>
      <c r="BB888" t="str">
        <f t="shared" si="13"/>
        <v>CIHPkoOlamaboro</v>
      </c>
    </row>
    <row r="889" spans="48:54" x14ac:dyDescent="0.25">
      <c r="AV889" t="s">
        <v>822</v>
      </c>
      <c r="AW889" t="s">
        <v>183</v>
      </c>
      <c r="AX889" t="s">
        <v>723</v>
      </c>
      <c r="AY889" t="s">
        <v>2586</v>
      </c>
      <c r="AZ889" t="s">
        <v>2587</v>
      </c>
      <c r="BA889" t="s">
        <v>570</v>
      </c>
      <c r="BB889" t="str">
        <f t="shared" si="13"/>
        <v>CIHPkoOlamaboro</v>
      </c>
    </row>
    <row r="890" spans="48:54" x14ac:dyDescent="0.25">
      <c r="AV890" t="s">
        <v>822</v>
      </c>
      <c r="AW890" t="s">
        <v>183</v>
      </c>
      <c r="AX890" t="s">
        <v>723</v>
      </c>
      <c r="AY890" t="s">
        <v>2588</v>
      </c>
      <c r="AZ890" t="s">
        <v>2589</v>
      </c>
      <c r="BA890" t="s">
        <v>570</v>
      </c>
      <c r="BB890" t="str">
        <f t="shared" si="13"/>
        <v>CIHPkoOlamaboro</v>
      </c>
    </row>
    <row r="891" spans="48:54" x14ac:dyDescent="0.25">
      <c r="AV891" t="s">
        <v>822</v>
      </c>
      <c r="AW891" t="s">
        <v>183</v>
      </c>
      <c r="AX891" t="s">
        <v>724</v>
      </c>
      <c r="AY891" t="s">
        <v>2590</v>
      </c>
      <c r="AZ891" t="s">
        <v>2591</v>
      </c>
      <c r="BA891" t="s">
        <v>570</v>
      </c>
      <c r="BB891" t="str">
        <f t="shared" si="13"/>
        <v>CIHPkoOmala</v>
      </c>
    </row>
    <row r="892" spans="48:54" x14ac:dyDescent="0.25">
      <c r="AV892" t="s">
        <v>822</v>
      </c>
      <c r="AW892" t="s">
        <v>183</v>
      </c>
      <c r="AX892" t="s">
        <v>724</v>
      </c>
      <c r="AY892" t="s">
        <v>2592</v>
      </c>
      <c r="AZ892" t="s">
        <v>2593</v>
      </c>
      <c r="BA892" t="s">
        <v>570</v>
      </c>
      <c r="BB892" t="str">
        <f t="shared" si="13"/>
        <v>CIHPkoOmala</v>
      </c>
    </row>
    <row r="893" spans="48:54" x14ac:dyDescent="0.25">
      <c r="AV893" t="s">
        <v>822</v>
      </c>
      <c r="AW893" t="s">
        <v>171</v>
      </c>
      <c r="AX893" t="s">
        <v>611</v>
      </c>
      <c r="AY893" t="s">
        <v>2594</v>
      </c>
      <c r="AZ893" t="s">
        <v>2595</v>
      </c>
      <c r="BA893" t="s">
        <v>153</v>
      </c>
      <c r="BB893" t="str">
        <f t="shared" si="13"/>
        <v>ECEWSebEzzaNorth</v>
      </c>
    </row>
    <row r="894" spans="48:54" x14ac:dyDescent="0.25">
      <c r="AV894" t="s">
        <v>822</v>
      </c>
      <c r="AW894" t="s">
        <v>171</v>
      </c>
      <c r="AX894" t="s">
        <v>612</v>
      </c>
      <c r="AY894" t="s">
        <v>2596</v>
      </c>
      <c r="AZ894" t="s">
        <v>2597</v>
      </c>
      <c r="BA894" t="s">
        <v>153</v>
      </c>
      <c r="BB894" t="str">
        <f t="shared" si="13"/>
        <v>ECEWSebEzzaSouth</v>
      </c>
    </row>
    <row r="895" spans="48:54" x14ac:dyDescent="0.25">
      <c r="AV895" t="s">
        <v>822</v>
      </c>
      <c r="AW895" t="s">
        <v>171</v>
      </c>
      <c r="AX895" t="s">
        <v>612</v>
      </c>
      <c r="AY895" t="s">
        <v>2598</v>
      </c>
      <c r="AZ895" t="s">
        <v>2599</v>
      </c>
      <c r="BA895" t="s">
        <v>153</v>
      </c>
      <c r="BB895" t="str">
        <f t="shared" si="13"/>
        <v>ECEWSebEzzaSouth</v>
      </c>
    </row>
    <row r="896" spans="48:54" x14ac:dyDescent="0.25">
      <c r="AV896" t="s">
        <v>822</v>
      </c>
      <c r="AW896" t="s">
        <v>171</v>
      </c>
      <c r="AX896" t="s">
        <v>612</v>
      </c>
      <c r="AY896" t="s">
        <v>2600</v>
      </c>
      <c r="AZ896" t="s">
        <v>2601</v>
      </c>
      <c r="BA896" t="s">
        <v>153</v>
      </c>
      <c r="BB896" t="str">
        <f t="shared" si="13"/>
        <v>ECEWSebEzzaSouth</v>
      </c>
    </row>
    <row r="897" spans="48:54" x14ac:dyDescent="0.25">
      <c r="AV897" t="s">
        <v>822</v>
      </c>
      <c r="AW897" t="s">
        <v>171</v>
      </c>
      <c r="AX897" t="s">
        <v>613</v>
      </c>
      <c r="AY897" t="s">
        <v>2602</v>
      </c>
      <c r="AZ897" t="s">
        <v>2603</v>
      </c>
      <c r="BA897" t="s">
        <v>153</v>
      </c>
      <c r="BB897" t="str">
        <f t="shared" si="13"/>
        <v>ECEWSebIkwo</v>
      </c>
    </row>
    <row r="898" spans="48:54" x14ac:dyDescent="0.25">
      <c r="AV898" t="s">
        <v>822</v>
      </c>
      <c r="AW898" t="s">
        <v>171</v>
      </c>
      <c r="AX898" t="s">
        <v>613</v>
      </c>
      <c r="AY898" t="s">
        <v>2604</v>
      </c>
      <c r="AZ898" t="s">
        <v>2605</v>
      </c>
      <c r="BA898" t="s">
        <v>153</v>
      </c>
      <c r="BB898" t="str">
        <f t="shared" si="13"/>
        <v>ECEWSebIkwo</v>
      </c>
    </row>
    <row r="899" spans="48:54" x14ac:dyDescent="0.25">
      <c r="AV899" t="s">
        <v>822</v>
      </c>
      <c r="AW899" t="s">
        <v>171</v>
      </c>
      <c r="AX899" t="s">
        <v>613</v>
      </c>
      <c r="AY899" t="s">
        <v>2606</v>
      </c>
      <c r="AZ899" t="s">
        <v>2607</v>
      </c>
      <c r="BA899" t="s">
        <v>153</v>
      </c>
      <c r="BB899" t="str">
        <f t="shared" ref="BB899:BB962" si="14">SUBSTITUTE(SUBSTITUTE(BA899&amp;AX899," ",""),"-","")</f>
        <v>ECEWSebIkwo</v>
      </c>
    </row>
    <row r="900" spans="48:54" x14ac:dyDescent="0.25">
      <c r="AV900" t="s">
        <v>822</v>
      </c>
      <c r="AW900" t="s">
        <v>171</v>
      </c>
      <c r="AX900" t="s">
        <v>614</v>
      </c>
      <c r="AY900" t="s">
        <v>2608</v>
      </c>
      <c r="AZ900" t="s">
        <v>2609</v>
      </c>
      <c r="BA900" t="s">
        <v>153</v>
      </c>
      <c r="BB900" t="str">
        <f t="shared" si="14"/>
        <v>ECEWSebIshielu</v>
      </c>
    </row>
    <row r="901" spans="48:54" x14ac:dyDescent="0.25">
      <c r="AV901" t="s">
        <v>822</v>
      </c>
      <c r="AW901" t="s">
        <v>171</v>
      </c>
      <c r="AX901" t="s">
        <v>614</v>
      </c>
      <c r="AY901" t="s">
        <v>2610</v>
      </c>
      <c r="AZ901" t="s">
        <v>2611</v>
      </c>
      <c r="BA901" t="s">
        <v>153</v>
      </c>
      <c r="BB901" t="str">
        <f t="shared" si="14"/>
        <v>ECEWSebIshielu</v>
      </c>
    </row>
    <row r="902" spans="48:54" x14ac:dyDescent="0.25">
      <c r="AV902" t="s">
        <v>822</v>
      </c>
      <c r="AW902" t="s">
        <v>174</v>
      </c>
      <c r="AX902" t="s">
        <v>632</v>
      </c>
      <c r="AY902" t="s">
        <v>2612</v>
      </c>
      <c r="AZ902" t="s">
        <v>2613</v>
      </c>
      <c r="BA902" t="s">
        <v>153</v>
      </c>
      <c r="BB902" t="str">
        <f t="shared" si="14"/>
        <v>ECEWSenAninri</v>
      </c>
    </row>
    <row r="903" spans="48:54" x14ac:dyDescent="0.25">
      <c r="AV903" t="s">
        <v>822</v>
      </c>
      <c r="AW903" t="s">
        <v>174</v>
      </c>
      <c r="AX903" t="s">
        <v>632</v>
      </c>
      <c r="AY903" t="s">
        <v>2614</v>
      </c>
      <c r="AZ903" t="s">
        <v>2615</v>
      </c>
      <c r="BA903" t="s">
        <v>153</v>
      </c>
      <c r="BB903" t="str">
        <f t="shared" si="14"/>
        <v>ECEWSenAninri</v>
      </c>
    </row>
    <row r="904" spans="48:54" x14ac:dyDescent="0.25">
      <c r="AV904" t="s">
        <v>822</v>
      </c>
      <c r="AW904" t="s">
        <v>174</v>
      </c>
      <c r="AX904" t="s">
        <v>632</v>
      </c>
      <c r="AY904" t="s">
        <v>2616</v>
      </c>
      <c r="AZ904" t="s">
        <v>2617</v>
      </c>
      <c r="BA904" t="s">
        <v>153</v>
      </c>
      <c r="BB904" t="str">
        <f t="shared" si="14"/>
        <v>ECEWSenAninri</v>
      </c>
    </row>
    <row r="905" spans="48:54" x14ac:dyDescent="0.25">
      <c r="AV905" t="s">
        <v>822</v>
      </c>
      <c r="AW905" t="s">
        <v>174</v>
      </c>
      <c r="AX905" t="s">
        <v>632</v>
      </c>
      <c r="AY905" t="s">
        <v>2618</v>
      </c>
      <c r="AZ905" t="s">
        <v>2619</v>
      </c>
      <c r="BA905" t="s">
        <v>153</v>
      </c>
      <c r="BB905" t="str">
        <f t="shared" si="14"/>
        <v>ECEWSenAninri</v>
      </c>
    </row>
    <row r="906" spans="48:54" x14ac:dyDescent="0.25">
      <c r="AV906" t="s">
        <v>822</v>
      </c>
      <c r="AW906" t="s">
        <v>174</v>
      </c>
      <c r="AX906" t="s">
        <v>632</v>
      </c>
      <c r="AY906" t="s">
        <v>2620</v>
      </c>
      <c r="AZ906" t="s">
        <v>2621</v>
      </c>
      <c r="BA906" t="s">
        <v>153</v>
      </c>
      <c r="BB906" t="str">
        <f t="shared" si="14"/>
        <v>ECEWSenAninri</v>
      </c>
    </row>
    <row r="907" spans="48:54" x14ac:dyDescent="0.25">
      <c r="AV907" t="s">
        <v>822</v>
      </c>
      <c r="AW907" t="s">
        <v>174</v>
      </c>
      <c r="AX907" t="s">
        <v>632</v>
      </c>
      <c r="AY907" t="s">
        <v>2622</v>
      </c>
      <c r="AZ907" t="s">
        <v>2623</v>
      </c>
      <c r="BA907" t="s">
        <v>153</v>
      </c>
      <c r="BB907" t="str">
        <f t="shared" si="14"/>
        <v>ECEWSenAninri</v>
      </c>
    </row>
    <row r="908" spans="48:54" x14ac:dyDescent="0.25">
      <c r="AV908" t="s">
        <v>822</v>
      </c>
      <c r="AW908" t="s">
        <v>174</v>
      </c>
      <c r="AX908" t="s">
        <v>632</v>
      </c>
      <c r="AY908" t="s">
        <v>2624</v>
      </c>
      <c r="AZ908" t="s">
        <v>2625</v>
      </c>
      <c r="BA908" t="s">
        <v>153</v>
      </c>
      <c r="BB908" t="str">
        <f t="shared" si="14"/>
        <v>ECEWSenAninri</v>
      </c>
    </row>
    <row r="909" spans="48:54" x14ac:dyDescent="0.25">
      <c r="AV909" t="s">
        <v>822</v>
      </c>
      <c r="AW909" t="s">
        <v>174</v>
      </c>
      <c r="AX909" t="s">
        <v>633</v>
      </c>
      <c r="AY909" t="s">
        <v>2626</v>
      </c>
      <c r="AZ909" t="s">
        <v>2627</v>
      </c>
      <c r="BA909" t="s">
        <v>153</v>
      </c>
      <c r="BB909" t="str">
        <f t="shared" si="14"/>
        <v>ECEWSenAwgu</v>
      </c>
    </row>
    <row r="910" spans="48:54" x14ac:dyDescent="0.25">
      <c r="AV910" t="s">
        <v>822</v>
      </c>
      <c r="AW910" t="s">
        <v>174</v>
      </c>
      <c r="AX910" t="s">
        <v>633</v>
      </c>
      <c r="AY910" t="s">
        <v>2628</v>
      </c>
      <c r="AZ910" t="s">
        <v>2629</v>
      </c>
      <c r="BA910" t="s">
        <v>153</v>
      </c>
      <c r="BB910" t="str">
        <f t="shared" si="14"/>
        <v>ECEWSenAwgu</v>
      </c>
    </row>
    <row r="911" spans="48:54" x14ac:dyDescent="0.25">
      <c r="AV911" t="s">
        <v>822</v>
      </c>
      <c r="AW911" t="s">
        <v>174</v>
      </c>
      <c r="AX911" t="s">
        <v>633</v>
      </c>
      <c r="AY911" t="s">
        <v>2630</v>
      </c>
      <c r="AZ911" t="s">
        <v>2631</v>
      </c>
      <c r="BA911" t="s">
        <v>153</v>
      </c>
      <c r="BB911" t="str">
        <f t="shared" si="14"/>
        <v>ECEWSenAwgu</v>
      </c>
    </row>
    <row r="912" spans="48:54" x14ac:dyDescent="0.25">
      <c r="AV912" t="s">
        <v>822</v>
      </c>
      <c r="AW912" t="s">
        <v>174</v>
      </c>
      <c r="AX912" t="s">
        <v>633</v>
      </c>
      <c r="AY912" t="s">
        <v>2632</v>
      </c>
      <c r="AZ912" t="s">
        <v>2633</v>
      </c>
      <c r="BA912" t="s">
        <v>153</v>
      </c>
      <c r="BB912" t="str">
        <f t="shared" si="14"/>
        <v>ECEWSenAwgu</v>
      </c>
    </row>
    <row r="913" spans="48:54" x14ac:dyDescent="0.25">
      <c r="AV913" t="s">
        <v>822</v>
      </c>
      <c r="AW913" t="s">
        <v>174</v>
      </c>
      <c r="AX913" t="s">
        <v>634</v>
      </c>
      <c r="AY913" t="s">
        <v>2634</v>
      </c>
      <c r="AZ913" t="s">
        <v>2635</v>
      </c>
      <c r="BA913" t="s">
        <v>153</v>
      </c>
      <c r="BB913" t="str">
        <f t="shared" si="14"/>
        <v>ECEWSenEzeagu</v>
      </c>
    </row>
    <row r="914" spans="48:54" x14ac:dyDescent="0.25">
      <c r="AV914" t="s">
        <v>822</v>
      </c>
      <c r="AW914" t="s">
        <v>174</v>
      </c>
      <c r="AX914" t="s">
        <v>634</v>
      </c>
      <c r="AY914" t="s">
        <v>2636</v>
      </c>
      <c r="AZ914" t="s">
        <v>2637</v>
      </c>
      <c r="BA914" t="s">
        <v>153</v>
      </c>
      <c r="BB914" t="str">
        <f t="shared" si="14"/>
        <v>ECEWSenEzeagu</v>
      </c>
    </row>
    <row r="915" spans="48:54" x14ac:dyDescent="0.25">
      <c r="AV915" t="s">
        <v>822</v>
      </c>
      <c r="AW915" t="s">
        <v>174</v>
      </c>
      <c r="AX915" t="s">
        <v>635</v>
      </c>
      <c r="AY915" t="s">
        <v>2638</v>
      </c>
      <c r="AZ915" t="s">
        <v>2639</v>
      </c>
      <c r="BA915" t="s">
        <v>153</v>
      </c>
      <c r="BB915" t="str">
        <f t="shared" si="14"/>
        <v>ECEWSenOjiRiver</v>
      </c>
    </row>
    <row r="916" spans="48:54" x14ac:dyDescent="0.25">
      <c r="AV916" t="s">
        <v>822</v>
      </c>
      <c r="AW916" t="s">
        <v>174</v>
      </c>
      <c r="AX916" t="s">
        <v>635</v>
      </c>
      <c r="AY916" t="s">
        <v>2640</v>
      </c>
      <c r="AZ916" t="s">
        <v>2641</v>
      </c>
      <c r="BA916" t="s">
        <v>153</v>
      </c>
      <c r="BB916" t="str">
        <f t="shared" si="14"/>
        <v>ECEWSenOjiRiver</v>
      </c>
    </row>
    <row r="917" spans="48:54" x14ac:dyDescent="0.25">
      <c r="AV917" t="s">
        <v>822</v>
      </c>
      <c r="AW917" t="s">
        <v>174</v>
      </c>
      <c r="AX917" t="s">
        <v>635</v>
      </c>
      <c r="AY917" t="s">
        <v>2642</v>
      </c>
      <c r="AZ917" t="s">
        <v>2643</v>
      </c>
      <c r="BA917" t="s">
        <v>153</v>
      </c>
      <c r="BB917" t="str">
        <f t="shared" si="14"/>
        <v>ECEWSenOjiRiver</v>
      </c>
    </row>
    <row r="918" spans="48:54" x14ac:dyDescent="0.25">
      <c r="AV918" t="s">
        <v>822</v>
      </c>
      <c r="AW918" t="s">
        <v>174</v>
      </c>
      <c r="AX918" t="s">
        <v>635</v>
      </c>
      <c r="AY918" t="s">
        <v>2644</v>
      </c>
      <c r="AZ918" t="s">
        <v>2645</v>
      </c>
      <c r="BA918" t="s">
        <v>153</v>
      </c>
      <c r="BB918" t="str">
        <f t="shared" si="14"/>
        <v>ECEWSenOjiRiver</v>
      </c>
    </row>
    <row r="919" spans="48:54" x14ac:dyDescent="0.25">
      <c r="AV919" t="s">
        <v>822</v>
      </c>
      <c r="AW919" t="s">
        <v>174</v>
      </c>
      <c r="AX919" t="s">
        <v>636</v>
      </c>
      <c r="AY919" t="s">
        <v>2646</v>
      </c>
      <c r="AZ919" t="s">
        <v>2647</v>
      </c>
      <c r="BA919" t="s">
        <v>153</v>
      </c>
      <c r="BB919" t="str">
        <f t="shared" si="14"/>
        <v>ECEWSenUdi</v>
      </c>
    </row>
    <row r="920" spans="48:54" x14ac:dyDescent="0.25">
      <c r="AV920" t="s">
        <v>822</v>
      </c>
      <c r="AW920" t="s">
        <v>174</v>
      </c>
      <c r="AX920" t="s">
        <v>636</v>
      </c>
      <c r="AY920" t="s">
        <v>2648</v>
      </c>
      <c r="AZ920" t="s">
        <v>2649</v>
      </c>
      <c r="BA920" t="s">
        <v>153</v>
      </c>
      <c r="BB920" t="str">
        <f t="shared" si="14"/>
        <v>ECEWSenUdi</v>
      </c>
    </row>
    <row r="921" spans="48:54" x14ac:dyDescent="0.25">
      <c r="AV921" t="s">
        <v>822</v>
      </c>
      <c r="AW921" t="s">
        <v>174</v>
      </c>
      <c r="AX921" t="s">
        <v>636</v>
      </c>
      <c r="AY921" t="s">
        <v>2650</v>
      </c>
      <c r="AZ921" t="s">
        <v>2651</v>
      </c>
      <c r="BA921" t="s">
        <v>153</v>
      </c>
      <c r="BB921" t="str">
        <f t="shared" si="14"/>
        <v>ECEWSenUdi</v>
      </c>
    </row>
    <row r="922" spans="48:54" x14ac:dyDescent="0.25">
      <c r="AV922" t="s">
        <v>822</v>
      </c>
      <c r="AW922" t="s">
        <v>174</v>
      </c>
      <c r="AX922" t="s">
        <v>636</v>
      </c>
      <c r="AY922" t="s">
        <v>2652</v>
      </c>
      <c r="AZ922" t="s">
        <v>2653</v>
      </c>
      <c r="BA922" t="s">
        <v>153</v>
      </c>
      <c r="BB922" t="str">
        <f t="shared" si="14"/>
        <v>ECEWSenUdi</v>
      </c>
    </row>
    <row r="923" spans="48:54" x14ac:dyDescent="0.25">
      <c r="AV923" t="s">
        <v>822</v>
      </c>
      <c r="AW923" t="s">
        <v>174</v>
      </c>
      <c r="AX923" t="s">
        <v>636</v>
      </c>
      <c r="AY923" t="s">
        <v>2654</v>
      </c>
      <c r="AZ923" t="s">
        <v>2655</v>
      </c>
      <c r="BA923" t="s">
        <v>153</v>
      </c>
      <c r="BB923" t="str">
        <f t="shared" si="14"/>
        <v>ECEWSenUdi</v>
      </c>
    </row>
    <row r="924" spans="48:54" x14ac:dyDescent="0.25">
      <c r="AV924" t="s">
        <v>822</v>
      </c>
      <c r="AW924" t="s">
        <v>174</v>
      </c>
      <c r="AX924" t="s">
        <v>636</v>
      </c>
      <c r="AY924" t="s">
        <v>2656</v>
      </c>
      <c r="AZ924" t="s">
        <v>2657</v>
      </c>
      <c r="BA924" t="s">
        <v>153</v>
      </c>
      <c r="BB924" t="str">
        <f t="shared" si="14"/>
        <v>ECEWSenUdi</v>
      </c>
    </row>
    <row r="925" spans="48:54" x14ac:dyDescent="0.25">
      <c r="AV925" t="s">
        <v>822</v>
      </c>
      <c r="AW925" t="s">
        <v>174</v>
      </c>
      <c r="AX925" t="s">
        <v>636</v>
      </c>
      <c r="AY925" t="s">
        <v>2658</v>
      </c>
      <c r="AZ925" t="s">
        <v>2659</v>
      </c>
      <c r="BA925" t="s">
        <v>153</v>
      </c>
      <c r="BB925" t="str">
        <f t="shared" si="14"/>
        <v>ECEWSenUdi</v>
      </c>
    </row>
    <row r="926" spans="48:54" x14ac:dyDescent="0.25">
      <c r="AV926" t="s">
        <v>822</v>
      </c>
      <c r="AW926" t="s">
        <v>174</v>
      </c>
      <c r="AX926" t="s">
        <v>636</v>
      </c>
      <c r="AY926" t="s">
        <v>2660</v>
      </c>
      <c r="AZ926" t="s">
        <v>2661</v>
      </c>
      <c r="BA926" t="s">
        <v>153</v>
      </c>
      <c r="BB926" t="str">
        <f t="shared" si="14"/>
        <v>ECEWSenUdi</v>
      </c>
    </row>
    <row r="927" spans="48:54" x14ac:dyDescent="0.25">
      <c r="AV927" t="s">
        <v>822</v>
      </c>
      <c r="AW927" t="s">
        <v>174</v>
      </c>
      <c r="AX927" t="s">
        <v>636</v>
      </c>
      <c r="AY927" t="s">
        <v>2662</v>
      </c>
      <c r="AZ927" t="s">
        <v>2663</v>
      </c>
      <c r="BA927" t="s">
        <v>153</v>
      </c>
      <c r="BB927" t="str">
        <f t="shared" si="14"/>
        <v>ECEWSenUdi</v>
      </c>
    </row>
    <row r="928" spans="48:54" x14ac:dyDescent="0.25">
      <c r="AV928" t="s">
        <v>822</v>
      </c>
      <c r="AW928" t="s">
        <v>174</v>
      </c>
      <c r="AX928" t="s">
        <v>636</v>
      </c>
      <c r="AY928" t="s">
        <v>2664</v>
      </c>
      <c r="AZ928" t="s">
        <v>2665</v>
      </c>
      <c r="BA928" t="s">
        <v>153</v>
      </c>
      <c r="BB928" t="str">
        <f t="shared" si="14"/>
        <v>ECEWSenUdi</v>
      </c>
    </row>
    <row r="929" spans="48:54" x14ac:dyDescent="0.25">
      <c r="AV929" t="s">
        <v>822</v>
      </c>
      <c r="AW929" t="s">
        <v>177</v>
      </c>
      <c r="AX929" t="s">
        <v>675</v>
      </c>
      <c r="AY929" t="s">
        <v>2666</v>
      </c>
      <c r="AZ929" t="s">
        <v>2667</v>
      </c>
      <c r="BA929" t="s">
        <v>153</v>
      </c>
      <c r="BB929" t="str">
        <f t="shared" si="14"/>
        <v>ECEWSimEhimeMbano</v>
      </c>
    </row>
    <row r="930" spans="48:54" x14ac:dyDescent="0.25">
      <c r="AV930" t="s">
        <v>822</v>
      </c>
      <c r="AW930" t="s">
        <v>177</v>
      </c>
      <c r="AX930" t="s">
        <v>675</v>
      </c>
      <c r="AY930" t="s">
        <v>2668</v>
      </c>
      <c r="AZ930" t="s">
        <v>2669</v>
      </c>
      <c r="BA930" t="s">
        <v>153</v>
      </c>
      <c r="BB930" t="str">
        <f t="shared" si="14"/>
        <v>ECEWSimEhimeMbano</v>
      </c>
    </row>
    <row r="931" spans="48:54" x14ac:dyDescent="0.25">
      <c r="AV931" t="s">
        <v>822</v>
      </c>
      <c r="AW931" t="s">
        <v>177</v>
      </c>
      <c r="AX931" t="s">
        <v>675</v>
      </c>
      <c r="AY931" t="s">
        <v>2670</v>
      </c>
      <c r="AZ931" t="s">
        <v>2671</v>
      </c>
      <c r="BA931" t="s">
        <v>153</v>
      </c>
      <c r="BB931" t="str">
        <f t="shared" si="14"/>
        <v>ECEWSimEhimeMbano</v>
      </c>
    </row>
    <row r="932" spans="48:54" x14ac:dyDescent="0.25">
      <c r="AV932" t="s">
        <v>822</v>
      </c>
      <c r="AW932" t="s">
        <v>177</v>
      </c>
      <c r="AX932" t="s">
        <v>675</v>
      </c>
      <c r="AY932" t="s">
        <v>2672</v>
      </c>
      <c r="AZ932" t="s">
        <v>2673</v>
      </c>
      <c r="BA932" t="s">
        <v>153</v>
      </c>
      <c r="BB932" t="str">
        <f t="shared" si="14"/>
        <v>ECEWSimEhimeMbano</v>
      </c>
    </row>
    <row r="933" spans="48:54" x14ac:dyDescent="0.25">
      <c r="AV933" t="s">
        <v>822</v>
      </c>
      <c r="AW933" t="s">
        <v>177</v>
      </c>
      <c r="AX933" t="s">
        <v>676</v>
      </c>
      <c r="AY933" t="s">
        <v>2674</v>
      </c>
      <c r="AZ933" t="s">
        <v>2675</v>
      </c>
      <c r="BA933" t="s">
        <v>153</v>
      </c>
      <c r="BB933" t="str">
        <f t="shared" si="14"/>
        <v>ECEWSimIhitte</v>
      </c>
    </row>
    <row r="934" spans="48:54" x14ac:dyDescent="0.25">
      <c r="AV934" t="s">
        <v>822</v>
      </c>
      <c r="AW934" t="s">
        <v>177</v>
      </c>
      <c r="AX934" t="s">
        <v>676</v>
      </c>
      <c r="AY934" t="s">
        <v>2674</v>
      </c>
      <c r="AZ934" t="s">
        <v>2676</v>
      </c>
      <c r="BA934" t="s">
        <v>153</v>
      </c>
      <c r="BB934" t="str">
        <f t="shared" si="14"/>
        <v>ECEWSimIhitte</v>
      </c>
    </row>
    <row r="935" spans="48:54" x14ac:dyDescent="0.25">
      <c r="AV935" t="s">
        <v>822</v>
      </c>
      <c r="AW935" t="s">
        <v>177</v>
      </c>
      <c r="AX935" t="s">
        <v>676</v>
      </c>
      <c r="AY935" t="s">
        <v>2674</v>
      </c>
      <c r="AZ935" t="s">
        <v>2677</v>
      </c>
      <c r="BA935" t="s">
        <v>153</v>
      </c>
      <c r="BB935" t="str">
        <f t="shared" si="14"/>
        <v>ECEWSimIhitte</v>
      </c>
    </row>
    <row r="936" spans="48:54" x14ac:dyDescent="0.25">
      <c r="AV936" t="s">
        <v>822</v>
      </c>
      <c r="AW936" t="s">
        <v>177</v>
      </c>
      <c r="AX936" t="s">
        <v>677</v>
      </c>
      <c r="AY936" t="s">
        <v>2678</v>
      </c>
      <c r="AZ936" t="s">
        <v>2679</v>
      </c>
      <c r="BA936" t="s">
        <v>153</v>
      </c>
      <c r="BB936" t="str">
        <f t="shared" si="14"/>
        <v>ECEWSimIsialaMbano</v>
      </c>
    </row>
    <row r="937" spans="48:54" x14ac:dyDescent="0.25">
      <c r="AV937" t="s">
        <v>822</v>
      </c>
      <c r="AW937" t="s">
        <v>177</v>
      </c>
      <c r="AX937" t="s">
        <v>678</v>
      </c>
      <c r="AY937" t="s">
        <v>2680</v>
      </c>
      <c r="AZ937" t="s">
        <v>2681</v>
      </c>
      <c r="BA937" t="s">
        <v>153</v>
      </c>
      <c r="BB937" t="str">
        <f t="shared" si="14"/>
        <v>ECEWSimObowo</v>
      </c>
    </row>
    <row r="938" spans="48:54" x14ac:dyDescent="0.25">
      <c r="AV938" t="s">
        <v>822</v>
      </c>
      <c r="AW938" t="s">
        <v>177</v>
      </c>
      <c r="AX938" t="s">
        <v>678</v>
      </c>
      <c r="AY938" t="s">
        <v>2682</v>
      </c>
      <c r="AZ938" t="s">
        <v>2683</v>
      </c>
      <c r="BA938" t="s">
        <v>153</v>
      </c>
      <c r="BB938" t="str">
        <f t="shared" si="14"/>
        <v>ECEWSimObowo</v>
      </c>
    </row>
    <row r="939" spans="48:54" x14ac:dyDescent="0.25">
      <c r="AV939" t="s">
        <v>822</v>
      </c>
      <c r="AW939" t="s">
        <v>177</v>
      </c>
      <c r="AX939" t="s">
        <v>679</v>
      </c>
      <c r="AY939" t="s">
        <v>2684</v>
      </c>
      <c r="AZ939" t="s">
        <v>2685</v>
      </c>
      <c r="BA939" t="s">
        <v>153</v>
      </c>
      <c r="BB939" t="str">
        <f t="shared" si="14"/>
        <v>ECEWSimOkigwe</v>
      </c>
    </row>
    <row r="940" spans="48:54" x14ac:dyDescent="0.25">
      <c r="AV940" t="s">
        <v>822</v>
      </c>
      <c r="AW940" t="s">
        <v>177</v>
      </c>
      <c r="AX940" t="s">
        <v>679</v>
      </c>
      <c r="AY940" t="s">
        <v>2686</v>
      </c>
      <c r="AZ940" t="s">
        <v>2687</v>
      </c>
      <c r="BA940" t="s">
        <v>153</v>
      </c>
      <c r="BB940" t="str">
        <f t="shared" si="14"/>
        <v>ECEWSimOkigwe</v>
      </c>
    </row>
    <row r="941" spans="48:54" x14ac:dyDescent="0.25">
      <c r="AV941" t="s">
        <v>822</v>
      </c>
      <c r="AW941" t="s">
        <v>177</v>
      </c>
      <c r="AX941" t="s">
        <v>679</v>
      </c>
      <c r="AY941" t="s">
        <v>2688</v>
      </c>
      <c r="AZ941" t="s">
        <v>2689</v>
      </c>
      <c r="BA941" t="s">
        <v>153</v>
      </c>
      <c r="BB941" t="str">
        <f t="shared" si="14"/>
        <v>ECEWSimOkigwe</v>
      </c>
    </row>
    <row r="942" spans="48:54" x14ac:dyDescent="0.25">
      <c r="AV942" t="s">
        <v>822</v>
      </c>
      <c r="AW942" t="s">
        <v>177</v>
      </c>
      <c r="AX942" t="s">
        <v>680</v>
      </c>
      <c r="AY942" t="s">
        <v>2690</v>
      </c>
      <c r="AZ942" t="s">
        <v>2691</v>
      </c>
      <c r="BA942" t="s">
        <v>153</v>
      </c>
      <c r="BB942" t="str">
        <f t="shared" si="14"/>
        <v>ECEWSimOnuimo</v>
      </c>
    </row>
    <row r="943" spans="48:54" x14ac:dyDescent="0.25">
      <c r="AV943" t="s">
        <v>822</v>
      </c>
      <c r="AW943" t="s">
        <v>177</v>
      </c>
      <c r="AX943" t="s">
        <v>680</v>
      </c>
      <c r="AY943" t="s">
        <v>2692</v>
      </c>
      <c r="AZ943" t="s">
        <v>2693</v>
      </c>
      <c r="BA943" t="s">
        <v>153</v>
      </c>
      <c r="BB943" t="str">
        <f t="shared" si="14"/>
        <v>ECEWSimOnuimo</v>
      </c>
    </row>
    <row r="944" spans="48:54" x14ac:dyDescent="0.25">
      <c r="AV944" t="s">
        <v>822</v>
      </c>
      <c r="AW944" t="s">
        <v>176</v>
      </c>
      <c r="AX944" t="s">
        <v>652</v>
      </c>
      <c r="AY944" t="s">
        <v>2694</v>
      </c>
      <c r="AZ944" t="s">
        <v>2695</v>
      </c>
      <c r="BA944" t="s">
        <v>2696</v>
      </c>
      <c r="BB944" t="str">
        <f t="shared" si="14"/>
        <v>FGHINgoAkko</v>
      </c>
    </row>
    <row r="945" spans="48:54" x14ac:dyDescent="0.25">
      <c r="AV945" t="s">
        <v>822</v>
      </c>
      <c r="AW945" t="s">
        <v>176</v>
      </c>
      <c r="AX945" t="s">
        <v>652</v>
      </c>
      <c r="AY945" t="s">
        <v>2697</v>
      </c>
      <c r="AZ945" t="s">
        <v>2698</v>
      </c>
      <c r="BA945" t="s">
        <v>2696</v>
      </c>
      <c r="BB945" t="str">
        <f t="shared" si="14"/>
        <v>FGHINgoAkko</v>
      </c>
    </row>
    <row r="946" spans="48:54" x14ac:dyDescent="0.25">
      <c r="AV946" t="s">
        <v>822</v>
      </c>
      <c r="AW946" t="s">
        <v>176</v>
      </c>
      <c r="AX946" t="s">
        <v>652</v>
      </c>
      <c r="AY946" t="s">
        <v>2699</v>
      </c>
      <c r="AZ946" t="s">
        <v>2700</v>
      </c>
      <c r="BA946" t="s">
        <v>2696</v>
      </c>
      <c r="BB946" t="str">
        <f t="shared" si="14"/>
        <v>FGHINgoAkko</v>
      </c>
    </row>
    <row r="947" spans="48:54" x14ac:dyDescent="0.25">
      <c r="AV947" t="s">
        <v>822</v>
      </c>
      <c r="AW947" t="s">
        <v>176</v>
      </c>
      <c r="AX947" t="s">
        <v>652</v>
      </c>
      <c r="AY947" t="s">
        <v>2701</v>
      </c>
      <c r="AZ947" t="s">
        <v>2702</v>
      </c>
      <c r="BA947" t="s">
        <v>2696</v>
      </c>
      <c r="BB947" t="str">
        <f t="shared" si="14"/>
        <v>FGHINgoAkko</v>
      </c>
    </row>
    <row r="948" spans="48:54" x14ac:dyDescent="0.25">
      <c r="AV948" t="s">
        <v>822</v>
      </c>
      <c r="AW948" t="s">
        <v>176</v>
      </c>
      <c r="AX948" t="s">
        <v>652</v>
      </c>
      <c r="AY948" t="s">
        <v>2703</v>
      </c>
      <c r="AZ948" t="s">
        <v>2704</v>
      </c>
      <c r="BA948" t="s">
        <v>2696</v>
      </c>
      <c r="BB948" t="str">
        <f t="shared" si="14"/>
        <v>FGHINgoAkko</v>
      </c>
    </row>
    <row r="949" spans="48:54" x14ac:dyDescent="0.25">
      <c r="AV949" t="s">
        <v>822</v>
      </c>
      <c r="AW949" t="s">
        <v>176</v>
      </c>
      <c r="AX949" t="s">
        <v>652</v>
      </c>
      <c r="AY949" t="s">
        <v>2705</v>
      </c>
      <c r="AZ949" t="s">
        <v>2706</v>
      </c>
      <c r="BA949" t="s">
        <v>2696</v>
      </c>
      <c r="BB949" t="str">
        <f t="shared" si="14"/>
        <v>FGHINgoAkko</v>
      </c>
    </row>
    <row r="950" spans="48:54" x14ac:dyDescent="0.25">
      <c r="AV950" t="s">
        <v>822</v>
      </c>
      <c r="AW950" t="s">
        <v>176</v>
      </c>
      <c r="AX950" t="s">
        <v>652</v>
      </c>
      <c r="AY950" t="s">
        <v>2707</v>
      </c>
      <c r="AZ950" t="s">
        <v>2708</v>
      </c>
      <c r="BA950" t="s">
        <v>2696</v>
      </c>
      <c r="BB950" t="str">
        <f t="shared" si="14"/>
        <v>FGHINgoAkko</v>
      </c>
    </row>
    <row r="951" spans="48:54" x14ac:dyDescent="0.25">
      <c r="AV951" t="s">
        <v>822</v>
      </c>
      <c r="AW951" t="s">
        <v>176</v>
      </c>
      <c r="AX951" t="s">
        <v>652</v>
      </c>
      <c r="AY951" t="s">
        <v>2709</v>
      </c>
      <c r="AZ951" t="s">
        <v>2710</v>
      </c>
      <c r="BA951" t="s">
        <v>2696</v>
      </c>
      <c r="BB951" t="str">
        <f t="shared" si="14"/>
        <v>FGHINgoAkko</v>
      </c>
    </row>
    <row r="952" spans="48:54" x14ac:dyDescent="0.25">
      <c r="AV952" t="s">
        <v>822</v>
      </c>
      <c r="AW952" t="s">
        <v>176</v>
      </c>
      <c r="AX952" t="s">
        <v>652</v>
      </c>
      <c r="AY952" t="s">
        <v>2711</v>
      </c>
      <c r="AZ952" t="s">
        <v>2712</v>
      </c>
      <c r="BA952" t="s">
        <v>2696</v>
      </c>
      <c r="BB952" t="str">
        <f t="shared" si="14"/>
        <v>FGHINgoAkko</v>
      </c>
    </row>
    <row r="953" spans="48:54" x14ac:dyDescent="0.25">
      <c r="AV953" t="s">
        <v>822</v>
      </c>
      <c r="AW953" t="s">
        <v>176</v>
      </c>
      <c r="AX953" t="s">
        <v>652</v>
      </c>
      <c r="AY953" t="s">
        <v>2713</v>
      </c>
      <c r="AZ953" t="s">
        <v>2714</v>
      </c>
      <c r="BA953" t="s">
        <v>2696</v>
      </c>
      <c r="BB953" t="str">
        <f t="shared" si="14"/>
        <v>FGHINgoAkko</v>
      </c>
    </row>
    <row r="954" spans="48:54" x14ac:dyDescent="0.25">
      <c r="AV954" t="s">
        <v>822</v>
      </c>
      <c r="AW954" t="s">
        <v>176</v>
      </c>
      <c r="AX954" t="s">
        <v>652</v>
      </c>
      <c r="AY954" t="s">
        <v>2715</v>
      </c>
      <c r="AZ954" t="s">
        <v>2716</v>
      </c>
      <c r="BA954" t="s">
        <v>2696</v>
      </c>
      <c r="BB954" t="str">
        <f t="shared" si="14"/>
        <v>FGHINgoAkko</v>
      </c>
    </row>
    <row r="955" spans="48:54" x14ac:dyDescent="0.25">
      <c r="AV955" t="s">
        <v>822</v>
      </c>
      <c r="AW955" t="s">
        <v>176</v>
      </c>
      <c r="AX955" t="s">
        <v>653</v>
      </c>
      <c r="AY955" t="s">
        <v>2717</v>
      </c>
      <c r="AZ955" t="s">
        <v>2718</v>
      </c>
      <c r="BA955" t="s">
        <v>2696</v>
      </c>
      <c r="BB955" t="str">
        <f t="shared" si="14"/>
        <v>FGHINgoYamaltu</v>
      </c>
    </row>
    <row r="956" spans="48:54" x14ac:dyDescent="0.25">
      <c r="AV956" t="s">
        <v>822</v>
      </c>
      <c r="AW956" t="s">
        <v>176</v>
      </c>
      <c r="AX956" t="s">
        <v>653</v>
      </c>
      <c r="AY956" t="s">
        <v>2717</v>
      </c>
      <c r="AZ956" t="s">
        <v>2719</v>
      </c>
      <c r="BA956" t="s">
        <v>2696</v>
      </c>
      <c r="BB956" t="str">
        <f t="shared" si="14"/>
        <v>FGHINgoYamaltu</v>
      </c>
    </row>
    <row r="957" spans="48:54" x14ac:dyDescent="0.25">
      <c r="AV957" t="s">
        <v>822</v>
      </c>
      <c r="AW957" t="s">
        <v>176</v>
      </c>
      <c r="AX957" t="s">
        <v>653</v>
      </c>
      <c r="AY957" t="s">
        <v>2717</v>
      </c>
      <c r="AZ957" t="s">
        <v>2720</v>
      </c>
      <c r="BA957" t="s">
        <v>2696</v>
      </c>
      <c r="BB957" t="str">
        <f t="shared" si="14"/>
        <v>FGHINgoYamaltu</v>
      </c>
    </row>
    <row r="958" spans="48:54" x14ac:dyDescent="0.25">
      <c r="AV958" t="s">
        <v>822</v>
      </c>
      <c r="AW958" t="s">
        <v>176</v>
      </c>
      <c r="AX958" t="s">
        <v>653</v>
      </c>
      <c r="AY958" t="s">
        <v>2717</v>
      </c>
      <c r="AZ958" t="s">
        <v>2721</v>
      </c>
      <c r="BA958" t="s">
        <v>2696</v>
      </c>
      <c r="BB958" t="str">
        <f t="shared" si="14"/>
        <v>FGHINgoYamaltu</v>
      </c>
    </row>
    <row r="959" spans="48:54" x14ac:dyDescent="0.25">
      <c r="AV959" t="s">
        <v>822</v>
      </c>
      <c r="AW959" t="s">
        <v>176</v>
      </c>
      <c r="AX959" t="s">
        <v>653</v>
      </c>
      <c r="AY959" t="s">
        <v>2717</v>
      </c>
      <c r="AZ959" t="s">
        <v>2722</v>
      </c>
      <c r="BA959" t="s">
        <v>2696</v>
      </c>
      <c r="BB959" t="str">
        <f t="shared" si="14"/>
        <v>FGHINgoYamaltu</v>
      </c>
    </row>
    <row r="960" spans="48:54" x14ac:dyDescent="0.25">
      <c r="AV960" t="s">
        <v>822</v>
      </c>
      <c r="AW960" t="s">
        <v>176</v>
      </c>
      <c r="AX960" t="s">
        <v>653</v>
      </c>
      <c r="AY960" t="s">
        <v>2717</v>
      </c>
      <c r="AZ960" t="s">
        <v>2723</v>
      </c>
      <c r="BA960" t="s">
        <v>2696</v>
      </c>
      <c r="BB960" t="str">
        <f t="shared" si="14"/>
        <v>FGHINgoYamaltu</v>
      </c>
    </row>
    <row r="961" spans="48:54" x14ac:dyDescent="0.25">
      <c r="AV961" t="s">
        <v>822</v>
      </c>
      <c r="AW961" t="s">
        <v>176</v>
      </c>
      <c r="AX961" t="s">
        <v>653</v>
      </c>
      <c r="AY961" t="s">
        <v>2717</v>
      </c>
      <c r="AZ961" t="s">
        <v>2724</v>
      </c>
      <c r="BA961" t="s">
        <v>2696</v>
      </c>
      <c r="BB961" t="str">
        <f t="shared" si="14"/>
        <v>FGHINgoYamaltu</v>
      </c>
    </row>
    <row r="962" spans="48:54" x14ac:dyDescent="0.25">
      <c r="AV962" t="s">
        <v>822</v>
      </c>
      <c r="AW962" t="s">
        <v>176</v>
      </c>
      <c r="AX962" t="s">
        <v>653</v>
      </c>
      <c r="AY962" t="s">
        <v>2717</v>
      </c>
      <c r="AZ962" t="s">
        <v>2725</v>
      </c>
      <c r="BA962" t="s">
        <v>2696</v>
      </c>
      <c r="BB962" t="str">
        <f t="shared" si="14"/>
        <v>FGHINgoYamaltu</v>
      </c>
    </row>
    <row r="963" spans="48:54" x14ac:dyDescent="0.25">
      <c r="AV963" t="s">
        <v>822</v>
      </c>
      <c r="AW963" t="s">
        <v>176</v>
      </c>
      <c r="AX963" t="s">
        <v>653</v>
      </c>
      <c r="AY963" t="s">
        <v>2717</v>
      </c>
      <c r="AZ963" t="s">
        <v>2726</v>
      </c>
      <c r="BA963" t="s">
        <v>2696</v>
      </c>
      <c r="BB963" t="str">
        <f t="shared" ref="BB963:BB1026" si="15">SUBSTITUTE(SUBSTITUTE(BA963&amp;AX963," ",""),"-","")</f>
        <v>FGHINgoYamaltu</v>
      </c>
    </row>
    <row r="964" spans="48:54" x14ac:dyDescent="0.25">
      <c r="AV964" t="s">
        <v>822</v>
      </c>
      <c r="AW964" t="s">
        <v>176</v>
      </c>
      <c r="AX964" t="s">
        <v>653</v>
      </c>
      <c r="AY964" t="s">
        <v>2717</v>
      </c>
      <c r="AZ964" t="s">
        <v>2727</v>
      </c>
      <c r="BA964" t="s">
        <v>2696</v>
      </c>
      <c r="BB964" t="str">
        <f t="shared" si="15"/>
        <v>FGHINgoYamaltu</v>
      </c>
    </row>
    <row r="965" spans="48:54" x14ac:dyDescent="0.25">
      <c r="AV965" t="s">
        <v>822</v>
      </c>
      <c r="AW965" t="s">
        <v>176</v>
      </c>
      <c r="AX965" t="s">
        <v>653</v>
      </c>
      <c r="AY965" t="s">
        <v>2717</v>
      </c>
      <c r="AZ965" t="s">
        <v>2728</v>
      </c>
      <c r="BA965" t="s">
        <v>2696</v>
      </c>
      <c r="BB965" t="str">
        <f t="shared" si="15"/>
        <v>FGHINgoYamaltu</v>
      </c>
    </row>
    <row r="966" spans="48:54" x14ac:dyDescent="0.25">
      <c r="AV966" t="s">
        <v>822</v>
      </c>
      <c r="AW966" t="s">
        <v>176</v>
      </c>
      <c r="AX966" t="s">
        <v>653</v>
      </c>
      <c r="AY966" t="s">
        <v>2717</v>
      </c>
      <c r="AZ966" t="s">
        <v>2729</v>
      </c>
      <c r="BA966" t="s">
        <v>2696</v>
      </c>
      <c r="BB966" t="str">
        <f t="shared" si="15"/>
        <v>FGHINgoYamaltu</v>
      </c>
    </row>
    <row r="967" spans="48:54" x14ac:dyDescent="0.25">
      <c r="AV967" t="s">
        <v>822</v>
      </c>
      <c r="AW967" t="s">
        <v>179</v>
      </c>
      <c r="AX967" t="s">
        <v>697</v>
      </c>
      <c r="AY967" t="s">
        <v>2730</v>
      </c>
      <c r="AZ967" t="s">
        <v>2731</v>
      </c>
      <c r="BA967" t="s">
        <v>2696</v>
      </c>
      <c r="BB967" t="str">
        <f t="shared" si="15"/>
        <v>FGHINkdBirninGwari</v>
      </c>
    </row>
    <row r="968" spans="48:54" x14ac:dyDescent="0.25">
      <c r="AV968" t="s">
        <v>822</v>
      </c>
      <c r="AW968" t="s">
        <v>179</v>
      </c>
      <c r="AX968" t="s">
        <v>697</v>
      </c>
      <c r="AY968" t="s">
        <v>2732</v>
      </c>
      <c r="AZ968" t="s">
        <v>2733</v>
      </c>
      <c r="BA968" t="s">
        <v>2696</v>
      </c>
      <c r="BB968" t="str">
        <f t="shared" si="15"/>
        <v>FGHINkdBirninGwari</v>
      </c>
    </row>
    <row r="969" spans="48:54" x14ac:dyDescent="0.25">
      <c r="AV969" t="s">
        <v>822</v>
      </c>
      <c r="AW969" t="s">
        <v>179</v>
      </c>
      <c r="AX969" t="s">
        <v>697</v>
      </c>
      <c r="AY969" t="s">
        <v>2734</v>
      </c>
      <c r="AZ969" t="s">
        <v>2735</v>
      </c>
      <c r="BA969" t="s">
        <v>2696</v>
      </c>
      <c r="BB969" t="str">
        <f t="shared" si="15"/>
        <v>FGHINkdBirninGwari</v>
      </c>
    </row>
    <row r="970" spans="48:54" x14ac:dyDescent="0.25">
      <c r="AV970" t="s">
        <v>822</v>
      </c>
      <c r="AW970" t="s">
        <v>179</v>
      </c>
      <c r="AX970" t="s">
        <v>697</v>
      </c>
      <c r="AY970" t="s">
        <v>2736</v>
      </c>
      <c r="AZ970" t="s">
        <v>2737</v>
      </c>
      <c r="BA970" t="s">
        <v>2696</v>
      </c>
      <c r="BB970" t="str">
        <f t="shared" si="15"/>
        <v>FGHINkdBirninGwari</v>
      </c>
    </row>
    <row r="971" spans="48:54" x14ac:dyDescent="0.25">
      <c r="AV971" t="s">
        <v>822</v>
      </c>
      <c r="AW971" t="s">
        <v>179</v>
      </c>
      <c r="AX971" t="s">
        <v>697</v>
      </c>
      <c r="AY971" t="s">
        <v>2738</v>
      </c>
      <c r="AZ971" t="s">
        <v>2739</v>
      </c>
      <c r="BA971" t="s">
        <v>2696</v>
      </c>
      <c r="BB971" t="str">
        <f t="shared" si="15"/>
        <v>FGHINkdBirninGwari</v>
      </c>
    </row>
    <row r="972" spans="48:54" x14ac:dyDescent="0.25">
      <c r="AV972" t="s">
        <v>822</v>
      </c>
      <c r="AW972" t="s">
        <v>179</v>
      </c>
      <c r="AX972" t="s">
        <v>697</v>
      </c>
      <c r="AY972" t="s">
        <v>2740</v>
      </c>
      <c r="AZ972" t="s">
        <v>2741</v>
      </c>
      <c r="BA972" t="s">
        <v>2696</v>
      </c>
      <c r="BB972" t="str">
        <f t="shared" si="15"/>
        <v>FGHINkdBirninGwari</v>
      </c>
    </row>
    <row r="973" spans="48:54" x14ac:dyDescent="0.25">
      <c r="AV973" t="s">
        <v>822</v>
      </c>
      <c r="AW973" t="s">
        <v>179</v>
      </c>
      <c r="AX973" t="s">
        <v>697</v>
      </c>
      <c r="AY973" t="s">
        <v>2742</v>
      </c>
      <c r="AZ973" t="s">
        <v>2743</v>
      </c>
      <c r="BA973" t="s">
        <v>2696</v>
      </c>
      <c r="BB973" t="str">
        <f t="shared" si="15"/>
        <v>FGHINkdBirninGwari</v>
      </c>
    </row>
    <row r="974" spans="48:54" x14ac:dyDescent="0.25">
      <c r="AV974" t="s">
        <v>822</v>
      </c>
      <c r="AW974" t="s">
        <v>179</v>
      </c>
      <c r="AX974" t="s">
        <v>697</v>
      </c>
      <c r="AY974" t="s">
        <v>2744</v>
      </c>
      <c r="AZ974" t="s">
        <v>2745</v>
      </c>
      <c r="BA974" t="s">
        <v>2696</v>
      </c>
      <c r="BB974" t="str">
        <f t="shared" si="15"/>
        <v>FGHINkdBirninGwari</v>
      </c>
    </row>
    <row r="975" spans="48:54" x14ac:dyDescent="0.25">
      <c r="AV975" t="s">
        <v>822</v>
      </c>
      <c r="AW975" t="s">
        <v>179</v>
      </c>
      <c r="AX975" t="s">
        <v>697</v>
      </c>
      <c r="AY975" t="s">
        <v>2746</v>
      </c>
      <c r="AZ975" t="s">
        <v>2747</v>
      </c>
      <c r="BA975" t="s">
        <v>2696</v>
      </c>
      <c r="BB975" t="str">
        <f t="shared" si="15"/>
        <v>FGHINkdBirninGwari</v>
      </c>
    </row>
    <row r="976" spans="48:54" x14ac:dyDescent="0.25">
      <c r="AV976" t="s">
        <v>822</v>
      </c>
      <c r="AW976" t="s">
        <v>179</v>
      </c>
      <c r="AX976" t="s">
        <v>697</v>
      </c>
      <c r="AY976" t="s">
        <v>2748</v>
      </c>
      <c r="AZ976" t="s">
        <v>2749</v>
      </c>
      <c r="BA976" t="s">
        <v>2696</v>
      </c>
      <c r="BB976" t="str">
        <f t="shared" si="15"/>
        <v>FGHINkdBirninGwari</v>
      </c>
    </row>
    <row r="977" spans="48:54" x14ac:dyDescent="0.25">
      <c r="AV977" t="s">
        <v>822</v>
      </c>
      <c r="AW977" t="s">
        <v>179</v>
      </c>
      <c r="AX977" t="s">
        <v>698</v>
      </c>
      <c r="AY977" t="s">
        <v>2750</v>
      </c>
      <c r="AZ977" t="s">
        <v>2751</v>
      </c>
      <c r="BA977" t="s">
        <v>2696</v>
      </c>
      <c r="BB977" t="str">
        <f t="shared" si="15"/>
        <v>FGHINkdGiwa</v>
      </c>
    </row>
    <row r="978" spans="48:54" x14ac:dyDescent="0.25">
      <c r="AV978" t="s">
        <v>822</v>
      </c>
      <c r="AW978" t="s">
        <v>179</v>
      </c>
      <c r="AX978" t="s">
        <v>698</v>
      </c>
      <c r="AY978" t="s">
        <v>2752</v>
      </c>
      <c r="AZ978" t="s">
        <v>2753</v>
      </c>
      <c r="BA978" t="s">
        <v>2696</v>
      </c>
      <c r="BB978" t="str">
        <f t="shared" si="15"/>
        <v>FGHINkdGiwa</v>
      </c>
    </row>
    <row r="979" spans="48:54" x14ac:dyDescent="0.25">
      <c r="AV979" t="s">
        <v>822</v>
      </c>
      <c r="AW979" t="s">
        <v>179</v>
      </c>
      <c r="AX979" t="s">
        <v>699</v>
      </c>
      <c r="AY979" t="s">
        <v>2754</v>
      </c>
      <c r="AZ979" t="s">
        <v>2755</v>
      </c>
      <c r="BA979" t="s">
        <v>2696</v>
      </c>
      <c r="BB979" t="str">
        <f t="shared" si="15"/>
        <v>FGHINkdKauru</v>
      </c>
    </row>
    <row r="980" spans="48:54" x14ac:dyDescent="0.25">
      <c r="AV980" t="s">
        <v>822</v>
      </c>
      <c r="AW980" t="s">
        <v>179</v>
      </c>
      <c r="AX980" t="s">
        <v>699</v>
      </c>
      <c r="AY980" t="s">
        <v>2756</v>
      </c>
      <c r="AZ980" t="s">
        <v>2757</v>
      </c>
      <c r="BA980" t="s">
        <v>2696</v>
      </c>
      <c r="BB980" t="str">
        <f t="shared" si="15"/>
        <v>FGHINkdKauru</v>
      </c>
    </row>
    <row r="981" spans="48:54" x14ac:dyDescent="0.25">
      <c r="AV981" t="s">
        <v>822</v>
      </c>
      <c r="AW981" t="s">
        <v>179</v>
      </c>
      <c r="AX981" t="s">
        <v>699</v>
      </c>
      <c r="AY981" t="s">
        <v>2758</v>
      </c>
      <c r="AZ981" t="s">
        <v>2759</v>
      </c>
      <c r="BA981" t="s">
        <v>2696</v>
      </c>
      <c r="BB981" t="str">
        <f t="shared" si="15"/>
        <v>FGHINkdKauru</v>
      </c>
    </row>
    <row r="982" spans="48:54" x14ac:dyDescent="0.25">
      <c r="AV982" t="s">
        <v>822</v>
      </c>
      <c r="AW982" t="s">
        <v>179</v>
      </c>
      <c r="AX982" t="s">
        <v>699</v>
      </c>
      <c r="AY982" t="s">
        <v>2760</v>
      </c>
      <c r="AZ982" t="s">
        <v>2761</v>
      </c>
      <c r="BA982" t="s">
        <v>2696</v>
      </c>
      <c r="BB982" t="str">
        <f t="shared" si="15"/>
        <v>FGHINkdKauru</v>
      </c>
    </row>
    <row r="983" spans="48:54" x14ac:dyDescent="0.25">
      <c r="AV983" t="s">
        <v>822</v>
      </c>
      <c r="AW983" t="s">
        <v>179</v>
      </c>
      <c r="AX983" t="s">
        <v>699</v>
      </c>
      <c r="AY983" t="s">
        <v>2762</v>
      </c>
      <c r="AZ983" t="s">
        <v>2763</v>
      </c>
      <c r="BA983" t="s">
        <v>2696</v>
      </c>
      <c r="BB983" t="str">
        <f t="shared" si="15"/>
        <v>FGHINkdKauru</v>
      </c>
    </row>
    <row r="984" spans="48:54" x14ac:dyDescent="0.25">
      <c r="AV984" t="s">
        <v>822</v>
      </c>
      <c r="AW984" t="s">
        <v>179</v>
      </c>
      <c r="AX984" t="s">
        <v>699</v>
      </c>
      <c r="AY984" t="s">
        <v>2764</v>
      </c>
      <c r="AZ984" t="s">
        <v>2765</v>
      </c>
      <c r="BA984" t="s">
        <v>2696</v>
      </c>
      <c r="BB984" t="str">
        <f t="shared" si="15"/>
        <v>FGHINkdKauru</v>
      </c>
    </row>
    <row r="985" spans="48:54" x14ac:dyDescent="0.25">
      <c r="AV985" t="s">
        <v>822</v>
      </c>
      <c r="AW985" t="s">
        <v>179</v>
      </c>
      <c r="AX985" t="s">
        <v>685</v>
      </c>
      <c r="AY985" t="s">
        <v>2766</v>
      </c>
      <c r="AZ985" t="s">
        <v>2767</v>
      </c>
      <c r="BA985" t="s">
        <v>2696</v>
      </c>
      <c r="BB985" t="str">
        <f t="shared" si="15"/>
        <v>FGHINkdLere</v>
      </c>
    </row>
    <row r="986" spans="48:54" x14ac:dyDescent="0.25">
      <c r="AV986" t="s">
        <v>822</v>
      </c>
      <c r="AW986" t="s">
        <v>179</v>
      </c>
      <c r="AX986" t="s">
        <v>685</v>
      </c>
      <c r="AY986" t="s">
        <v>2768</v>
      </c>
      <c r="AZ986" t="s">
        <v>2769</v>
      </c>
      <c r="BA986" t="s">
        <v>2696</v>
      </c>
      <c r="BB986" t="str">
        <f t="shared" si="15"/>
        <v>FGHINkdLere</v>
      </c>
    </row>
    <row r="987" spans="48:54" x14ac:dyDescent="0.25">
      <c r="AV987" t="s">
        <v>822</v>
      </c>
      <c r="AW987" t="s">
        <v>179</v>
      </c>
      <c r="AX987" t="s">
        <v>685</v>
      </c>
      <c r="AY987" t="s">
        <v>2770</v>
      </c>
      <c r="AZ987" t="s">
        <v>2771</v>
      </c>
      <c r="BA987" t="s">
        <v>2696</v>
      </c>
      <c r="BB987" t="str">
        <f t="shared" si="15"/>
        <v>FGHINkdLere</v>
      </c>
    </row>
    <row r="988" spans="48:54" x14ac:dyDescent="0.25">
      <c r="AV988" t="s">
        <v>822</v>
      </c>
      <c r="AW988" t="s">
        <v>179</v>
      </c>
      <c r="AX988" t="s">
        <v>685</v>
      </c>
      <c r="AY988" t="s">
        <v>1912</v>
      </c>
      <c r="AZ988" t="s">
        <v>2772</v>
      </c>
      <c r="BA988" t="s">
        <v>2696</v>
      </c>
      <c r="BB988" t="str">
        <f t="shared" si="15"/>
        <v>FGHINkdLere</v>
      </c>
    </row>
    <row r="989" spans="48:54" x14ac:dyDescent="0.25">
      <c r="AV989" t="s">
        <v>822</v>
      </c>
      <c r="AW989" t="s">
        <v>179</v>
      </c>
      <c r="AX989" t="s">
        <v>685</v>
      </c>
      <c r="AY989" t="s">
        <v>2773</v>
      </c>
      <c r="AZ989" t="s">
        <v>2774</v>
      </c>
      <c r="BA989" t="s">
        <v>2696</v>
      </c>
      <c r="BB989" t="str">
        <f t="shared" si="15"/>
        <v>FGHINkdLere</v>
      </c>
    </row>
    <row r="990" spans="48:54" x14ac:dyDescent="0.25">
      <c r="AV990" t="s">
        <v>822</v>
      </c>
      <c r="AW990" t="s">
        <v>179</v>
      </c>
      <c r="AX990" t="s">
        <v>685</v>
      </c>
      <c r="AY990" t="s">
        <v>2775</v>
      </c>
      <c r="AZ990" t="s">
        <v>2776</v>
      </c>
      <c r="BA990" t="s">
        <v>2696</v>
      </c>
      <c r="BB990" t="str">
        <f t="shared" si="15"/>
        <v>FGHINkdLere</v>
      </c>
    </row>
    <row r="991" spans="48:54" x14ac:dyDescent="0.25">
      <c r="AV991" t="s">
        <v>822</v>
      </c>
      <c r="AW991" t="s">
        <v>179</v>
      </c>
      <c r="AX991" t="s">
        <v>685</v>
      </c>
      <c r="AY991" t="s">
        <v>2777</v>
      </c>
      <c r="AZ991" t="s">
        <v>2778</v>
      </c>
      <c r="BA991" t="s">
        <v>2696</v>
      </c>
      <c r="BB991" t="str">
        <f t="shared" si="15"/>
        <v>FGHINkdLere</v>
      </c>
    </row>
    <row r="992" spans="48:54" x14ac:dyDescent="0.25">
      <c r="AV992" t="s">
        <v>822</v>
      </c>
      <c r="AW992" t="s">
        <v>179</v>
      </c>
      <c r="AX992" t="s">
        <v>685</v>
      </c>
      <c r="AY992" t="s">
        <v>2779</v>
      </c>
      <c r="AZ992" t="s">
        <v>2780</v>
      </c>
      <c r="BA992" t="s">
        <v>2696</v>
      </c>
      <c r="BB992" t="str">
        <f t="shared" si="15"/>
        <v>FGHINkdLere</v>
      </c>
    </row>
    <row r="993" spans="48:54" x14ac:dyDescent="0.25">
      <c r="AV993" t="s">
        <v>822</v>
      </c>
      <c r="AW993" t="s">
        <v>179</v>
      </c>
      <c r="AX993" t="s">
        <v>685</v>
      </c>
      <c r="AY993" t="s">
        <v>2781</v>
      </c>
      <c r="AZ993" t="s">
        <v>2782</v>
      </c>
      <c r="BA993" t="s">
        <v>2696</v>
      </c>
      <c r="BB993" t="str">
        <f t="shared" si="15"/>
        <v>FGHINkdLere</v>
      </c>
    </row>
    <row r="994" spans="48:54" x14ac:dyDescent="0.25">
      <c r="AV994" t="s">
        <v>822</v>
      </c>
      <c r="AW994" t="s">
        <v>179</v>
      </c>
      <c r="AX994" t="s">
        <v>685</v>
      </c>
      <c r="AY994" t="s">
        <v>2783</v>
      </c>
      <c r="AZ994" t="s">
        <v>2784</v>
      </c>
      <c r="BA994" t="s">
        <v>2696</v>
      </c>
      <c r="BB994" t="str">
        <f t="shared" si="15"/>
        <v>FGHINkdLere</v>
      </c>
    </row>
    <row r="995" spans="48:54" x14ac:dyDescent="0.25">
      <c r="AV995" t="s">
        <v>822</v>
      </c>
      <c r="AW995" t="s">
        <v>179</v>
      </c>
      <c r="AX995" t="s">
        <v>685</v>
      </c>
      <c r="AY995" t="s">
        <v>2785</v>
      </c>
      <c r="AZ995" t="s">
        <v>2786</v>
      </c>
      <c r="BA995" t="s">
        <v>2696</v>
      </c>
      <c r="BB995" t="str">
        <f t="shared" si="15"/>
        <v>FGHINkdLere</v>
      </c>
    </row>
    <row r="996" spans="48:54" x14ac:dyDescent="0.25">
      <c r="AV996" t="s">
        <v>822</v>
      </c>
      <c r="AW996" t="s">
        <v>179</v>
      </c>
      <c r="AX996" t="s">
        <v>700</v>
      </c>
      <c r="AY996" t="s">
        <v>2787</v>
      </c>
      <c r="AZ996" t="s">
        <v>2788</v>
      </c>
      <c r="BA996" t="s">
        <v>2696</v>
      </c>
      <c r="BB996" t="str">
        <f t="shared" si="15"/>
        <v>FGHINkdMakarfi</v>
      </c>
    </row>
    <row r="997" spans="48:54" x14ac:dyDescent="0.25">
      <c r="AV997" t="s">
        <v>822</v>
      </c>
      <c r="AW997" t="s">
        <v>179</v>
      </c>
      <c r="AX997" t="s">
        <v>700</v>
      </c>
      <c r="AY997" t="s">
        <v>2789</v>
      </c>
      <c r="AZ997" t="s">
        <v>2790</v>
      </c>
      <c r="BA997" t="s">
        <v>2696</v>
      </c>
      <c r="BB997" t="str">
        <f t="shared" si="15"/>
        <v>FGHINkdMakarfi</v>
      </c>
    </row>
    <row r="998" spans="48:54" x14ac:dyDescent="0.25">
      <c r="AV998" t="s">
        <v>822</v>
      </c>
      <c r="AW998" t="s">
        <v>179</v>
      </c>
      <c r="AX998" t="s">
        <v>700</v>
      </c>
      <c r="AY998" t="s">
        <v>2791</v>
      </c>
      <c r="AZ998" t="s">
        <v>2792</v>
      </c>
      <c r="BA998" t="s">
        <v>2696</v>
      </c>
      <c r="BB998" t="str">
        <f t="shared" si="15"/>
        <v>FGHINkdMakarfi</v>
      </c>
    </row>
    <row r="999" spans="48:54" x14ac:dyDescent="0.25">
      <c r="AV999" t="s">
        <v>822</v>
      </c>
      <c r="AW999" t="s">
        <v>179</v>
      </c>
      <c r="AX999" t="s">
        <v>700</v>
      </c>
      <c r="AY999" t="s">
        <v>2793</v>
      </c>
      <c r="AZ999" t="s">
        <v>2794</v>
      </c>
      <c r="BA999" t="s">
        <v>2696</v>
      </c>
      <c r="BB999" t="str">
        <f t="shared" si="15"/>
        <v>FGHINkdMakarfi</v>
      </c>
    </row>
    <row r="1000" spans="48:54" x14ac:dyDescent="0.25">
      <c r="AV1000" t="s">
        <v>822</v>
      </c>
      <c r="AW1000" t="s">
        <v>179</v>
      </c>
      <c r="AX1000" t="s">
        <v>700</v>
      </c>
      <c r="AY1000" t="s">
        <v>2795</v>
      </c>
      <c r="AZ1000" t="s">
        <v>2796</v>
      </c>
      <c r="BA1000" t="s">
        <v>2696</v>
      </c>
      <c r="BB1000" t="str">
        <f t="shared" si="15"/>
        <v>FGHINkdMakarfi</v>
      </c>
    </row>
    <row r="1001" spans="48:54" x14ac:dyDescent="0.25">
      <c r="AV1001" t="s">
        <v>822</v>
      </c>
      <c r="AW1001" t="s">
        <v>179</v>
      </c>
      <c r="AX1001" t="s">
        <v>700</v>
      </c>
      <c r="AY1001" t="s">
        <v>2797</v>
      </c>
      <c r="AZ1001" t="s">
        <v>2798</v>
      </c>
      <c r="BA1001" t="s">
        <v>2696</v>
      </c>
      <c r="BB1001" t="str">
        <f t="shared" si="15"/>
        <v>FGHINkdMakarfi</v>
      </c>
    </row>
    <row r="1002" spans="48:54" x14ac:dyDescent="0.25">
      <c r="AV1002" t="s">
        <v>822</v>
      </c>
      <c r="AW1002" t="s">
        <v>179</v>
      </c>
      <c r="AX1002" t="s">
        <v>700</v>
      </c>
      <c r="AY1002" t="s">
        <v>2799</v>
      </c>
      <c r="AZ1002" t="s">
        <v>2800</v>
      </c>
      <c r="BA1002" t="s">
        <v>2696</v>
      </c>
      <c r="BB1002" t="str">
        <f t="shared" si="15"/>
        <v>FGHINkdMakarfi</v>
      </c>
    </row>
    <row r="1003" spans="48:54" x14ac:dyDescent="0.25">
      <c r="AV1003" t="s">
        <v>822</v>
      </c>
      <c r="AW1003" t="s">
        <v>179</v>
      </c>
      <c r="AX1003" t="s">
        <v>700</v>
      </c>
      <c r="AY1003" t="s">
        <v>2801</v>
      </c>
      <c r="AZ1003" t="s">
        <v>2802</v>
      </c>
      <c r="BA1003" t="s">
        <v>2696</v>
      </c>
      <c r="BB1003" t="str">
        <f t="shared" si="15"/>
        <v>FGHINkdMakarfi</v>
      </c>
    </row>
    <row r="1004" spans="48:54" x14ac:dyDescent="0.25">
      <c r="AV1004" t="s">
        <v>822</v>
      </c>
      <c r="AW1004" t="s">
        <v>179</v>
      </c>
      <c r="AX1004" t="s">
        <v>701</v>
      </c>
      <c r="AY1004" t="s">
        <v>2803</v>
      </c>
      <c r="AZ1004" t="s">
        <v>2804</v>
      </c>
      <c r="BA1004" t="s">
        <v>2696</v>
      </c>
      <c r="BB1004" t="str">
        <f t="shared" si="15"/>
        <v>FGHINkdSabonGari</v>
      </c>
    </row>
    <row r="1005" spans="48:54" x14ac:dyDescent="0.25">
      <c r="AV1005" t="s">
        <v>822</v>
      </c>
      <c r="AW1005" t="s">
        <v>180</v>
      </c>
      <c r="AX1005" t="s">
        <v>702</v>
      </c>
      <c r="AY1005" t="s">
        <v>2805</v>
      </c>
      <c r="AZ1005" t="s">
        <v>2806</v>
      </c>
      <c r="BA1005" t="s">
        <v>2696</v>
      </c>
      <c r="BB1005" t="str">
        <f t="shared" si="15"/>
        <v>FGHINknGezawa</v>
      </c>
    </row>
    <row r="1006" spans="48:54" x14ac:dyDescent="0.25">
      <c r="AV1006" t="s">
        <v>822</v>
      </c>
      <c r="AW1006" t="s">
        <v>180</v>
      </c>
      <c r="AX1006" t="s">
        <v>703</v>
      </c>
      <c r="AY1006" t="s">
        <v>2807</v>
      </c>
      <c r="AZ1006" t="s">
        <v>2808</v>
      </c>
      <c r="BA1006" t="s">
        <v>2696</v>
      </c>
      <c r="BB1006" t="str">
        <f t="shared" si="15"/>
        <v>FGHINknNassarawa</v>
      </c>
    </row>
    <row r="1007" spans="48:54" x14ac:dyDescent="0.25">
      <c r="AV1007" t="s">
        <v>822</v>
      </c>
      <c r="AW1007" t="s">
        <v>180</v>
      </c>
      <c r="AX1007" t="s">
        <v>704</v>
      </c>
      <c r="AY1007" t="s">
        <v>2809</v>
      </c>
      <c r="AZ1007" t="s">
        <v>2810</v>
      </c>
      <c r="BA1007" t="s">
        <v>2696</v>
      </c>
      <c r="BB1007" t="str">
        <f t="shared" si="15"/>
        <v>FGHINknTarauni</v>
      </c>
    </row>
    <row r="1008" spans="48:54" x14ac:dyDescent="0.25">
      <c r="AV1008" t="s">
        <v>822</v>
      </c>
      <c r="AW1008" t="s">
        <v>183</v>
      </c>
      <c r="AX1008" t="s">
        <v>725</v>
      </c>
      <c r="AY1008" t="s">
        <v>2811</v>
      </c>
      <c r="AZ1008" t="s">
        <v>2812</v>
      </c>
      <c r="BA1008" t="s">
        <v>2696</v>
      </c>
      <c r="BB1008" t="str">
        <f t="shared" si="15"/>
        <v>FGHINkoIjumu</v>
      </c>
    </row>
    <row r="1009" spans="48:54" x14ac:dyDescent="0.25">
      <c r="AV1009" t="s">
        <v>822</v>
      </c>
      <c r="AW1009" t="s">
        <v>183</v>
      </c>
      <c r="AX1009" t="s">
        <v>725</v>
      </c>
      <c r="AY1009" t="s">
        <v>2813</v>
      </c>
      <c r="AZ1009" t="s">
        <v>2814</v>
      </c>
      <c r="BA1009" t="s">
        <v>2696</v>
      </c>
      <c r="BB1009" t="str">
        <f t="shared" si="15"/>
        <v>FGHINkoIjumu</v>
      </c>
    </row>
    <row r="1010" spans="48:54" x14ac:dyDescent="0.25">
      <c r="AV1010" t="s">
        <v>822</v>
      </c>
      <c r="AW1010" t="s">
        <v>183</v>
      </c>
      <c r="AX1010" t="s">
        <v>712</v>
      </c>
      <c r="AY1010" t="s">
        <v>1808</v>
      </c>
      <c r="AZ1010" t="s">
        <v>2815</v>
      </c>
      <c r="BA1010" t="s">
        <v>2696</v>
      </c>
      <c r="BB1010" t="str">
        <f t="shared" si="15"/>
        <v>FGHINkoKabba</v>
      </c>
    </row>
    <row r="1011" spans="48:54" x14ac:dyDescent="0.25">
      <c r="AV1011" t="s">
        <v>822</v>
      </c>
      <c r="AW1011" t="s">
        <v>167</v>
      </c>
      <c r="AX1011" t="s">
        <v>578</v>
      </c>
      <c r="AY1011" t="s">
        <v>2816</v>
      </c>
      <c r="AZ1011" t="s">
        <v>2817</v>
      </c>
      <c r="BA1011" t="s">
        <v>156</v>
      </c>
      <c r="BB1011" t="str">
        <f t="shared" si="15"/>
        <v>IHVNbeKatsinaAla</v>
      </c>
    </row>
    <row r="1012" spans="48:54" x14ac:dyDescent="0.25">
      <c r="AV1012" t="s">
        <v>822</v>
      </c>
      <c r="AW1012" t="s">
        <v>167</v>
      </c>
      <c r="AX1012" t="s">
        <v>578</v>
      </c>
      <c r="AY1012" t="s">
        <v>2818</v>
      </c>
      <c r="AZ1012" t="s">
        <v>2819</v>
      </c>
      <c r="BA1012" t="s">
        <v>156</v>
      </c>
      <c r="BB1012" t="str">
        <f t="shared" si="15"/>
        <v>IHVNbeKatsinaAla</v>
      </c>
    </row>
    <row r="1013" spans="48:54" x14ac:dyDescent="0.25">
      <c r="AV1013" t="s">
        <v>822</v>
      </c>
      <c r="AW1013" t="s">
        <v>167</v>
      </c>
      <c r="AX1013" t="s">
        <v>578</v>
      </c>
      <c r="AY1013" t="s">
        <v>2820</v>
      </c>
      <c r="AZ1013" t="s">
        <v>2821</v>
      </c>
      <c r="BA1013" t="s">
        <v>156</v>
      </c>
      <c r="BB1013" t="str">
        <f t="shared" si="15"/>
        <v>IHVNbeKatsinaAla</v>
      </c>
    </row>
    <row r="1014" spans="48:54" x14ac:dyDescent="0.25">
      <c r="AV1014" t="s">
        <v>822</v>
      </c>
      <c r="AW1014" t="s">
        <v>167</v>
      </c>
      <c r="AX1014" t="s">
        <v>578</v>
      </c>
      <c r="AY1014" t="s">
        <v>2822</v>
      </c>
      <c r="AZ1014" t="s">
        <v>2823</v>
      </c>
      <c r="BA1014" t="s">
        <v>156</v>
      </c>
      <c r="BB1014" t="str">
        <f t="shared" si="15"/>
        <v>IHVNbeKatsinaAla</v>
      </c>
    </row>
    <row r="1015" spans="48:54" x14ac:dyDescent="0.25">
      <c r="AV1015" t="s">
        <v>822</v>
      </c>
      <c r="AW1015" t="s">
        <v>167</v>
      </c>
      <c r="AX1015" t="s">
        <v>578</v>
      </c>
      <c r="AY1015" t="s">
        <v>2824</v>
      </c>
      <c r="AZ1015" t="s">
        <v>2825</v>
      </c>
      <c r="BA1015" t="s">
        <v>156</v>
      </c>
      <c r="BB1015" t="str">
        <f t="shared" si="15"/>
        <v>IHVNbeKatsinaAla</v>
      </c>
    </row>
    <row r="1016" spans="48:54" x14ac:dyDescent="0.25">
      <c r="AV1016" t="s">
        <v>822</v>
      </c>
      <c r="AW1016" t="s">
        <v>167</v>
      </c>
      <c r="AX1016" t="s">
        <v>578</v>
      </c>
      <c r="AY1016" t="s">
        <v>2826</v>
      </c>
      <c r="AZ1016" t="s">
        <v>2827</v>
      </c>
      <c r="BA1016" t="s">
        <v>156</v>
      </c>
      <c r="BB1016" t="str">
        <f t="shared" si="15"/>
        <v>IHVNbeKatsinaAla</v>
      </c>
    </row>
    <row r="1017" spans="48:54" x14ac:dyDescent="0.25">
      <c r="AV1017" t="s">
        <v>822</v>
      </c>
      <c r="AW1017" t="s">
        <v>167</v>
      </c>
      <c r="AX1017" t="s">
        <v>578</v>
      </c>
      <c r="AY1017" t="s">
        <v>2828</v>
      </c>
      <c r="AZ1017" t="s">
        <v>2829</v>
      </c>
      <c r="BA1017" t="s">
        <v>156</v>
      </c>
      <c r="BB1017" t="str">
        <f t="shared" si="15"/>
        <v>IHVNbeKatsinaAla</v>
      </c>
    </row>
    <row r="1018" spans="48:54" x14ac:dyDescent="0.25">
      <c r="AV1018" t="s">
        <v>822</v>
      </c>
      <c r="AW1018" t="s">
        <v>167</v>
      </c>
      <c r="AX1018" t="s">
        <v>578</v>
      </c>
      <c r="AY1018" t="s">
        <v>2830</v>
      </c>
      <c r="AZ1018" t="s">
        <v>2831</v>
      </c>
      <c r="BA1018" t="s">
        <v>156</v>
      </c>
      <c r="BB1018" t="str">
        <f t="shared" si="15"/>
        <v>IHVNbeKatsinaAla</v>
      </c>
    </row>
    <row r="1019" spans="48:54" x14ac:dyDescent="0.25">
      <c r="AV1019" t="s">
        <v>822</v>
      </c>
      <c r="AW1019" t="s">
        <v>167</v>
      </c>
      <c r="AX1019" t="s">
        <v>578</v>
      </c>
      <c r="AY1019" t="s">
        <v>2832</v>
      </c>
      <c r="AZ1019" t="s">
        <v>2833</v>
      </c>
      <c r="BA1019" t="s">
        <v>156</v>
      </c>
      <c r="BB1019" t="str">
        <f t="shared" si="15"/>
        <v>IHVNbeKatsinaAla</v>
      </c>
    </row>
    <row r="1020" spans="48:54" x14ac:dyDescent="0.25">
      <c r="AV1020" t="s">
        <v>822</v>
      </c>
      <c r="AW1020" t="s">
        <v>167</v>
      </c>
      <c r="AX1020" t="s">
        <v>578</v>
      </c>
      <c r="AY1020" t="s">
        <v>2834</v>
      </c>
      <c r="AZ1020" t="s">
        <v>2835</v>
      </c>
      <c r="BA1020" t="s">
        <v>156</v>
      </c>
      <c r="BB1020" t="str">
        <f t="shared" si="15"/>
        <v>IHVNbeKatsinaAla</v>
      </c>
    </row>
    <row r="1021" spans="48:54" x14ac:dyDescent="0.25">
      <c r="AV1021" t="s">
        <v>822</v>
      </c>
      <c r="AW1021" t="s">
        <v>167</v>
      </c>
      <c r="AX1021" t="s">
        <v>578</v>
      </c>
      <c r="AY1021" t="s">
        <v>2836</v>
      </c>
      <c r="AZ1021" t="s">
        <v>2837</v>
      </c>
      <c r="BA1021" t="s">
        <v>156</v>
      </c>
      <c r="BB1021" t="str">
        <f t="shared" si="15"/>
        <v>IHVNbeKatsinaAla</v>
      </c>
    </row>
    <row r="1022" spans="48:54" x14ac:dyDescent="0.25">
      <c r="AV1022" t="s">
        <v>822</v>
      </c>
      <c r="AW1022" t="s">
        <v>167</v>
      </c>
      <c r="AX1022" t="s">
        <v>578</v>
      </c>
      <c r="AY1022" t="s">
        <v>2838</v>
      </c>
      <c r="AZ1022" t="s">
        <v>2839</v>
      </c>
      <c r="BA1022" t="s">
        <v>156</v>
      </c>
      <c r="BB1022" t="str">
        <f t="shared" si="15"/>
        <v>IHVNbeKatsinaAla</v>
      </c>
    </row>
    <row r="1023" spans="48:54" x14ac:dyDescent="0.25">
      <c r="AV1023" t="s">
        <v>822</v>
      </c>
      <c r="AW1023" t="s">
        <v>167</v>
      </c>
      <c r="AX1023" t="s">
        <v>578</v>
      </c>
      <c r="AY1023" t="s">
        <v>2840</v>
      </c>
      <c r="AZ1023" t="s">
        <v>2841</v>
      </c>
      <c r="BA1023" t="s">
        <v>156</v>
      </c>
      <c r="BB1023" t="str">
        <f t="shared" si="15"/>
        <v>IHVNbeKatsinaAla</v>
      </c>
    </row>
    <row r="1024" spans="48:54" x14ac:dyDescent="0.25">
      <c r="AV1024" t="s">
        <v>822</v>
      </c>
      <c r="AW1024" t="s">
        <v>167</v>
      </c>
      <c r="AX1024" t="s">
        <v>579</v>
      </c>
      <c r="AY1024" t="s">
        <v>2842</v>
      </c>
      <c r="AZ1024" t="s">
        <v>2843</v>
      </c>
      <c r="BA1024" t="s">
        <v>156</v>
      </c>
      <c r="BB1024" t="str">
        <f t="shared" si="15"/>
        <v>IHVNbeKonshisha</v>
      </c>
    </row>
    <row r="1025" spans="48:54" x14ac:dyDescent="0.25">
      <c r="AV1025" t="s">
        <v>822</v>
      </c>
      <c r="AW1025" t="s">
        <v>167</v>
      </c>
      <c r="AX1025" t="s">
        <v>579</v>
      </c>
      <c r="AY1025" t="s">
        <v>2844</v>
      </c>
      <c r="AZ1025" t="s">
        <v>2845</v>
      </c>
      <c r="BA1025" t="s">
        <v>156</v>
      </c>
      <c r="BB1025" t="str">
        <f t="shared" si="15"/>
        <v>IHVNbeKonshisha</v>
      </c>
    </row>
    <row r="1026" spans="48:54" x14ac:dyDescent="0.25">
      <c r="AV1026" t="s">
        <v>822</v>
      </c>
      <c r="AW1026" t="s">
        <v>167</v>
      </c>
      <c r="AX1026" t="s">
        <v>579</v>
      </c>
      <c r="AY1026" t="s">
        <v>2846</v>
      </c>
      <c r="AZ1026" t="s">
        <v>2847</v>
      </c>
      <c r="BA1026" t="s">
        <v>156</v>
      </c>
      <c r="BB1026" t="str">
        <f t="shared" si="15"/>
        <v>IHVNbeKonshisha</v>
      </c>
    </row>
    <row r="1027" spans="48:54" x14ac:dyDescent="0.25">
      <c r="AV1027" t="s">
        <v>822</v>
      </c>
      <c r="AW1027" t="s">
        <v>167</v>
      </c>
      <c r="AX1027" t="s">
        <v>579</v>
      </c>
      <c r="AY1027" t="s">
        <v>2848</v>
      </c>
      <c r="AZ1027" t="s">
        <v>2849</v>
      </c>
      <c r="BA1027" t="s">
        <v>156</v>
      </c>
      <c r="BB1027" t="str">
        <f t="shared" ref="BB1027:BB1090" si="16">SUBSTITUTE(SUBSTITUTE(BA1027&amp;AX1027," ",""),"-","")</f>
        <v>IHVNbeKonshisha</v>
      </c>
    </row>
    <row r="1028" spans="48:54" x14ac:dyDescent="0.25">
      <c r="AV1028" t="s">
        <v>822</v>
      </c>
      <c r="AW1028" t="s">
        <v>167</v>
      </c>
      <c r="AX1028" t="s">
        <v>579</v>
      </c>
      <c r="AY1028" t="s">
        <v>2850</v>
      </c>
      <c r="AZ1028" t="s">
        <v>2851</v>
      </c>
      <c r="BA1028" t="s">
        <v>156</v>
      </c>
      <c r="BB1028" t="str">
        <f t="shared" si="16"/>
        <v>IHVNbeKonshisha</v>
      </c>
    </row>
    <row r="1029" spans="48:54" x14ac:dyDescent="0.25">
      <c r="AV1029" t="s">
        <v>822</v>
      </c>
      <c r="AW1029" t="s">
        <v>167</v>
      </c>
      <c r="AX1029" t="s">
        <v>579</v>
      </c>
      <c r="AY1029" t="s">
        <v>2852</v>
      </c>
      <c r="AZ1029" t="s">
        <v>2853</v>
      </c>
      <c r="BA1029" t="s">
        <v>156</v>
      </c>
      <c r="BB1029" t="str">
        <f t="shared" si="16"/>
        <v>IHVNbeKonshisha</v>
      </c>
    </row>
    <row r="1030" spans="48:54" x14ac:dyDescent="0.25">
      <c r="AV1030" t="s">
        <v>822</v>
      </c>
      <c r="AW1030" t="s">
        <v>167</v>
      </c>
      <c r="AX1030" t="s">
        <v>579</v>
      </c>
      <c r="AY1030" t="s">
        <v>2854</v>
      </c>
      <c r="AZ1030" t="s">
        <v>2855</v>
      </c>
      <c r="BA1030" t="s">
        <v>156</v>
      </c>
      <c r="BB1030" t="str">
        <f t="shared" si="16"/>
        <v>IHVNbeKonshisha</v>
      </c>
    </row>
    <row r="1031" spans="48:54" x14ac:dyDescent="0.25">
      <c r="AV1031" t="s">
        <v>822</v>
      </c>
      <c r="AW1031" t="s">
        <v>167</v>
      </c>
      <c r="AX1031" t="s">
        <v>579</v>
      </c>
      <c r="AY1031" t="s">
        <v>2856</v>
      </c>
      <c r="AZ1031" t="s">
        <v>2857</v>
      </c>
      <c r="BA1031" t="s">
        <v>156</v>
      </c>
      <c r="BB1031" t="str">
        <f t="shared" si="16"/>
        <v>IHVNbeKonshisha</v>
      </c>
    </row>
    <row r="1032" spans="48:54" x14ac:dyDescent="0.25">
      <c r="AV1032" t="s">
        <v>822</v>
      </c>
      <c r="AW1032" t="s">
        <v>167</v>
      </c>
      <c r="AX1032" t="s">
        <v>579</v>
      </c>
      <c r="AY1032" t="s">
        <v>2858</v>
      </c>
      <c r="AZ1032" t="s">
        <v>2859</v>
      </c>
      <c r="BA1032" t="s">
        <v>156</v>
      </c>
      <c r="BB1032" t="str">
        <f t="shared" si="16"/>
        <v>IHVNbeKonshisha</v>
      </c>
    </row>
    <row r="1033" spans="48:54" x14ac:dyDescent="0.25">
      <c r="AV1033" t="s">
        <v>822</v>
      </c>
      <c r="AW1033" t="s">
        <v>167</v>
      </c>
      <c r="AX1033" t="s">
        <v>579</v>
      </c>
      <c r="AY1033" t="s">
        <v>2860</v>
      </c>
      <c r="AZ1033" t="s">
        <v>2861</v>
      </c>
      <c r="BA1033" t="s">
        <v>156</v>
      </c>
      <c r="BB1033" t="str">
        <f t="shared" si="16"/>
        <v>IHVNbeKonshisha</v>
      </c>
    </row>
    <row r="1034" spans="48:54" x14ac:dyDescent="0.25">
      <c r="AV1034" t="s">
        <v>822</v>
      </c>
      <c r="AW1034" t="s">
        <v>167</v>
      </c>
      <c r="AX1034" t="s">
        <v>579</v>
      </c>
      <c r="AY1034" t="s">
        <v>2862</v>
      </c>
      <c r="AZ1034" t="s">
        <v>2863</v>
      </c>
      <c r="BA1034" t="s">
        <v>156</v>
      </c>
      <c r="BB1034" t="str">
        <f t="shared" si="16"/>
        <v>IHVNbeKonshisha</v>
      </c>
    </row>
    <row r="1035" spans="48:54" x14ac:dyDescent="0.25">
      <c r="AV1035" t="s">
        <v>822</v>
      </c>
      <c r="AW1035" t="s">
        <v>167</v>
      </c>
      <c r="AX1035" t="s">
        <v>579</v>
      </c>
      <c r="AY1035" t="s">
        <v>2864</v>
      </c>
      <c r="AZ1035" t="s">
        <v>2865</v>
      </c>
      <c r="BA1035" t="s">
        <v>156</v>
      </c>
      <c r="BB1035" t="str">
        <f t="shared" si="16"/>
        <v>IHVNbeKonshisha</v>
      </c>
    </row>
    <row r="1036" spans="48:54" x14ac:dyDescent="0.25">
      <c r="AV1036" t="s">
        <v>822</v>
      </c>
      <c r="AW1036" t="s">
        <v>167</v>
      </c>
      <c r="AX1036" t="s">
        <v>579</v>
      </c>
      <c r="AY1036" t="s">
        <v>2866</v>
      </c>
      <c r="AZ1036" t="s">
        <v>2867</v>
      </c>
      <c r="BA1036" t="s">
        <v>156</v>
      </c>
      <c r="BB1036" t="str">
        <f t="shared" si="16"/>
        <v>IHVNbeKonshisha</v>
      </c>
    </row>
    <row r="1037" spans="48:54" x14ac:dyDescent="0.25">
      <c r="AV1037" t="s">
        <v>822</v>
      </c>
      <c r="AW1037" t="s">
        <v>167</v>
      </c>
      <c r="AX1037" t="s">
        <v>579</v>
      </c>
      <c r="AY1037" t="s">
        <v>2868</v>
      </c>
      <c r="AZ1037" t="s">
        <v>2869</v>
      </c>
      <c r="BA1037" t="s">
        <v>156</v>
      </c>
      <c r="BB1037" t="str">
        <f t="shared" si="16"/>
        <v>IHVNbeKonshisha</v>
      </c>
    </row>
    <row r="1038" spans="48:54" x14ac:dyDescent="0.25">
      <c r="AV1038" t="s">
        <v>822</v>
      </c>
      <c r="AW1038" t="s">
        <v>167</v>
      </c>
      <c r="AX1038" t="s">
        <v>579</v>
      </c>
      <c r="AY1038" t="s">
        <v>2870</v>
      </c>
      <c r="AZ1038" t="s">
        <v>2871</v>
      </c>
      <c r="BA1038" t="s">
        <v>156</v>
      </c>
      <c r="BB1038" t="str">
        <f t="shared" si="16"/>
        <v>IHVNbeKonshisha</v>
      </c>
    </row>
    <row r="1039" spans="48:54" x14ac:dyDescent="0.25">
      <c r="AV1039" t="s">
        <v>822</v>
      </c>
      <c r="AW1039" t="s">
        <v>167</v>
      </c>
      <c r="AX1039" t="s">
        <v>579</v>
      </c>
      <c r="AY1039" t="s">
        <v>2872</v>
      </c>
      <c r="AZ1039" t="s">
        <v>2873</v>
      </c>
      <c r="BA1039" t="s">
        <v>156</v>
      </c>
      <c r="BB1039" t="str">
        <f t="shared" si="16"/>
        <v>IHVNbeKonshisha</v>
      </c>
    </row>
    <row r="1040" spans="48:54" x14ac:dyDescent="0.25">
      <c r="AV1040" t="s">
        <v>822</v>
      </c>
      <c r="AW1040" t="s">
        <v>167</v>
      </c>
      <c r="AX1040" t="s">
        <v>579</v>
      </c>
      <c r="AY1040" t="s">
        <v>2874</v>
      </c>
      <c r="AZ1040" t="s">
        <v>2875</v>
      </c>
      <c r="BA1040" t="s">
        <v>156</v>
      </c>
      <c r="BB1040" t="str">
        <f t="shared" si="16"/>
        <v>IHVNbeKonshisha</v>
      </c>
    </row>
    <row r="1041" spans="48:54" x14ac:dyDescent="0.25">
      <c r="AV1041" t="s">
        <v>822</v>
      </c>
      <c r="AW1041" t="s">
        <v>167</v>
      </c>
      <c r="AX1041" t="s">
        <v>579</v>
      </c>
      <c r="AY1041" t="s">
        <v>2876</v>
      </c>
      <c r="AZ1041" t="s">
        <v>2877</v>
      </c>
      <c r="BA1041" t="s">
        <v>156</v>
      </c>
      <c r="BB1041" t="str">
        <f t="shared" si="16"/>
        <v>IHVNbeKonshisha</v>
      </c>
    </row>
    <row r="1042" spans="48:54" x14ac:dyDescent="0.25">
      <c r="AV1042" t="s">
        <v>822</v>
      </c>
      <c r="AW1042" t="s">
        <v>167</v>
      </c>
      <c r="AX1042" t="s">
        <v>579</v>
      </c>
      <c r="AY1042" t="s">
        <v>2878</v>
      </c>
      <c r="AZ1042" t="s">
        <v>2879</v>
      </c>
      <c r="BA1042" t="s">
        <v>156</v>
      </c>
      <c r="BB1042" t="str">
        <f t="shared" si="16"/>
        <v>IHVNbeKonshisha</v>
      </c>
    </row>
    <row r="1043" spans="48:54" x14ac:dyDescent="0.25">
      <c r="AV1043" t="s">
        <v>822</v>
      </c>
      <c r="AW1043" t="s">
        <v>167</v>
      </c>
      <c r="AX1043" t="s">
        <v>579</v>
      </c>
      <c r="AY1043" t="s">
        <v>2880</v>
      </c>
      <c r="AZ1043" t="s">
        <v>2881</v>
      </c>
      <c r="BA1043" t="s">
        <v>156</v>
      </c>
      <c r="BB1043" t="str">
        <f t="shared" si="16"/>
        <v>IHVNbeKonshisha</v>
      </c>
    </row>
    <row r="1044" spans="48:54" x14ac:dyDescent="0.25">
      <c r="AV1044" t="s">
        <v>822</v>
      </c>
      <c r="AW1044" t="s">
        <v>167</v>
      </c>
      <c r="AX1044" t="s">
        <v>579</v>
      </c>
      <c r="AY1044" t="s">
        <v>2882</v>
      </c>
      <c r="AZ1044" t="s">
        <v>2883</v>
      </c>
      <c r="BA1044" t="s">
        <v>156</v>
      </c>
      <c r="BB1044" t="str">
        <f t="shared" si="16"/>
        <v>IHVNbeKonshisha</v>
      </c>
    </row>
    <row r="1045" spans="48:54" x14ac:dyDescent="0.25">
      <c r="AV1045" t="s">
        <v>822</v>
      </c>
      <c r="AW1045" t="s">
        <v>167</v>
      </c>
      <c r="AX1045" t="s">
        <v>579</v>
      </c>
      <c r="AY1045" t="s">
        <v>2884</v>
      </c>
      <c r="AZ1045" t="s">
        <v>2885</v>
      </c>
      <c r="BA1045" t="s">
        <v>156</v>
      </c>
      <c r="BB1045" t="str">
        <f t="shared" si="16"/>
        <v>IHVNbeKonshisha</v>
      </c>
    </row>
    <row r="1046" spans="48:54" x14ac:dyDescent="0.25">
      <c r="AV1046" t="s">
        <v>822</v>
      </c>
      <c r="AW1046" t="s">
        <v>167</v>
      </c>
      <c r="AX1046" t="s">
        <v>579</v>
      </c>
      <c r="AY1046" t="s">
        <v>2886</v>
      </c>
      <c r="AZ1046" t="s">
        <v>2887</v>
      </c>
      <c r="BA1046" t="s">
        <v>156</v>
      </c>
      <c r="BB1046" t="str">
        <f t="shared" si="16"/>
        <v>IHVNbeKonshisha</v>
      </c>
    </row>
    <row r="1047" spans="48:54" x14ac:dyDescent="0.25">
      <c r="AV1047" t="s">
        <v>822</v>
      </c>
      <c r="AW1047" t="s">
        <v>167</v>
      </c>
      <c r="AX1047" t="s">
        <v>579</v>
      </c>
      <c r="AY1047" t="s">
        <v>2888</v>
      </c>
      <c r="AZ1047" t="s">
        <v>2889</v>
      </c>
      <c r="BA1047" t="s">
        <v>156</v>
      </c>
      <c r="BB1047" t="str">
        <f t="shared" si="16"/>
        <v>IHVNbeKonshisha</v>
      </c>
    </row>
    <row r="1048" spans="48:54" x14ac:dyDescent="0.25">
      <c r="AV1048" t="s">
        <v>822</v>
      </c>
      <c r="AW1048" t="s">
        <v>167</v>
      </c>
      <c r="AX1048" t="s">
        <v>579</v>
      </c>
      <c r="AY1048" t="s">
        <v>2890</v>
      </c>
      <c r="AZ1048" t="s">
        <v>2891</v>
      </c>
      <c r="BA1048" t="s">
        <v>156</v>
      </c>
      <c r="BB1048" t="str">
        <f t="shared" si="16"/>
        <v>IHVNbeKonshisha</v>
      </c>
    </row>
    <row r="1049" spans="48:54" x14ac:dyDescent="0.25">
      <c r="AV1049" t="s">
        <v>822</v>
      </c>
      <c r="AW1049" t="s">
        <v>167</v>
      </c>
      <c r="AX1049" t="s">
        <v>579</v>
      </c>
      <c r="AY1049" t="s">
        <v>2892</v>
      </c>
      <c r="AZ1049" t="s">
        <v>2893</v>
      </c>
      <c r="BA1049" t="s">
        <v>156</v>
      </c>
      <c r="BB1049" t="str">
        <f t="shared" si="16"/>
        <v>IHVNbeKonshisha</v>
      </c>
    </row>
    <row r="1050" spans="48:54" x14ac:dyDescent="0.25">
      <c r="AV1050" t="s">
        <v>822</v>
      </c>
      <c r="AW1050" t="s">
        <v>167</v>
      </c>
      <c r="AX1050" t="s">
        <v>579</v>
      </c>
      <c r="AY1050" t="s">
        <v>2894</v>
      </c>
      <c r="AZ1050" t="s">
        <v>2895</v>
      </c>
      <c r="BA1050" t="s">
        <v>156</v>
      </c>
      <c r="BB1050" t="str">
        <f t="shared" si="16"/>
        <v>IHVNbeKonshisha</v>
      </c>
    </row>
    <row r="1051" spans="48:54" x14ac:dyDescent="0.25">
      <c r="AV1051" t="s">
        <v>822</v>
      </c>
      <c r="AW1051" t="s">
        <v>167</v>
      </c>
      <c r="AX1051" t="s">
        <v>579</v>
      </c>
      <c r="AY1051" t="s">
        <v>2896</v>
      </c>
      <c r="AZ1051" t="s">
        <v>2897</v>
      </c>
      <c r="BA1051" t="s">
        <v>156</v>
      </c>
      <c r="BB1051" t="str">
        <f t="shared" si="16"/>
        <v>IHVNbeKonshisha</v>
      </c>
    </row>
    <row r="1052" spans="48:54" x14ac:dyDescent="0.25">
      <c r="AV1052" t="s">
        <v>822</v>
      </c>
      <c r="AW1052" t="s">
        <v>167</v>
      </c>
      <c r="AX1052" t="s">
        <v>579</v>
      </c>
      <c r="AY1052" t="s">
        <v>2898</v>
      </c>
      <c r="AZ1052" t="s">
        <v>2899</v>
      </c>
      <c r="BA1052" t="s">
        <v>156</v>
      </c>
      <c r="BB1052" t="str">
        <f t="shared" si="16"/>
        <v>IHVNbeKonshisha</v>
      </c>
    </row>
    <row r="1053" spans="48:54" x14ac:dyDescent="0.25">
      <c r="AV1053" t="s">
        <v>822</v>
      </c>
      <c r="AW1053" t="s">
        <v>167</v>
      </c>
      <c r="AX1053" t="s">
        <v>579</v>
      </c>
      <c r="AY1053" t="s">
        <v>2900</v>
      </c>
      <c r="AZ1053" t="s">
        <v>2901</v>
      </c>
      <c r="BA1053" t="s">
        <v>156</v>
      </c>
      <c r="BB1053" t="str">
        <f t="shared" si="16"/>
        <v>IHVNbeKonshisha</v>
      </c>
    </row>
    <row r="1054" spans="48:54" x14ac:dyDescent="0.25">
      <c r="AV1054" t="s">
        <v>822</v>
      </c>
      <c r="AW1054" t="s">
        <v>167</v>
      </c>
      <c r="AX1054" t="s">
        <v>579</v>
      </c>
      <c r="AY1054" t="s">
        <v>2902</v>
      </c>
      <c r="AZ1054" t="s">
        <v>2903</v>
      </c>
      <c r="BA1054" t="s">
        <v>156</v>
      </c>
      <c r="BB1054" t="str">
        <f t="shared" si="16"/>
        <v>IHVNbeKonshisha</v>
      </c>
    </row>
    <row r="1055" spans="48:54" x14ac:dyDescent="0.25">
      <c r="AV1055" t="s">
        <v>822</v>
      </c>
      <c r="AW1055" t="s">
        <v>167</v>
      </c>
      <c r="AX1055" t="s">
        <v>579</v>
      </c>
      <c r="AY1055" t="s">
        <v>2904</v>
      </c>
      <c r="AZ1055" t="s">
        <v>2905</v>
      </c>
      <c r="BA1055" t="s">
        <v>156</v>
      </c>
      <c r="BB1055" t="str">
        <f t="shared" si="16"/>
        <v>IHVNbeKonshisha</v>
      </c>
    </row>
    <row r="1056" spans="48:54" x14ac:dyDescent="0.25">
      <c r="AV1056" t="s">
        <v>822</v>
      </c>
      <c r="AW1056" t="s">
        <v>167</v>
      </c>
      <c r="AX1056" t="s">
        <v>579</v>
      </c>
      <c r="AY1056" t="s">
        <v>2906</v>
      </c>
      <c r="AZ1056" t="s">
        <v>2907</v>
      </c>
      <c r="BA1056" t="s">
        <v>156</v>
      </c>
      <c r="BB1056" t="str">
        <f t="shared" si="16"/>
        <v>IHVNbeKonshisha</v>
      </c>
    </row>
    <row r="1057" spans="48:54" x14ac:dyDescent="0.25">
      <c r="AV1057" t="s">
        <v>822</v>
      </c>
      <c r="AW1057" t="s">
        <v>167</v>
      </c>
      <c r="AX1057" t="s">
        <v>579</v>
      </c>
      <c r="AY1057" t="s">
        <v>2908</v>
      </c>
      <c r="AZ1057" t="s">
        <v>2909</v>
      </c>
      <c r="BA1057" t="s">
        <v>156</v>
      </c>
      <c r="BB1057" t="str">
        <f t="shared" si="16"/>
        <v>IHVNbeKonshisha</v>
      </c>
    </row>
    <row r="1058" spans="48:54" x14ac:dyDescent="0.25">
      <c r="AV1058" t="s">
        <v>822</v>
      </c>
      <c r="AW1058" t="s">
        <v>167</v>
      </c>
      <c r="AX1058" t="s">
        <v>579</v>
      </c>
      <c r="AY1058" t="s">
        <v>2910</v>
      </c>
      <c r="AZ1058" t="s">
        <v>2911</v>
      </c>
      <c r="BA1058" t="s">
        <v>156</v>
      </c>
      <c r="BB1058" t="str">
        <f t="shared" si="16"/>
        <v>IHVNbeKonshisha</v>
      </c>
    </row>
    <row r="1059" spans="48:54" x14ac:dyDescent="0.25">
      <c r="AV1059" t="s">
        <v>822</v>
      </c>
      <c r="AW1059" t="s">
        <v>167</v>
      </c>
      <c r="AX1059" t="s">
        <v>579</v>
      </c>
      <c r="AY1059" t="s">
        <v>2912</v>
      </c>
      <c r="AZ1059" t="s">
        <v>2913</v>
      </c>
      <c r="BA1059" t="s">
        <v>156</v>
      </c>
      <c r="BB1059" t="str">
        <f t="shared" si="16"/>
        <v>IHVNbeKonshisha</v>
      </c>
    </row>
    <row r="1060" spans="48:54" x14ac:dyDescent="0.25">
      <c r="AV1060" t="s">
        <v>822</v>
      </c>
      <c r="AW1060" t="s">
        <v>167</v>
      </c>
      <c r="AX1060" t="s">
        <v>579</v>
      </c>
      <c r="AY1060" t="s">
        <v>2914</v>
      </c>
      <c r="AZ1060" t="s">
        <v>2915</v>
      </c>
      <c r="BA1060" t="s">
        <v>156</v>
      </c>
      <c r="BB1060" t="str">
        <f t="shared" si="16"/>
        <v>IHVNbeKonshisha</v>
      </c>
    </row>
    <row r="1061" spans="48:54" x14ac:dyDescent="0.25">
      <c r="AV1061" t="s">
        <v>822</v>
      </c>
      <c r="AW1061" t="s">
        <v>167</v>
      </c>
      <c r="AX1061" t="s">
        <v>579</v>
      </c>
      <c r="AY1061" t="s">
        <v>2916</v>
      </c>
      <c r="AZ1061" t="s">
        <v>2917</v>
      </c>
      <c r="BA1061" t="s">
        <v>156</v>
      </c>
      <c r="BB1061" t="str">
        <f t="shared" si="16"/>
        <v>IHVNbeKonshisha</v>
      </c>
    </row>
    <row r="1062" spans="48:54" x14ac:dyDescent="0.25">
      <c r="AV1062" t="s">
        <v>822</v>
      </c>
      <c r="AW1062" t="s">
        <v>167</v>
      </c>
      <c r="AX1062" t="s">
        <v>579</v>
      </c>
      <c r="AY1062" t="s">
        <v>2918</v>
      </c>
      <c r="AZ1062" t="s">
        <v>2919</v>
      </c>
      <c r="BA1062" t="s">
        <v>156</v>
      </c>
      <c r="BB1062" t="str">
        <f t="shared" si="16"/>
        <v>IHVNbeKonshisha</v>
      </c>
    </row>
    <row r="1063" spans="48:54" x14ac:dyDescent="0.25">
      <c r="AV1063" t="s">
        <v>822</v>
      </c>
      <c r="AW1063" t="s">
        <v>167</v>
      </c>
      <c r="AX1063" t="s">
        <v>579</v>
      </c>
      <c r="AY1063" t="s">
        <v>2920</v>
      </c>
      <c r="AZ1063" t="s">
        <v>2921</v>
      </c>
      <c r="BA1063" t="s">
        <v>156</v>
      </c>
      <c r="BB1063" t="str">
        <f t="shared" si="16"/>
        <v>IHVNbeKonshisha</v>
      </c>
    </row>
    <row r="1064" spans="48:54" x14ac:dyDescent="0.25">
      <c r="AV1064" t="s">
        <v>822</v>
      </c>
      <c r="AW1064" t="s">
        <v>167</v>
      </c>
      <c r="AX1064" t="s">
        <v>579</v>
      </c>
      <c r="AY1064" t="s">
        <v>2922</v>
      </c>
      <c r="AZ1064" t="s">
        <v>2923</v>
      </c>
      <c r="BA1064" t="s">
        <v>156</v>
      </c>
      <c r="BB1064" t="str">
        <f t="shared" si="16"/>
        <v>IHVNbeKonshisha</v>
      </c>
    </row>
    <row r="1065" spans="48:54" x14ac:dyDescent="0.25">
      <c r="AV1065" t="s">
        <v>822</v>
      </c>
      <c r="AW1065" t="s">
        <v>167</v>
      </c>
      <c r="AX1065" t="s">
        <v>579</v>
      </c>
      <c r="AY1065" t="s">
        <v>2924</v>
      </c>
      <c r="AZ1065" t="s">
        <v>2925</v>
      </c>
      <c r="BA1065" t="s">
        <v>156</v>
      </c>
      <c r="BB1065" t="str">
        <f t="shared" si="16"/>
        <v>IHVNbeKonshisha</v>
      </c>
    </row>
    <row r="1066" spans="48:54" x14ac:dyDescent="0.25">
      <c r="AV1066" t="s">
        <v>822</v>
      </c>
      <c r="AW1066" t="s">
        <v>167</v>
      </c>
      <c r="AX1066" t="s">
        <v>579</v>
      </c>
      <c r="AY1066" t="s">
        <v>2926</v>
      </c>
      <c r="AZ1066" t="s">
        <v>2927</v>
      </c>
      <c r="BA1066" t="s">
        <v>156</v>
      </c>
      <c r="BB1066" t="str">
        <f t="shared" si="16"/>
        <v>IHVNbeKonshisha</v>
      </c>
    </row>
    <row r="1067" spans="48:54" x14ac:dyDescent="0.25">
      <c r="AV1067" t="s">
        <v>822</v>
      </c>
      <c r="AW1067" t="s">
        <v>167</v>
      </c>
      <c r="AX1067" t="s">
        <v>579</v>
      </c>
      <c r="AY1067" t="s">
        <v>2928</v>
      </c>
      <c r="AZ1067" t="s">
        <v>2929</v>
      </c>
      <c r="BA1067" t="s">
        <v>156</v>
      </c>
      <c r="BB1067" t="str">
        <f t="shared" si="16"/>
        <v>IHVNbeKonshisha</v>
      </c>
    </row>
    <row r="1068" spans="48:54" x14ac:dyDescent="0.25">
      <c r="AV1068" t="s">
        <v>822</v>
      </c>
      <c r="AW1068" t="s">
        <v>167</v>
      </c>
      <c r="AX1068" t="s">
        <v>579</v>
      </c>
      <c r="AY1068" t="s">
        <v>2930</v>
      </c>
      <c r="AZ1068" t="s">
        <v>2931</v>
      </c>
      <c r="BA1068" t="s">
        <v>156</v>
      </c>
      <c r="BB1068" t="str">
        <f t="shared" si="16"/>
        <v>IHVNbeKonshisha</v>
      </c>
    </row>
    <row r="1069" spans="48:54" x14ac:dyDescent="0.25">
      <c r="AV1069" t="s">
        <v>822</v>
      </c>
      <c r="AW1069" t="s">
        <v>167</v>
      </c>
      <c r="AX1069" t="s">
        <v>579</v>
      </c>
      <c r="AY1069" t="s">
        <v>2932</v>
      </c>
      <c r="AZ1069" t="s">
        <v>2933</v>
      </c>
      <c r="BA1069" t="s">
        <v>156</v>
      </c>
      <c r="BB1069" t="str">
        <f t="shared" si="16"/>
        <v>IHVNbeKonshisha</v>
      </c>
    </row>
    <row r="1070" spans="48:54" x14ac:dyDescent="0.25">
      <c r="AV1070" t="s">
        <v>822</v>
      </c>
      <c r="AW1070" t="s">
        <v>167</v>
      </c>
      <c r="AX1070" t="s">
        <v>579</v>
      </c>
      <c r="AY1070" t="s">
        <v>2934</v>
      </c>
      <c r="AZ1070" t="s">
        <v>2935</v>
      </c>
      <c r="BA1070" t="s">
        <v>156</v>
      </c>
      <c r="BB1070" t="str">
        <f t="shared" si="16"/>
        <v>IHVNbeKonshisha</v>
      </c>
    </row>
    <row r="1071" spans="48:54" x14ac:dyDescent="0.25">
      <c r="AV1071" t="s">
        <v>822</v>
      </c>
      <c r="AW1071" t="s">
        <v>167</v>
      </c>
      <c r="AX1071" t="s">
        <v>582</v>
      </c>
      <c r="AY1071" t="s">
        <v>2936</v>
      </c>
      <c r="AZ1071" t="s">
        <v>2937</v>
      </c>
      <c r="BA1071" t="s">
        <v>156</v>
      </c>
      <c r="BB1071" t="str">
        <f t="shared" si="16"/>
        <v>IHVNbeMakurdi</v>
      </c>
    </row>
    <row r="1072" spans="48:54" x14ac:dyDescent="0.25">
      <c r="AV1072" t="s">
        <v>822</v>
      </c>
      <c r="AW1072" t="s">
        <v>167</v>
      </c>
      <c r="AX1072" t="s">
        <v>582</v>
      </c>
      <c r="AY1072" t="s">
        <v>2938</v>
      </c>
      <c r="AZ1072" t="s">
        <v>2939</v>
      </c>
      <c r="BA1072" t="s">
        <v>156</v>
      </c>
      <c r="BB1072" t="str">
        <f t="shared" si="16"/>
        <v>IHVNbeMakurdi</v>
      </c>
    </row>
    <row r="1073" spans="48:54" x14ac:dyDescent="0.25">
      <c r="AV1073" t="s">
        <v>822</v>
      </c>
      <c r="AW1073" t="s">
        <v>167</v>
      </c>
      <c r="AX1073" t="s">
        <v>582</v>
      </c>
      <c r="AY1073" t="s">
        <v>2940</v>
      </c>
      <c r="AZ1073" t="s">
        <v>2941</v>
      </c>
      <c r="BA1073" t="s">
        <v>156</v>
      </c>
      <c r="BB1073" t="str">
        <f t="shared" si="16"/>
        <v>IHVNbeMakurdi</v>
      </c>
    </row>
    <row r="1074" spans="48:54" x14ac:dyDescent="0.25">
      <c r="AV1074" t="s">
        <v>822</v>
      </c>
      <c r="AW1074" t="s">
        <v>167</v>
      </c>
      <c r="AX1074" t="s">
        <v>582</v>
      </c>
      <c r="AY1074" t="s">
        <v>2942</v>
      </c>
      <c r="AZ1074" t="s">
        <v>2943</v>
      </c>
      <c r="BA1074" t="s">
        <v>156</v>
      </c>
      <c r="BB1074" t="str">
        <f t="shared" si="16"/>
        <v>IHVNbeMakurdi</v>
      </c>
    </row>
    <row r="1075" spans="48:54" x14ac:dyDescent="0.25">
      <c r="AV1075" t="s">
        <v>822</v>
      </c>
      <c r="AW1075" t="s">
        <v>167</v>
      </c>
      <c r="AX1075" t="s">
        <v>582</v>
      </c>
      <c r="AY1075" t="s">
        <v>2944</v>
      </c>
      <c r="AZ1075" t="s">
        <v>2945</v>
      </c>
      <c r="BA1075" t="s">
        <v>156</v>
      </c>
      <c r="BB1075" t="str">
        <f t="shared" si="16"/>
        <v>IHVNbeMakurdi</v>
      </c>
    </row>
    <row r="1076" spans="48:54" x14ac:dyDescent="0.25">
      <c r="AV1076" t="s">
        <v>822</v>
      </c>
      <c r="AW1076" t="s">
        <v>167</v>
      </c>
      <c r="AX1076" t="s">
        <v>582</v>
      </c>
      <c r="AY1076" t="s">
        <v>2946</v>
      </c>
      <c r="AZ1076" t="s">
        <v>2947</v>
      </c>
      <c r="BA1076" t="s">
        <v>156</v>
      </c>
      <c r="BB1076" t="str">
        <f t="shared" si="16"/>
        <v>IHVNbeMakurdi</v>
      </c>
    </row>
    <row r="1077" spans="48:54" x14ac:dyDescent="0.25">
      <c r="AV1077" t="s">
        <v>822</v>
      </c>
      <c r="AW1077" t="s">
        <v>167</v>
      </c>
      <c r="AX1077" t="s">
        <v>582</v>
      </c>
      <c r="AY1077" t="s">
        <v>2948</v>
      </c>
      <c r="AZ1077" t="s">
        <v>2949</v>
      </c>
      <c r="BA1077" t="s">
        <v>156</v>
      </c>
      <c r="BB1077" t="str">
        <f t="shared" si="16"/>
        <v>IHVNbeMakurdi</v>
      </c>
    </row>
    <row r="1078" spans="48:54" x14ac:dyDescent="0.25">
      <c r="AV1078" t="s">
        <v>822</v>
      </c>
      <c r="AW1078" t="s">
        <v>167</v>
      </c>
      <c r="AX1078" t="s">
        <v>582</v>
      </c>
      <c r="AY1078" t="s">
        <v>2950</v>
      </c>
      <c r="AZ1078" t="s">
        <v>2951</v>
      </c>
      <c r="BA1078" t="s">
        <v>156</v>
      </c>
      <c r="BB1078" t="str">
        <f t="shared" si="16"/>
        <v>IHVNbeMakurdi</v>
      </c>
    </row>
    <row r="1079" spans="48:54" x14ac:dyDescent="0.25">
      <c r="AV1079" t="s">
        <v>822</v>
      </c>
      <c r="AW1079" t="s">
        <v>167</v>
      </c>
      <c r="AX1079" t="s">
        <v>582</v>
      </c>
      <c r="AY1079" t="s">
        <v>2952</v>
      </c>
      <c r="AZ1079" t="s">
        <v>2953</v>
      </c>
      <c r="BA1079" t="s">
        <v>156</v>
      </c>
      <c r="BB1079" t="str">
        <f t="shared" si="16"/>
        <v>IHVNbeMakurdi</v>
      </c>
    </row>
    <row r="1080" spans="48:54" x14ac:dyDescent="0.25">
      <c r="AV1080" t="s">
        <v>822</v>
      </c>
      <c r="AW1080" t="s">
        <v>167</v>
      </c>
      <c r="AX1080" t="s">
        <v>582</v>
      </c>
      <c r="AY1080" t="s">
        <v>2954</v>
      </c>
      <c r="AZ1080" t="s">
        <v>2955</v>
      </c>
      <c r="BA1080" t="s">
        <v>156</v>
      </c>
      <c r="BB1080" t="str">
        <f t="shared" si="16"/>
        <v>IHVNbeMakurdi</v>
      </c>
    </row>
    <row r="1081" spans="48:54" x14ac:dyDescent="0.25">
      <c r="AV1081" t="s">
        <v>822</v>
      </c>
      <c r="AW1081" t="s">
        <v>167</v>
      </c>
      <c r="AX1081" t="s">
        <v>582</v>
      </c>
      <c r="AY1081" t="s">
        <v>2956</v>
      </c>
      <c r="AZ1081" t="s">
        <v>2957</v>
      </c>
      <c r="BA1081" t="s">
        <v>156</v>
      </c>
      <c r="BB1081" t="str">
        <f t="shared" si="16"/>
        <v>IHVNbeMakurdi</v>
      </c>
    </row>
    <row r="1082" spans="48:54" x14ac:dyDescent="0.25">
      <c r="AV1082" t="s">
        <v>822</v>
      </c>
      <c r="AW1082" t="s">
        <v>167</v>
      </c>
      <c r="AX1082" t="s">
        <v>582</v>
      </c>
      <c r="AY1082" t="s">
        <v>2958</v>
      </c>
      <c r="AZ1082" t="s">
        <v>2959</v>
      </c>
      <c r="BA1082" t="s">
        <v>156</v>
      </c>
      <c r="BB1082" t="str">
        <f t="shared" si="16"/>
        <v>IHVNbeMakurdi</v>
      </c>
    </row>
    <row r="1083" spans="48:54" x14ac:dyDescent="0.25">
      <c r="AV1083" t="s">
        <v>822</v>
      </c>
      <c r="AW1083" t="s">
        <v>167</v>
      </c>
      <c r="AX1083" t="s">
        <v>582</v>
      </c>
      <c r="AY1083" t="s">
        <v>2960</v>
      </c>
      <c r="AZ1083" t="s">
        <v>2961</v>
      </c>
      <c r="BA1083" t="s">
        <v>156</v>
      </c>
      <c r="BB1083" t="str">
        <f t="shared" si="16"/>
        <v>IHVNbeMakurdi</v>
      </c>
    </row>
    <row r="1084" spans="48:54" x14ac:dyDescent="0.25">
      <c r="AV1084" t="s">
        <v>822</v>
      </c>
      <c r="AW1084" t="s">
        <v>167</v>
      </c>
      <c r="AX1084" t="s">
        <v>582</v>
      </c>
      <c r="AY1084" t="s">
        <v>2962</v>
      </c>
      <c r="AZ1084" t="s">
        <v>2963</v>
      </c>
      <c r="BA1084" t="s">
        <v>156</v>
      </c>
      <c r="BB1084" t="str">
        <f t="shared" si="16"/>
        <v>IHVNbeMakurdi</v>
      </c>
    </row>
    <row r="1085" spans="48:54" x14ac:dyDescent="0.25">
      <c r="AV1085" t="s">
        <v>822</v>
      </c>
      <c r="AW1085" t="s">
        <v>167</v>
      </c>
      <c r="AX1085" t="s">
        <v>582</v>
      </c>
      <c r="AY1085" t="s">
        <v>2964</v>
      </c>
      <c r="AZ1085" t="s">
        <v>2965</v>
      </c>
      <c r="BA1085" t="s">
        <v>156</v>
      </c>
      <c r="BB1085" t="str">
        <f t="shared" si="16"/>
        <v>IHVNbeMakurdi</v>
      </c>
    </row>
    <row r="1086" spans="48:54" x14ac:dyDescent="0.25">
      <c r="AV1086" t="s">
        <v>822</v>
      </c>
      <c r="AW1086" t="s">
        <v>167</v>
      </c>
      <c r="AX1086" t="s">
        <v>594</v>
      </c>
      <c r="AY1086" t="s">
        <v>2966</v>
      </c>
      <c r="AZ1086" t="s">
        <v>2967</v>
      </c>
      <c r="BA1086" t="s">
        <v>156</v>
      </c>
      <c r="BB1086" t="str">
        <f t="shared" si="16"/>
        <v>IHVNbeOju</v>
      </c>
    </row>
    <row r="1087" spans="48:54" x14ac:dyDescent="0.25">
      <c r="AV1087" t="s">
        <v>822</v>
      </c>
      <c r="AW1087" t="s">
        <v>167</v>
      </c>
      <c r="AX1087" t="s">
        <v>594</v>
      </c>
      <c r="AY1087" t="s">
        <v>2968</v>
      </c>
      <c r="AZ1087" t="s">
        <v>2969</v>
      </c>
      <c r="BA1087" t="s">
        <v>156</v>
      </c>
      <c r="BB1087" t="str">
        <f t="shared" si="16"/>
        <v>IHVNbeOju</v>
      </c>
    </row>
    <row r="1088" spans="48:54" x14ac:dyDescent="0.25">
      <c r="AV1088" t="s">
        <v>822</v>
      </c>
      <c r="AW1088" t="s">
        <v>167</v>
      </c>
      <c r="AX1088" t="s">
        <v>587</v>
      </c>
      <c r="AY1088" t="s">
        <v>2970</v>
      </c>
      <c r="AZ1088" t="s">
        <v>2971</v>
      </c>
      <c r="BA1088" t="s">
        <v>156</v>
      </c>
      <c r="BB1088" t="str">
        <f t="shared" si="16"/>
        <v>IHVNbeUshongo</v>
      </c>
    </row>
    <row r="1089" spans="48:54" x14ac:dyDescent="0.25">
      <c r="AV1089" t="s">
        <v>822</v>
      </c>
      <c r="AW1089" t="s">
        <v>167</v>
      </c>
      <c r="AX1089" t="s">
        <v>587</v>
      </c>
      <c r="AY1089" t="s">
        <v>2972</v>
      </c>
      <c r="AZ1089" t="s">
        <v>2973</v>
      </c>
      <c r="BA1089" t="s">
        <v>156</v>
      </c>
      <c r="BB1089" t="str">
        <f t="shared" si="16"/>
        <v>IHVNbeUshongo</v>
      </c>
    </row>
    <row r="1090" spans="48:54" x14ac:dyDescent="0.25">
      <c r="AV1090" t="s">
        <v>822</v>
      </c>
      <c r="AW1090" t="s">
        <v>167</v>
      </c>
      <c r="AX1090" t="s">
        <v>587</v>
      </c>
      <c r="AY1090" t="s">
        <v>2974</v>
      </c>
      <c r="AZ1090" t="s">
        <v>2975</v>
      </c>
      <c r="BA1090" t="s">
        <v>156</v>
      </c>
      <c r="BB1090" t="str">
        <f t="shared" si="16"/>
        <v>IHVNbeUshongo</v>
      </c>
    </row>
    <row r="1091" spans="48:54" x14ac:dyDescent="0.25">
      <c r="AV1091" t="s">
        <v>822</v>
      </c>
      <c r="AW1091" t="s">
        <v>167</v>
      </c>
      <c r="AX1091" t="s">
        <v>587</v>
      </c>
      <c r="AY1091" t="s">
        <v>1970</v>
      </c>
      <c r="AZ1091" t="s">
        <v>2976</v>
      </c>
      <c r="BA1091" t="s">
        <v>156</v>
      </c>
      <c r="BB1091" t="str">
        <f t="shared" ref="BB1091:BB1154" si="17">SUBSTITUTE(SUBSTITUTE(BA1091&amp;AX1091," ",""),"-","")</f>
        <v>IHVNbeUshongo</v>
      </c>
    </row>
    <row r="1092" spans="48:54" x14ac:dyDescent="0.25">
      <c r="AV1092" t="s">
        <v>822</v>
      </c>
      <c r="AW1092" t="s">
        <v>167</v>
      </c>
      <c r="AX1092" t="s">
        <v>587</v>
      </c>
      <c r="AY1092" t="s">
        <v>2977</v>
      </c>
      <c r="AZ1092" t="s">
        <v>2978</v>
      </c>
      <c r="BA1092" t="s">
        <v>156</v>
      </c>
      <c r="BB1092" t="str">
        <f t="shared" si="17"/>
        <v>IHVNbeUshongo</v>
      </c>
    </row>
    <row r="1093" spans="48:54" x14ac:dyDescent="0.25">
      <c r="AV1093" t="s">
        <v>822</v>
      </c>
      <c r="AW1093" t="s">
        <v>167</v>
      </c>
      <c r="AX1093" t="s">
        <v>587</v>
      </c>
      <c r="AY1093" t="s">
        <v>2979</v>
      </c>
      <c r="AZ1093" t="s">
        <v>2980</v>
      </c>
      <c r="BA1093" t="s">
        <v>156</v>
      </c>
      <c r="BB1093" t="str">
        <f t="shared" si="17"/>
        <v>IHVNbeUshongo</v>
      </c>
    </row>
    <row r="1094" spans="48:54" x14ac:dyDescent="0.25">
      <c r="AV1094" t="s">
        <v>822</v>
      </c>
      <c r="AW1094" t="s">
        <v>167</v>
      </c>
      <c r="AX1094" t="s">
        <v>587</v>
      </c>
      <c r="AY1094" t="s">
        <v>2981</v>
      </c>
      <c r="AZ1094" t="s">
        <v>2982</v>
      </c>
      <c r="BA1094" t="s">
        <v>156</v>
      </c>
      <c r="BB1094" t="str">
        <f t="shared" si="17"/>
        <v>IHVNbeUshongo</v>
      </c>
    </row>
    <row r="1095" spans="48:54" x14ac:dyDescent="0.25">
      <c r="AV1095" t="s">
        <v>822</v>
      </c>
      <c r="AW1095" t="s">
        <v>167</v>
      </c>
      <c r="AX1095" t="s">
        <v>587</v>
      </c>
      <c r="AY1095" t="s">
        <v>2983</v>
      </c>
      <c r="AZ1095" t="s">
        <v>2984</v>
      </c>
      <c r="BA1095" t="s">
        <v>156</v>
      </c>
      <c r="BB1095" t="str">
        <f t="shared" si="17"/>
        <v>IHVNbeUshongo</v>
      </c>
    </row>
    <row r="1096" spans="48:54" x14ac:dyDescent="0.25">
      <c r="AV1096" t="s">
        <v>822</v>
      </c>
      <c r="AW1096" t="s">
        <v>167</v>
      </c>
      <c r="AX1096" t="s">
        <v>587</v>
      </c>
      <c r="AY1096" t="s">
        <v>2985</v>
      </c>
      <c r="AZ1096" t="s">
        <v>2986</v>
      </c>
      <c r="BA1096" t="s">
        <v>156</v>
      </c>
      <c r="BB1096" t="str">
        <f t="shared" si="17"/>
        <v>IHVNbeUshongo</v>
      </c>
    </row>
    <row r="1097" spans="48:54" x14ac:dyDescent="0.25">
      <c r="AV1097" t="s">
        <v>822</v>
      </c>
      <c r="AW1097" t="s">
        <v>167</v>
      </c>
      <c r="AX1097" t="s">
        <v>587</v>
      </c>
      <c r="AY1097" t="s">
        <v>2987</v>
      </c>
      <c r="AZ1097" t="s">
        <v>2988</v>
      </c>
      <c r="BA1097" t="s">
        <v>156</v>
      </c>
      <c r="BB1097" t="str">
        <f t="shared" si="17"/>
        <v>IHVNbeUshongo</v>
      </c>
    </row>
    <row r="1098" spans="48:54" x14ac:dyDescent="0.25">
      <c r="AV1098" t="s">
        <v>822</v>
      </c>
      <c r="AW1098" t="s">
        <v>167</v>
      </c>
      <c r="AX1098" t="s">
        <v>587</v>
      </c>
      <c r="AY1098" t="s">
        <v>2989</v>
      </c>
      <c r="AZ1098" t="s">
        <v>2990</v>
      </c>
      <c r="BA1098" t="s">
        <v>156</v>
      </c>
      <c r="BB1098" t="str">
        <f t="shared" si="17"/>
        <v>IHVNbeUshongo</v>
      </c>
    </row>
    <row r="1099" spans="48:54" x14ac:dyDescent="0.25">
      <c r="AV1099" t="s">
        <v>822</v>
      </c>
      <c r="AW1099" t="s">
        <v>167</v>
      </c>
      <c r="AX1099" t="s">
        <v>587</v>
      </c>
      <c r="AY1099" t="s">
        <v>2991</v>
      </c>
      <c r="AZ1099" t="s">
        <v>2992</v>
      </c>
      <c r="BA1099" t="s">
        <v>156</v>
      </c>
      <c r="BB1099" t="str">
        <f t="shared" si="17"/>
        <v>IHVNbeUshongo</v>
      </c>
    </row>
    <row r="1100" spans="48:54" x14ac:dyDescent="0.25">
      <c r="AV1100" t="s">
        <v>822</v>
      </c>
      <c r="AW1100" t="s">
        <v>167</v>
      </c>
      <c r="AX1100" t="s">
        <v>587</v>
      </c>
      <c r="AY1100" t="s">
        <v>2993</v>
      </c>
      <c r="AZ1100" t="s">
        <v>2994</v>
      </c>
      <c r="BA1100" t="s">
        <v>156</v>
      </c>
      <c r="BB1100" t="str">
        <f t="shared" si="17"/>
        <v>IHVNbeUshongo</v>
      </c>
    </row>
    <row r="1101" spans="48:54" x14ac:dyDescent="0.25">
      <c r="AV1101" t="s">
        <v>822</v>
      </c>
      <c r="AW1101" t="s">
        <v>167</v>
      </c>
      <c r="AX1101" t="s">
        <v>587</v>
      </c>
      <c r="AY1101" t="s">
        <v>2995</v>
      </c>
      <c r="AZ1101" t="s">
        <v>2996</v>
      </c>
      <c r="BA1101" t="s">
        <v>156</v>
      </c>
      <c r="BB1101" t="str">
        <f t="shared" si="17"/>
        <v>IHVNbeUshongo</v>
      </c>
    </row>
    <row r="1102" spans="48:54" x14ac:dyDescent="0.25">
      <c r="AV1102" t="s">
        <v>822</v>
      </c>
      <c r="AW1102" t="s">
        <v>167</v>
      </c>
      <c r="AX1102" t="s">
        <v>587</v>
      </c>
      <c r="AY1102" t="s">
        <v>2997</v>
      </c>
      <c r="AZ1102" t="s">
        <v>2998</v>
      </c>
      <c r="BA1102" t="s">
        <v>156</v>
      </c>
      <c r="BB1102" t="str">
        <f t="shared" si="17"/>
        <v>IHVNbeUshongo</v>
      </c>
    </row>
    <row r="1103" spans="48:54" x14ac:dyDescent="0.25">
      <c r="AV1103" t="s">
        <v>822</v>
      </c>
      <c r="AW1103" t="s">
        <v>167</v>
      </c>
      <c r="AX1103" t="s">
        <v>587</v>
      </c>
      <c r="AY1103" t="s">
        <v>2999</v>
      </c>
      <c r="AZ1103" t="s">
        <v>3000</v>
      </c>
      <c r="BA1103" t="s">
        <v>156</v>
      </c>
      <c r="BB1103" t="str">
        <f t="shared" si="17"/>
        <v>IHVNbeUshongo</v>
      </c>
    </row>
    <row r="1104" spans="48:54" x14ac:dyDescent="0.25">
      <c r="AV1104" t="s">
        <v>822</v>
      </c>
      <c r="AW1104" t="s">
        <v>167</v>
      </c>
      <c r="AX1104" t="s">
        <v>587</v>
      </c>
      <c r="AY1104" t="s">
        <v>3001</v>
      </c>
      <c r="AZ1104" t="s">
        <v>3002</v>
      </c>
      <c r="BA1104" t="s">
        <v>156</v>
      </c>
      <c r="BB1104" t="str">
        <f t="shared" si="17"/>
        <v>IHVNbeUshongo</v>
      </c>
    </row>
    <row r="1105" spans="48:54" x14ac:dyDescent="0.25">
      <c r="AV1105" t="s">
        <v>822</v>
      </c>
      <c r="AW1105" t="s">
        <v>167</v>
      </c>
      <c r="AX1105" t="s">
        <v>587</v>
      </c>
      <c r="AY1105" t="s">
        <v>3003</v>
      </c>
      <c r="AZ1105" t="s">
        <v>3004</v>
      </c>
      <c r="BA1105" t="s">
        <v>156</v>
      </c>
      <c r="BB1105" t="str">
        <f t="shared" si="17"/>
        <v>IHVNbeUshongo</v>
      </c>
    </row>
    <row r="1106" spans="48:54" x14ac:dyDescent="0.25">
      <c r="AV1106" t="s">
        <v>822</v>
      </c>
      <c r="AW1106" t="s">
        <v>167</v>
      </c>
      <c r="AX1106" t="s">
        <v>587</v>
      </c>
      <c r="AY1106" t="s">
        <v>3005</v>
      </c>
      <c r="AZ1106" t="s">
        <v>3006</v>
      </c>
      <c r="BA1106" t="s">
        <v>156</v>
      </c>
      <c r="BB1106" t="str">
        <f t="shared" si="17"/>
        <v>IHVNbeUshongo</v>
      </c>
    </row>
    <row r="1107" spans="48:54" x14ac:dyDescent="0.25">
      <c r="AV1107" t="s">
        <v>822</v>
      </c>
      <c r="AW1107" t="s">
        <v>167</v>
      </c>
      <c r="AX1107" t="s">
        <v>587</v>
      </c>
      <c r="AY1107" t="s">
        <v>3007</v>
      </c>
      <c r="AZ1107" t="s">
        <v>3008</v>
      </c>
      <c r="BA1107" t="s">
        <v>156</v>
      </c>
      <c r="BB1107" t="str">
        <f t="shared" si="17"/>
        <v>IHVNbeUshongo</v>
      </c>
    </row>
    <row r="1108" spans="48:54" x14ac:dyDescent="0.25">
      <c r="AV1108" t="s">
        <v>822</v>
      </c>
      <c r="AW1108" t="s">
        <v>167</v>
      </c>
      <c r="AX1108" t="s">
        <v>587</v>
      </c>
      <c r="AY1108" t="s">
        <v>3009</v>
      </c>
      <c r="AZ1108" t="s">
        <v>3010</v>
      </c>
      <c r="BA1108" t="s">
        <v>156</v>
      </c>
      <c r="BB1108" t="str">
        <f t="shared" si="17"/>
        <v>IHVNbeUshongo</v>
      </c>
    </row>
    <row r="1109" spans="48:54" x14ac:dyDescent="0.25">
      <c r="AV1109" t="s">
        <v>822</v>
      </c>
      <c r="AW1109" t="s">
        <v>167</v>
      </c>
      <c r="AX1109" t="s">
        <v>587</v>
      </c>
      <c r="AY1109" t="s">
        <v>3011</v>
      </c>
      <c r="AZ1109" t="s">
        <v>3012</v>
      </c>
      <c r="BA1109" t="s">
        <v>156</v>
      </c>
      <c r="BB1109" t="str">
        <f t="shared" si="17"/>
        <v>IHVNbeUshongo</v>
      </c>
    </row>
    <row r="1110" spans="48:54" x14ac:dyDescent="0.25">
      <c r="AV1110" t="s">
        <v>822</v>
      </c>
      <c r="AW1110" t="s">
        <v>167</v>
      </c>
      <c r="AX1110" t="s">
        <v>587</v>
      </c>
      <c r="AY1110" t="s">
        <v>3013</v>
      </c>
      <c r="AZ1110" t="s">
        <v>3014</v>
      </c>
      <c r="BA1110" t="s">
        <v>156</v>
      </c>
      <c r="BB1110" t="str">
        <f t="shared" si="17"/>
        <v>IHVNbeUshongo</v>
      </c>
    </row>
    <row r="1111" spans="48:54" x14ac:dyDescent="0.25">
      <c r="AV1111" t="s">
        <v>822</v>
      </c>
      <c r="AW1111" t="s">
        <v>167</v>
      </c>
      <c r="AX1111" t="s">
        <v>587</v>
      </c>
      <c r="AY1111" t="s">
        <v>3015</v>
      </c>
      <c r="AZ1111" t="s">
        <v>3016</v>
      </c>
      <c r="BA1111" t="s">
        <v>156</v>
      </c>
      <c r="BB1111" t="str">
        <f t="shared" si="17"/>
        <v>IHVNbeUshongo</v>
      </c>
    </row>
    <row r="1112" spans="48:54" x14ac:dyDescent="0.25">
      <c r="AV1112" t="s">
        <v>822</v>
      </c>
      <c r="AW1112" t="s">
        <v>167</v>
      </c>
      <c r="AX1112" t="s">
        <v>587</v>
      </c>
      <c r="AY1112" t="s">
        <v>3017</v>
      </c>
      <c r="AZ1112" t="s">
        <v>3018</v>
      </c>
      <c r="BA1112" t="s">
        <v>156</v>
      </c>
      <c r="BB1112" t="str">
        <f t="shared" si="17"/>
        <v>IHVNbeUshongo</v>
      </c>
    </row>
    <row r="1113" spans="48:54" x14ac:dyDescent="0.25">
      <c r="AV1113" t="s">
        <v>822</v>
      </c>
      <c r="AW1113" t="s">
        <v>167</v>
      </c>
      <c r="AX1113" t="s">
        <v>587</v>
      </c>
      <c r="AY1113" t="s">
        <v>3019</v>
      </c>
      <c r="AZ1113" t="s">
        <v>3020</v>
      </c>
      <c r="BA1113" t="s">
        <v>156</v>
      </c>
      <c r="BB1113" t="str">
        <f t="shared" si="17"/>
        <v>IHVNbeUshongo</v>
      </c>
    </row>
    <row r="1114" spans="48:54" x14ac:dyDescent="0.25">
      <c r="AV1114" t="s">
        <v>822</v>
      </c>
      <c r="AW1114" t="s">
        <v>167</v>
      </c>
      <c r="AX1114" t="s">
        <v>587</v>
      </c>
      <c r="AY1114" t="s">
        <v>3021</v>
      </c>
      <c r="AZ1114" t="s">
        <v>3022</v>
      </c>
      <c r="BA1114" t="s">
        <v>156</v>
      </c>
      <c r="BB1114" t="str">
        <f t="shared" si="17"/>
        <v>IHVNbeUshongo</v>
      </c>
    </row>
    <row r="1115" spans="48:54" x14ac:dyDescent="0.25">
      <c r="AV1115" t="s">
        <v>822</v>
      </c>
      <c r="AW1115" t="s">
        <v>167</v>
      </c>
      <c r="AX1115" t="s">
        <v>587</v>
      </c>
      <c r="AY1115" t="s">
        <v>3023</v>
      </c>
      <c r="AZ1115" t="s">
        <v>3024</v>
      </c>
      <c r="BA1115" t="s">
        <v>156</v>
      </c>
      <c r="BB1115" t="str">
        <f t="shared" si="17"/>
        <v>IHVNbeUshongo</v>
      </c>
    </row>
    <row r="1116" spans="48:54" x14ac:dyDescent="0.25">
      <c r="AV1116" t="s">
        <v>822</v>
      </c>
      <c r="AW1116" t="s">
        <v>167</v>
      </c>
      <c r="AX1116" t="s">
        <v>587</v>
      </c>
      <c r="AY1116" t="s">
        <v>3025</v>
      </c>
      <c r="AZ1116" t="s">
        <v>3026</v>
      </c>
      <c r="BA1116" t="s">
        <v>156</v>
      </c>
      <c r="BB1116" t="str">
        <f t="shared" si="17"/>
        <v>IHVNbeUshongo</v>
      </c>
    </row>
    <row r="1117" spans="48:54" x14ac:dyDescent="0.25">
      <c r="AV1117" t="s">
        <v>822</v>
      </c>
      <c r="AW1117" t="s">
        <v>167</v>
      </c>
      <c r="AX1117" t="s">
        <v>587</v>
      </c>
      <c r="AY1117" t="s">
        <v>3027</v>
      </c>
      <c r="AZ1117" t="s">
        <v>3028</v>
      </c>
      <c r="BA1117" t="s">
        <v>156</v>
      </c>
      <c r="BB1117" t="str">
        <f t="shared" si="17"/>
        <v>IHVNbeUshongo</v>
      </c>
    </row>
    <row r="1118" spans="48:54" x14ac:dyDescent="0.25">
      <c r="AV1118" t="s">
        <v>822</v>
      </c>
      <c r="AW1118" t="s">
        <v>167</v>
      </c>
      <c r="AX1118" t="s">
        <v>587</v>
      </c>
      <c r="AY1118" t="s">
        <v>3029</v>
      </c>
      <c r="AZ1118" t="s">
        <v>3030</v>
      </c>
      <c r="BA1118" t="s">
        <v>156</v>
      </c>
      <c r="BB1118" t="str">
        <f t="shared" si="17"/>
        <v>IHVNbeUshongo</v>
      </c>
    </row>
    <row r="1119" spans="48:54" x14ac:dyDescent="0.25">
      <c r="AV1119" t="s">
        <v>822</v>
      </c>
      <c r="AW1119" t="s">
        <v>167</v>
      </c>
      <c r="AX1119" t="s">
        <v>587</v>
      </c>
      <c r="AY1119" t="s">
        <v>3031</v>
      </c>
      <c r="AZ1119" t="s">
        <v>3032</v>
      </c>
      <c r="BA1119" t="s">
        <v>156</v>
      </c>
      <c r="BB1119" t="str">
        <f t="shared" si="17"/>
        <v>IHVNbeUshongo</v>
      </c>
    </row>
    <row r="1120" spans="48:54" x14ac:dyDescent="0.25">
      <c r="AV1120" t="s">
        <v>822</v>
      </c>
      <c r="AW1120" t="s">
        <v>170</v>
      </c>
      <c r="AX1120" t="s">
        <v>596</v>
      </c>
      <c r="AY1120" t="s">
        <v>3033</v>
      </c>
      <c r="AZ1120" t="s">
        <v>3034</v>
      </c>
      <c r="BA1120" t="s">
        <v>156</v>
      </c>
      <c r="BB1120" t="str">
        <f t="shared" si="17"/>
        <v>IHVNdeEthiopeEast</v>
      </c>
    </row>
    <row r="1121" spans="48:54" x14ac:dyDescent="0.25">
      <c r="AV1121" t="s">
        <v>822</v>
      </c>
      <c r="AW1121" t="s">
        <v>170</v>
      </c>
      <c r="AX1121" t="s">
        <v>599</v>
      </c>
      <c r="AY1121" t="s">
        <v>3035</v>
      </c>
      <c r="AZ1121" t="s">
        <v>3036</v>
      </c>
      <c r="BA1121" t="s">
        <v>156</v>
      </c>
      <c r="BB1121" t="str">
        <f t="shared" si="17"/>
        <v>IHVNdeIkaSouth</v>
      </c>
    </row>
    <row r="1122" spans="48:54" x14ac:dyDescent="0.25">
      <c r="AV1122" t="s">
        <v>822</v>
      </c>
      <c r="AW1122" t="s">
        <v>170</v>
      </c>
      <c r="AX1122" t="s">
        <v>600</v>
      </c>
      <c r="AY1122" t="s">
        <v>3037</v>
      </c>
      <c r="AZ1122" t="s">
        <v>3038</v>
      </c>
      <c r="BA1122" t="s">
        <v>156</v>
      </c>
      <c r="BB1122" t="str">
        <f t="shared" si="17"/>
        <v>IHVNdeOshimiliSouth</v>
      </c>
    </row>
    <row r="1123" spans="48:54" x14ac:dyDescent="0.25">
      <c r="AV1123" t="s">
        <v>822</v>
      </c>
      <c r="AW1123" t="s">
        <v>170</v>
      </c>
      <c r="AX1123" t="s">
        <v>600</v>
      </c>
      <c r="AY1123" t="s">
        <v>3039</v>
      </c>
      <c r="AZ1123" t="s">
        <v>3040</v>
      </c>
      <c r="BA1123" t="s">
        <v>156</v>
      </c>
      <c r="BB1123" t="str">
        <f t="shared" si="17"/>
        <v>IHVNdeOshimiliSouth</v>
      </c>
    </row>
    <row r="1124" spans="48:54" x14ac:dyDescent="0.25">
      <c r="AV1124" t="s">
        <v>822</v>
      </c>
      <c r="AW1124" t="s">
        <v>170</v>
      </c>
      <c r="AX1124" t="s">
        <v>601</v>
      </c>
      <c r="AY1124" t="s">
        <v>3041</v>
      </c>
      <c r="AZ1124" t="s">
        <v>3042</v>
      </c>
      <c r="BA1124" t="s">
        <v>156</v>
      </c>
      <c r="BB1124" t="str">
        <f t="shared" si="17"/>
        <v>IHVNdeUvwie</v>
      </c>
    </row>
    <row r="1125" spans="48:54" x14ac:dyDescent="0.25">
      <c r="AV1125" t="s">
        <v>822</v>
      </c>
      <c r="AW1125" t="s">
        <v>173</v>
      </c>
      <c r="AX1125" t="s">
        <v>615</v>
      </c>
      <c r="AY1125" t="s">
        <v>3043</v>
      </c>
      <c r="AZ1125" t="s">
        <v>3044</v>
      </c>
      <c r="BA1125" t="s">
        <v>156</v>
      </c>
      <c r="BB1125" t="str">
        <f t="shared" si="17"/>
        <v>IHVNekAdoEkiti</v>
      </c>
    </row>
    <row r="1126" spans="48:54" x14ac:dyDescent="0.25">
      <c r="AV1126" t="s">
        <v>822</v>
      </c>
      <c r="AW1126" t="s">
        <v>173</v>
      </c>
      <c r="AX1126" t="s">
        <v>615</v>
      </c>
      <c r="AY1126" t="s">
        <v>3045</v>
      </c>
      <c r="AZ1126" t="s">
        <v>3046</v>
      </c>
      <c r="BA1126" t="s">
        <v>156</v>
      </c>
      <c r="BB1126" t="str">
        <f t="shared" si="17"/>
        <v>IHVNekAdoEkiti</v>
      </c>
    </row>
    <row r="1127" spans="48:54" x14ac:dyDescent="0.25">
      <c r="AV1127" t="s">
        <v>822</v>
      </c>
      <c r="AW1127" t="s">
        <v>173</v>
      </c>
      <c r="AX1127" t="s">
        <v>616</v>
      </c>
      <c r="AY1127" t="s">
        <v>3047</v>
      </c>
      <c r="AZ1127" t="s">
        <v>3048</v>
      </c>
      <c r="BA1127" t="s">
        <v>156</v>
      </c>
      <c r="BB1127" t="str">
        <f t="shared" si="17"/>
        <v>IHVNekEkitiEast</v>
      </c>
    </row>
    <row r="1128" spans="48:54" x14ac:dyDescent="0.25">
      <c r="AV1128" t="s">
        <v>822</v>
      </c>
      <c r="AW1128" t="s">
        <v>173</v>
      </c>
      <c r="AX1128" t="s">
        <v>617</v>
      </c>
      <c r="AY1128" t="s">
        <v>3049</v>
      </c>
      <c r="AZ1128" t="s">
        <v>3050</v>
      </c>
      <c r="BA1128" t="s">
        <v>156</v>
      </c>
      <c r="BB1128" t="str">
        <f t="shared" si="17"/>
        <v>IHVNekIdoOsi</v>
      </c>
    </row>
    <row r="1129" spans="48:54" x14ac:dyDescent="0.25">
      <c r="AV1129" t="s">
        <v>822</v>
      </c>
      <c r="AW1129" t="s">
        <v>173</v>
      </c>
      <c r="AX1129" t="s">
        <v>618</v>
      </c>
      <c r="AY1129" t="s">
        <v>3051</v>
      </c>
      <c r="AZ1129" t="s">
        <v>3052</v>
      </c>
      <c r="BA1129" t="s">
        <v>156</v>
      </c>
      <c r="BB1129" t="str">
        <f t="shared" si="17"/>
        <v>IHVNekIlejemeje</v>
      </c>
    </row>
    <row r="1130" spans="48:54" x14ac:dyDescent="0.25">
      <c r="AV1130" t="s">
        <v>822</v>
      </c>
      <c r="AW1130" t="s">
        <v>173</v>
      </c>
      <c r="AX1130" t="s">
        <v>619</v>
      </c>
      <c r="AY1130" t="s">
        <v>3053</v>
      </c>
      <c r="AZ1130" t="s">
        <v>3054</v>
      </c>
      <c r="BA1130" t="s">
        <v>156</v>
      </c>
      <c r="BB1130" t="str">
        <f t="shared" si="17"/>
        <v>IHVNekIrepodun</v>
      </c>
    </row>
    <row r="1131" spans="48:54" x14ac:dyDescent="0.25">
      <c r="AV1131" t="s">
        <v>822</v>
      </c>
      <c r="AW1131" t="s">
        <v>173</v>
      </c>
      <c r="AX1131" t="s">
        <v>620</v>
      </c>
      <c r="AY1131" t="s">
        <v>3055</v>
      </c>
      <c r="AZ1131" t="s">
        <v>3056</v>
      </c>
      <c r="BA1131" t="s">
        <v>156</v>
      </c>
      <c r="BB1131" t="str">
        <f t="shared" si="17"/>
        <v>IHVNekOye</v>
      </c>
    </row>
    <row r="1132" spans="48:54" x14ac:dyDescent="0.25">
      <c r="AV1132" t="s">
        <v>822</v>
      </c>
      <c r="AW1132" t="s">
        <v>175</v>
      </c>
      <c r="AX1132" t="s">
        <v>639</v>
      </c>
      <c r="AY1132" t="s">
        <v>3057</v>
      </c>
      <c r="AZ1132" t="s">
        <v>3058</v>
      </c>
      <c r="BA1132" t="s">
        <v>156</v>
      </c>
      <c r="BB1132" t="str">
        <f t="shared" si="17"/>
        <v>IHVNfcAbaji</v>
      </c>
    </row>
    <row r="1133" spans="48:54" x14ac:dyDescent="0.25">
      <c r="AV1133" t="s">
        <v>822</v>
      </c>
      <c r="AW1133" t="s">
        <v>175</v>
      </c>
      <c r="AX1133" t="s">
        <v>639</v>
      </c>
      <c r="AY1133" t="s">
        <v>3059</v>
      </c>
      <c r="AZ1133" t="s">
        <v>3060</v>
      </c>
      <c r="BA1133" t="s">
        <v>156</v>
      </c>
      <c r="BB1133" t="str">
        <f t="shared" si="17"/>
        <v>IHVNfcAbaji</v>
      </c>
    </row>
    <row r="1134" spans="48:54" x14ac:dyDescent="0.25">
      <c r="AV1134" t="s">
        <v>822</v>
      </c>
      <c r="AW1134" t="s">
        <v>175</v>
      </c>
      <c r="AX1134" t="s">
        <v>637</v>
      </c>
      <c r="AY1134" t="s">
        <v>3061</v>
      </c>
      <c r="AZ1134" t="s">
        <v>3062</v>
      </c>
      <c r="BA1134" t="s">
        <v>156</v>
      </c>
      <c r="BB1134" t="str">
        <f t="shared" si="17"/>
        <v>IHVNfcAbujaMunicipalAreaCouncil</v>
      </c>
    </row>
    <row r="1135" spans="48:54" x14ac:dyDescent="0.25">
      <c r="AV1135" t="s">
        <v>822</v>
      </c>
      <c r="AW1135" t="s">
        <v>175</v>
      </c>
      <c r="AX1135" t="s">
        <v>637</v>
      </c>
      <c r="AY1135" t="s">
        <v>3063</v>
      </c>
      <c r="AZ1135" t="s">
        <v>3064</v>
      </c>
      <c r="BA1135" t="s">
        <v>156</v>
      </c>
      <c r="BB1135" t="str">
        <f t="shared" si="17"/>
        <v>IHVNfcAbujaMunicipalAreaCouncil</v>
      </c>
    </row>
    <row r="1136" spans="48:54" x14ac:dyDescent="0.25">
      <c r="AV1136" t="s">
        <v>822</v>
      </c>
      <c r="AW1136" t="s">
        <v>175</v>
      </c>
      <c r="AX1136" t="s">
        <v>637</v>
      </c>
      <c r="AY1136" t="s">
        <v>3065</v>
      </c>
      <c r="AZ1136" t="s">
        <v>3066</v>
      </c>
      <c r="BA1136" t="s">
        <v>156</v>
      </c>
      <c r="BB1136" t="str">
        <f t="shared" si="17"/>
        <v>IHVNfcAbujaMunicipalAreaCouncil</v>
      </c>
    </row>
    <row r="1137" spans="48:54" x14ac:dyDescent="0.25">
      <c r="AV1137" t="s">
        <v>822</v>
      </c>
      <c r="AW1137" t="s">
        <v>175</v>
      </c>
      <c r="AX1137" t="s">
        <v>637</v>
      </c>
      <c r="AY1137" t="s">
        <v>3067</v>
      </c>
      <c r="AZ1137" t="s">
        <v>3068</v>
      </c>
      <c r="BA1137" t="s">
        <v>156</v>
      </c>
      <c r="BB1137" t="str">
        <f t="shared" si="17"/>
        <v>IHVNfcAbujaMunicipalAreaCouncil</v>
      </c>
    </row>
    <row r="1138" spans="48:54" x14ac:dyDescent="0.25">
      <c r="AV1138" t="s">
        <v>822</v>
      </c>
      <c r="AW1138" t="s">
        <v>175</v>
      </c>
      <c r="AX1138" t="s">
        <v>637</v>
      </c>
      <c r="AY1138" t="s">
        <v>3069</v>
      </c>
      <c r="AZ1138" t="s">
        <v>3070</v>
      </c>
      <c r="BA1138" t="s">
        <v>156</v>
      </c>
      <c r="BB1138" t="str">
        <f t="shared" si="17"/>
        <v>IHVNfcAbujaMunicipalAreaCouncil</v>
      </c>
    </row>
    <row r="1139" spans="48:54" x14ac:dyDescent="0.25">
      <c r="AV1139" t="s">
        <v>822</v>
      </c>
      <c r="AW1139" t="s">
        <v>175</v>
      </c>
      <c r="AX1139" t="s">
        <v>637</v>
      </c>
      <c r="AY1139" t="s">
        <v>3071</v>
      </c>
      <c r="AZ1139" t="s">
        <v>3072</v>
      </c>
      <c r="BA1139" t="s">
        <v>156</v>
      </c>
      <c r="BB1139" t="str">
        <f t="shared" si="17"/>
        <v>IHVNfcAbujaMunicipalAreaCouncil</v>
      </c>
    </row>
    <row r="1140" spans="48:54" x14ac:dyDescent="0.25">
      <c r="AV1140" t="s">
        <v>822</v>
      </c>
      <c r="AW1140" t="s">
        <v>175</v>
      </c>
      <c r="AX1140" t="s">
        <v>637</v>
      </c>
      <c r="AY1140" t="s">
        <v>3073</v>
      </c>
      <c r="AZ1140" t="s">
        <v>3074</v>
      </c>
      <c r="BA1140" t="s">
        <v>156</v>
      </c>
      <c r="BB1140" t="str">
        <f t="shared" si="17"/>
        <v>IHVNfcAbujaMunicipalAreaCouncil</v>
      </c>
    </row>
    <row r="1141" spans="48:54" x14ac:dyDescent="0.25">
      <c r="AV1141" t="s">
        <v>822</v>
      </c>
      <c r="AW1141" t="s">
        <v>175</v>
      </c>
      <c r="AX1141" t="s">
        <v>637</v>
      </c>
      <c r="AY1141" t="s">
        <v>3075</v>
      </c>
      <c r="AZ1141" t="s">
        <v>3076</v>
      </c>
      <c r="BA1141" t="s">
        <v>156</v>
      </c>
      <c r="BB1141" t="str">
        <f t="shared" si="17"/>
        <v>IHVNfcAbujaMunicipalAreaCouncil</v>
      </c>
    </row>
    <row r="1142" spans="48:54" x14ac:dyDescent="0.25">
      <c r="AV1142" t="s">
        <v>822</v>
      </c>
      <c r="AW1142" t="s">
        <v>175</v>
      </c>
      <c r="AX1142" t="s">
        <v>637</v>
      </c>
      <c r="AY1142" t="s">
        <v>3077</v>
      </c>
      <c r="AZ1142" t="s">
        <v>3078</v>
      </c>
      <c r="BA1142" t="s">
        <v>156</v>
      </c>
      <c r="BB1142" t="str">
        <f t="shared" si="17"/>
        <v>IHVNfcAbujaMunicipalAreaCouncil</v>
      </c>
    </row>
    <row r="1143" spans="48:54" x14ac:dyDescent="0.25">
      <c r="AV1143" t="s">
        <v>822</v>
      </c>
      <c r="AW1143" t="s">
        <v>175</v>
      </c>
      <c r="AX1143" t="s">
        <v>637</v>
      </c>
      <c r="AY1143" t="s">
        <v>3079</v>
      </c>
      <c r="AZ1143" t="s">
        <v>3080</v>
      </c>
      <c r="BA1143" t="s">
        <v>156</v>
      </c>
      <c r="BB1143" t="str">
        <f t="shared" si="17"/>
        <v>IHVNfcAbujaMunicipalAreaCouncil</v>
      </c>
    </row>
    <row r="1144" spans="48:54" x14ac:dyDescent="0.25">
      <c r="AV1144" t="s">
        <v>822</v>
      </c>
      <c r="AW1144" t="s">
        <v>175</v>
      </c>
      <c r="AX1144" t="s">
        <v>637</v>
      </c>
      <c r="AY1144" t="s">
        <v>3081</v>
      </c>
      <c r="AZ1144" t="s">
        <v>3082</v>
      </c>
      <c r="BA1144" t="s">
        <v>156</v>
      </c>
      <c r="BB1144" t="str">
        <f t="shared" si="17"/>
        <v>IHVNfcAbujaMunicipalAreaCouncil</v>
      </c>
    </row>
    <row r="1145" spans="48:54" x14ac:dyDescent="0.25">
      <c r="AV1145" t="s">
        <v>822</v>
      </c>
      <c r="AW1145" t="s">
        <v>175</v>
      </c>
      <c r="AX1145" t="s">
        <v>637</v>
      </c>
      <c r="AY1145" t="s">
        <v>3083</v>
      </c>
      <c r="AZ1145" t="s">
        <v>3084</v>
      </c>
      <c r="BA1145" t="s">
        <v>156</v>
      </c>
      <c r="BB1145" t="str">
        <f t="shared" si="17"/>
        <v>IHVNfcAbujaMunicipalAreaCouncil</v>
      </c>
    </row>
    <row r="1146" spans="48:54" x14ac:dyDescent="0.25">
      <c r="AV1146" t="s">
        <v>822</v>
      </c>
      <c r="AW1146" t="s">
        <v>175</v>
      </c>
      <c r="AX1146" t="s">
        <v>637</v>
      </c>
      <c r="AY1146" t="s">
        <v>3085</v>
      </c>
      <c r="AZ1146" t="s">
        <v>3086</v>
      </c>
      <c r="BA1146" t="s">
        <v>156</v>
      </c>
      <c r="BB1146" t="str">
        <f t="shared" si="17"/>
        <v>IHVNfcAbujaMunicipalAreaCouncil</v>
      </c>
    </row>
    <row r="1147" spans="48:54" x14ac:dyDescent="0.25">
      <c r="AV1147" t="s">
        <v>822</v>
      </c>
      <c r="AW1147" t="s">
        <v>175</v>
      </c>
      <c r="AX1147" t="s">
        <v>637</v>
      </c>
      <c r="AY1147" t="s">
        <v>3087</v>
      </c>
      <c r="AZ1147" t="s">
        <v>3088</v>
      </c>
      <c r="BA1147" t="s">
        <v>156</v>
      </c>
      <c r="BB1147" t="str">
        <f t="shared" si="17"/>
        <v>IHVNfcAbujaMunicipalAreaCouncil</v>
      </c>
    </row>
    <row r="1148" spans="48:54" x14ac:dyDescent="0.25">
      <c r="AV1148" t="s">
        <v>822</v>
      </c>
      <c r="AW1148" t="s">
        <v>175</v>
      </c>
      <c r="AX1148" t="s">
        <v>637</v>
      </c>
      <c r="AY1148" t="s">
        <v>3089</v>
      </c>
      <c r="AZ1148" t="s">
        <v>3090</v>
      </c>
      <c r="BA1148" t="s">
        <v>156</v>
      </c>
      <c r="BB1148" t="str">
        <f t="shared" si="17"/>
        <v>IHVNfcAbujaMunicipalAreaCouncil</v>
      </c>
    </row>
    <row r="1149" spans="48:54" x14ac:dyDescent="0.25">
      <c r="AV1149" t="s">
        <v>822</v>
      </c>
      <c r="AW1149" t="s">
        <v>175</v>
      </c>
      <c r="AX1149" t="s">
        <v>637</v>
      </c>
      <c r="AY1149" t="s">
        <v>3091</v>
      </c>
      <c r="AZ1149" t="s">
        <v>3092</v>
      </c>
      <c r="BA1149" t="s">
        <v>156</v>
      </c>
      <c r="BB1149" t="str">
        <f t="shared" si="17"/>
        <v>IHVNfcAbujaMunicipalAreaCouncil</v>
      </c>
    </row>
    <row r="1150" spans="48:54" x14ac:dyDescent="0.25">
      <c r="AV1150" t="s">
        <v>822</v>
      </c>
      <c r="AW1150" t="s">
        <v>175</v>
      </c>
      <c r="AX1150" t="s">
        <v>637</v>
      </c>
      <c r="AY1150" t="s">
        <v>3093</v>
      </c>
      <c r="AZ1150" t="s">
        <v>3094</v>
      </c>
      <c r="BA1150" t="s">
        <v>156</v>
      </c>
      <c r="BB1150" t="str">
        <f t="shared" si="17"/>
        <v>IHVNfcAbujaMunicipalAreaCouncil</v>
      </c>
    </row>
    <row r="1151" spans="48:54" x14ac:dyDescent="0.25">
      <c r="AV1151" t="s">
        <v>822</v>
      </c>
      <c r="AW1151" t="s">
        <v>175</v>
      </c>
      <c r="AX1151" t="s">
        <v>637</v>
      </c>
      <c r="AY1151" t="s">
        <v>3095</v>
      </c>
      <c r="AZ1151" t="s">
        <v>3096</v>
      </c>
      <c r="BA1151" t="s">
        <v>156</v>
      </c>
      <c r="BB1151" t="str">
        <f t="shared" si="17"/>
        <v>IHVNfcAbujaMunicipalAreaCouncil</v>
      </c>
    </row>
    <row r="1152" spans="48:54" x14ac:dyDescent="0.25">
      <c r="AV1152" t="s">
        <v>822</v>
      </c>
      <c r="AW1152" t="s">
        <v>175</v>
      </c>
      <c r="AX1152" t="s">
        <v>637</v>
      </c>
      <c r="AY1152" t="s">
        <v>3097</v>
      </c>
      <c r="AZ1152" t="s">
        <v>3098</v>
      </c>
      <c r="BA1152" t="s">
        <v>156</v>
      </c>
      <c r="BB1152" t="str">
        <f t="shared" si="17"/>
        <v>IHVNfcAbujaMunicipalAreaCouncil</v>
      </c>
    </row>
    <row r="1153" spans="48:54" x14ac:dyDescent="0.25">
      <c r="AV1153" t="s">
        <v>822</v>
      </c>
      <c r="AW1153" t="s">
        <v>175</v>
      </c>
      <c r="AX1153" t="s">
        <v>637</v>
      </c>
      <c r="AY1153" t="s">
        <v>3099</v>
      </c>
      <c r="AZ1153" t="s">
        <v>3100</v>
      </c>
      <c r="BA1153" t="s">
        <v>156</v>
      </c>
      <c r="BB1153" t="str">
        <f t="shared" si="17"/>
        <v>IHVNfcAbujaMunicipalAreaCouncil</v>
      </c>
    </row>
    <row r="1154" spans="48:54" x14ac:dyDescent="0.25">
      <c r="AV1154" t="s">
        <v>822</v>
      </c>
      <c r="AW1154" t="s">
        <v>175</v>
      </c>
      <c r="AX1154" t="s">
        <v>637</v>
      </c>
      <c r="AY1154" t="s">
        <v>3101</v>
      </c>
      <c r="AZ1154" t="s">
        <v>3102</v>
      </c>
      <c r="BA1154" t="s">
        <v>156</v>
      </c>
      <c r="BB1154" t="str">
        <f t="shared" si="17"/>
        <v>IHVNfcAbujaMunicipalAreaCouncil</v>
      </c>
    </row>
    <row r="1155" spans="48:54" x14ac:dyDescent="0.25">
      <c r="AV1155" t="s">
        <v>822</v>
      </c>
      <c r="AW1155" t="s">
        <v>175</v>
      </c>
      <c r="AX1155" t="s">
        <v>637</v>
      </c>
      <c r="AY1155" t="s">
        <v>3103</v>
      </c>
      <c r="AZ1155" t="s">
        <v>3104</v>
      </c>
      <c r="BA1155" t="s">
        <v>156</v>
      </c>
      <c r="BB1155" t="str">
        <f t="shared" ref="BB1155:BB1218" si="18">SUBSTITUTE(SUBSTITUTE(BA1155&amp;AX1155," ",""),"-","")</f>
        <v>IHVNfcAbujaMunicipalAreaCouncil</v>
      </c>
    </row>
    <row r="1156" spans="48:54" x14ac:dyDescent="0.25">
      <c r="AV1156" t="s">
        <v>822</v>
      </c>
      <c r="AW1156" t="s">
        <v>175</v>
      </c>
      <c r="AX1156" t="s">
        <v>637</v>
      </c>
      <c r="AY1156" t="s">
        <v>3105</v>
      </c>
      <c r="AZ1156" t="s">
        <v>3106</v>
      </c>
      <c r="BA1156" t="s">
        <v>156</v>
      </c>
      <c r="BB1156" t="str">
        <f t="shared" si="18"/>
        <v>IHVNfcAbujaMunicipalAreaCouncil</v>
      </c>
    </row>
    <row r="1157" spans="48:54" x14ac:dyDescent="0.25">
      <c r="AV1157" t="s">
        <v>822</v>
      </c>
      <c r="AW1157" t="s">
        <v>175</v>
      </c>
      <c r="AX1157" t="s">
        <v>637</v>
      </c>
      <c r="AY1157" t="s">
        <v>3107</v>
      </c>
      <c r="AZ1157" t="s">
        <v>3108</v>
      </c>
      <c r="BA1157" t="s">
        <v>156</v>
      </c>
      <c r="BB1157" t="str">
        <f t="shared" si="18"/>
        <v>IHVNfcAbujaMunicipalAreaCouncil</v>
      </c>
    </row>
    <row r="1158" spans="48:54" x14ac:dyDescent="0.25">
      <c r="AV1158" t="s">
        <v>822</v>
      </c>
      <c r="AW1158" t="s">
        <v>175</v>
      </c>
      <c r="AX1158" t="s">
        <v>637</v>
      </c>
      <c r="AY1158" t="s">
        <v>3109</v>
      </c>
      <c r="AZ1158" t="s">
        <v>3110</v>
      </c>
      <c r="BA1158" t="s">
        <v>156</v>
      </c>
      <c r="BB1158" t="str">
        <f t="shared" si="18"/>
        <v>IHVNfcAbujaMunicipalAreaCouncil</v>
      </c>
    </row>
    <row r="1159" spans="48:54" x14ac:dyDescent="0.25">
      <c r="AV1159" t="s">
        <v>822</v>
      </c>
      <c r="AW1159" t="s">
        <v>175</v>
      </c>
      <c r="AX1159" t="s">
        <v>637</v>
      </c>
      <c r="AY1159" t="s">
        <v>3111</v>
      </c>
      <c r="AZ1159" t="s">
        <v>3112</v>
      </c>
      <c r="BA1159" t="s">
        <v>156</v>
      </c>
      <c r="BB1159" t="str">
        <f t="shared" si="18"/>
        <v>IHVNfcAbujaMunicipalAreaCouncil</v>
      </c>
    </row>
    <row r="1160" spans="48:54" x14ac:dyDescent="0.25">
      <c r="AV1160" t="s">
        <v>822</v>
      </c>
      <c r="AW1160" t="s">
        <v>175</v>
      </c>
      <c r="AX1160" t="s">
        <v>637</v>
      </c>
      <c r="AY1160" t="s">
        <v>3113</v>
      </c>
      <c r="AZ1160" t="s">
        <v>3114</v>
      </c>
      <c r="BA1160" t="s">
        <v>156</v>
      </c>
      <c r="BB1160" t="str">
        <f t="shared" si="18"/>
        <v>IHVNfcAbujaMunicipalAreaCouncil</v>
      </c>
    </row>
    <row r="1161" spans="48:54" x14ac:dyDescent="0.25">
      <c r="AV1161" t="s">
        <v>822</v>
      </c>
      <c r="AW1161" t="s">
        <v>175</v>
      </c>
      <c r="AX1161" t="s">
        <v>637</v>
      </c>
      <c r="AY1161" t="s">
        <v>3115</v>
      </c>
      <c r="AZ1161" t="s">
        <v>3116</v>
      </c>
      <c r="BA1161" t="s">
        <v>156</v>
      </c>
      <c r="BB1161" t="str">
        <f t="shared" si="18"/>
        <v>IHVNfcAbujaMunicipalAreaCouncil</v>
      </c>
    </row>
    <row r="1162" spans="48:54" x14ac:dyDescent="0.25">
      <c r="AV1162" t="s">
        <v>822</v>
      </c>
      <c r="AW1162" t="s">
        <v>175</v>
      </c>
      <c r="AX1162" t="s">
        <v>637</v>
      </c>
      <c r="AY1162" t="s">
        <v>3117</v>
      </c>
      <c r="AZ1162" t="s">
        <v>3118</v>
      </c>
      <c r="BA1162" t="s">
        <v>156</v>
      </c>
      <c r="BB1162" t="str">
        <f t="shared" si="18"/>
        <v>IHVNfcAbujaMunicipalAreaCouncil</v>
      </c>
    </row>
    <row r="1163" spans="48:54" x14ac:dyDescent="0.25">
      <c r="AV1163" t="s">
        <v>822</v>
      </c>
      <c r="AW1163" t="s">
        <v>175</v>
      </c>
      <c r="AX1163" t="s">
        <v>637</v>
      </c>
      <c r="AY1163" t="s">
        <v>3119</v>
      </c>
      <c r="AZ1163" t="s">
        <v>3120</v>
      </c>
      <c r="BA1163" t="s">
        <v>156</v>
      </c>
      <c r="BB1163" t="str">
        <f t="shared" si="18"/>
        <v>IHVNfcAbujaMunicipalAreaCouncil</v>
      </c>
    </row>
    <row r="1164" spans="48:54" x14ac:dyDescent="0.25">
      <c r="AV1164" t="s">
        <v>822</v>
      </c>
      <c r="AW1164" t="s">
        <v>175</v>
      </c>
      <c r="AX1164" t="s">
        <v>637</v>
      </c>
      <c r="AY1164" t="s">
        <v>3121</v>
      </c>
      <c r="AZ1164" t="s">
        <v>3122</v>
      </c>
      <c r="BA1164" t="s">
        <v>156</v>
      </c>
      <c r="BB1164" t="str">
        <f t="shared" si="18"/>
        <v>IHVNfcAbujaMunicipalAreaCouncil</v>
      </c>
    </row>
    <row r="1165" spans="48:54" x14ac:dyDescent="0.25">
      <c r="AV1165" t="s">
        <v>822</v>
      </c>
      <c r="AW1165" t="s">
        <v>175</v>
      </c>
      <c r="AX1165" t="s">
        <v>637</v>
      </c>
      <c r="AY1165" t="s">
        <v>3123</v>
      </c>
      <c r="AZ1165" t="s">
        <v>3124</v>
      </c>
      <c r="BA1165" t="s">
        <v>156</v>
      </c>
      <c r="BB1165" t="str">
        <f t="shared" si="18"/>
        <v>IHVNfcAbujaMunicipalAreaCouncil</v>
      </c>
    </row>
    <row r="1166" spans="48:54" x14ac:dyDescent="0.25">
      <c r="AV1166" t="s">
        <v>822</v>
      </c>
      <c r="AW1166" t="s">
        <v>175</v>
      </c>
      <c r="AX1166" t="s">
        <v>637</v>
      </c>
      <c r="AY1166" t="s">
        <v>3125</v>
      </c>
      <c r="AZ1166" t="s">
        <v>3126</v>
      </c>
      <c r="BA1166" t="s">
        <v>156</v>
      </c>
      <c r="BB1166" t="str">
        <f t="shared" si="18"/>
        <v>IHVNfcAbujaMunicipalAreaCouncil</v>
      </c>
    </row>
    <row r="1167" spans="48:54" x14ac:dyDescent="0.25">
      <c r="AV1167" t="s">
        <v>822</v>
      </c>
      <c r="AW1167" t="s">
        <v>175</v>
      </c>
      <c r="AX1167" t="s">
        <v>637</v>
      </c>
      <c r="AY1167" t="s">
        <v>3127</v>
      </c>
      <c r="AZ1167" t="s">
        <v>3128</v>
      </c>
      <c r="BA1167" t="s">
        <v>156</v>
      </c>
      <c r="BB1167" t="str">
        <f t="shared" si="18"/>
        <v>IHVNfcAbujaMunicipalAreaCouncil</v>
      </c>
    </row>
    <row r="1168" spans="48:54" x14ac:dyDescent="0.25">
      <c r="AV1168" t="s">
        <v>822</v>
      </c>
      <c r="AW1168" t="s">
        <v>175</v>
      </c>
      <c r="AX1168" t="s">
        <v>637</v>
      </c>
      <c r="AY1168" t="s">
        <v>3129</v>
      </c>
      <c r="AZ1168" t="s">
        <v>3130</v>
      </c>
      <c r="BA1168" t="s">
        <v>156</v>
      </c>
      <c r="BB1168" t="str">
        <f t="shared" si="18"/>
        <v>IHVNfcAbujaMunicipalAreaCouncil</v>
      </c>
    </row>
    <row r="1169" spans="48:54" x14ac:dyDescent="0.25">
      <c r="AV1169" t="s">
        <v>822</v>
      </c>
      <c r="AW1169" t="s">
        <v>175</v>
      </c>
      <c r="AX1169" t="s">
        <v>637</v>
      </c>
      <c r="AY1169" t="s">
        <v>3131</v>
      </c>
      <c r="AZ1169" t="s">
        <v>3132</v>
      </c>
      <c r="BA1169" t="s">
        <v>156</v>
      </c>
      <c r="BB1169" t="str">
        <f t="shared" si="18"/>
        <v>IHVNfcAbujaMunicipalAreaCouncil</v>
      </c>
    </row>
    <row r="1170" spans="48:54" x14ac:dyDescent="0.25">
      <c r="AV1170" t="s">
        <v>822</v>
      </c>
      <c r="AW1170" t="s">
        <v>175</v>
      </c>
      <c r="AX1170" t="s">
        <v>637</v>
      </c>
      <c r="AY1170" t="s">
        <v>3133</v>
      </c>
      <c r="AZ1170" t="s">
        <v>3134</v>
      </c>
      <c r="BA1170" t="s">
        <v>156</v>
      </c>
      <c r="BB1170" t="str">
        <f t="shared" si="18"/>
        <v>IHVNfcAbujaMunicipalAreaCouncil</v>
      </c>
    </row>
    <row r="1171" spans="48:54" x14ac:dyDescent="0.25">
      <c r="AV1171" t="s">
        <v>822</v>
      </c>
      <c r="AW1171" t="s">
        <v>175</v>
      </c>
      <c r="AX1171" t="s">
        <v>637</v>
      </c>
      <c r="AY1171" t="s">
        <v>3135</v>
      </c>
      <c r="AZ1171" t="s">
        <v>3136</v>
      </c>
      <c r="BA1171" t="s">
        <v>156</v>
      </c>
      <c r="BB1171" t="str">
        <f t="shared" si="18"/>
        <v>IHVNfcAbujaMunicipalAreaCouncil</v>
      </c>
    </row>
    <row r="1172" spans="48:54" x14ac:dyDescent="0.25">
      <c r="AV1172" t="s">
        <v>822</v>
      </c>
      <c r="AW1172" t="s">
        <v>175</v>
      </c>
      <c r="AX1172" t="s">
        <v>637</v>
      </c>
      <c r="AY1172" t="s">
        <v>3137</v>
      </c>
      <c r="AZ1172" t="s">
        <v>3138</v>
      </c>
      <c r="BA1172" t="s">
        <v>156</v>
      </c>
      <c r="BB1172" t="str">
        <f t="shared" si="18"/>
        <v>IHVNfcAbujaMunicipalAreaCouncil</v>
      </c>
    </row>
    <row r="1173" spans="48:54" x14ac:dyDescent="0.25">
      <c r="AV1173" t="s">
        <v>822</v>
      </c>
      <c r="AW1173" t="s">
        <v>175</v>
      </c>
      <c r="AX1173" t="s">
        <v>637</v>
      </c>
      <c r="AY1173" t="s">
        <v>3139</v>
      </c>
      <c r="AZ1173" t="s">
        <v>3140</v>
      </c>
      <c r="BA1173" t="s">
        <v>156</v>
      </c>
      <c r="BB1173" t="str">
        <f t="shared" si="18"/>
        <v>IHVNfcAbujaMunicipalAreaCouncil</v>
      </c>
    </row>
    <row r="1174" spans="48:54" x14ac:dyDescent="0.25">
      <c r="AV1174" t="s">
        <v>822</v>
      </c>
      <c r="AW1174" t="s">
        <v>175</v>
      </c>
      <c r="AX1174" t="s">
        <v>637</v>
      </c>
      <c r="AY1174" t="s">
        <v>3141</v>
      </c>
      <c r="AZ1174" t="s">
        <v>3142</v>
      </c>
      <c r="BA1174" t="s">
        <v>156</v>
      </c>
      <c r="BB1174" t="str">
        <f t="shared" si="18"/>
        <v>IHVNfcAbujaMunicipalAreaCouncil</v>
      </c>
    </row>
    <row r="1175" spans="48:54" x14ac:dyDescent="0.25">
      <c r="AV1175" t="s">
        <v>822</v>
      </c>
      <c r="AW1175" t="s">
        <v>175</v>
      </c>
      <c r="AX1175" t="s">
        <v>637</v>
      </c>
      <c r="AY1175" t="s">
        <v>3143</v>
      </c>
      <c r="AZ1175" t="s">
        <v>3144</v>
      </c>
      <c r="BA1175" t="s">
        <v>156</v>
      </c>
      <c r="BB1175" t="str">
        <f t="shared" si="18"/>
        <v>IHVNfcAbujaMunicipalAreaCouncil</v>
      </c>
    </row>
    <row r="1176" spans="48:54" x14ac:dyDescent="0.25">
      <c r="AV1176" t="s">
        <v>822</v>
      </c>
      <c r="AW1176" t="s">
        <v>175</v>
      </c>
      <c r="AX1176" t="s">
        <v>637</v>
      </c>
      <c r="AY1176" t="s">
        <v>3145</v>
      </c>
      <c r="AZ1176" t="s">
        <v>3146</v>
      </c>
      <c r="BA1176" t="s">
        <v>156</v>
      </c>
      <c r="BB1176" t="str">
        <f t="shared" si="18"/>
        <v>IHVNfcAbujaMunicipalAreaCouncil</v>
      </c>
    </row>
    <row r="1177" spans="48:54" x14ac:dyDescent="0.25">
      <c r="AV1177" t="s">
        <v>822</v>
      </c>
      <c r="AW1177" t="s">
        <v>175</v>
      </c>
      <c r="AX1177" t="s">
        <v>637</v>
      </c>
      <c r="AY1177" t="s">
        <v>3147</v>
      </c>
      <c r="AZ1177" t="s">
        <v>3148</v>
      </c>
      <c r="BA1177" t="s">
        <v>156</v>
      </c>
      <c r="BB1177" t="str">
        <f t="shared" si="18"/>
        <v>IHVNfcAbujaMunicipalAreaCouncil</v>
      </c>
    </row>
    <row r="1178" spans="48:54" x14ac:dyDescent="0.25">
      <c r="AV1178" t="s">
        <v>822</v>
      </c>
      <c r="AW1178" t="s">
        <v>175</v>
      </c>
      <c r="AX1178" t="s">
        <v>637</v>
      </c>
      <c r="AY1178" t="s">
        <v>3149</v>
      </c>
      <c r="AZ1178" t="s">
        <v>3150</v>
      </c>
      <c r="BA1178" t="s">
        <v>156</v>
      </c>
      <c r="BB1178" t="str">
        <f t="shared" si="18"/>
        <v>IHVNfcAbujaMunicipalAreaCouncil</v>
      </c>
    </row>
    <row r="1179" spans="48:54" x14ac:dyDescent="0.25">
      <c r="AV1179" t="s">
        <v>822</v>
      </c>
      <c r="AW1179" t="s">
        <v>175</v>
      </c>
      <c r="AX1179" t="s">
        <v>637</v>
      </c>
      <c r="AY1179" t="s">
        <v>3151</v>
      </c>
      <c r="AZ1179" t="s">
        <v>3152</v>
      </c>
      <c r="BA1179" t="s">
        <v>156</v>
      </c>
      <c r="BB1179" t="str">
        <f t="shared" si="18"/>
        <v>IHVNfcAbujaMunicipalAreaCouncil</v>
      </c>
    </row>
    <row r="1180" spans="48:54" x14ac:dyDescent="0.25">
      <c r="AV1180" t="s">
        <v>822</v>
      </c>
      <c r="AW1180" t="s">
        <v>175</v>
      </c>
      <c r="AX1180" t="s">
        <v>637</v>
      </c>
      <c r="AY1180" t="s">
        <v>3153</v>
      </c>
      <c r="AZ1180" t="s">
        <v>3154</v>
      </c>
      <c r="BA1180" t="s">
        <v>156</v>
      </c>
      <c r="BB1180" t="str">
        <f t="shared" si="18"/>
        <v>IHVNfcAbujaMunicipalAreaCouncil</v>
      </c>
    </row>
    <row r="1181" spans="48:54" x14ac:dyDescent="0.25">
      <c r="AV1181" t="s">
        <v>822</v>
      </c>
      <c r="AW1181" t="s">
        <v>175</v>
      </c>
      <c r="AX1181" t="s">
        <v>637</v>
      </c>
      <c r="AY1181" t="s">
        <v>3155</v>
      </c>
      <c r="AZ1181" t="s">
        <v>3156</v>
      </c>
      <c r="BA1181" t="s">
        <v>156</v>
      </c>
      <c r="BB1181" t="str">
        <f t="shared" si="18"/>
        <v>IHVNfcAbujaMunicipalAreaCouncil</v>
      </c>
    </row>
    <row r="1182" spans="48:54" x14ac:dyDescent="0.25">
      <c r="AV1182" t="s">
        <v>822</v>
      </c>
      <c r="AW1182" t="s">
        <v>175</v>
      </c>
      <c r="AX1182" t="s">
        <v>637</v>
      </c>
      <c r="AY1182" t="s">
        <v>3157</v>
      </c>
      <c r="AZ1182" t="s">
        <v>3158</v>
      </c>
      <c r="BA1182" t="s">
        <v>156</v>
      </c>
      <c r="BB1182" t="str">
        <f t="shared" si="18"/>
        <v>IHVNfcAbujaMunicipalAreaCouncil</v>
      </c>
    </row>
    <row r="1183" spans="48:54" x14ac:dyDescent="0.25">
      <c r="AV1183" t="s">
        <v>822</v>
      </c>
      <c r="AW1183" t="s">
        <v>175</v>
      </c>
      <c r="AX1183" t="s">
        <v>637</v>
      </c>
      <c r="AY1183" t="s">
        <v>3159</v>
      </c>
      <c r="AZ1183" t="s">
        <v>3160</v>
      </c>
      <c r="BA1183" t="s">
        <v>156</v>
      </c>
      <c r="BB1183" t="str">
        <f t="shared" si="18"/>
        <v>IHVNfcAbujaMunicipalAreaCouncil</v>
      </c>
    </row>
    <row r="1184" spans="48:54" x14ac:dyDescent="0.25">
      <c r="AV1184" t="s">
        <v>822</v>
      </c>
      <c r="AW1184" t="s">
        <v>175</v>
      </c>
      <c r="AX1184" t="s">
        <v>637</v>
      </c>
      <c r="AY1184" t="s">
        <v>3161</v>
      </c>
      <c r="AZ1184" t="s">
        <v>3162</v>
      </c>
      <c r="BA1184" t="s">
        <v>156</v>
      </c>
      <c r="BB1184" t="str">
        <f t="shared" si="18"/>
        <v>IHVNfcAbujaMunicipalAreaCouncil</v>
      </c>
    </row>
    <row r="1185" spans="48:54" x14ac:dyDescent="0.25">
      <c r="AV1185" t="s">
        <v>822</v>
      </c>
      <c r="AW1185" t="s">
        <v>175</v>
      </c>
      <c r="AX1185" t="s">
        <v>637</v>
      </c>
      <c r="AY1185" t="s">
        <v>3163</v>
      </c>
      <c r="AZ1185" t="s">
        <v>3164</v>
      </c>
      <c r="BA1185" t="s">
        <v>156</v>
      </c>
      <c r="BB1185" t="str">
        <f t="shared" si="18"/>
        <v>IHVNfcAbujaMunicipalAreaCouncil</v>
      </c>
    </row>
    <row r="1186" spans="48:54" x14ac:dyDescent="0.25">
      <c r="AV1186" t="s">
        <v>822</v>
      </c>
      <c r="AW1186" t="s">
        <v>175</v>
      </c>
      <c r="AX1186" t="s">
        <v>637</v>
      </c>
      <c r="AY1186" t="s">
        <v>3165</v>
      </c>
      <c r="AZ1186" t="s">
        <v>3166</v>
      </c>
      <c r="BA1186" t="s">
        <v>156</v>
      </c>
      <c r="BB1186" t="str">
        <f t="shared" si="18"/>
        <v>IHVNfcAbujaMunicipalAreaCouncil</v>
      </c>
    </row>
    <row r="1187" spans="48:54" x14ac:dyDescent="0.25">
      <c r="AV1187" t="s">
        <v>822</v>
      </c>
      <c r="AW1187" t="s">
        <v>175</v>
      </c>
      <c r="AX1187" t="s">
        <v>637</v>
      </c>
      <c r="AY1187" t="s">
        <v>3167</v>
      </c>
      <c r="AZ1187" t="s">
        <v>3168</v>
      </c>
      <c r="BA1187" t="s">
        <v>156</v>
      </c>
      <c r="BB1187" t="str">
        <f t="shared" si="18"/>
        <v>IHVNfcAbujaMunicipalAreaCouncil</v>
      </c>
    </row>
    <row r="1188" spans="48:54" x14ac:dyDescent="0.25">
      <c r="AV1188" t="s">
        <v>822</v>
      </c>
      <c r="AW1188" t="s">
        <v>175</v>
      </c>
      <c r="AX1188" t="s">
        <v>637</v>
      </c>
      <c r="AY1188" t="s">
        <v>3169</v>
      </c>
      <c r="AZ1188" t="s">
        <v>3170</v>
      </c>
      <c r="BA1188" t="s">
        <v>156</v>
      </c>
      <c r="BB1188" t="str">
        <f t="shared" si="18"/>
        <v>IHVNfcAbujaMunicipalAreaCouncil</v>
      </c>
    </row>
    <row r="1189" spans="48:54" x14ac:dyDescent="0.25">
      <c r="AV1189" t="s">
        <v>822</v>
      </c>
      <c r="AW1189" t="s">
        <v>175</v>
      </c>
      <c r="AX1189" t="s">
        <v>637</v>
      </c>
      <c r="AY1189" t="s">
        <v>3171</v>
      </c>
      <c r="AZ1189" t="s">
        <v>3172</v>
      </c>
      <c r="BA1189" t="s">
        <v>156</v>
      </c>
      <c r="BB1189" t="str">
        <f t="shared" si="18"/>
        <v>IHVNfcAbujaMunicipalAreaCouncil</v>
      </c>
    </row>
    <row r="1190" spans="48:54" x14ac:dyDescent="0.25">
      <c r="AV1190" t="s">
        <v>822</v>
      </c>
      <c r="AW1190" t="s">
        <v>175</v>
      </c>
      <c r="AX1190" t="s">
        <v>637</v>
      </c>
      <c r="AY1190" t="s">
        <v>3173</v>
      </c>
      <c r="AZ1190" t="s">
        <v>3174</v>
      </c>
      <c r="BA1190" t="s">
        <v>156</v>
      </c>
      <c r="BB1190" t="str">
        <f t="shared" si="18"/>
        <v>IHVNfcAbujaMunicipalAreaCouncil</v>
      </c>
    </row>
    <row r="1191" spans="48:54" x14ac:dyDescent="0.25">
      <c r="AV1191" t="s">
        <v>822</v>
      </c>
      <c r="AW1191" t="s">
        <v>175</v>
      </c>
      <c r="AX1191" t="s">
        <v>637</v>
      </c>
      <c r="AY1191" t="s">
        <v>3175</v>
      </c>
      <c r="AZ1191" t="s">
        <v>3176</v>
      </c>
      <c r="BA1191" t="s">
        <v>156</v>
      </c>
      <c r="BB1191" t="str">
        <f t="shared" si="18"/>
        <v>IHVNfcAbujaMunicipalAreaCouncil</v>
      </c>
    </row>
    <row r="1192" spans="48:54" x14ac:dyDescent="0.25">
      <c r="AV1192" t="s">
        <v>822</v>
      </c>
      <c r="AW1192" t="s">
        <v>175</v>
      </c>
      <c r="AX1192" t="s">
        <v>637</v>
      </c>
      <c r="AY1192" t="s">
        <v>3177</v>
      </c>
      <c r="AZ1192" t="s">
        <v>3178</v>
      </c>
      <c r="BA1192" t="s">
        <v>156</v>
      </c>
      <c r="BB1192" t="str">
        <f t="shared" si="18"/>
        <v>IHVNfcAbujaMunicipalAreaCouncil</v>
      </c>
    </row>
    <row r="1193" spans="48:54" x14ac:dyDescent="0.25">
      <c r="AV1193" t="s">
        <v>822</v>
      </c>
      <c r="AW1193" t="s">
        <v>175</v>
      </c>
      <c r="AX1193" t="s">
        <v>637</v>
      </c>
      <c r="AY1193" t="s">
        <v>3179</v>
      </c>
      <c r="AZ1193" t="s">
        <v>3180</v>
      </c>
      <c r="BA1193" t="s">
        <v>156</v>
      </c>
      <c r="BB1193" t="str">
        <f t="shared" si="18"/>
        <v>IHVNfcAbujaMunicipalAreaCouncil</v>
      </c>
    </row>
    <row r="1194" spans="48:54" x14ac:dyDescent="0.25">
      <c r="AV1194" t="s">
        <v>822</v>
      </c>
      <c r="AW1194" t="s">
        <v>175</v>
      </c>
      <c r="AX1194" t="s">
        <v>637</v>
      </c>
      <c r="AY1194" t="s">
        <v>3181</v>
      </c>
      <c r="AZ1194" t="s">
        <v>3182</v>
      </c>
      <c r="BA1194" t="s">
        <v>156</v>
      </c>
      <c r="BB1194" t="str">
        <f t="shared" si="18"/>
        <v>IHVNfcAbujaMunicipalAreaCouncil</v>
      </c>
    </row>
    <row r="1195" spans="48:54" x14ac:dyDescent="0.25">
      <c r="AV1195" t="s">
        <v>822</v>
      </c>
      <c r="AW1195" t="s">
        <v>175</v>
      </c>
      <c r="AX1195" t="s">
        <v>637</v>
      </c>
      <c r="AY1195" t="s">
        <v>3183</v>
      </c>
      <c r="AZ1195" t="s">
        <v>3184</v>
      </c>
      <c r="BA1195" t="s">
        <v>156</v>
      </c>
      <c r="BB1195" t="str">
        <f t="shared" si="18"/>
        <v>IHVNfcAbujaMunicipalAreaCouncil</v>
      </c>
    </row>
    <row r="1196" spans="48:54" x14ac:dyDescent="0.25">
      <c r="AV1196" t="s">
        <v>822</v>
      </c>
      <c r="AW1196" t="s">
        <v>175</v>
      </c>
      <c r="AX1196" t="s">
        <v>637</v>
      </c>
      <c r="AY1196" t="s">
        <v>3185</v>
      </c>
      <c r="AZ1196" t="s">
        <v>3186</v>
      </c>
      <c r="BA1196" t="s">
        <v>156</v>
      </c>
      <c r="BB1196" t="str">
        <f t="shared" si="18"/>
        <v>IHVNfcAbujaMunicipalAreaCouncil</v>
      </c>
    </row>
    <row r="1197" spans="48:54" x14ac:dyDescent="0.25">
      <c r="AV1197" t="s">
        <v>822</v>
      </c>
      <c r="AW1197" t="s">
        <v>175</v>
      </c>
      <c r="AX1197" t="s">
        <v>637</v>
      </c>
      <c r="AY1197" t="s">
        <v>3187</v>
      </c>
      <c r="AZ1197" t="s">
        <v>3188</v>
      </c>
      <c r="BA1197" t="s">
        <v>156</v>
      </c>
      <c r="BB1197" t="str">
        <f t="shared" si="18"/>
        <v>IHVNfcAbujaMunicipalAreaCouncil</v>
      </c>
    </row>
    <row r="1198" spans="48:54" x14ac:dyDescent="0.25">
      <c r="AV1198" t="s">
        <v>822</v>
      </c>
      <c r="AW1198" t="s">
        <v>175</v>
      </c>
      <c r="AX1198" t="s">
        <v>637</v>
      </c>
      <c r="AY1198" t="s">
        <v>3189</v>
      </c>
      <c r="AZ1198" t="s">
        <v>3190</v>
      </c>
      <c r="BA1198" t="s">
        <v>156</v>
      </c>
      <c r="BB1198" t="str">
        <f t="shared" si="18"/>
        <v>IHVNfcAbujaMunicipalAreaCouncil</v>
      </c>
    </row>
    <row r="1199" spans="48:54" x14ac:dyDescent="0.25">
      <c r="AV1199" t="s">
        <v>822</v>
      </c>
      <c r="AW1199" t="s">
        <v>175</v>
      </c>
      <c r="AX1199" t="s">
        <v>637</v>
      </c>
      <c r="AY1199" t="s">
        <v>3191</v>
      </c>
      <c r="AZ1199" t="s">
        <v>3192</v>
      </c>
      <c r="BA1199" t="s">
        <v>156</v>
      </c>
      <c r="BB1199" t="str">
        <f t="shared" si="18"/>
        <v>IHVNfcAbujaMunicipalAreaCouncil</v>
      </c>
    </row>
    <row r="1200" spans="48:54" x14ac:dyDescent="0.25">
      <c r="AV1200" t="s">
        <v>822</v>
      </c>
      <c r="AW1200" t="s">
        <v>175</v>
      </c>
      <c r="AX1200" t="s">
        <v>637</v>
      </c>
      <c r="AY1200" t="s">
        <v>3193</v>
      </c>
      <c r="AZ1200" t="s">
        <v>3194</v>
      </c>
      <c r="BA1200" t="s">
        <v>156</v>
      </c>
      <c r="BB1200" t="str">
        <f t="shared" si="18"/>
        <v>IHVNfcAbujaMunicipalAreaCouncil</v>
      </c>
    </row>
    <row r="1201" spans="48:54" x14ac:dyDescent="0.25">
      <c r="AV1201" t="s">
        <v>822</v>
      </c>
      <c r="AW1201" t="s">
        <v>175</v>
      </c>
      <c r="AX1201" t="s">
        <v>637</v>
      </c>
      <c r="AY1201" t="s">
        <v>3195</v>
      </c>
      <c r="AZ1201" t="s">
        <v>3196</v>
      </c>
      <c r="BA1201" t="s">
        <v>156</v>
      </c>
      <c r="BB1201" t="str">
        <f t="shared" si="18"/>
        <v>IHVNfcAbujaMunicipalAreaCouncil</v>
      </c>
    </row>
    <row r="1202" spans="48:54" x14ac:dyDescent="0.25">
      <c r="AV1202" t="s">
        <v>822</v>
      </c>
      <c r="AW1202" t="s">
        <v>175</v>
      </c>
      <c r="AX1202" t="s">
        <v>637</v>
      </c>
      <c r="AY1202" t="s">
        <v>3197</v>
      </c>
      <c r="AZ1202" t="s">
        <v>3198</v>
      </c>
      <c r="BA1202" t="s">
        <v>156</v>
      </c>
      <c r="BB1202" t="str">
        <f t="shared" si="18"/>
        <v>IHVNfcAbujaMunicipalAreaCouncil</v>
      </c>
    </row>
    <row r="1203" spans="48:54" x14ac:dyDescent="0.25">
      <c r="AV1203" t="s">
        <v>822</v>
      </c>
      <c r="AW1203" t="s">
        <v>175</v>
      </c>
      <c r="AX1203" t="s">
        <v>637</v>
      </c>
      <c r="AY1203" t="s">
        <v>3199</v>
      </c>
      <c r="AZ1203" t="s">
        <v>3200</v>
      </c>
      <c r="BA1203" t="s">
        <v>156</v>
      </c>
      <c r="BB1203" t="str">
        <f t="shared" si="18"/>
        <v>IHVNfcAbujaMunicipalAreaCouncil</v>
      </c>
    </row>
    <row r="1204" spans="48:54" x14ac:dyDescent="0.25">
      <c r="AV1204" t="s">
        <v>822</v>
      </c>
      <c r="AW1204" t="s">
        <v>175</v>
      </c>
      <c r="AX1204" t="s">
        <v>637</v>
      </c>
      <c r="AY1204" t="s">
        <v>3201</v>
      </c>
      <c r="AZ1204" t="s">
        <v>3202</v>
      </c>
      <c r="BA1204" t="s">
        <v>156</v>
      </c>
      <c r="BB1204" t="str">
        <f t="shared" si="18"/>
        <v>IHVNfcAbujaMunicipalAreaCouncil</v>
      </c>
    </row>
    <row r="1205" spans="48:54" x14ac:dyDescent="0.25">
      <c r="AV1205" t="s">
        <v>822</v>
      </c>
      <c r="AW1205" t="s">
        <v>175</v>
      </c>
      <c r="AX1205" t="s">
        <v>637</v>
      </c>
      <c r="AY1205" t="s">
        <v>3203</v>
      </c>
      <c r="AZ1205" t="s">
        <v>3204</v>
      </c>
      <c r="BA1205" t="s">
        <v>156</v>
      </c>
      <c r="BB1205" t="str">
        <f t="shared" si="18"/>
        <v>IHVNfcAbujaMunicipalAreaCouncil</v>
      </c>
    </row>
    <row r="1206" spans="48:54" x14ac:dyDescent="0.25">
      <c r="AV1206" t="s">
        <v>822</v>
      </c>
      <c r="AW1206" t="s">
        <v>175</v>
      </c>
      <c r="AX1206" t="s">
        <v>637</v>
      </c>
      <c r="AY1206" t="s">
        <v>3205</v>
      </c>
      <c r="AZ1206" t="s">
        <v>3206</v>
      </c>
      <c r="BA1206" t="s">
        <v>156</v>
      </c>
      <c r="BB1206" t="str">
        <f t="shared" si="18"/>
        <v>IHVNfcAbujaMunicipalAreaCouncil</v>
      </c>
    </row>
    <row r="1207" spans="48:54" x14ac:dyDescent="0.25">
      <c r="AV1207" t="s">
        <v>822</v>
      </c>
      <c r="AW1207" t="s">
        <v>175</v>
      </c>
      <c r="AX1207" t="s">
        <v>637</v>
      </c>
      <c r="AY1207" t="s">
        <v>3207</v>
      </c>
      <c r="AZ1207" t="s">
        <v>3208</v>
      </c>
      <c r="BA1207" t="s">
        <v>156</v>
      </c>
      <c r="BB1207" t="str">
        <f t="shared" si="18"/>
        <v>IHVNfcAbujaMunicipalAreaCouncil</v>
      </c>
    </row>
    <row r="1208" spans="48:54" x14ac:dyDescent="0.25">
      <c r="AV1208" t="s">
        <v>822</v>
      </c>
      <c r="AW1208" t="s">
        <v>175</v>
      </c>
      <c r="AX1208" t="s">
        <v>637</v>
      </c>
      <c r="AY1208" t="s">
        <v>3209</v>
      </c>
      <c r="AZ1208" t="s">
        <v>3210</v>
      </c>
      <c r="BA1208" t="s">
        <v>156</v>
      </c>
      <c r="BB1208" t="str">
        <f t="shared" si="18"/>
        <v>IHVNfcAbujaMunicipalAreaCouncil</v>
      </c>
    </row>
    <row r="1209" spans="48:54" x14ac:dyDescent="0.25">
      <c r="AV1209" t="s">
        <v>822</v>
      </c>
      <c r="AW1209" t="s">
        <v>175</v>
      </c>
      <c r="AX1209" t="s">
        <v>637</v>
      </c>
      <c r="AY1209" t="s">
        <v>3211</v>
      </c>
      <c r="AZ1209" t="s">
        <v>3212</v>
      </c>
      <c r="BA1209" t="s">
        <v>156</v>
      </c>
      <c r="BB1209" t="str">
        <f t="shared" si="18"/>
        <v>IHVNfcAbujaMunicipalAreaCouncil</v>
      </c>
    </row>
    <row r="1210" spans="48:54" x14ac:dyDescent="0.25">
      <c r="AV1210" t="s">
        <v>822</v>
      </c>
      <c r="AW1210" t="s">
        <v>175</v>
      </c>
      <c r="AX1210" t="s">
        <v>637</v>
      </c>
      <c r="AY1210" t="s">
        <v>3213</v>
      </c>
      <c r="AZ1210" t="s">
        <v>3214</v>
      </c>
      <c r="BA1210" t="s">
        <v>156</v>
      </c>
      <c r="BB1210" t="str">
        <f t="shared" si="18"/>
        <v>IHVNfcAbujaMunicipalAreaCouncil</v>
      </c>
    </row>
    <row r="1211" spans="48:54" x14ac:dyDescent="0.25">
      <c r="AV1211" t="s">
        <v>822</v>
      </c>
      <c r="AW1211" t="s">
        <v>175</v>
      </c>
      <c r="AX1211" t="s">
        <v>637</v>
      </c>
      <c r="AY1211" t="s">
        <v>3215</v>
      </c>
      <c r="AZ1211" t="s">
        <v>3216</v>
      </c>
      <c r="BA1211" t="s">
        <v>156</v>
      </c>
      <c r="BB1211" t="str">
        <f t="shared" si="18"/>
        <v>IHVNfcAbujaMunicipalAreaCouncil</v>
      </c>
    </row>
    <row r="1212" spans="48:54" x14ac:dyDescent="0.25">
      <c r="AV1212" t="s">
        <v>822</v>
      </c>
      <c r="AW1212" t="s">
        <v>175</v>
      </c>
      <c r="AX1212" t="s">
        <v>637</v>
      </c>
      <c r="AY1212" t="s">
        <v>3217</v>
      </c>
      <c r="AZ1212" t="s">
        <v>3218</v>
      </c>
      <c r="BA1212" t="s">
        <v>156</v>
      </c>
      <c r="BB1212" t="str">
        <f t="shared" si="18"/>
        <v>IHVNfcAbujaMunicipalAreaCouncil</v>
      </c>
    </row>
    <row r="1213" spans="48:54" x14ac:dyDescent="0.25">
      <c r="AV1213" t="s">
        <v>822</v>
      </c>
      <c r="AW1213" t="s">
        <v>175</v>
      </c>
      <c r="AX1213" t="s">
        <v>637</v>
      </c>
      <c r="AY1213" t="s">
        <v>3219</v>
      </c>
      <c r="AZ1213" t="s">
        <v>3220</v>
      </c>
      <c r="BA1213" t="s">
        <v>156</v>
      </c>
      <c r="BB1213" t="str">
        <f t="shared" si="18"/>
        <v>IHVNfcAbujaMunicipalAreaCouncil</v>
      </c>
    </row>
    <row r="1214" spans="48:54" x14ac:dyDescent="0.25">
      <c r="AV1214" t="s">
        <v>822</v>
      </c>
      <c r="AW1214" t="s">
        <v>175</v>
      </c>
      <c r="AX1214" t="s">
        <v>637</v>
      </c>
      <c r="AY1214" t="s">
        <v>3221</v>
      </c>
      <c r="AZ1214" t="s">
        <v>3222</v>
      </c>
      <c r="BA1214" t="s">
        <v>156</v>
      </c>
      <c r="BB1214" t="str">
        <f t="shared" si="18"/>
        <v>IHVNfcAbujaMunicipalAreaCouncil</v>
      </c>
    </row>
    <row r="1215" spans="48:54" x14ac:dyDescent="0.25">
      <c r="AV1215" t="s">
        <v>822</v>
      </c>
      <c r="AW1215" t="s">
        <v>175</v>
      </c>
      <c r="AX1215" t="s">
        <v>637</v>
      </c>
      <c r="AY1215" t="s">
        <v>3223</v>
      </c>
      <c r="AZ1215" t="s">
        <v>3224</v>
      </c>
      <c r="BA1215" t="s">
        <v>156</v>
      </c>
      <c r="BB1215" t="str">
        <f t="shared" si="18"/>
        <v>IHVNfcAbujaMunicipalAreaCouncil</v>
      </c>
    </row>
    <row r="1216" spans="48:54" x14ac:dyDescent="0.25">
      <c r="AV1216" t="s">
        <v>822</v>
      </c>
      <c r="AW1216" t="s">
        <v>175</v>
      </c>
      <c r="AX1216" t="s">
        <v>637</v>
      </c>
      <c r="AY1216" t="s">
        <v>3225</v>
      </c>
      <c r="AZ1216" t="s">
        <v>3226</v>
      </c>
      <c r="BA1216" t="s">
        <v>156</v>
      </c>
      <c r="BB1216" t="str">
        <f t="shared" si="18"/>
        <v>IHVNfcAbujaMunicipalAreaCouncil</v>
      </c>
    </row>
    <row r="1217" spans="48:54" x14ac:dyDescent="0.25">
      <c r="AV1217" t="s">
        <v>822</v>
      </c>
      <c r="AW1217" t="s">
        <v>175</v>
      </c>
      <c r="AX1217" t="s">
        <v>637</v>
      </c>
      <c r="AY1217" t="s">
        <v>3227</v>
      </c>
      <c r="AZ1217" t="s">
        <v>3228</v>
      </c>
      <c r="BA1217" t="s">
        <v>156</v>
      </c>
      <c r="BB1217" t="str">
        <f t="shared" si="18"/>
        <v>IHVNfcAbujaMunicipalAreaCouncil</v>
      </c>
    </row>
    <row r="1218" spans="48:54" x14ac:dyDescent="0.25">
      <c r="AV1218" t="s">
        <v>822</v>
      </c>
      <c r="AW1218" t="s">
        <v>175</v>
      </c>
      <c r="AX1218" t="s">
        <v>637</v>
      </c>
      <c r="AY1218" t="s">
        <v>3229</v>
      </c>
      <c r="AZ1218" t="s">
        <v>3230</v>
      </c>
      <c r="BA1218" t="s">
        <v>156</v>
      </c>
      <c r="BB1218" t="str">
        <f t="shared" si="18"/>
        <v>IHVNfcAbujaMunicipalAreaCouncil</v>
      </c>
    </row>
    <row r="1219" spans="48:54" x14ac:dyDescent="0.25">
      <c r="AV1219" t="s">
        <v>822</v>
      </c>
      <c r="AW1219" t="s">
        <v>175</v>
      </c>
      <c r="AX1219" t="s">
        <v>637</v>
      </c>
      <c r="AY1219" t="s">
        <v>3231</v>
      </c>
      <c r="AZ1219" t="s">
        <v>3232</v>
      </c>
      <c r="BA1219" t="s">
        <v>156</v>
      </c>
      <c r="BB1219" t="str">
        <f t="shared" ref="BB1219:BB1282" si="19">SUBSTITUTE(SUBSTITUTE(BA1219&amp;AX1219," ",""),"-","")</f>
        <v>IHVNfcAbujaMunicipalAreaCouncil</v>
      </c>
    </row>
    <row r="1220" spans="48:54" x14ac:dyDescent="0.25">
      <c r="AV1220" t="s">
        <v>822</v>
      </c>
      <c r="AW1220" t="s">
        <v>175</v>
      </c>
      <c r="AX1220" t="s">
        <v>637</v>
      </c>
      <c r="AY1220" t="s">
        <v>3233</v>
      </c>
      <c r="AZ1220" t="s">
        <v>3234</v>
      </c>
      <c r="BA1220" t="s">
        <v>156</v>
      </c>
      <c r="BB1220" t="str">
        <f t="shared" si="19"/>
        <v>IHVNfcAbujaMunicipalAreaCouncil</v>
      </c>
    </row>
    <row r="1221" spans="48:54" x14ac:dyDescent="0.25">
      <c r="AV1221" t="s">
        <v>822</v>
      </c>
      <c r="AW1221" t="s">
        <v>175</v>
      </c>
      <c r="AX1221" t="s">
        <v>637</v>
      </c>
      <c r="AY1221" t="s">
        <v>3235</v>
      </c>
      <c r="AZ1221" t="s">
        <v>3236</v>
      </c>
      <c r="BA1221" t="s">
        <v>156</v>
      </c>
      <c r="BB1221" t="str">
        <f t="shared" si="19"/>
        <v>IHVNfcAbujaMunicipalAreaCouncil</v>
      </c>
    </row>
    <row r="1222" spans="48:54" x14ac:dyDescent="0.25">
      <c r="AV1222" t="s">
        <v>822</v>
      </c>
      <c r="AW1222" t="s">
        <v>175</v>
      </c>
      <c r="AX1222" t="s">
        <v>637</v>
      </c>
      <c r="AY1222" t="s">
        <v>3237</v>
      </c>
      <c r="AZ1222" t="s">
        <v>3238</v>
      </c>
      <c r="BA1222" t="s">
        <v>156</v>
      </c>
      <c r="BB1222" t="str">
        <f t="shared" si="19"/>
        <v>IHVNfcAbujaMunicipalAreaCouncil</v>
      </c>
    </row>
    <row r="1223" spans="48:54" x14ac:dyDescent="0.25">
      <c r="AV1223" t="s">
        <v>822</v>
      </c>
      <c r="AW1223" t="s">
        <v>175</v>
      </c>
      <c r="AX1223" t="s">
        <v>637</v>
      </c>
      <c r="AY1223" t="s">
        <v>3239</v>
      </c>
      <c r="AZ1223" t="s">
        <v>3240</v>
      </c>
      <c r="BA1223" t="s">
        <v>156</v>
      </c>
      <c r="BB1223" t="str">
        <f t="shared" si="19"/>
        <v>IHVNfcAbujaMunicipalAreaCouncil</v>
      </c>
    </row>
    <row r="1224" spans="48:54" x14ac:dyDescent="0.25">
      <c r="AV1224" t="s">
        <v>822</v>
      </c>
      <c r="AW1224" t="s">
        <v>175</v>
      </c>
      <c r="AX1224" t="s">
        <v>637</v>
      </c>
      <c r="AY1224" t="s">
        <v>3241</v>
      </c>
      <c r="AZ1224" t="s">
        <v>3242</v>
      </c>
      <c r="BA1224" t="s">
        <v>156</v>
      </c>
      <c r="BB1224" t="str">
        <f t="shared" si="19"/>
        <v>IHVNfcAbujaMunicipalAreaCouncil</v>
      </c>
    </row>
    <row r="1225" spans="48:54" x14ac:dyDescent="0.25">
      <c r="AV1225" t="s">
        <v>822</v>
      </c>
      <c r="AW1225" t="s">
        <v>175</v>
      </c>
      <c r="AX1225" t="s">
        <v>637</v>
      </c>
      <c r="AY1225" t="s">
        <v>3243</v>
      </c>
      <c r="AZ1225" t="s">
        <v>3244</v>
      </c>
      <c r="BA1225" t="s">
        <v>156</v>
      </c>
      <c r="BB1225" t="str">
        <f t="shared" si="19"/>
        <v>IHVNfcAbujaMunicipalAreaCouncil</v>
      </c>
    </row>
    <row r="1226" spans="48:54" x14ac:dyDescent="0.25">
      <c r="AV1226" t="s">
        <v>822</v>
      </c>
      <c r="AW1226" t="s">
        <v>175</v>
      </c>
      <c r="AX1226" t="s">
        <v>638</v>
      </c>
      <c r="AY1226" t="s">
        <v>3245</v>
      </c>
      <c r="AZ1226" t="s">
        <v>3246</v>
      </c>
      <c r="BA1226" t="s">
        <v>156</v>
      </c>
      <c r="BB1226" t="str">
        <f t="shared" si="19"/>
        <v>IHVNfcBwari</v>
      </c>
    </row>
    <row r="1227" spans="48:54" x14ac:dyDescent="0.25">
      <c r="AV1227" t="s">
        <v>822</v>
      </c>
      <c r="AW1227" t="s">
        <v>175</v>
      </c>
      <c r="AX1227" t="s">
        <v>638</v>
      </c>
      <c r="AY1227" t="s">
        <v>3247</v>
      </c>
      <c r="AZ1227" t="s">
        <v>3248</v>
      </c>
      <c r="BA1227" t="s">
        <v>156</v>
      </c>
      <c r="BB1227" t="str">
        <f t="shared" si="19"/>
        <v>IHVNfcBwari</v>
      </c>
    </row>
    <row r="1228" spans="48:54" x14ac:dyDescent="0.25">
      <c r="AV1228" t="s">
        <v>822</v>
      </c>
      <c r="AW1228" t="s">
        <v>175</v>
      </c>
      <c r="AX1228" t="s">
        <v>638</v>
      </c>
      <c r="AY1228" t="s">
        <v>3249</v>
      </c>
      <c r="AZ1228" t="s">
        <v>3250</v>
      </c>
      <c r="BA1228" t="s">
        <v>156</v>
      </c>
      <c r="BB1228" t="str">
        <f t="shared" si="19"/>
        <v>IHVNfcBwari</v>
      </c>
    </row>
    <row r="1229" spans="48:54" x14ac:dyDescent="0.25">
      <c r="AV1229" t="s">
        <v>822</v>
      </c>
      <c r="AW1229" t="s">
        <v>175</v>
      </c>
      <c r="AX1229" t="s">
        <v>638</v>
      </c>
      <c r="AY1229" t="s">
        <v>3251</v>
      </c>
      <c r="AZ1229" t="s">
        <v>3252</v>
      </c>
      <c r="BA1229" t="s">
        <v>156</v>
      </c>
      <c r="BB1229" t="str">
        <f t="shared" si="19"/>
        <v>IHVNfcBwari</v>
      </c>
    </row>
    <row r="1230" spans="48:54" x14ac:dyDescent="0.25">
      <c r="AV1230" t="s">
        <v>822</v>
      </c>
      <c r="AW1230" t="s">
        <v>175</v>
      </c>
      <c r="AX1230" t="s">
        <v>638</v>
      </c>
      <c r="AY1230" t="s">
        <v>3253</v>
      </c>
      <c r="AZ1230" t="s">
        <v>3254</v>
      </c>
      <c r="BA1230" t="s">
        <v>156</v>
      </c>
      <c r="BB1230" t="str">
        <f t="shared" si="19"/>
        <v>IHVNfcBwari</v>
      </c>
    </row>
    <row r="1231" spans="48:54" x14ac:dyDescent="0.25">
      <c r="AV1231" t="s">
        <v>822</v>
      </c>
      <c r="AW1231" t="s">
        <v>175</v>
      </c>
      <c r="AX1231" t="s">
        <v>638</v>
      </c>
      <c r="AY1231" t="s">
        <v>3255</v>
      </c>
      <c r="AZ1231" t="s">
        <v>3256</v>
      </c>
      <c r="BA1231" t="s">
        <v>156</v>
      </c>
      <c r="BB1231" t="str">
        <f t="shared" si="19"/>
        <v>IHVNfcBwari</v>
      </c>
    </row>
    <row r="1232" spans="48:54" x14ac:dyDescent="0.25">
      <c r="AV1232" t="s">
        <v>822</v>
      </c>
      <c r="AW1232" t="s">
        <v>175</v>
      </c>
      <c r="AX1232" t="s">
        <v>638</v>
      </c>
      <c r="AY1232" t="s">
        <v>3257</v>
      </c>
      <c r="AZ1232" t="s">
        <v>3258</v>
      </c>
      <c r="BA1232" t="s">
        <v>156</v>
      </c>
      <c r="BB1232" t="str">
        <f t="shared" si="19"/>
        <v>IHVNfcBwari</v>
      </c>
    </row>
    <row r="1233" spans="48:54" x14ac:dyDescent="0.25">
      <c r="AV1233" t="s">
        <v>822</v>
      </c>
      <c r="AW1233" t="s">
        <v>175</v>
      </c>
      <c r="AX1233" t="s">
        <v>638</v>
      </c>
      <c r="AY1233" t="s">
        <v>3259</v>
      </c>
      <c r="AZ1233" t="s">
        <v>3260</v>
      </c>
      <c r="BA1233" t="s">
        <v>156</v>
      </c>
      <c r="BB1233" t="str">
        <f t="shared" si="19"/>
        <v>IHVNfcBwari</v>
      </c>
    </row>
    <row r="1234" spans="48:54" x14ac:dyDescent="0.25">
      <c r="AV1234" t="s">
        <v>822</v>
      </c>
      <c r="AW1234" t="s">
        <v>175</v>
      </c>
      <c r="AX1234" t="s">
        <v>638</v>
      </c>
      <c r="AY1234" t="s">
        <v>3261</v>
      </c>
      <c r="AZ1234" t="s">
        <v>3262</v>
      </c>
      <c r="BA1234" t="s">
        <v>156</v>
      </c>
      <c r="BB1234" t="str">
        <f t="shared" si="19"/>
        <v>IHVNfcBwari</v>
      </c>
    </row>
    <row r="1235" spans="48:54" x14ac:dyDescent="0.25">
      <c r="AV1235" t="s">
        <v>822</v>
      </c>
      <c r="AW1235" t="s">
        <v>175</v>
      </c>
      <c r="AX1235" t="s">
        <v>638</v>
      </c>
      <c r="AY1235" t="s">
        <v>3263</v>
      </c>
      <c r="AZ1235" t="s">
        <v>3264</v>
      </c>
      <c r="BA1235" t="s">
        <v>156</v>
      </c>
      <c r="BB1235" t="str">
        <f t="shared" si="19"/>
        <v>IHVNfcBwari</v>
      </c>
    </row>
    <row r="1236" spans="48:54" x14ac:dyDescent="0.25">
      <c r="AV1236" t="s">
        <v>822</v>
      </c>
      <c r="AW1236" t="s">
        <v>175</v>
      </c>
      <c r="AX1236" t="s">
        <v>638</v>
      </c>
      <c r="AY1236" t="s">
        <v>3265</v>
      </c>
      <c r="AZ1236" t="s">
        <v>3266</v>
      </c>
      <c r="BA1236" t="s">
        <v>156</v>
      </c>
      <c r="BB1236" t="str">
        <f t="shared" si="19"/>
        <v>IHVNfcBwari</v>
      </c>
    </row>
    <row r="1237" spans="48:54" x14ac:dyDescent="0.25">
      <c r="AV1237" t="s">
        <v>822</v>
      </c>
      <c r="AW1237" t="s">
        <v>175</v>
      </c>
      <c r="AX1237" t="s">
        <v>638</v>
      </c>
      <c r="AY1237" t="s">
        <v>3267</v>
      </c>
      <c r="AZ1237" t="s">
        <v>3268</v>
      </c>
      <c r="BA1237" t="s">
        <v>156</v>
      </c>
      <c r="BB1237" t="str">
        <f t="shared" si="19"/>
        <v>IHVNfcBwari</v>
      </c>
    </row>
    <row r="1238" spans="48:54" x14ac:dyDescent="0.25">
      <c r="AV1238" t="s">
        <v>822</v>
      </c>
      <c r="AW1238" t="s">
        <v>175</v>
      </c>
      <c r="AX1238" t="s">
        <v>638</v>
      </c>
      <c r="AY1238" t="s">
        <v>3269</v>
      </c>
      <c r="AZ1238" t="s">
        <v>3270</v>
      </c>
      <c r="BA1238" t="s">
        <v>156</v>
      </c>
      <c r="BB1238" t="str">
        <f t="shared" si="19"/>
        <v>IHVNfcBwari</v>
      </c>
    </row>
    <row r="1239" spans="48:54" x14ac:dyDescent="0.25">
      <c r="AV1239" t="s">
        <v>822</v>
      </c>
      <c r="AW1239" t="s">
        <v>175</v>
      </c>
      <c r="AX1239" t="s">
        <v>638</v>
      </c>
      <c r="AY1239" t="s">
        <v>3271</v>
      </c>
      <c r="AZ1239" t="s">
        <v>3272</v>
      </c>
      <c r="BA1239" t="s">
        <v>156</v>
      </c>
      <c r="BB1239" t="str">
        <f t="shared" si="19"/>
        <v>IHVNfcBwari</v>
      </c>
    </row>
    <row r="1240" spans="48:54" x14ac:dyDescent="0.25">
      <c r="AV1240" t="s">
        <v>822</v>
      </c>
      <c r="AW1240" t="s">
        <v>175</v>
      </c>
      <c r="AX1240" t="s">
        <v>638</v>
      </c>
      <c r="AY1240" t="s">
        <v>3273</v>
      </c>
      <c r="AZ1240" t="s">
        <v>3274</v>
      </c>
      <c r="BA1240" t="s">
        <v>156</v>
      </c>
      <c r="BB1240" t="str">
        <f t="shared" si="19"/>
        <v>IHVNfcBwari</v>
      </c>
    </row>
    <row r="1241" spans="48:54" x14ac:dyDescent="0.25">
      <c r="AV1241" t="s">
        <v>822</v>
      </c>
      <c r="AW1241" t="s">
        <v>175</v>
      </c>
      <c r="AX1241" t="s">
        <v>638</v>
      </c>
      <c r="AY1241" t="s">
        <v>3275</v>
      </c>
      <c r="AZ1241" t="s">
        <v>3276</v>
      </c>
      <c r="BA1241" t="s">
        <v>156</v>
      </c>
      <c r="BB1241" t="str">
        <f t="shared" si="19"/>
        <v>IHVNfcBwari</v>
      </c>
    </row>
    <row r="1242" spans="48:54" x14ac:dyDescent="0.25">
      <c r="AV1242" t="s">
        <v>822</v>
      </c>
      <c r="AW1242" t="s">
        <v>175</v>
      </c>
      <c r="AX1242" t="s">
        <v>638</v>
      </c>
      <c r="AY1242" t="s">
        <v>3277</v>
      </c>
      <c r="AZ1242" t="s">
        <v>3278</v>
      </c>
      <c r="BA1242" t="s">
        <v>156</v>
      </c>
      <c r="BB1242" t="str">
        <f t="shared" si="19"/>
        <v>IHVNfcBwari</v>
      </c>
    </row>
    <row r="1243" spans="48:54" x14ac:dyDescent="0.25">
      <c r="AV1243" t="s">
        <v>822</v>
      </c>
      <c r="AW1243" t="s">
        <v>175</v>
      </c>
      <c r="AX1243" t="s">
        <v>638</v>
      </c>
      <c r="AY1243" t="s">
        <v>3279</v>
      </c>
      <c r="AZ1243" t="s">
        <v>3280</v>
      </c>
      <c r="BA1243" t="s">
        <v>156</v>
      </c>
      <c r="BB1243" t="str">
        <f t="shared" si="19"/>
        <v>IHVNfcBwari</v>
      </c>
    </row>
    <row r="1244" spans="48:54" x14ac:dyDescent="0.25">
      <c r="AV1244" t="s">
        <v>822</v>
      </c>
      <c r="AW1244" t="s">
        <v>175</v>
      </c>
      <c r="AX1244" t="s">
        <v>638</v>
      </c>
      <c r="AY1244" t="s">
        <v>3281</v>
      </c>
      <c r="AZ1244" t="s">
        <v>3282</v>
      </c>
      <c r="BA1244" t="s">
        <v>156</v>
      </c>
      <c r="BB1244" t="str">
        <f t="shared" si="19"/>
        <v>IHVNfcBwari</v>
      </c>
    </row>
    <row r="1245" spans="48:54" x14ac:dyDescent="0.25">
      <c r="AV1245" t="s">
        <v>822</v>
      </c>
      <c r="AW1245" t="s">
        <v>175</v>
      </c>
      <c r="AX1245" t="s">
        <v>638</v>
      </c>
      <c r="AY1245" t="s">
        <v>3283</v>
      </c>
      <c r="AZ1245" t="s">
        <v>3284</v>
      </c>
      <c r="BA1245" t="s">
        <v>156</v>
      </c>
      <c r="BB1245" t="str">
        <f t="shared" si="19"/>
        <v>IHVNfcBwari</v>
      </c>
    </row>
    <row r="1246" spans="48:54" x14ac:dyDescent="0.25">
      <c r="AV1246" t="s">
        <v>822</v>
      </c>
      <c r="AW1246" t="s">
        <v>175</v>
      </c>
      <c r="AX1246" t="s">
        <v>638</v>
      </c>
      <c r="AY1246" t="s">
        <v>3285</v>
      </c>
      <c r="AZ1246" t="s">
        <v>3286</v>
      </c>
      <c r="BA1246" t="s">
        <v>156</v>
      </c>
      <c r="BB1246" t="str">
        <f t="shared" si="19"/>
        <v>IHVNfcBwari</v>
      </c>
    </row>
    <row r="1247" spans="48:54" x14ac:dyDescent="0.25">
      <c r="AV1247" t="s">
        <v>822</v>
      </c>
      <c r="AW1247" t="s">
        <v>175</v>
      </c>
      <c r="AX1247" t="s">
        <v>638</v>
      </c>
      <c r="AY1247" t="s">
        <v>3287</v>
      </c>
      <c r="AZ1247" t="s">
        <v>3288</v>
      </c>
      <c r="BA1247" t="s">
        <v>156</v>
      </c>
      <c r="BB1247" t="str">
        <f t="shared" si="19"/>
        <v>IHVNfcBwari</v>
      </c>
    </row>
    <row r="1248" spans="48:54" x14ac:dyDescent="0.25">
      <c r="AV1248" t="s">
        <v>822</v>
      </c>
      <c r="AW1248" t="s">
        <v>175</v>
      </c>
      <c r="AX1248" t="s">
        <v>638</v>
      </c>
      <c r="AY1248" t="s">
        <v>3289</v>
      </c>
      <c r="AZ1248" t="s">
        <v>3290</v>
      </c>
      <c r="BA1248" t="s">
        <v>156</v>
      </c>
      <c r="BB1248" t="str">
        <f t="shared" si="19"/>
        <v>IHVNfcBwari</v>
      </c>
    </row>
    <row r="1249" spans="48:54" x14ac:dyDescent="0.25">
      <c r="AV1249" t="s">
        <v>822</v>
      </c>
      <c r="AW1249" t="s">
        <v>175</v>
      </c>
      <c r="AX1249" t="s">
        <v>638</v>
      </c>
      <c r="AY1249" t="s">
        <v>3291</v>
      </c>
      <c r="AZ1249" t="s">
        <v>3292</v>
      </c>
      <c r="BA1249" t="s">
        <v>156</v>
      </c>
      <c r="BB1249" t="str">
        <f t="shared" si="19"/>
        <v>IHVNfcBwari</v>
      </c>
    </row>
    <row r="1250" spans="48:54" x14ac:dyDescent="0.25">
      <c r="AV1250" t="s">
        <v>822</v>
      </c>
      <c r="AW1250" t="s">
        <v>175</v>
      </c>
      <c r="AX1250" t="s">
        <v>638</v>
      </c>
      <c r="AY1250" t="s">
        <v>3293</v>
      </c>
      <c r="AZ1250" t="s">
        <v>3294</v>
      </c>
      <c r="BA1250" t="s">
        <v>156</v>
      </c>
      <c r="BB1250" t="str">
        <f t="shared" si="19"/>
        <v>IHVNfcBwari</v>
      </c>
    </row>
    <row r="1251" spans="48:54" x14ac:dyDescent="0.25">
      <c r="AV1251" t="s">
        <v>822</v>
      </c>
      <c r="AW1251" t="s">
        <v>175</v>
      </c>
      <c r="AX1251" t="s">
        <v>638</v>
      </c>
      <c r="AY1251" t="s">
        <v>3295</v>
      </c>
      <c r="AZ1251" t="s">
        <v>3296</v>
      </c>
      <c r="BA1251" t="s">
        <v>156</v>
      </c>
      <c r="BB1251" t="str">
        <f t="shared" si="19"/>
        <v>IHVNfcBwari</v>
      </c>
    </row>
    <row r="1252" spans="48:54" x14ac:dyDescent="0.25">
      <c r="AV1252" t="s">
        <v>822</v>
      </c>
      <c r="AW1252" t="s">
        <v>175</v>
      </c>
      <c r="AX1252" t="s">
        <v>638</v>
      </c>
      <c r="AY1252" t="s">
        <v>3297</v>
      </c>
      <c r="AZ1252" t="s">
        <v>3298</v>
      </c>
      <c r="BA1252" t="s">
        <v>156</v>
      </c>
      <c r="BB1252" t="str">
        <f t="shared" si="19"/>
        <v>IHVNfcBwari</v>
      </c>
    </row>
    <row r="1253" spans="48:54" x14ac:dyDescent="0.25">
      <c r="AV1253" t="s">
        <v>822</v>
      </c>
      <c r="AW1253" t="s">
        <v>175</v>
      </c>
      <c r="AX1253" t="s">
        <v>638</v>
      </c>
      <c r="AY1253" t="s">
        <v>3299</v>
      </c>
      <c r="AZ1253" t="s">
        <v>3300</v>
      </c>
      <c r="BA1253" t="s">
        <v>156</v>
      </c>
      <c r="BB1253" t="str">
        <f t="shared" si="19"/>
        <v>IHVNfcBwari</v>
      </c>
    </row>
    <row r="1254" spans="48:54" x14ac:dyDescent="0.25">
      <c r="AV1254" t="s">
        <v>822</v>
      </c>
      <c r="AW1254" t="s">
        <v>175</v>
      </c>
      <c r="AX1254" t="s">
        <v>638</v>
      </c>
      <c r="AY1254" t="s">
        <v>3301</v>
      </c>
      <c r="AZ1254" t="s">
        <v>3302</v>
      </c>
      <c r="BA1254" t="s">
        <v>156</v>
      </c>
      <c r="BB1254" t="str">
        <f t="shared" si="19"/>
        <v>IHVNfcBwari</v>
      </c>
    </row>
    <row r="1255" spans="48:54" x14ac:dyDescent="0.25">
      <c r="AV1255" t="s">
        <v>822</v>
      </c>
      <c r="AW1255" t="s">
        <v>175</v>
      </c>
      <c r="AX1255" t="s">
        <v>638</v>
      </c>
      <c r="AY1255" t="s">
        <v>3303</v>
      </c>
      <c r="AZ1255" t="s">
        <v>3304</v>
      </c>
      <c r="BA1255" t="s">
        <v>156</v>
      </c>
      <c r="BB1255" t="str">
        <f t="shared" si="19"/>
        <v>IHVNfcBwari</v>
      </c>
    </row>
    <row r="1256" spans="48:54" x14ac:dyDescent="0.25">
      <c r="AV1256" t="s">
        <v>822</v>
      </c>
      <c r="AW1256" t="s">
        <v>175</v>
      </c>
      <c r="AX1256" t="s">
        <v>638</v>
      </c>
      <c r="AY1256" t="s">
        <v>3305</v>
      </c>
      <c r="AZ1256" t="s">
        <v>3306</v>
      </c>
      <c r="BA1256" t="s">
        <v>156</v>
      </c>
      <c r="BB1256" t="str">
        <f t="shared" si="19"/>
        <v>IHVNfcBwari</v>
      </c>
    </row>
    <row r="1257" spans="48:54" x14ac:dyDescent="0.25">
      <c r="AV1257" t="s">
        <v>822</v>
      </c>
      <c r="AW1257" t="s">
        <v>175</v>
      </c>
      <c r="AX1257" t="s">
        <v>638</v>
      </c>
      <c r="AY1257" t="s">
        <v>3307</v>
      </c>
      <c r="AZ1257" t="s">
        <v>3308</v>
      </c>
      <c r="BA1257" t="s">
        <v>156</v>
      </c>
      <c r="BB1257" t="str">
        <f t="shared" si="19"/>
        <v>IHVNfcBwari</v>
      </c>
    </row>
    <row r="1258" spans="48:54" x14ac:dyDescent="0.25">
      <c r="AV1258" t="s">
        <v>822</v>
      </c>
      <c r="AW1258" t="s">
        <v>175</v>
      </c>
      <c r="AX1258" t="s">
        <v>638</v>
      </c>
      <c r="AY1258" t="s">
        <v>3309</v>
      </c>
      <c r="AZ1258" t="s">
        <v>3310</v>
      </c>
      <c r="BA1258" t="s">
        <v>156</v>
      </c>
      <c r="BB1258" t="str">
        <f t="shared" si="19"/>
        <v>IHVNfcBwari</v>
      </c>
    </row>
    <row r="1259" spans="48:54" x14ac:dyDescent="0.25">
      <c r="AV1259" t="s">
        <v>822</v>
      </c>
      <c r="AW1259" t="s">
        <v>175</v>
      </c>
      <c r="AX1259" t="s">
        <v>638</v>
      </c>
      <c r="AY1259" t="s">
        <v>3311</v>
      </c>
      <c r="AZ1259" t="s">
        <v>3312</v>
      </c>
      <c r="BA1259" t="s">
        <v>156</v>
      </c>
      <c r="BB1259" t="str">
        <f t="shared" si="19"/>
        <v>IHVNfcBwari</v>
      </c>
    </row>
    <row r="1260" spans="48:54" x14ac:dyDescent="0.25">
      <c r="AV1260" t="s">
        <v>822</v>
      </c>
      <c r="AW1260" t="s">
        <v>175</v>
      </c>
      <c r="AX1260" t="s">
        <v>638</v>
      </c>
      <c r="AY1260" t="s">
        <v>3313</v>
      </c>
      <c r="AZ1260" t="s">
        <v>3314</v>
      </c>
      <c r="BA1260" t="s">
        <v>156</v>
      </c>
      <c r="BB1260" t="str">
        <f t="shared" si="19"/>
        <v>IHVNfcBwari</v>
      </c>
    </row>
    <row r="1261" spans="48:54" x14ac:dyDescent="0.25">
      <c r="AV1261" t="s">
        <v>822</v>
      </c>
      <c r="AW1261" t="s">
        <v>175</v>
      </c>
      <c r="AX1261" t="s">
        <v>638</v>
      </c>
      <c r="AY1261" t="s">
        <v>3315</v>
      </c>
      <c r="AZ1261" t="s">
        <v>3316</v>
      </c>
      <c r="BA1261" t="s">
        <v>156</v>
      </c>
      <c r="BB1261" t="str">
        <f t="shared" si="19"/>
        <v>IHVNfcBwari</v>
      </c>
    </row>
    <row r="1262" spans="48:54" x14ac:dyDescent="0.25">
      <c r="AV1262" t="s">
        <v>822</v>
      </c>
      <c r="AW1262" t="s">
        <v>175</v>
      </c>
      <c r="AX1262" t="s">
        <v>638</v>
      </c>
      <c r="AY1262" t="s">
        <v>3317</v>
      </c>
      <c r="AZ1262" t="s">
        <v>3318</v>
      </c>
      <c r="BA1262" t="s">
        <v>156</v>
      </c>
      <c r="BB1262" t="str">
        <f t="shared" si="19"/>
        <v>IHVNfcBwari</v>
      </c>
    </row>
    <row r="1263" spans="48:54" x14ac:dyDescent="0.25">
      <c r="AV1263" t="s">
        <v>822</v>
      </c>
      <c r="AW1263" t="s">
        <v>175</v>
      </c>
      <c r="AX1263" t="s">
        <v>638</v>
      </c>
      <c r="AY1263" t="s">
        <v>3319</v>
      </c>
      <c r="AZ1263" t="s">
        <v>3320</v>
      </c>
      <c r="BA1263" t="s">
        <v>156</v>
      </c>
      <c r="BB1263" t="str">
        <f t="shared" si="19"/>
        <v>IHVNfcBwari</v>
      </c>
    </row>
    <row r="1264" spans="48:54" x14ac:dyDescent="0.25">
      <c r="AV1264" t="s">
        <v>822</v>
      </c>
      <c r="AW1264" t="s">
        <v>175</v>
      </c>
      <c r="AX1264" t="s">
        <v>638</v>
      </c>
      <c r="AY1264" t="s">
        <v>3321</v>
      </c>
      <c r="AZ1264" t="s">
        <v>3322</v>
      </c>
      <c r="BA1264" t="s">
        <v>156</v>
      </c>
      <c r="BB1264" t="str">
        <f t="shared" si="19"/>
        <v>IHVNfcBwari</v>
      </c>
    </row>
    <row r="1265" spans="48:54" x14ac:dyDescent="0.25">
      <c r="AV1265" t="s">
        <v>822</v>
      </c>
      <c r="AW1265" t="s">
        <v>175</v>
      </c>
      <c r="AX1265" t="s">
        <v>638</v>
      </c>
      <c r="AY1265" t="s">
        <v>3323</v>
      </c>
      <c r="AZ1265" t="s">
        <v>3324</v>
      </c>
      <c r="BA1265" t="s">
        <v>156</v>
      </c>
      <c r="BB1265" t="str">
        <f t="shared" si="19"/>
        <v>IHVNfcBwari</v>
      </c>
    </row>
    <row r="1266" spans="48:54" x14ac:dyDescent="0.25">
      <c r="AV1266" t="s">
        <v>822</v>
      </c>
      <c r="AW1266" t="s">
        <v>175</v>
      </c>
      <c r="AX1266" t="s">
        <v>638</v>
      </c>
      <c r="AY1266" t="s">
        <v>3325</v>
      </c>
      <c r="AZ1266" t="s">
        <v>3326</v>
      </c>
      <c r="BA1266" t="s">
        <v>156</v>
      </c>
      <c r="BB1266" t="str">
        <f t="shared" si="19"/>
        <v>IHVNfcBwari</v>
      </c>
    </row>
    <row r="1267" spans="48:54" x14ac:dyDescent="0.25">
      <c r="AV1267" t="s">
        <v>822</v>
      </c>
      <c r="AW1267" t="s">
        <v>175</v>
      </c>
      <c r="AX1267" t="s">
        <v>638</v>
      </c>
      <c r="AY1267" t="s">
        <v>3327</v>
      </c>
      <c r="AZ1267" t="s">
        <v>3328</v>
      </c>
      <c r="BA1267" t="s">
        <v>156</v>
      </c>
      <c r="BB1267" t="str">
        <f t="shared" si="19"/>
        <v>IHVNfcBwari</v>
      </c>
    </row>
    <row r="1268" spans="48:54" x14ac:dyDescent="0.25">
      <c r="AV1268" t="s">
        <v>822</v>
      </c>
      <c r="AW1268" t="s">
        <v>175</v>
      </c>
      <c r="AX1268" t="s">
        <v>638</v>
      </c>
      <c r="AY1268" t="s">
        <v>3329</v>
      </c>
      <c r="AZ1268" t="s">
        <v>3330</v>
      </c>
      <c r="BA1268" t="s">
        <v>156</v>
      </c>
      <c r="BB1268" t="str">
        <f t="shared" si="19"/>
        <v>IHVNfcBwari</v>
      </c>
    </row>
    <row r="1269" spans="48:54" x14ac:dyDescent="0.25">
      <c r="AV1269" t="s">
        <v>822</v>
      </c>
      <c r="AW1269" t="s">
        <v>175</v>
      </c>
      <c r="AX1269" t="s">
        <v>638</v>
      </c>
      <c r="AY1269" t="s">
        <v>3331</v>
      </c>
      <c r="AZ1269" t="s">
        <v>3332</v>
      </c>
      <c r="BA1269" t="s">
        <v>156</v>
      </c>
      <c r="BB1269" t="str">
        <f t="shared" si="19"/>
        <v>IHVNfcBwari</v>
      </c>
    </row>
    <row r="1270" spans="48:54" x14ac:dyDescent="0.25">
      <c r="AV1270" t="s">
        <v>822</v>
      </c>
      <c r="AW1270" t="s">
        <v>175</v>
      </c>
      <c r="AX1270" t="s">
        <v>638</v>
      </c>
      <c r="AY1270" t="s">
        <v>3333</v>
      </c>
      <c r="AZ1270" t="s">
        <v>3334</v>
      </c>
      <c r="BA1270" t="s">
        <v>156</v>
      </c>
      <c r="BB1270" t="str">
        <f t="shared" si="19"/>
        <v>IHVNfcBwari</v>
      </c>
    </row>
    <row r="1271" spans="48:54" x14ac:dyDescent="0.25">
      <c r="AV1271" t="s">
        <v>822</v>
      </c>
      <c r="AW1271" t="s">
        <v>175</v>
      </c>
      <c r="AX1271" t="s">
        <v>638</v>
      </c>
      <c r="AY1271" t="s">
        <v>3335</v>
      </c>
      <c r="AZ1271" t="s">
        <v>3336</v>
      </c>
      <c r="BA1271" t="s">
        <v>156</v>
      </c>
      <c r="BB1271" t="str">
        <f t="shared" si="19"/>
        <v>IHVNfcBwari</v>
      </c>
    </row>
    <row r="1272" spans="48:54" x14ac:dyDescent="0.25">
      <c r="AV1272" t="s">
        <v>822</v>
      </c>
      <c r="AW1272" t="s">
        <v>175</v>
      </c>
      <c r="AX1272" t="s">
        <v>640</v>
      </c>
      <c r="AY1272" t="s">
        <v>3337</v>
      </c>
      <c r="AZ1272" t="s">
        <v>3338</v>
      </c>
      <c r="BA1272" t="s">
        <v>156</v>
      </c>
      <c r="BB1272" t="str">
        <f t="shared" si="19"/>
        <v>IHVNfcGwagwalada</v>
      </c>
    </row>
    <row r="1273" spans="48:54" x14ac:dyDescent="0.25">
      <c r="AV1273" t="s">
        <v>822</v>
      </c>
      <c r="AW1273" t="s">
        <v>175</v>
      </c>
      <c r="AX1273" t="s">
        <v>640</v>
      </c>
      <c r="AY1273" t="s">
        <v>3339</v>
      </c>
      <c r="AZ1273" t="s">
        <v>3340</v>
      </c>
      <c r="BA1273" t="s">
        <v>156</v>
      </c>
      <c r="BB1273" t="str">
        <f t="shared" si="19"/>
        <v>IHVNfcGwagwalada</v>
      </c>
    </row>
    <row r="1274" spans="48:54" x14ac:dyDescent="0.25">
      <c r="AV1274" t="s">
        <v>822</v>
      </c>
      <c r="AW1274" t="s">
        <v>175</v>
      </c>
      <c r="AX1274" t="s">
        <v>640</v>
      </c>
      <c r="AY1274" t="s">
        <v>3341</v>
      </c>
      <c r="AZ1274" t="s">
        <v>3342</v>
      </c>
      <c r="BA1274" t="s">
        <v>156</v>
      </c>
      <c r="BB1274" t="str">
        <f t="shared" si="19"/>
        <v>IHVNfcGwagwalada</v>
      </c>
    </row>
    <row r="1275" spans="48:54" x14ac:dyDescent="0.25">
      <c r="AV1275" t="s">
        <v>822</v>
      </c>
      <c r="AW1275" t="s">
        <v>175</v>
      </c>
      <c r="AX1275" t="s">
        <v>640</v>
      </c>
      <c r="AY1275" t="s">
        <v>3343</v>
      </c>
      <c r="AZ1275" t="s">
        <v>3344</v>
      </c>
      <c r="BA1275" t="s">
        <v>156</v>
      </c>
      <c r="BB1275" t="str">
        <f t="shared" si="19"/>
        <v>IHVNfcGwagwalada</v>
      </c>
    </row>
    <row r="1276" spans="48:54" x14ac:dyDescent="0.25">
      <c r="AV1276" t="s">
        <v>822</v>
      </c>
      <c r="AW1276" t="s">
        <v>175</v>
      </c>
      <c r="AX1276" t="s">
        <v>640</v>
      </c>
      <c r="AY1276" t="s">
        <v>3345</v>
      </c>
      <c r="AZ1276" t="s">
        <v>3346</v>
      </c>
      <c r="BA1276" t="s">
        <v>156</v>
      </c>
      <c r="BB1276" t="str">
        <f t="shared" si="19"/>
        <v>IHVNfcGwagwalada</v>
      </c>
    </row>
    <row r="1277" spans="48:54" x14ac:dyDescent="0.25">
      <c r="AV1277" t="s">
        <v>822</v>
      </c>
      <c r="AW1277" t="s">
        <v>175</v>
      </c>
      <c r="AX1277" t="s">
        <v>640</v>
      </c>
      <c r="AY1277" t="s">
        <v>3347</v>
      </c>
      <c r="AZ1277" t="s">
        <v>3348</v>
      </c>
      <c r="BA1277" t="s">
        <v>156</v>
      </c>
      <c r="BB1277" t="str">
        <f t="shared" si="19"/>
        <v>IHVNfcGwagwalada</v>
      </c>
    </row>
    <row r="1278" spans="48:54" x14ac:dyDescent="0.25">
      <c r="AV1278" t="s">
        <v>822</v>
      </c>
      <c r="AW1278" t="s">
        <v>175</v>
      </c>
      <c r="AX1278" t="s">
        <v>641</v>
      </c>
      <c r="AY1278" t="s">
        <v>3349</v>
      </c>
      <c r="AZ1278" t="s">
        <v>3350</v>
      </c>
      <c r="BA1278" t="s">
        <v>156</v>
      </c>
      <c r="BB1278" t="str">
        <f t="shared" si="19"/>
        <v>IHVNfcKuje</v>
      </c>
    </row>
    <row r="1279" spans="48:54" x14ac:dyDescent="0.25">
      <c r="AV1279" t="s">
        <v>822</v>
      </c>
      <c r="AW1279" t="s">
        <v>175</v>
      </c>
      <c r="AX1279" t="s">
        <v>641</v>
      </c>
      <c r="AY1279" t="s">
        <v>3351</v>
      </c>
      <c r="AZ1279" t="s">
        <v>3352</v>
      </c>
      <c r="BA1279" t="s">
        <v>156</v>
      </c>
      <c r="BB1279" t="str">
        <f t="shared" si="19"/>
        <v>IHVNfcKuje</v>
      </c>
    </row>
    <row r="1280" spans="48:54" x14ac:dyDescent="0.25">
      <c r="AV1280" t="s">
        <v>822</v>
      </c>
      <c r="AW1280" t="s">
        <v>179</v>
      </c>
      <c r="AX1280" t="s">
        <v>696</v>
      </c>
      <c r="AY1280" t="s">
        <v>3353</v>
      </c>
      <c r="AZ1280" t="s">
        <v>3354</v>
      </c>
      <c r="BA1280" t="s">
        <v>156</v>
      </c>
      <c r="BB1280" t="str">
        <f t="shared" si="19"/>
        <v>IHVNkdZaria</v>
      </c>
    </row>
    <row r="1281" spans="48:54" x14ac:dyDescent="0.25">
      <c r="AV1281" t="s">
        <v>822</v>
      </c>
      <c r="AW1281" t="s">
        <v>180</v>
      </c>
      <c r="AX1281" t="s">
        <v>703</v>
      </c>
      <c r="AY1281" t="s">
        <v>3355</v>
      </c>
      <c r="AZ1281" t="s">
        <v>3356</v>
      </c>
      <c r="BA1281" t="s">
        <v>156</v>
      </c>
      <c r="BB1281" t="str">
        <f t="shared" si="19"/>
        <v>IHVNknNassarawa</v>
      </c>
    </row>
    <row r="1282" spans="48:54" x14ac:dyDescent="0.25">
      <c r="AV1282" t="s">
        <v>822</v>
      </c>
      <c r="AW1282" t="s">
        <v>180</v>
      </c>
      <c r="AX1282" t="s">
        <v>703</v>
      </c>
      <c r="AY1282" t="s">
        <v>3357</v>
      </c>
      <c r="AZ1282" t="s">
        <v>3358</v>
      </c>
      <c r="BA1282" t="s">
        <v>156</v>
      </c>
      <c r="BB1282" t="str">
        <f t="shared" si="19"/>
        <v>IHVNknNassarawa</v>
      </c>
    </row>
    <row r="1283" spans="48:54" x14ac:dyDescent="0.25">
      <c r="AV1283" t="s">
        <v>822</v>
      </c>
      <c r="AW1283" t="s">
        <v>180</v>
      </c>
      <c r="AX1283" t="s">
        <v>704</v>
      </c>
      <c r="AY1283" t="s">
        <v>3359</v>
      </c>
      <c r="AZ1283" t="s">
        <v>3360</v>
      </c>
      <c r="BA1283" t="s">
        <v>156</v>
      </c>
      <c r="BB1283" t="str">
        <f t="shared" ref="BB1283:BB1346" si="20">SUBSTITUTE(SUBSTITUTE(BA1283&amp;AX1283," ",""),"-","")</f>
        <v>IHVNknTarauni</v>
      </c>
    </row>
    <row r="1284" spans="48:54" x14ac:dyDescent="0.25">
      <c r="AV1284" t="s">
        <v>822</v>
      </c>
      <c r="AW1284" t="s">
        <v>180</v>
      </c>
      <c r="AX1284" t="s">
        <v>705</v>
      </c>
      <c r="AY1284" t="s">
        <v>3361</v>
      </c>
      <c r="AZ1284" t="s">
        <v>3362</v>
      </c>
      <c r="BA1284" t="s">
        <v>156</v>
      </c>
      <c r="BB1284" t="str">
        <f t="shared" si="20"/>
        <v>IHVNknTudunWada</v>
      </c>
    </row>
    <row r="1285" spans="48:54" x14ac:dyDescent="0.25">
      <c r="AV1285" t="s">
        <v>822</v>
      </c>
      <c r="AW1285" t="s">
        <v>180</v>
      </c>
      <c r="AX1285" t="s">
        <v>706</v>
      </c>
      <c r="AY1285" t="s">
        <v>3363</v>
      </c>
      <c r="AZ1285" t="s">
        <v>3364</v>
      </c>
      <c r="BA1285" t="s">
        <v>156</v>
      </c>
      <c r="BB1285" t="str">
        <f t="shared" si="20"/>
        <v>IHVNknUngogo</v>
      </c>
    </row>
    <row r="1286" spans="48:54" x14ac:dyDescent="0.25">
      <c r="AV1286" t="s">
        <v>822</v>
      </c>
      <c r="AW1286" t="s">
        <v>180</v>
      </c>
      <c r="AX1286" t="s">
        <v>706</v>
      </c>
      <c r="AY1286" t="s">
        <v>3365</v>
      </c>
      <c r="AZ1286" t="s">
        <v>3366</v>
      </c>
      <c r="BA1286" t="s">
        <v>156</v>
      </c>
      <c r="BB1286" t="str">
        <f t="shared" si="20"/>
        <v>IHVNknUngogo</v>
      </c>
    </row>
    <row r="1287" spans="48:54" x14ac:dyDescent="0.25">
      <c r="AV1287" t="s">
        <v>822</v>
      </c>
      <c r="AW1287" t="s">
        <v>181</v>
      </c>
      <c r="AX1287" t="s">
        <v>707</v>
      </c>
      <c r="AY1287" t="s">
        <v>3367</v>
      </c>
      <c r="AZ1287" t="s">
        <v>3368</v>
      </c>
      <c r="BA1287" t="s">
        <v>156</v>
      </c>
      <c r="BB1287" t="str">
        <f t="shared" si="20"/>
        <v>IHVNktFuntua</v>
      </c>
    </row>
    <row r="1288" spans="48:54" x14ac:dyDescent="0.25">
      <c r="AV1288" t="s">
        <v>822</v>
      </c>
      <c r="AW1288" t="s">
        <v>181</v>
      </c>
      <c r="AX1288" t="s">
        <v>708</v>
      </c>
      <c r="AY1288" t="s">
        <v>3369</v>
      </c>
      <c r="AZ1288" t="s">
        <v>3370</v>
      </c>
      <c r="BA1288" t="s">
        <v>156</v>
      </c>
      <c r="BB1288" t="str">
        <f t="shared" si="20"/>
        <v>IHVNktKankia</v>
      </c>
    </row>
    <row r="1289" spans="48:54" x14ac:dyDescent="0.25">
      <c r="AV1289" t="s">
        <v>822</v>
      </c>
      <c r="AW1289" t="s">
        <v>181</v>
      </c>
      <c r="AX1289" t="s">
        <v>709</v>
      </c>
      <c r="AY1289" t="s">
        <v>3371</v>
      </c>
      <c r="AZ1289" t="s">
        <v>3372</v>
      </c>
      <c r="BA1289" t="s">
        <v>156</v>
      </c>
      <c r="BB1289" t="str">
        <f t="shared" si="20"/>
        <v>IHVNktKatsina</v>
      </c>
    </row>
    <row r="1290" spans="48:54" x14ac:dyDescent="0.25">
      <c r="AV1290" t="s">
        <v>822</v>
      </c>
      <c r="AW1290" t="s">
        <v>181</v>
      </c>
      <c r="AX1290" t="s">
        <v>709</v>
      </c>
      <c r="AY1290" t="s">
        <v>3373</v>
      </c>
      <c r="AZ1290" t="s">
        <v>3374</v>
      </c>
      <c r="BA1290" t="s">
        <v>156</v>
      </c>
      <c r="BB1290" t="str">
        <f t="shared" si="20"/>
        <v>IHVNktKatsina</v>
      </c>
    </row>
    <row r="1291" spans="48:54" x14ac:dyDescent="0.25">
      <c r="AV1291" t="s">
        <v>822</v>
      </c>
      <c r="AW1291" t="s">
        <v>186</v>
      </c>
      <c r="AX1291" t="s">
        <v>737</v>
      </c>
      <c r="AY1291" t="s">
        <v>3375</v>
      </c>
      <c r="AZ1291" t="s">
        <v>3376</v>
      </c>
      <c r="BA1291" t="s">
        <v>156</v>
      </c>
      <c r="BB1291" t="str">
        <f t="shared" si="20"/>
        <v>IHVNnaDoma</v>
      </c>
    </row>
    <row r="1292" spans="48:54" x14ac:dyDescent="0.25">
      <c r="AV1292" t="s">
        <v>822</v>
      </c>
      <c r="AW1292" t="s">
        <v>186</v>
      </c>
      <c r="AX1292" t="s">
        <v>737</v>
      </c>
      <c r="AY1292" t="s">
        <v>3377</v>
      </c>
      <c r="AZ1292" t="s">
        <v>3378</v>
      </c>
      <c r="BA1292" t="s">
        <v>156</v>
      </c>
      <c r="BB1292" t="str">
        <f t="shared" si="20"/>
        <v>IHVNnaDoma</v>
      </c>
    </row>
    <row r="1293" spans="48:54" x14ac:dyDescent="0.25">
      <c r="AV1293" t="s">
        <v>822</v>
      </c>
      <c r="AW1293" t="s">
        <v>186</v>
      </c>
      <c r="AX1293" t="s">
        <v>737</v>
      </c>
      <c r="AY1293" t="s">
        <v>3379</v>
      </c>
      <c r="AZ1293" t="s">
        <v>3380</v>
      </c>
      <c r="BA1293" t="s">
        <v>156</v>
      </c>
      <c r="BB1293" t="str">
        <f t="shared" si="20"/>
        <v>IHVNnaDoma</v>
      </c>
    </row>
    <row r="1294" spans="48:54" x14ac:dyDescent="0.25">
      <c r="AV1294" t="s">
        <v>822</v>
      </c>
      <c r="AW1294" t="s">
        <v>186</v>
      </c>
      <c r="AX1294" t="s">
        <v>737</v>
      </c>
      <c r="AY1294" t="s">
        <v>3381</v>
      </c>
      <c r="AZ1294" t="s">
        <v>3382</v>
      </c>
      <c r="BA1294" t="s">
        <v>156</v>
      </c>
      <c r="BB1294" t="str">
        <f t="shared" si="20"/>
        <v>IHVNnaDoma</v>
      </c>
    </row>
    <row r="1295" spans="48:54" x14ac:dyDescent="0.25">
      <c r="AV1295" t="s">
        <v>822</v>
      </c>
      <c r="AW1295" t="s">
        <v>186</v>
      </c>
      <c r="AX1295" t="s">
        <v>737</v>
      </c>
      <c r="AY1295" t="s">
        <v>3383</v>
      </c>
      <c r="AZ1295" t="s">
        <v>3384</v>
      </c>
      <c r="BA1295" t="s">
        <v>156</v>
      </c>
      <c r="BB1295" t="str">
        <f t="shared" si="20"/>
        <v>IHVNnaDoma</v>
      </c>
    </row>
    <row r="1296" spans="48:54" x14ac:dyDescent="0.25">
      <c r="AV1296" t="s">
        <v>822</v>
      </c>
      <c r="AW1296" t="s">
        <v>186</v>
      </c>
      <c r="AX1296" t="s">
        <v>737</v>
      </c>
      <c r="AY1296" t="s">
        <v>3385</v>
      </c>
      <c r="AZ1296" t="s">
        <v>3386</v>
      </c>
      <c r="BA1296" t="s">
        <v>156</v>
      </c>
      <c r="BB1296" t="str">
        <f t="shared" si="20"/>
        <v>IHVNnaDoma</v>
      </c>
    </row>
    <row r="1297" spans="48:54" x14ac:dyDescent="0.25">
      <c r="AV1297" t="s">
        <v>822</v>
      </c>
      <c r="AW1297" t="s">
        <v>186</v>
      </c>
      <c r="AX1297" t="s">
        <v>737</v>
      </c>
      <c r="AY1297" t="s">
        <v>3387</v>
      </c>
      <c r="AZ1297" t="s">
        <v>3388</v>
      </c>
      <c r="BA1297" t="s">
        <v>156</v>
      </c>
      <c r="BB1297" t="str">
        <f t="shared" si="20"/>
        <v>IHVNnaDoma</v>
      </c>
    </row>
    <row r="1298" spans="48:54" x14ac:dyDescent="0.25">
      <c r="AV1298" t="s">
        <v>822</v>
      </c>
      <c r="AW1298" t="s">
        <v>186</v>
      </c>
      <c r="AX1298" t="s">
        <v>737</v>
      </c>
      <c r="AY1298" t="s">
        <v>3389</v>
      </c>
      <c r="AZ1298" t="s">
        <v>3390</v>
      </c>
      <c r="BA1298" t="s">
        <v>156</v>
      </c>
      <c r="BB1298" t="str">
        <f t="shared" si="20"/>
        <v>IHVNnaDoma</v>
      </c>
    </row>
    <row r="1299" spans="48:54" x14ac:dyDescent="0.25">
      <c r="AV1299" t="s">
        <v>822</v>
      </c>
      <c r="AW1299" t="s">
        <v>186</v>
      </c>
      <c r="AX1299" t="s">
        <v>737</v>
      </c>
      <c r="AY1299" t="s">
        <v>3391</v>
      </c>
      <c r="AZ1299" t="s">
        <v>3392</v>
      </c>
      <c r="BA1299" t="s">
        <v>156</v>
      </c>
      <c r="BB1299" t="str">
        <f t="shared" si="20"/>
        <v>IHVNnaDoma</v>
      </c>
    </row>
    <row r="1300" spans="48:54" x14ac:dyDescent="0.25">
      <c r="AV1300" t="s">
        <v>822</v>
      </c>
      <c r="AW1300" t="s">
        <v>186</v>
      </c>
      <c r="AX1300" t="s">
        <v>737</v>
      </c>
      <c r="AY1300" t="s">
        <v>3393</v>
      </c>
      <c r="AZ1300" t="s">
        <v>3394</v>
      </c>
      <c r="BA1300" t="s">
        <v>156</v>
      </c>
      <c r="BB1300" t="str">
        <f t="shared" si="20"/>
        <v>IHVNnaDoma</v>
      </c>
    </row>
    <row r="1301" spans="48:54" x14ac:dyDescent="0.25">
      <c r="AV1301" t="s">
        <v>822</v>
      </c>
      <c r="AW1301" t="s">
        <v>186</v>
      </c>
      <c r="AX1301" t="s">
        <v>737</v>
      </c>
      <c r="AY1301" t="s">
        <v>3395</v>
      </c>
      <c r="AZ1301" t="s">
        <v>3396</v>
      </c>
      <c r="BA1301" t="s">
        <v>156</v>
      </c>
      <c r="BB1301" t="str">
        <f t="shared" si="20"/>
        <v>IHVNnaDoma</v>
      </c>
    </row>
    <row r="1302" spans="48:54" x14ac:dyDescent="0.25">
      <c r="AV1302" t="s">
        <v>822</v>
      </c>
      <c r="AW1302" t="s">
        <v>186</v>
      </c>
      <c r="AX1302" t="s">
        <v>737</v>
      </c>
      <c r="AY1302" t="s">
        <v>3397</v>
      </c>
      <c r="AZ1302" t="s">
        <v>3398</v>
      </c>
      <c r="BA1302" t="s">
        <v>156</v>
      </c>
      <c r="BB1302" t="str">
        <f t="shared" si="20"/>
        <v>IHVNnaDoma</v>
      </c>
    </row>
    <row r="1303" spans="48:54" x14ac:dyDescent="0.25">
      <c r="AV1303" t="s">
        <v>822</v>
      </c>
      <c r="AW1303" t="s">
        <v>186</v>
      </c>
      <c r="AX1303" t="s">
        <v>737</v>
      </c>
      <c r="AY1303" t="s">
        <v>3399</v>
      </c>
      <c r="AZ1303" t="s">
        <v>3400</v>
      </c>
      <c r="BA1303" t="s">
        <v>156</v>
      </c>
      <c r="BB1303" t="str">
        <f t="shared" si="20"/>
        <v>IHVNnaDoma</v>
      </c>
    </row>
    <row r="1304" spans="48:54" x14ac:dyDescent="0.25">
      <c r="AV1304" t="s">
        <v>822</v>
      </c>
      <c r="AW1304" t="s">
        <v>186</v>
      </c>
      <c r="AX1304" t="s">
        <v>737</v>
      </c>
      <c r="AY1304" t="s">
        <v>3401</v>
      </c>
      <c r="AZ1304" t="s">
        <v>3402</v>
      </c>
      <c r="BA1304" t="s">
        <v>156</v>
      </c>
      <c r="BB1304" t="str">
        <f t="shared" si="20"/>
        <v>IHVNnaDoma</v>
      </c>
    </row>
    <row r="1305" spans="48:54" x14ac:dyDescent="0.25">
      <c r="AV1305" t="s">
        <v>822</v>
      </c>
      <c r="AW1305" t="s">
        <v>186</v>
      </c>
      <c r="AX1305" t="s">
        <v>737</v>
      </c>
      <c r="AY1305" t="s">
        <v>3403</v>
      </c>
      <c r="AZ1305" t="s">
        <v>3404</v>
      </c>
      <c r="BA1305" t="s">
        <v>156</v>
      </c>
      <c r="BB1305" t="str">
        <f t="shared" si="20"/>
        <v>IHVNnaDoma</v>
      </c>
    </row>
    <row r="1306" spans="48:54" x14ac:dyDescent="0.25">
      <c r="AV1306" t="s">
        <v>822</v>
      </c>
      <c r="AW1306" t="s">
        <v>186</v>
      </c>
      <c r="AX1306" t="s">
        <v>737</v>
      </c>
      <c r="AY1306" t="s">
        <v>3405</v>
      </c>
      <c r="AZ1306" t="s">
        <v>3406</v>
      </c>
      <c r="BA1306" t="s">
        <v>156</v>
      </c>
      <c r="BB1306" t="str">
        <f t="shared" si="20"/>
        <v>IHVNnaDoma</v>
      </c>
    </row>
    <row r="1307" spans="48:54" x14ac:dyDescent="0.25">
      <c r="AV1307" t="s">
        <v>822</v>
      </c>
      <c r="AW1307" t="s">
        <v>186</v>
      </c>
      <c r="AX1307" t="s">
        <v>737</v>
      </c>
      <c r="AY1307" t="s">
        <v>3407</v>
      </c>
      <c r="AZ1307" t="s">
        <v>3408</v>
      </c>
      <c r="BA1307" t="s">
        <v>156</v>
      </c>
      <c r="BB1307" t="str">
        <f t="shared" si="20"/>
        <v>IHVNnaDoma</v>
      </c>
    </row>
    <row r="1308" spans="48:54" x14ac:dyDescent="0.25">
      <c r="AV1308" t="s">
        <v>822</v>
      </c>
      <c r="AW1308" t="s">
        <v>186</v>
      </c>
      <c r="AX1308" t="s">
        <v>737</v>
      </c>
      <c r="AY1308" t="s">
        <v>3409</v>
      </c>
      <c r="AZ1308" t="s">
        <v>3410</v>
      </c>
      <c r="BA1308" t="s">
        <v>156</v>
      </c>
      <c r="BB1308" t="str">
        <f t="shared" si="20"/>
        <v>IHVNnaDoma</v>
      </c>
    </row>
    <row r="1309" spans="48:54" x14ac:dyDescent="0.25">
      <c r="AV1309" t="s">
        <v>822</v>
      </c>
      <c r="AW1309" t="s">
        <v>186</v>
      </c>
      <c r="AX1309" t="s">
        <v>737</v>
      </c>
      <c r="AY1309" t="s">
        <v>3411</v>
      </c>
      <c r="AZ1309" t="s">
        <v>3412</v>
      </c>
      <c r="BA1309" t="s">
        <v>156</v>
      </c>
      <c r="BB1309" t="str">
        <f t="shared" si="20"/>
        <v>IHVNnaDoma</v>
      </c>
    </row>
    <row r="1310" spans="48:54" x14ac:dyDescent="0.25">
      <c r="AV1310" t="s">
        <v>822</v>
      </c>
      <c r="AW1310" t="s">
        <v>186</v>
      </c>
      <c r="AX1310" t="s">
        <v>737</v>
      </c>
      <c r="AY1310" t="s">
        <v>3413</v>
      </c>
      <c r="AZ1310" t="s">
        <v>3414</v>
      </c>
      <c r="BA1310" t="s">
        <v>156</v>
      </c>
      <c r="BB1310" t="str">
        <f t="shared" si="20"/>
        <v>IHVNnaDoma</v>
      </c>
    </row>
    <row r="1311" spans="48:54" x14ac:dyDescent="0.25">
      <c r="AV1311" t="s">
        <v>822</v>
      </c>
      <c r="AW1311" t="s">
        <v>186</v>
      </c>
      <c r="AX1311" t="s">
        <v>741</v>
      </c>
      <c r="AY1311" t="s">
        <v>3415</v>
      </c>
      <c r="AZ1311" t="s">
        <v>3416</v>
      </c>
      <c r="BA1311" t="s">
        <v>156</v>
      </c>
      <c r="BB1311" t="str">
        <f t="shared" si="20"/>
        <v>IHVNnaKaru</v>
      </c>
    </row>
    <row r="1312" spans="48:54" x14ac:dyDescent="0.25">
      <c r="AV1312" t="s">
        <v>822</v>
      </c>
      <c r="AW1312" t="s">
        <v>186</v>
      </c>
      <c r="AX1312" t="s">
        <v>741</v>
      </c>
      <c r="AY1312" t="s">
        <v>3417</v>
      </c>
      <c r="AZ1312" t="s">
        <v>3418</v>
      </c>
      <c r="BA1312" t="s">
        <v>156</v>
      </c>
      <c r="BB1312" t="str">
        <f t="shared" si="20"/>
        <v>IHVNnaKaru</v>
      </c>
    </row>
    <row r="1313" spans="48:54" x14ac:dyDescent="0.25">
      <c r="AV1313" t="s">
        <v>822</v>
      </c>
      <c r="AW1313" t="s">
        <v>186</v>
      </c>
      <c r="AX1313" t="s">
        <v>741</v>
      </c>
      <c r="AY1313" t="s">
        <v>3419</v>
      </c>
      <c r="AZ1313" t="s">
        <v>3420</v>
      </c>
      <c r="BA1313" t="s">
        <v>156</v>
      </c>
      <c r="BB1313" t="str">
        <f t="shared" si="20"/>
        <v>IHVNnaKaru</v>
      </c>
    </row>
    <row r="1314" spans="48:54" x14ac:dyDescent="0.25">
      <c r="AV1314" t="s">
        <v>822</v>
      </c>
      <c r="AW1314" t="s">
        <v>186</v>
      </c>
      <c r="AX1314" t="s">
        <v>741</v>
      </c>
      <c r="AY1314" t="s">
        <v>3421</v>
      </c>
      <c r="AZ1314" t="s">
        <v>3422</v>
      </c>
      <c r="BA1314" t="s">
        <v>156</v>
      </c>
      <c r="BB1314" t="str">
        <f t="shared" si="20"/>
        <v>IHVNnaKaru</v>
      </c>
    </row>
    <row r="1315" spans="48:54" x14ac:dyDescent="0.25">
      <c r="AV1315" t="s">
        <v>822</v>
      </c>
      <c r="AW1315" t="s">
        <v>186</v>
      </c>
      <c r="AX1315" t="s">
        <v>741</v>
      </c>
      <c r="AY1315" t="s">
        <v>3423</v>
      </c>
      <c r="AZ1315" t="s">
        <v>3424</v>
      </c>
      <c r="BA1315" t="s">
        <v>156</v>
      </c>
      <c r="BB1315" t="str">
        <f t="shared" si="20"/>
        <v>IHVNnaKaru</v>
      </c>
    </row>
    <row r="1316" spans="48:54" x14ac:dyDescent="0.25">
      <c r="AV1316" t="s">
        <v>822</v>
      </c>
      <c r="AW1316" t="s">
        <v>186</v>
      </c>
      <c r="AX1316" t="s">
        <v>741</v>
      </c>
      <c r="AY1316" t="s">
        <v>3425</v>
      </c>
      <c r="AZ1316" t="s">
        <v>3426</v>
      </c>
      <c r="BA1316" t="s">
        <v>156</v>
      </c>
      <c r="BB1316" t="str">
        <f t="shared" si="20"/>
        <v>IHVNnaKaru</v>
      </c>
    </row>
    <row r="1317" spans="48:54" x14ac:dyDescent="0.25">
      <c r="AV1317" t="s">
        <v>822</v>
      </c>
      <c r="AW1317" t="s">
        <v>186</v>
      </c>
      <c r="AX1317" t="s">
        <v>741</v>
      </c>
      <c r="AY1317" t="s">
        <v>3427</v>
      </c>
      <c r="AZ1317" t="s">
        <v>3428</v>
      </c>
      <c r="BA1317" t="s">
        <v>156</v>
      </c>
      <c r="BB1317" t="str">
        <f t="shared" si="20"/>
        <v>IHVNnaKaru</v>
      </c>
    </row>
    <row r="1318" spans="48:54" x14ac:dyDescent="0.25">
      <c r="AV1318" t="s">
        <v>822</v>
      </c>
      <c r="AW1318" t="s">
        <v>186</v>
      </c>
      <c r="AX1318" t="s">
        <v>741</v>
      </c>
      <c r="AY1318" t="s">
        <v>3429</v>
      </c>
      <c r="AZ1318" t="s">
        <v>3430</v>
      </c>
      <c r="BA1318" t="s">
        <v>156</v>
      </c>
      <c r="BB1318" t="str">
        <f t="shared" si="20"/>
        <v>IHVNnaKaru</v>
      </c>
    </row>
    <row r="1319" spans="48:54" x14ac:dyDescent="0.25">
      <c r="AV1319" t="s">
        <v>822</v>
      </c>
      <c r="AW1319" t="s">
        <v>186</v>
      </c>
      <c r="AX1319" t="s">
        <v>741</v>
      </c>
      <c r="AY1319" t="s">
        <v>3431</v>
      </c>
      <c r="AZ1319" t="s">
        <v>3432</v>
      </c>
      <c r="BA1319" t="s">
        <v>156</v>
      </c>
      <c r="BB1319" t="str">
        <f t="shared" si="20"/>
        <v>IHVNnaKaru</v>
      </c>
    </row>
    <row r="1320" spans="48:54" x14ac:dyDescent="0.25">
      <c r="AV1320" t="s">
        <v>822</v>
      </c>
      <c r="AW1320" t="s">
        <v>186</v>
      </c>
      <c r="AX1320" t="s">
        <v>741</v>
      </c>
      <c r="AY1320" t="s">
        <v>3433</v>
      </c>
      <c r="AZ1320" t="s">
        <v>3434</v>
      </c>
      <c r="BA1320" t="s">
        <v>156</v>
      </c>
      <c r="BB1320" t="str">
        <f t="shared" si="20"/>
        <v>IHVNnaKaru</v>
      </c>
    </row>
    <row r="1321" spans="48:54" x14ac:dyDescent="0.25">
      <c r="AV1321" t="s">
        <v>822</v>
      </c>
      <c r="AW1321" t="s">
        <v>186</v>
      </c>
      <c r="AX1321" t="s">
        <v>741</v>
      </c>
      <c r="AY1321" t="s">
        <v>3435</v>
      </c>
      <c r="AZ1321" t="s">
        <v>3436</v>
      </c>
      <c r="BA1321" t="s">
        <v>156</v>
      </c>
      <c r="BB1321" t="str">
        <f t="shared" si="20"/>
        <v>IHVNnaKaru</v>
      </c>
    </row>
    <row r="1322" spans="48:54" x14ac:dyDescent="0.25">
      <c r="AV1322" t="s">
        <v>822</v>
      </c>
      <c r="AW1322" t="s">
        <v>186</v>
      </c>
      <c r="AX1322" t="s">
        <v>741</v>
      </c>
      <c r="AY1322" t="s">
        <v>3437</v>
      </c>
      <c r="AZ1322" t="s">
        <v>3438</v>
      </c>
      <c r="BA1322" t="s">
        <v>156</v>
      </c>
      <c r="BB1322" t="str">
        <f t="shared" si="20"/>
        <v>IHVNnaKaru</v>
      </c>
    </row>
    <row r="1323" spans="48:54" x14ac:dyDescent="0.25">
      <c r="AV1323" t="s">
        <v>822</v>
      </c>
      <c r="AW1323" t="s">
        <v>186</v>
      </c>
      <c r="AX1323" t="s">
        <v>741</v>
      </c>
      <c r="AY1323" t="s">
        <v>3439</v>
      </c>
      <c r="AZ1323" t="s">
        <v>3440</v>
      </c>
      <c r="BA1323" t="s">
        <v>156</v>
      </c>
      <c r="BB1323" t="str">
        <f t="shared" si="20"/>
        <v>IHVNnaKaru</v>
      </c>
    </row>
    <row r="1324" spans="48:54" x14ac:dyDescent="0.25">
      <c r="AV1324" t="s">
        <v>822</v>
      </c>
      <c r="AW1324" t="s">
        <v>186</v>
      </c>
      <c r="AX1324" t="s">
        <v>741</v>
      </c>
      <c r="AY1324" t="s">
        <v>3441</v>
      </c>
      <c r="AZ1324" t="s">
        <v>3442</v>
      </c>
      <c r="BA1324" t="s">
        <v>156</v>
      </c>
      <c r="BB1324" t="str">
        <f t="shared" si="20"/>
        <v>IHVNnaKaru</v>
      </c>
    </row>
    <row r="1325" spans="48:54" x14ac:dyDescent="0.25">
      <c r="AV1325" t="s">
        <v>822</v>
      </c>
      <c r="AW1325" t="s">
        <v>186</v>
      </c>
      <c r="AX1325" t="s">
        <v>741</v>
      </c>
      <c r="AY1325" t="s">
        <v>3443</v>
      </c>
      <c r="AZ1325" t="s">
        <v>3444</v>
      </c>
      <c r="BA1325" t="s">
        <v>156</v>
      </c>
      <c r="BB1325" t="str">
        <f t="shared" si="20"/>
        <v>IHVNnaKaru</v>
      </c>
    </row>
    <row r="1326" spans="48:54" x14ac:dyDescent="0.25">
      <c r="AV1326" t="s">
        <v>822</v>
      </c>
      <c r="AW1326" t="s">
        <v>186</v>
      </c>
      <c r="AX1326" t="s">
        <v>741</v>
      </c>
      <c r="AY1326" t="s">
        <v>3445</v>
      </c>
      <c r="AZ1326" t="s">
        <v>3446</v>
      </c>
      <c r="BA1326" t="s">
        <v>156</v>
      </c>
      <c r="BB1326" t="str">
        <f t="shared" si="20"/>
        <v>IHVNnaKaru</v>
      </c>
    </row>
    <row r="1327" spans="48:54" x14ac:dyDescent="0.25">
      <c r="AV1327" t="s">
        <v>822</v>
      </c>
      <c r="AW1327" t="s">
        <v>186</v>
      </c>
      <c r="AX1327" t="s">
        <v>741</v>
      </c>
      <c r="AY1327" t="s">
        <v>3447</v>
      </c>
      <c r="AZ1327" t="s">
        <v>3448</v>
      </c>
      <c r="BA1327" t="s">
        <v>156</v>
      </c>
      <c r="BB1327" t="str">
        <f t="shared" si="20"/>
        <v>IHVNnaKaru</v>
      </c>
    </row>
    <row r="1328" spans="48:54" x14ac:dyDescent="0.25">
      <c r="AV1328" t="s">
        <v>822</v>
      </c>
      <c r="AW1328" t="s">
        <v>186</v>
      </c>
      <c r="AX1328" t="s">
        <v>741</v>
      </c>
      <c r="AY1328" t="s">
        <v>3449</v>
      </c>
      <c r="AZ1328" t="s">
        <v>3450</v>
      </c>
      <c r="BA1328" t="s">
        <v>156</v>
      </c>
      <c r="BB1328" t="str">
        <f t="shared" si="20"/>
        <v>IHVNnaKaru</v>
      </c>
    </row>
    <row r="1329" spans="48:54" x14ac:dyDescent="0.25">
      <c r="AV1329" t="s">
        <v>822</v>
      </c>
      <c r="AW1329" t="s">
        <v>186</v>
      </c>
      <c r="AX1329" t="s">
        <v>741</v>
      </c>
      <c r="AY1329" t="s">
        <v>3451</v>
      </c>
      <c r="AZ1329" t="s">
        <v>3452</v>
      </c>
      <c r="BA1329" t="s">
        <v>156</v>
      </c>
      <c r="BB1329" t="str">
        <f t="shared" si="20"/>
        <v>IHVNnaKaru</v>
      </c>
    </row>
    <row r="1330" spans="48:54" x14ac:dyDescent="0.25">
      <c r="AV1330" t="s">
        <v>822</v>
      </c>
      <c r="AW1330" t="s">
        <v>186</v>
      </c>
      <c r="AX1330" t="s">
        <v>741</v>
      </c>
      <c r="AY1330" t="s">
        <v>3453</v>
      </c>
      <c r="AZ1330" t="s">
        <v>3454</v>
      </c>
      <c r="BA1330" t="s">
        <v>156</v>
      </c>
      <c r="BB1330" t="str">
        <f t="shared" si="20"/>
        <v>IHVNnaKaru</v>
      </c>
    </row>
    <row r="1331" spans="48:54" x14ac:dyDescent="0.25">
      <c r="AV1331" t="s">
        <v>822</v>
      </c>
      <c r="AW1331" t="s">
        <v>186</v>
      </c>
      <c r="AX1331" t="s">
        <v>741</v>
      </c>
      <c r="AY1331" t="s">
        <v>3455</v>
      </c>
      <c r="AZ1331" t="s">
        <v>3456</v>
      </c>
      <c r="BA1331" t="s">
        <v>156</v>
      </c>
      <c r="BB1331" t="str">
        <f t="shared" si="20"/>
        <v>IHVNnaKaru</v>
      </c>
    </row>
    <row r="1332" spans="48:54" x14ac:dyDescent="0.25">
      <c r="AV1332" t="s">
        <v>822</v>
      </c>
      <c r="AW1332" t="s">
        <v>186</v>
      </c>
      <c r="AX1332" t="s">
        <v>741</v>
      </c>
      <c r="AY1332" t="s">
        <v>3457</v>
      </c>
      <c r="AZ1332" t="s">
        <v>3458</v>
      </c>
      <c r="BA1332" t="s">
        <v>156</v>
      </c>
      <c r="BB1332" t="str">
        <f t="shared" si="20"/>
        <v>IHVNnaKaru</v>
      </c>
    </row>
    <row r="1333" spans="48:54" x14ac:dyDescent="0.25">
      <c r="AV1333" t="s">
        <v>822</v>
      </c>
      <c r="AW1333" t="s">
        <v>186</v>
      </c>
      <c r="AX1333" t="s">
        <v>741</v>
      </c>
      <c r="AY1333" t="s">
        <v>3153</v>
      </c>
      <c r="AZ1333" t="s">
        <v>3459</v>
      </c>
      <c r="BA1333" t="s">
        <v>156</v>
      </c>
      <c r="BB1333" t="str">
        <f t="shared" si="20"/>
        <v>IHVNnaKaru</v>
      </c>
    </row>
    <row r="1334" spans="48:54" x14ac:dyDescent="0.25">
      <c r="AV1334" t="s">
        <v>822</v>
      </c>
      <c r="AW1334" t="s">
        <v>186</v>
      </c>
      <c r="AX1334" t="s">
        <v>741</v>
      </c>
      <c r="AY1334" t="s">
        <v>3155</v>
      </c>
      <c r="AZ1334" t="s">
        <v>3460</v>
      </c>
      <c r="BA1334" t="s">
        <v>156</v>
      </c>
      <c r="BB1334" t="str">
        <f t="shared" si="20"/>
        <v>IHVNnaKaru</v>
      </c>
    </row>
    <row r="1335" spans="48:54" x14ac:dyDescent="0.25">
      <c r="AV1335" t="s">
        <v>822</v>
      </c>
      <c r="AW1335" t="s">
        <v>186</v>
      </c>
      <c r="AX1335" t="s">
        <v>741</v>
      </c>
      <c r="AY1335" t="s">
        <v>3461</v>
      </c>
      <c r="AZ1335" t="s">
        <v>3462</v>
      </c>
      <c r="BA1335" t="s">
        <v>156</v>
      </c>
      <c r="BB1335" t="str">
        <f t="shared" si="20"/>
        <v>IHVNnaKaru</v>
      </c>
    </row>
    <row r="1336" spans="48:54" x14ac:dyDescent="0.25">
      <c r="AV1336" t="s">
        <v>822</v>
      </c>
      <c r="AW1336" t="s">
        <v>186</v>
      </c>
      <c r="AX1336" t="s">
        <v>741</v>
      </c>
      <c r="AY1336" t="s">
        <v>3463</v>
      </c>
      <c r="AZ1336" t="s">
        <v>3464</v>
      </c>
      <c r="BA1336" t="s">
        <v>156</v>
      </c>
      <c r="BB1336" t="str">
        <f t="shared" si="20"/>
        <v>IHVNnaKaru</v>
      </c>
    </row>
    <row r="1337" spans="48:54" x14ac:dyDescent="0.25">
      <c r="AV1337" t="s">
        <v>822</v>
      </c>
      <c r="AW1337" t="s">
        <v>186</v>
      </c>
      <c r="AX1337" t="s">
        <v>741</v>
      </c>
      <c r="AY1337" t="s">
        <v>3465</v>
      </c>
      <c r="AZ1337" t="s">
        <v>3466</v>
      </c>
      <c r="BA1337" t="s">
        <v>156</v>
      </c>
      <c r="BB1337" t="str">
        <f t="shared" si="20"/>
        <v>IHVNnaKaru</v>
      </c>
    </row>
    <row r="1338" spans="48:54" x14ac:dyDescent="0.25">
      <c r="AV1338" t="s">
        <v>822</v>
      </c>
      <c r="AW1338" t="s">
        <v>186</v>
      </c>
      <c r="AX1338" t="s">
        <v>741</v>
      </c>
      <c r="AY1338" t="s">
        <v>3467</v>
      </c>
      <c r="AZ1338" t="s">
        <v>3468</v>
      </c>
      <c r="BA1338" t="s">
        <v>156</v>
      </c>
      <c r="BB1338" t="str">
        <f t="shared" si="20"/>
        <v>IHVNnaKaru</v>
      </c>
    </row>
    <row r="1339" spans="48:54" x14ac:dyDescent="0.25">
      <c r="AV1339" t="s">
        <v>822</v>
      </c>
      <c r="AW1339" t="s">
        <v>186</v>
      </c>
      <c r="AX1339" t="s">
        <v>741</v>
      </c>
      <c r="AY1339" t="s">
        <v>3469</v>
      </c>
      <c r="AZ1339" t="s">
        <v>3470</v>
      </c>
      <c r="BA1339" t="s">
        <v>156</v>
      </c>
      <c r="BB1339" t="str">
        <f t="shared" si="20"/>
        <v>IHVNnaKaru</v>
      </c>
    </row>
    <row r="1340" spans="48:54" x14ac:dyDescent="0.25">
      <c r="AV1340" t="s">
        <v>822</v>
      </c>
      <c r="AW1340" t="s">
        <v>186</v>
      </c>
      <c r="AX1340" t="s">
        <v>741</v>
      </c>
      <c r="AY1340" t="s">
        <v>3471</v>
      </c>
      <c r="AZ1340" t="s">
        <v>3472</v>
      </c>
      <c r="BA1340" t="s">
        <v>156</v>
      </c>
      <c r="BB1340" t="str">
        <f t="shared" si="20"/>
        <v>IHVNnaKaru</v>
      </c>
    </row>
    <row r="1341" spans="48:54" x14ac:dyDescent="0.25">
      <c r="AV1341" t="s">
        <v>822</v>
      </c>
      <c r="AW1341" t="s">
        <v>186</v>
      </c>
      <c r="AX1341" t="s">
        <v>741</v>
      </c>
      <c r="AY1341" t="s">
        <v>3473</v>
      </c>
      <c r="AZ1341" t="s">
        <v>3474</v>
      </c>
      <c r="BA1341" t="s">
        <v>156</v>
      </c>
      <c r="BB1341" t="str">
        <f t="shared" si="20"/>
        <v>IHVNnaKaru</v>
      </c>
    </row>
    <row r="1342" spans="48:54" x14ac:dyDescent="0.25">
      <c r="AV1342" t="s">
        <v>822</v>
      </c>
      <c r="AW1342" t="s">
        <v>186</v>
      </c>
      <c r="AX1342" t="s">
        <v>741</v>
      </c>
      <c r="AY1342" t="s">
        <v>3475</v>
      </c>
      <c r="AZ1342" t="s">
        <v>3476</v>
      </c>
      <c r="BA1342" t="s">
        <v>156</v>
      </c>
      <c r="BB1342" t="str">
        <f t="shared" si="20"/>
        <v>IHVNnaKaru</v>
      </c>
    </row>
    <row r="1343" spans="48:54" x14ac:dyDescent="0.25">
      <c r="AV1343" t="s">
        <v>822</v>
      </c>
      <c r="AW1343" t="s">
        <v>186</v>
      </c>
      <c r="AX1343" t="s">
        <v>741</v>
      </c>
      <c r="AY1343" t="s">
        <v>3477</v>
      </c>
      <c r="AZ1343" t="s">
        <v>3478</v>
      </c>
      <c r="BA1343" t="s">
        <v>156</v>
      </c>
      <c r="BB1343" t="str">
        <f t="shared" si="20"/>
        <v>IHVNnaKaru</v>
      </c>
    </row>
    <row r="1344" spans="48:54" x14ac:dyDescent="0.25">
      <c r="AV1344" t="s">
        <v>822</v>
      </c>
      <c r="AW1344" t="s">
        <v>186</v>
      </c>
      <c r="AX1344" t="s">
        <v>741</v>
      </c>
      <c r="AY1344" t="s">
        <v>3479</v>
      </c>
      <c r="AZ1344" t="s">
        <v>3480</v>
      </c>
      <c r="BA1344" t="s">
        <v>156</v>
      </c>
      <c r="BB1344" t="str">
        <f t="shared" si="20"/>
        <v>IHVNnaKaru</v>
      </c>
    </row>
    <row r="1345" spans="48:54" x14ac:dyDescent="0.25">
      <c r="AV1345" t="s">
        <v>822</v>
      </c>
      <c r="AW1345" t="s">
        <v>186</v>
      </c>
      <c r="AX1345" t="s">
        <v>741</v>
      </c>
      <c r="AY1345" t="s">
        <v>3481</v>
      </c>
      <c r="AZ1345" t="s">
        <v>3482</v>
      </c>
      <c r="BA1345" t="s">
        <v>156</v>
      </c>
      <c r="BB1345" t="str">
        <f t="shared" si="20"/>
        <v>IHVNnaKaru</v>
      </c>
    </row>
    <row r="1346" spans="48:54" x14ac:dyDescent="0.25">
      <c r="AV1346" t="s">
        <v>822</v>
      </c>
      <c r="AW1346" t="s">
        <v>186</v>
      </c>
      <c r="AX1346" t="s">
        <v>741</v>
      </c>
      <c r="AY1346" t="s">
        <v>3483</v>
      </c>
      <c r="AZ1346" t="s">
        <v>3484</v>
      </c>
      <c r="BA1346" t="s">
        <v>156</v>
      </c>
      <c r="BB1346" t="str">
        <f t="shared" si="20"/>
        <v>IHVNnaKaru</v>
      </c>
    </row>
    <row r="1347" spans="48:54" x14ac:dyDescent="0.25">
      <c r="AV1347" t="s">
        <v>822</v>
      </c>
      <c r="AW1347" t="s">
        <v>186</v>
      </c>
      <c r="AX1347" t="s">
        <v>741</v>
      </c>
      <c r="AY1347" t="s">
        <v>3485</v>
      </c>
      <c r="AZ1347" t="s">
        <v>3486</v>
      </c>
      <c r="BA1347" t="s">
        <v>156</v>
      </c>
      <c r="BB1347" t="str">
        <f t="shared" ref="BB1347:BB1410" si="21">SUBSTITUTE(SUBSTITUTE(BA1347&amp;AX1347," ",""),"-","")</f>
        <v>IHVNnaKaru</v>
      </c>
    </row>
    <row r="1348" spans="48:54" x14ac:dyDescent="0.25">
      <c r="AV1348" t="s">
        <v>822</v>
      </c>
      <c r="AW1348" t="s">
        <v>186</v>
      </c>
      <c r="AX1348" t="s">
        <v>741</v>
      </c>
      <c r="AY1348" t="s">
        <v>3487</v>
      </c>
      <c r="AZ1348" t="s">
        <v>3488</v>
      </c>
      <c r="BA1348" t="s">
        <v>156</v>
      </c>
      <c r="BB1348" t="str">
        <f t="shared" si="21"/>
        <v>IHVNnaKaru</v>
      </c>
    </row>
    <row r="1349" spans="48:54" x14ac:dyDescent="0.25">
      <c r="AV1349" t="s">
        <v>822</v>
      </c>
      <c r="AW1349" t="s">
        <v>186</v>
      </c>
      <c r="AX1349" t="s">
        <v>741</v>
      </c>
      <c r="AY1349" t="s">
        <v>3489</v>
      </c>
      <c r="AZ1349" t="s">
        <v>3490</v>
      </c>
      <c r="BA1349" t="s">
        <v>156</v>
      </c>
      <c r="BB1349" t="str">
        <f t="shared" si="21"/>
        <v>IHVNnaKaru</v>
      </c>
    </row>
    <row r="1350" spans="48:54" x14ac:dyDescent="0.25">
      <c r="AV1350" t="s">
        <v>822</v>
      </c>
      <c r="AW1350" t="s">
        <v>186</v>
      </c>
      <c r="AX1350" t="s">
        <v>741</v>
      </c>
      <c r="AY1350" t="s">
        <v>3491</v>
      </c>
      <c r="AZ1350" t="s">
        <v>3492</v>
      </c>
      <c r="BA1350" t="s">
        <v>156</v>
      </c>
      <c r="BB1350" t="str">
        <f t="shared" si="21"/>
        <v>IHVNnaKaru</v>
      </c>
    </row>
    <row r="1351" spans="48:54" x14ac:dyDescent="0.25">
      <c r="AV1351" t="s">
        <v>822</v>
      </c>
      <c r="AW1351" t="s">
        <v>186</v>
      </c>
      <c r="AX1351" t="s">
        <v>741</v>
      </c>
      <c r="AY1351" t="s">
        <v>3493</v>
      </c>
      <c r="AZ1351" t="s">
        <v>3494</v>
      </c>
      <c r="BA1351" t="s">
        <v>156</v>
      </c>
      <c r="BB1351" t="str">
        <f t="shared" si="21"/>
        <v>IHVNnaKaru</v>
      </c>
    </row>
    <row r="1352" spans="48:54" x14ac:dyDescent="0.25">
      <c r="AV1352" t="s">
        <v>822</v>
      </c>
      <c r="AW1352" t="s">
        <v>186</v>
      </c>
      <c r="AX1352" t="s">
        <v>741</v>
      </c>
      <c r="AY1352" t="s">
        <v>3495</v>
      </c>
      <c r="AZ1352" t="s">
        <v>3496</v>
      </c>
      <c r="BA1352" t="s">
        <v>156</v>
      </c>
      <c r="BB1352" t="str">
        <f t="shared" si="21"/>
        <v>IHVNnaKaru</v>
      </c>
    </row>
    <row r="1353" spans="48:54" x14ac:dyDescent="0.25">
      <c r="AV1353" t="s">
        <v>822</v>
      </c>
      <c r="AW1353" t="s">
        <v>186</v>
      </c>
      <c r="AX1353" t="s">
        <v>741</v>
      </c>
      <c r="AY1353" t="s">
        <v>3497</v>
      </c>
      <c r="AZ1353" t="s">
        <v>3498</v>
      </c>
      <c r="BA1353" t="s">
        <v>156</v>
      </c>
      <c r="BB1353" t="str">
        <f t="shared" si="21"/>
        <v>IHVNnaKaru</v>
      </c>
    </row>
    <row r="1354" spans="48:54" x14ac:dyDescent="0.25">
      <c r="AV1354" t="s">
        <v>822</v>
      </c>
      <c r="AW1354" t="s">
        <v>186</v>
      </c>
      <c r="AX1354" t="s">
        <v>741</v>
      </c>
      <c r="AY1354" t="s">
        <v>2916</v>
      </c>
      <c r="AZ1354" t="s">
        <v>3499</v>
      </c>
      <c r="BA1354" t="s">
        <v>156</v>
      </c>
      <c r="BB1354" t="str">
        <f t="shared" si="21"/>
        <v>IHVNnaKaru</v>
      </c>
    </row>
    <row r="1355" spans="48:54" x14ac:dyDescent="0.25">
      <c r="AV1355" t="s">
        <v>822</v>
      </c>
      <c r="AW1355" t="s">
        <v>186</v>
      </c>
      <c r="AX1355" t="s">
        <v>741</v>
      </c>
      <c r="AY1355" t="s">
        <v>3500</v>
      </c>
      <c r="AZ1355" t="s">
        <v>3501</v>
      </c>
      <c r="BA1355" t="s">
        <v>156</v>
      </c>
      <c r="BB1355" t="str">
        <f t="shared" si="21"/>
        <v>IHVNnaKaru</v>
      </c>
    </row>
    <row r="1356" spans="48:54" x14ac:dyDescent="0.25">
      <c r="AV1356" t="s">
        <v>822</v>
      </c>
      <c r="AW1356" t="s">
        <v>186</v>
      </c>
      <c r="AX1356" t="s">
        <v>741</v>
      </c>
      <c r="AY1356" t="s">
        <v>3502</v>
      </c>
      <c r="AZ1356" t="s">
        <v>3503</v>
      </c>
      <c r="BA1356" t="s">
        <v>156</v>
      </c>
      <c r="BB1356" t="str">
        <f t="shared" si="21"/>
        <v>IHVNnaKaru</v>
      </c>
    </row>
    <row r="1357" spans="48:54" x14ac:dyDescent="0.25">
      <c r="AV1357" t="s">
        <v>822</v>
      </c>
      <c r="AW1357" t="s">
        <v>186</v>
      </c>
      <c r="AX1357" t="s">
        <v>742</v>
      </c>
      <c r="AY1357" t="s">
        <v>3504</v>
      </c>
      <c r="AZ1357" t="s">
        <v>3505</v>
      </c>
      <c r="BA1357" t="s">
        <v>156</v>
      </c>
      <c r="BB1357" t="str">
        <f t="shared" si="21"/>
        <v>IHVNnaKeana</v>
      </c>
    </row>
    <row r="1358" spans="48:54" x14ac:dyDescent="0.25">
      <c r="AV1358" t="s">
        <v>822</v>
      </c>
      <c r="AW1358" t="s">
        <v>186</v>
      </c>
      <c r="AX1358" t="s">
        <v>738</v>
      </c>
      <c r="AY1358" t="s">
        <v>3506</v>
      </c>
      <c r="AZ1358" t="s">
        <v>3507</v>
      </c>
      <c r="BA1358" t="s">
        <v>156</v>
      </c>
      <c r="BB1358" t="str">
        <f t="shared" si="21"/>
        <v>IHVNnaKeffi</v>
      </c>
    </row>
    <row r="1359" spans="48:54" x14ac:dyDescent="0.25">
      <c r="AV1359" t="s">
        <v>822</v>
      </c>
      <c r="AW1359" t="s">
        <v>186</v>
      </c>
      <c r="AX1359" t="s">
        <v>738</v>
      </c>
      <c r="AY1359" t="s">
        <v>3508</v>
      </c>
      <c r="AZ1359" t="s">
        <v>3509</v>
      </c>
      <c r="BA1359" t="s">
        <v>156</v>
      </c>
      <c r="BB1359" t="str">
        <f t="shared" si="21"/>
        <v>IHVNnaKeffi</v>
      </c>
    </row>
    <row r="1360" spans="48:54" x14ac:dyDescent="0.25">
      <c r="AV1360" t="s">
        <v>822</v>
      </c>
      <c r="AW1360" t="s">
        <v>186</v>
      </c>
      <c r="AX1360" t="s">
        <v>738</v>
      </c>
      <c r="AY1360" t="s">
        <v>3510</v>
      </c>
      <c r="AZ1360" t="s">
        <v>3511</v>
      </c>
      <c r="BA1360" t="s">
        <v>156</v>
      </c>
      <c r="BB1360" t="str">
        <f t="shared" si="21"/>
        <v>IHVNnaKeffi</v>
      </c>
    </row>
    <row r="1361" spans="48:54" x14ac:dyDescent="0.25">
      <c r="AV1361" t="s">
        <v>822</v>
      </c>
      <c r="AW1361" t="s">
        <v>186</v>
      </c>
      <c r="AX1361" t="s">
        <v>738</v>
      </c>
      <c r="AY1361" t="s">
        <v>3512</v>
      </c>
      <c r="AZ1361" t="s">
        <v>3513</v>
      </c>
      <c r="BA1361" t="s">
        <v>156</v>
      </c>
      <c r="BB1361" t="str">
        <f t="shared" si="21"/>
        <v>IHVNnaKeffi</v>
      </c>
    </row>
    <row r="1362" spans="48:54" x14ac:dyDescent="0.25">
      <c r="AV1362" t="s">
        <v>822</v>
      </c>
      <c r="AW1362" t="s">
        <v>186</v>
      </c>
      <c r="AX1362" t="s">
        <v>743</v>
      </c>
      <c r="AY1362" t="s">
        <v>3514</v>
      </c>
      <c r="AZ1362" t="s">
        <v>3515</v>
      </c>
      <c r="BA1362" t="s">
        <v>156</v>
      </c>
      <c r="BB1362" t="str">
        <f t="shared" si="21"/>
        <v>IHVNnaKokona</v>
      </c>
    </row>
    <row r="1363" spans="48:54" x14ac:dyDescent="0.25">
      <c r="AV1363" t="s">
        <v>822</v>
      </c>
      <c r="AW1363" t="s">
        <v>186</v>
      </c>
      <c r="AX1363" t="s">
        <v>739</v>
      </c>
      <c r="AY1363" t="s">
        <v>3516</v>
      </c>
      <c r="AZ1363" t="s">
        <v>3517</v>
      </c>
      <c r="BA1363" t="s">
        <v>156</v>
      </c>
      <c r="BB1363" t="str">
        <f t="shared" si="21"/>
        <v>IHVNnaLafia</v>
      </c>
    </row>
    <row r="1364" spans="48:54" x14ac:dyDescent="0.25">
      <c r="AV1364" t="s">
        <v>822</v>
      </c>
      <c r="AW1364" t="s">
        <v>186</v>
      </c>
      <c r="AX1364" t="s">
        <v>739</v>
      </c>
      <c r="AY1364" t="s">
        <v>3518</v>
      </c>
      <c r="AZ1364" t="s">
        <v>3519</v>
      </c>
      <c r="BA1364" t="s">
        <v>156</v>
      </c>
      <c r="BB1364" t="str">
        <f t="shared" si="21"/>
        <v>IHVNnaLafia</v>
      </c>
    </row>
    <row r="1365" spans="48:54" x14ac:dyDescent="0.25">
      <c r="AV1365" t="s">
        <v>822</v>
      </c>
      <c r="AW1365" t="s">
        <v>186</v>
      </c>
      <c r="AX1365" t="s">
        <v>739</v>
      </c>
      <c r="AY1365" t="s">
        <v>3520</v>
      </c>
      <c r="AZ1365" t="s">
        <v>3521</v>
      </c>
      <c r="BA1365" t="s">
        <v>156</v>
      </c>
      <c r="BB1365" t="str">
        <f t="shared" si="21"/>
        <v>IHVNnaLafia</v>
      </c>
    </row>
    <row r="1366" spans="48:54" x14ac:dyDescent="0.25">
      <c r="AV1366" t="s">
        <v>822</v>
      </c>
      <c r="AW1366" t="s">
        <v>186</v>
      </c>
      <c r="AX1366" t="s">
        <v>739</v>
      </c>
      <c r="AY1366" t="s">
        <v>3522</v>
      </c>
      <c r="AZ1366" t="s">
        <v>3523</v>
      </c>
      <c r="BA1366" t="s">
        <v>156</v>
      </c>
      <c r="BB1366" t="str">
        <f t="shared" si="21"/>
        <v>IHVNnaLafia</v>
      </c>
    </row>
    <row r="1367" spans="48:54" x14ac:dyDescent="0.25">
      <c r="AV1367" t="s">
        <v>822</v>
      </c>
      <c r="AW1367" t="s">
        <v>186</v>
      </c>
      <c r="AX1367" t="s">
        <v>739</v>
      </c>
      <c r="AY1367" t="s">
        <v>3524</v>
      </c>
      <c r="AZ1367" t="s">
        <v>3525</v>
      </c>
      <c r="BA1367" t="s">
        <v>156</v>
      </c>
      <c r="BB1367" t="str">
        <f t="shared" si="21"/>
        <v>IHVNnaLafia</v>
      </c>
    </row>
    <row r="1368" spans="48:54" x14ac:dyDescent="0.25">
      <c r="AV1368" t="s">
        <v>822</v>
      </c>
      <c r="AW1368" t="s">
        <v>186</v>
      </c>
      <c r="AX1368" t="s">
        <v>739</v>
      </c>
      <c r="AY1368" t="s">
        <v>3526</v>
      </c>
      <c r="AZ1368" t="s">
        <v>3527</v>
      </c>
      <c r="BA1368" t="s">
        <v>156</v>
      </c>
      <c r="BB1368" t="str">
        <f t="shared" si="21"/>
        <v>IHVNnaLafia</v>
      </c>
    </row>
    <row r="1369" spans="48:54" x14ac:dyDescent="0.25">
      <c r="AV1369" t="s">
        <v>822</v>
      </c>
      <c r="AW1369" t="s">
        <v>186</v>
      </c>
      <c r="AX1369" t="s">
        <v>739</v>
      </c>
      <c r="AY1369" t="s">
        <v>3528</v>
      </c>
      <c r="AZ1369" t="s">
        <v>3529</v>
      </c>
      <c r="BA1369" t="s">
        <v>156</v>
      </c>
      <c r="BB1369" t="str">
        <f t="shared" si="21"/>
        <v>IHVNnaLafia</v>
      </c>
    </row>
    <row r="1370" spans="48:54" x14ac:dyDescent="0.25">
      <c r="AV1370" t="s">
        <v>822</v>
      </c>
      <c r="AW1370" t="s">
        <v>186</v>
      </c>
      <c r="AX1370" t="s">
        <v>739</v>
      </c>
      <c r="AY1370" t="s">
        <v>3530</v>
      </c>
      <c r="AZ1370" t="s">
        <v>3531</v>
      </c>
      <c r="BA1370" t="s">
        <v>156</v>
      </c>
      <c r="BB1370" t="str">
        <f t="shared" si="21"/>
        <v>IHVNnaLafia</v>
      </c>
    </row>
    <row r="1371" spans="48:54" x14ac:dyDescent="0.25">
      <c r="AV1371" t="s">
        <v>822</v>
      </c>
      <c r="AW1371" t="s">
        <v>186</v>
      </c>
      <c r="AX1371" t="s">
        <v>739</v>
      </c>
      <c r="AY1371" t="s">
        <v>3532</v>
      </c>
      <c r="AZ1371" t="s">
        <v>3533</v>
      </c>
      <c r="BA1371" t="s">
        <v>156</v>
      </c>
      <c r="BB1371" t="str">
        <f t="shared" si="21"/>
        <v>IHVNnaLafia</v>
      </c>
    </row>
    <row r="1372" spans="48:54" x14ac:dyDescent="0.25">
      <c r="AV1372" t="s">
        <v>822</v>
      </c>
      <c r="AW1372" t="s">
        <v>186</v>
      </c>
      <c r="AX1372" t="s">
        <v>739</v>
      </c>
      <c r="AY1372" t="s">
        <v>3534</v>
      </c>
      <c r="AZ1372" t="s">
        <v>3535</v>
      </c>
      <c r="BA1372" t="s">
        <v>156</v>
      </c>
      <c r="BB1372" t="str">
        <f t="shared" si="21"/>
        <v>IHVNnaLafia</v>
      </c>
    </row>
    <row r="1373" spans="48:54" x14ac:dyDescent="0.25">
      <c r="AV1373" t="s">
        <v>822</v>
      </c>
      <c r="AW1373" t="s">
        <v>186</v>
      </c>
      <c r="AX1373" t="s">
        <v>739</v>
      </c>
      <c r="AY1373" t="s">
        <v>3536</v>
      </c>
      <c r="AZ1373" t="s">
        <v>3537</v>
      </c>
      <c r="BA1373" t="s">
        <v>156</v>
      </c>
      <c r="BB1373" t="str">
        <f t="shared" si="21"/>
        <v>IHVNnaLafia</v>
      </c>
    </row>
    <row r="1374" spans="48:54" x14ac:dyDescent="0.25">
      <c r="AV1374" t="s">
        <v>822</v>
      </c>
      <c r="AW1374" t="s">
        <v>186</v>
      </c>
      <c r="AX1374" t="s">
        <v>739</v>
      </c>
      <c r="AY1374" t="s">
        <v>3538</v>
      </c>
      <c r="AZ1374" t="s">
        <v>3539</v>
      </c>
      <c r="BA1374" t="s">
        <v>156</v>
      </c>
      <c r="BB1374" t="str">
        <f t="shared" si="21"/>
        <v>IHVNnaLafia</v>
      </c>
    </row>
    <row r="1375" spans="48:54" x14ac:dyDescent="0.25">
      <c r="AV1375" t="s">
        <v>822</v>
      </c>
      <c r="AW1375" t="s">
        <v>186</v>
      </c>
      <c r="AX1375" t="s">
        <v>739</v>
      </c>
      <c r="AY1375" t="s">
        <v>3540</v>
      </c>
      <c r="AZ1375" t="s">
        <v>3541</v>
      </c>
      <c r="BA1375" t="s">
        <v>156</v>
      </c>
      <c r="BB1375" t="str">
        <f t="shared" si="21"/>
        <v>IHVNnaLafia</v>
      </c>
    </row>
    <row r="1376" spans="48:54" x14ac:dyDescent="0.25">
      <c r="AV1376" t="s">
        <v>822</v>
      </c>
      <c r="AW1376" t="s">
        <v>186</v>
      </c>
      <c r="AX1376" t="s">
        <v>739</v>
      </c>
      <c r="AY1376" t="s">
        <v>3542</v>
      </c>
      <c r="AZ1376" t="s">
        <v>3543</v>
      </c>
      <c r="BA1376" t="s">
        <v>156</v>
      </c>
      <c r="BB1376" t="str">
        <f t="shared" si="21"/>
        <v>IHVNnaLafia</v>
      </c>
    </row>
    <row r="1377" spans="48:54" x14ac:dyDescent="0.25">
      <c r="AV1377" t="s">
        <v>822</v>
      </c>
      <c r="AW1377" t="s">
        <v>186</v>
      </c>
      <c r="AX1377" t="s">
        <v>739</v>
      </c>
      <c r="AY1377" t="s">
        <v>3544</v>
      </c>
      <c r="AZ1377" t="s">
        <v>3545</v>
      </c>
      <c r="BA1377" t="s">
        <v>156</v>
      </c>
      <c r="BB1377" t="str">
        <f t="shared" si="21"/>
        <v>IHVNnaLafia</v>
      </c>
    </row>
    <row r="1378" spans="48:54" x14ac:dyDescent="0.25">
      <c r="AV1378" t="s">
        <v>822</v>
      </c>
      <c r="AW1378" t="s">
        <v>186</v>
      </c>
      <c r="AX1378" t="s">
        <v>739</v>
      </c>
      <c r="AY1378" t="s">
        <v>3546</v>
      </c>
      <c r="AZ1378" t="s">
        <v>3547</v>
      </c>
      <c r="BA1378" t="s">
        <v>156</v>
      </c>
      <c r="BB1378" t="str">
        <f t="shared" si="21"/>
        <v>IHVNnaLafia</v>
      </c>
    </row>
    <row r="1379" spans="48:54" x14ac:dyDescent="0.25">
      <c r="AV1379" t="s">
        <v>822</v>
      </c>
      <c r="AW1379" t="s">
        <v>186</v>
      </c>
      <c r="AX1379" t="s">
        <v>739</v>
      </c>
      <c r="AY1379" t="s">
        <v>3548</v>
      </c>
      <c r="AZ1379" t="s">
        <v>3549</v>
      </c>
      <c r="BA1379" t="s">
        <v>156</v>
      </c>
      <c r="BB1379" t="str">
        <f t="shared" si="21"/>
        <v>IHVNnaLafia</v>
      </c>
    </row>
    <row r="1380" spans="48:54" x14ac:dyDescent="0.25">
      <c r="AV1380" t="s">
        <v>822</v>
      </c>
      <c r="AW1380" t="s">
        <v>186</v>
      </c>
      <c r="AX1380" t="s">
        <v>739</v>
      </c>
      <c r="AY1380" t="s">
        <v>3550</v>
      </c>
      <c r="AZ1380" t="s">
        <v>3551</v>
      </c>
      <c r="BA1380" t="s">
        <v>156</v>
      </c>
      <c r="BB1380" t="str">
        <f t="shared" si="21"/>
        <v>IHVNnaLafia</v>
      </c>
    </row>
    <row r="1381" spans="48:54" x14ac:dyDescent="0.25">
      <c r="AV1381" t="s">
        <v>822</v>
      </c>
      <c r="AW1381" t="s">
        <v>186</v>
      </c>
      <c r="AX1381" t="s">
        <v>739</v>
      </c>
      <c r="AY1381" t="s">
        <v>3552</v>
      </c>
      <c r="AZ1381" t="s">
        <v>3553</v>
      </c>
      <c r="BA1381" t="s">
        <v>156</v>
      </c>
      <c r="BB1381" t="str">
        <f t="shared" si="21"/>
        <v>IHVNnaLafia</v>
      </c>
    </row>
    <row r="1382" spans="48:54" x14ac:dyDescent="0.25">
      <c r="AV1382" t="s">
        <v>822</v>
      </c>
      <c r="AW1382" t="s">
        <v>186</v>
      </c>
      <c r="AX1382" t="s">
        <v>739</v>
      </c>
      <c r="AY1382" t="s">
        <v>3554</v>
      </c>
      <c r="AZ1382" t="s">
        <v>3555</v>
      </c>
      <c r="BA1382" t="s">
        <v>156</v>
      </c>
      <c r="BB1382" t="str">
        <f t="shared" si="21"/>
        <v>IHVNnaLafia</v>
      </c>
    </row>
    <row r="1383" spans="48:54" x14ac:dyDescent="0.25">
      <c r="AV1383" t="s">
        <v>822</v>
      </c>
      <c r="AW1383" t="s">
        <v>186</v>
      </c>
      <c r="AX1383" t="s">
        <v>739</v>
      </c>
      <c r="AY1383" t="s">
        <v>3556</v>
      </c>
      <c r="AZ1383" t="s">
        <v>3557</v>
      </c>
      <c r="BA1383" t="s">
        <v>156</v>
      </c>
      <c r="BB1383" t="str">
        <f t="shared" si="21"/>
        <v>IHVNnaLafia</v>
      </c>
    </row>
    <row r="1384" spans="48:54" x14ac:dyDescent="0.25">
      <c r="AV1384" t="s">
        <v>822</v>
      </c>
      <c r="AW1384" t="s">
        <v>186</v>
      </c>
      <c r="AX1384" t="s">
        <v>739</v>
      </c>
      <c r="AY1384" t="s">
        <v>3558</v>
      </c>
      <c r="AZ1384" t="s">
        <v>3559</v>
      </c>
      <c r="BA1384" t="s">
        <v>156</v>
      </c>
      <c r="BB1384" t="str">
        <f t="shared" si="21"/>
        <v>IHVNnaLafia</v>
      </c>
    </row>
    <row r="1385" spans="48:54" x14ac:dyDescent="0.25">
      <c r="AV1385" t="s">
        <v>822</v>
      </c>
      <c r="AW1385" t="s">
        <v>186</v>
      </c>
      <c r="AX1385" t="s">
        <v>739</v>
      </c>
      <c r="AY1385" t="s">
        <v>3560</v>
      </c>
      <c r="AZ1385" t="s">
        <v>3561</v>
      </c>
      <c r="BA1385" t="s">
        <v>156</v>
      </c>
      <c r="BB1385" t="str">
        <f t="shared" si="21"/>
        <v>IHVNnaLafia</v>
      </c>
    </row>
    <row r="1386" spans="48:54" x14ac:dyDescent="0.25">
      <c r="AV1386" t="s">
        <v>822</v>
      </c>
      <c r="AW1386" t="s">
        <v>186</v>
      </c>
      <c r="AX1386" t="s">
        <v>739</v>
      </c>
      <c r="AY1386" t="s">
        <v>3562</v>
      </c>
      <c r="AZ1386" t="s">
        <v>3563</v>
      </c>
      <c r="BA1386" t="s">
        <v>156</v>
      </c>
      <c r="BB1386" t="str">
        <f t="shared" si="21"/>
        <v>IHVNnaLafia</v>
      </c>
    </row>
    <row r="1387" spans="48:54" x14ac:dyDescent="0.25">
      <c r="AV1387" t="s">
        <v>822</v>
      </c>
      <c r="AW1387" t="s">
        <v>186</v>
      </c>
      <c r="AX1387" t="s">
        <v>739</v>
      </c>
      <c r="AY1387" t="s">
        <v>3564</v>
      </c>
      <c r="AZ1387" t="s">
        <v>3565</v>
      </c>
      <c r="BA1387" t="s">
        <v>156</v>
      </c>
      <c r="BB1387" t="str">
        <f t="shared" si="21"/>
        <v>IHVNnaLafia</v>
      </c>
    </row>
    <row r="1388" spans="48:54" x14ac:dyDescent="0.25">
      <c r="AV1388" t="s">
        <v>822</v>
      </c>
      <c r="AW1388" t="s">
        <v>186</v>
      </c>
      <c r="AX1388" t="s">
        <v>739</v>
      </c>
      <c r="AY1388" t="s">
        <v>3566</v>
      </c>
      <c r="AZ1388" t="s">
        <v>3567</v>
      </c>
      <c r="BA1388" t="s">
        <v>156</v>
      </c>
      <c r="BB1388" t="str">
        <f t="shared" si="21"/>
        <v>IHVNnaLafia</v>
      </c>
    </row>
    <row r="1389" spans="48:54" x14ac:dyDescent="0.25">
      <c r="AV1389" t="s">
        <v>822</v>
      </c>
      <c r="AW1389" t="s">
        <v>186</v>
      </c>
      <c r="AX1389" t="s">
        <v>739</v>
      </c>
      <c r="AY1389" t="s">
        <v>3568</v>
      </c>
      <c r="AZ1389" t="s">
        <v>3569</v>
      </c>
      <c r="BA1389" t="s">
        <v>156</v>
      </c>
      <c r="BB1389" t="str">
        <f t="shared" si="21"/>
        <v>IHVNnaLafia</v>
      </c>
    </row>
    <row r="1390" spans="48:54" x14ac:dyDescent="0.25">
      <c r="AV1390" t="s">
        <v>822</v>
      </c>
      <c r="AW1390" t="s">
        <v>186</v>
      </c>
      <c r="AX1390" t="s">
        <v>739</v>
      </c>
      <c r="AY1390" t="s">
        <v>3570</v>
      </c>
      <c r="AZ1390" t="s">
        <v>3571</v>
      </c>
      <c r="BA1390" t="s">
        <v>156</v>
      </c>
      <c r="BB1390" t="str">
        <f t="shared" si="21"/>
        <v>IHVNnaLafia</v>
      </c>
    </row>
    <row r="1391" spans="48:54" x14ac:dyDescent="0.25">
      <c r="AV1391" t="s">
        <v>822</v>
      </c>
      <c r="AW1391" t="s">
        <v>186</v>
      </c>
      <c r="AX1391" t="s">
        <v>739</v>
      </c>
      <c r="AY1391" t="s">
        <v>3572</v>
      </c>
      <c r="AZ1391" t="s">
        <v>3573</v>
      </c>
      <c r="BA1391" t="s">
        <v>156</v>
      </c>
      <c r="BB1391" t="str">
        <f t="shared" si="21"/>
        <v>IHVNnaLafia</v>
      </c>
    </row>
    <row r="1392" spans="48:54" x14ac:dyDescent="0.25">
      <c r="AV1392" t="s">
        <v>822</v>
      </c>
      <c r="AW1392" t="s">
        <v>186</v>
      </c>
      <c r="AX1392" t="s">
        <v>739</v>
      </c>
      <c r="AY1392" t="s">
        <v>3574</v>
      </c>
      <c r="AZ1392" t="s">
        <v>3575</v>
      </c>
      <c r="BA1392" t="s">
        <v>156</v>
      </c>
      <c r="BB1392" t="str">
        <f t="shared" si="21"/>
        <v>IHVNnaLafia</v>
      </c>
    </row>
    <row r="1393" spans="48:54" x14ac:dyDescent="0.25">
      <c r="AV1393" t="s">
        <v>822</v>
      </c>
      <c r="AW1393" t="s">
        <v>186</v>
      </c>
      <c r="AX1393" t="s">
        <v>739</v>
      </c>
      <c r="AY1393" t="s">
        <v>3576</v>
      </c>
      <c r="AZ1393" t="s">
        <v>3577</v>
      </c>
      <c r="BA1393" t="s">
        <v>156</v>
      </c>
      <c r="BB1393" t="str">
        <f t="shared" si="21"/>
        <v>IHVNnaLafia</v>
      </c>
    </row>
    <row r="1394" spans="48:54" x14ac:dyDescent="0.25">
      <c r="AV1394" t="s">
        <v>822</v>
      </c>
      <c r="AW1394" t="s">
        <v>186</v>
      </c>
      <c r="AX1394" t="s">
        <v>739</v>
      </c>
      <c r="AY1394" t="s">
        <v>3578</v>
      </c>
      <c r="AZ1394" t="s">
        <v>3579</v>
      </c>
      <c r="BA1394" t="s">
        <v>156</v>
      </c>
      <c r="BB1394" t="str">
        <f t="shared" si="21"/>
        <v>IHVNnaLafia</v>
      </c>
    </row>
    <row r="1395" spans="48:54" x14ac:dyDescent="0.25">
      <c r="AV1395" t="s">
        <v>822</v>
      </c>
      <c r="AW1395" t="s">
        <v>186</v>
      </c>
      <c r="AX1395" t="s">
        <v>739</v>
      </c>
      <c r="AY1395" t="s">
        <v>3580</v>
      </c>
      <c r="AZ1395" t="s">
        <v>3581</v>
      </c>
      <c r="BA1395" t="s">
        <v>156</v>
      </c>
      <c r="BB1395" t="str">
        <f t="shared" si="21"/>
        <v>IHVNnaLafia</v>
      </c>
    </row>
    <row r="1396" spans="48:54" x14ac:dyDescent="0.25">
      <c r="AV1396" t="s">
        <v>822</v>
      </c>
      <c r="AW1396" t="s">
        <v>186</v>
      </c>
      <c r="AX1396" t="s">
        <v>739</v>
      </c>
      <c r="AY1396" t="s">
        <v>3582</v>
      </c>
      <c r="AZ1396" t="s">
        <v>3583</v>
      </c>
      <c r="BA1396" t="s">
        <v>156</v>
      </c>
      <c r="BB1396" t="str">
        <f t="shared" si="21"/>
        <v>IHVNnaLafia</v>
      </c>
    </row>
    <row r="1397" spans="48:54" x14ac:dyDescent="0.25">
      <c r="AV1397" t="s">
        <v>822</v>
      </c>
      <c r="AW1397" t="s">
        <v>186</v>
      </c>
      <c r="AX1397" t="s">
        <v>739</v>
      </c>
      <c r="AY1397" t="s">
        <v>3584</v>
      </c>
      <c r="AZ1397" t="s">
        <v>3585</v>
      </c>
      <c r="BA1397" t="s">
        <v>156</v>
      </c>
      <c r="BB1397" t="str">
        <f t="shared" si="21"/>
        <v>IHVNnaLafia</v>
      </c>
    </row>
    <row r="1398" spans="48:54" x14ac:dyDescent="0.25">
      <c r="AV1398" t="s">
        <v>822</v>
      </c>
      <c r="AW1398" t="s">
        <v>186</v>
      </c>
      <c r="AX1398" t="s">
        <v>739</v>
      </c>
      <c r="AY1398" t="s">
        <v>3586</v>
      </c>
      <c r="AZ1398" t="s">
        <v>3587</v>
      </c>
      <c r="BA1398" t="s">
        <v>156</v>
      </c>
      <c r="BB1398" t="str">
        <f t="shared" si="21"/>
        <v>IHVNnaLafia</v>
      </c>
    </row>
    <row r="1399" spans="48:54" x14ac:dyDescent="0.25">
      <c r="AV1399" t="s">
        <v>822</v>
      </c>
      <c r="AW1399" t="s">
        <v>186</v>
      </c>
      <c r="AX1399" t="s">
        <v>739</v>
      </c>
      <c r="AY1399" t="s">
        <v>3588</v>
      </c>
      <c r="AZ1399" t="s">
        <v>3589</v>
      </c>
      <c r="BA1399" t="s">
        <v>156</v>
      </c>
      <c r="BB1399" t="str">
        <f t="shared" si="21"/>
        <v>IHVNnaLafia</v>
      </c>
    </row>
    <row r="1400" spans="48:54" x14ac:dyDescent="0.25">
      <c r="AV1400" t="s">
        <v>822</v>
      </c>
      <c r="AW1400" t="s">
        <v>186</v>
      </c>
      <c r="AX1400" t="s">
        <v>739</v>
      </c>
      <c r="AY1400" t="s">
        <v>3590</v>
      </c>
      <c r="AZ1400" t="s">
        <v>3591</v>
      </c>
      <c r="BA1400" t="s">
        <v>156</v>
      </c>
      <c r="BB1400" t="str">
        <f t="shared" si="21"/>
        <v>IHVNnaLafia</v>
      </c>
    </row>
    <row r="1401" spans="48:54" x14ac:dyDescent="0.25">
      <c r="AV1401" t="s">
        <v>822</v>
      </c>
      <c r="AW1401" t="s">
        <v>186</v>
      </c>
      <c r="AX1401" t="s">
        <v>739</v>
      </c>
      <c r="AY1401" t="s">
        <v>3592</v>
      </c>
      <c r="AZ1401" t="s">
        <v>3593</v>
      </c>
      <c r="BA1401" t="s">
        <v>156</v>
      </c>
      <c r="BB1401" t="str">
        <f t="shared" si="21"/>
        <v>IHVNnaLafia</v>
      </c>
    </row>
    <row r="1402" spans="48:54" x14ac:dyDescent="0.25">
      <c r="AV1402" t="s">
        <v>822</v>
      </c>
      <c r="AW1402" t="s">
        <v>186</v>
      </c>
      <c r="AX1402" t="s">
        <v>744</v>
      </c>
      <c r="AY1402" t="s">
        <v>3594</v>
      </c>
      <c r="AZ1402" t="s">
        <v>3595</v>
      </c>
      <c r="BA1402" t="s">
        <v>156</v>
      </c>
      <c r="BB1402" t="str">
        <f t="shared" si="21"/>
        <v>IHVNnaNasarawa</v>
      </c>
    </row>
    <row r="1403" spans="48:54" x14ac:dyDescent="0.25">
      <c r="AV1403" t="s">
        <v>822</v>
      </c>
      <c r="AW1403" t="s">
        <v>186</v>
      </c>
      <c r="AX1403" t="s">
        <v>744</v>
      </c>
      <c r="AY1403" t="s">
        <v>3596</v>
      </c>
      <c r="AZ1403" t="s">
        <v>3597</v>
      </c>
      <c r="BA1403" t="s">
        <v>156</v>
      </c>
      <c r="BB1403" t="str">
        <f t="shared" si="21"/>
        <v>IHVNnaNasarawa</v>
      </c>
    </row>
    <row r="1404" spans="48:54" x14ac:dyDescent="0.25">
      <c r="AV1404" t="s">
        <v>822</v>
      </c>
      <c r="AW1404" t="s">
        <v>186</v>
      </c>
      <c r="AX1404" t="s">
        <v>744</v>
      </c>
      <c r="AY1404" t="s">
        <v>3598</v>
      </c>
      <c r="AZ1404" t="s">
        <v>3599</v>
      </c>
      <c r="BA1404" t="s">
        <v>156</v>
      </c>
      <c r="BB1404" t="str">
        <f t="shared" si="21"/>
        <v>IHVNnaNasarawa</v>
      </c>
    </row>
    <row r="1405" spans="48:54" x14ac:dyDescent="0.25">
      <c r="AV1405" t="s">
        <v>822</v>
      </c>
      <c r="AW1405" t="s">
        <v>186</v>
      </c>
      <c r="AX1405" t="s">
        <v>744</v>
      </c>
      <c r="AY1405" t="s">
        <v>3600</v>
      </c>
      <c r="AZ1405" t="s">
        <v>3601</v>
      </c>
      <c r="BA1405" t="s">
        <v>156</v>
      </c>
      <c r="BB1405" t="str">
        <f t="shared" si="21"/>
        <v>IHVNnaNasarawa</v>
      </c>
    </row>
    <row r="1406" spans="48:54" x14ac:dyDescent="0.25">
      <c r="AV1406" t="s">
        <v>822</v>
      </c>
      <c r="AW1406" t="s">
        <v>186</v>
      </c>
      <c r="AX1406" t="s">
        <v>744</v>
      </c>
      <c r="AY1406" t="s">
        <v>3602</v>
      </c>
      <c r="AZ1406" t="s">
        <v>3603</v>
      </c>
      <c r="BA1406" t="s">
        <v>156</v>
      </c>
      <c r="BB1406" t="str">
        <f t="shared" si="21"/>
        <v>IHVNnaNasarawa</v>
      </c>
    </row>
    <row r="1407" spans="48:54" x14ac:dyDescent="0.25">
      <c r="AV1407" t="s">
        <v>822</v>
      </c>
      <c r="AW1407" t="s">
        <v>186</v>
      </c>
      <c r="AX1407" t="s">
        <v>744</v>
      </c>
      <c r="AY1407" t="s">
        <v>3604</v>
      </c>
      <c r="AZ1407" t="s">
        <v>3605</v>
      </c>
      <c r="BA1407" t="s">
        <v>156</v>
      </c>
      <c r="BB1407" t="str">
        <f t="shared" si="21"/>
        <v>IHVNnaNasarawa</v>
      </c>
    </row>
    <row r="1408" spans="48:54" x14ac:dyDescent="0.25">
      <c r="AV1408" t="s">
        <v>822</v>
      </c>
      <c r="AW1408" t="s">
        <v>186</v>
      </c>
      <c r="AX1408" t="s">
        <v>744</v>
      </c>
      <c r="AY1408" t="s">
        <v>3606</v>
      </c>
      <c r="AZ1408" t="s">
        <v>3607</v>
      </c>
      <c r="BA1408" t="s">
        <v>156</v>
      </c>
      <c r="BB1408" t="str">
        <f t="shared" si="21"/>
        <v>IHVNnaNasarawa</v>
      </c>
    </row>
    <row r="1409" spans="48:54" x14ac:dyDescent="0.25">
      <c r="AV1409" t="s">
        <v>822</v>
      </c>
      <c r="AW1409" t="s">
        <v>186</v>
      </c>
      <c r="AX1409" t="s">
        <v>744</v>
      </c>
      <c r="AY1409" t="s">
        <v>3608</v>
      </c>
      <c r="AZ1409" t="s">
        <v>3609</v>
      </c>
      <c r="BA1409" t="s">
        <v>156</v>
      </c>
      <c r="BB1409" t="str">
        <f t="shared" si="21"/>
        <v>IHVNnaNasarawa</v>
      </c>
    </row>
    <row r="1410" spans="48:54" x14ac:dyDescent="0.25">
      <c r="AV1410" t="s">
        <v>822</v>
      </c>
      <c r="AW1410" t="s">
        <v>186</v>
      </c>
      <c r="AX1410" t="s">
        <v>744</v>
      </c>
      <c r="AY1410" t="s">
        <v>3610</v>
      </c>
      <c r="AZ1410" t="s">
        <v>3611</v>
      </c>
      <c r="BA1410" t="s">
        <v>156</v>
      </c>
      <c r="BB1410" t="str">
        <f t="shared" si="21"/>
        <v>IHVNnaNasarawa</v>
      </c>
    </row>
    <row r="1411" spans="48:54" x14ac:dyDescent="0.25">
      <c r="AV1411" t="s">
        <v>822</v>
      </c>
      <c r="AW1411" t="s">
        <v>186</v>
      </c>
      <c r="AX1411" t="s">
        <v>744</v>
      </c>
      <c r="AY1411" t="s">
        <v>3612</v>
      </c>
      <c r="AZ1411" t="s">
        <v>3613</v>
      </c>
      <c r="BA1411" t="s">
        <v>156</v>
      </c>
      <c r="BB1411" t="str">
        <f t="shared" ref="BB1411:BB1474" si="22">SUBSTITUTE(SUBSTITUTE(BA1411&amp;AX1411," ",""),"-","")</f>
        <v>IHVNnaNasarawa</v>
      </c>
    </row>
    <row r="1412" spans="48:54" x14ac:dyDescent="0.25">
      <c r="AV1412" t="s">
        <v>822</v>
      </c>
      <c r="AW1412" t="s">
        <v>186</v>
      </c>
      <c r="AX1412" t="s">
        <v>744</v>
      </c>
      <c r="AY1412" t="s">
        <v>3614</v>
      </c>
      <c r="AZ1412" t="s">
        <v>3615</v>
      </c>
      <c r="BA1412" t="s">
        <v>156</v>
      </c>
      <c r="BB1412" t="str">
        <f t="shared" si="22"/>
        <v>IHVNnaNasarawa</v>
      </c>
    </row>
    <row r="1413" spans="48:54" x14ac:dyDescent="0.25">
      <c r="AV1413" t="s">
        <v>822</v>
      </c>
      <c r="AW1413" t="s">
        <v>186</v>
      </c>
      <c r="AX1413" t="s">
        <v>744</v>
      </c>
      <c r="AY1413" t="s">
        <v>3616</v>
      </c>
      <c r="AZ1413" t="s">
        <v>3617</v>
      </c>
      <c r="BA1413" t="s">
        <v>156</v>
      </c>
      <c r="BB1413" t="str">
        <f t="shared" si="22"/>
        <v>IHVNnaNasarawa</v>
      </c>
    </row>
    <row r="1414" spans="48:54" x14ac:dyDescent="0.25">
      <c r="AV1414" t="s">
        <v>822</v>
      </c>
      <c r="AW1414" t="s">
        <v>186</v>
      </c>
      <c r="AX1414" t="s">
        <v>744</v>
      </c>
      <c r="AY1414" t="s">
        <v>3618</v>
      </c>
      <c r="AZ1414" t="s">
        <v>3619</v>
      </c>
      <c r="BA1414" t="s">
        <v>156</v>
      </c>
      <c r="BB1414" t="str">
        <f t="shared" si="22"/>
        <v>IHVNnaNasarawa</v>
      </c>
    </row>
    <row r="1415" spans="48:54" x14ac:dyDescent="0.25">
      <c r="AV1415" t="s">
        <v>822</v>
      </c>
      <c r="AW1415" t="s">
        <v>186</v>
      </c>
      <c r="AX1415" t="s">
        <v>744</v>
      </c>
      <c r="AY1415" t="s">
        <v>3620</v>
      </c>
      <c r="AZ1415" t="s">
        <v>3621</v>
      </c>
      <c r="BA1415" t="s">
        <v>156</v>
      </c>
      <c r="BB1415" t="str">
        <f t="shared" si="22"/>
        <v>IHVNnaNasarawa</v>
      </c>
    </row>
    <row r="1416" spans="48:54" x14ac:dyDescent="0.25">
      <c r="AV1416" t="s">
        <v>822</v>
      </c>
      <c r="AW1416" t="s">
        <v>186</v>
      </c>
      <c r="AX1416" t="s">
        <v>744</v>
      </c>
      <c r="AY1416" t="s">
        <v>3622</v>
      </c>
      <c r="AZ1416" t="s">
        <v>3623</v>
      </c>
      <c r="BA1416" t="s">
        <v>156</v>
      </c>
      <c r="BB1416" t="str">
        <f t="shared" si="22"/>
        <v>IHVNnaNasarawa</v>
      </c>
    </row>
    <row r="1417" spans="48:54" x14ac:dyDescent="0.25">
      <c r="AV1417" t="s">
        <v>822</v>
      </c>
      <c r="AW1417" t="s">
        <v>186</v>
      </c>
      <c r="AX1417" t="s">
        <v>744</v>
      </c>
      <c r="AY1417" t="s">
        <v>3624</v>
      </c>
      <c r="AZ1417" t="s">
        <v>3625</v>
      </c>
      <c r="BA1417" t="s">
        <v>156</v>
      </c>
      <c r="BB1417" t="str">
        <f t="shared" si="22"/>
        <v>IHVNnaNasarawa</v>
      </c>
    </row>
    <row r="1418" spans="48:54" x14ac:dyDescent="0.25">
      <c r="AV1418" t="s">
        <v>822</v>
      </c>
      <c r="AW1418" t="s">
        <v>186</v>
      </c>
      <c r="AX1418" t="s">
        <v>744</v>
      </c>
      <c r="AY1418" t="s">
        <v>3626</v>
      </c>
      <c r="AZ1418" t="s">
        <v>3627</v>
      </c>
      <c r="BA1418" t="s">
        <v>156</v>
      </c>
      <c r="BB1418" t="str">
        <f t="shared" si="22"/>
        <v>IHVNnaNasarawa</v>
      </c>
    </row>
    <row r="1419" spans="48:54" x14ac:dyDescent="0.25">
      <c r="AV1419" t="s">
        <v>822</v>
      </c>
      <c r="AW1419" t="s">
        <v>186</v>
      </c>
      <c r="AX1419" t="s">
        <v>744</v>
      </c>
      <c r="AY1419" t="s">
        <v>3628</v>
      </c>
      <c r="AZ1419" t="s">
        <v>3629</v>
      </c>
      <c r="BA1419" t="s">
        <v>156</v>
      </c>
      <c r="BB1419" t="str">
        <f t="shared" si="22"/>
        <v>IHVNnaNasarawa</v>
      </c>
    </row>
    <row r="1420" spans="48:54" x14ac:dyDescent="0.25">
      <c r="AV1420" t="s">
        <v>822</v>
      </c>
      <c r="AW1420" t="s">
        <v>186</v>
      </c>
      <c r="AX1420" t="s">
        <v>744</v>
      </c>
      <c r="AY1420" t="s">
        <v>3630</v>
      </c>
      <c r="AZ1420" t="s">
        <v>3631</v>
      </c>
      <c r="BA1420" t="s">
        <v>156</v>
      </c>
      <c r="BB1420" t="str">
        <f t="shared" si="22"/>
        <v>IHVNnaNasarawa</v>
      </c>
    </row>
    <row r="1421" spans="48:54" x14ac:dyDescent="0.25">
      <c r="AV1421" t="s">
        <v>822</v>
      </c>
      <c r="AW1421" t="s">
        <v>186</v>
      </c>
      <c r="AX1421" t="s">
        <v>744</v>
      </c>
      <c r="AY1421" t="s">
        <v>3632</v>
      </c>
      <c r="AZ1421" t="s">
        <v>3633</v>
      </c>
      <c r="BA1421" t="s">
        <v>156</v>
      </c>
      <c r="BB1421" t="str">
        <f t="shared" si="22"/>
        <v>IHVNnaNasarawa</v>
      </c>
    </row>
    <row r="1422" spans="48:54" x14ac:dyDescent="0.25">
      <c r="AV1422" t="s">
        <v>822</v>
      </c>
      <c r="AW1422" t="s">
        <v>186</v>
      </c>
      <c r="AX1422" t="s">
        <v>744</v>
      </c>
      <c r="AY1422" t="s">
        <v>3634</v>
      </c>
      <c r="AZ1422" t="s">
        <v>3635</v>
      </c>
      <c r="BA1422" t="s">
        <v>156</v>
      </c>
      <c r="BB1422" t="str">
        <f t="shared" si="22"/>
        <v>IHVNnaNasarawa</v>
      </c>
    </row>
    <row r="1423" spans="48:54" x14ac:dyDescent="0.25">
      <c r="AV1423" t="s">
        <v>822</v>
      </c>
      <c r="AW1423" t="s">
        <v>186</v>
      </c>
      <c r="AX1423" t="s">
        <v>744</v>
      </c>
      <c r="AY1423" t="s">
        <v>3636</v>
      </c>
      <c r="AZ1423" t="s">
        <v>3637</v>
      </c>
      <c r="BA1423" t="s">
        <v>156</v>
      </c>
      <c r="BB1423" t="str">
        <f t="shared" si="22"/>
        <v>IHVNnaNasarawa</v>
      </c>
    </row>
    <row r="1424" spans="48:54" x14ac:dyDescent="0.25">
      <c r="AV1424" t="s">
        <v>822</v>
      </c>
      <c r="AW1424" t="s">
        <v>186</v>
      </c>
      <c r="AX1424" t="s">
        <v>744</v>
      </c>
      <c r="AY1424" t="s">
        <v>3638</v>
      </c>
      <c r="AZ1424" t="s">
        <v>3639</v>
      </c>
      <c r="BA1424" t="s">
        <v>156</v>
      </c>
      <c r="BB1424" t="str">
        <f t="shared" si="22"/>
        <v>IHVNnaNasarawa</v>
      </c>
    </row>
    <row r="1425" spans="48:54" x14ac:dyDescent="0.25">
      <c r="AV1425" t="s">
        <v>822</v>
      </c>
      <c r="AW1425" t="s">
        <v>186</v>
      </c>
      <c r="AX1425" t="s">
        <v>744</v>
      </c>
      <c r="AY1425" t="s">
        <v>3640</v>
      </c>
      <c r="AZ1425" t="s">
        <v>3641</v>
      </c>
      <c r="BA1425" t="s">
        <v>156</v>
      </c>
      <c r="BB1425" t="str">
        <f t="shared" si="22"/>
        <v>IHVNnaNasarawa</v>
      </c>
    </row>
    <row r="1426" spans="48:54" x14ac:dyDescent="0.25">
      <c r="AV1426" t="s">
        <v>822</v>
      </c>
      <c r="AW1426" t="s">
        <v>186</v>
      </c>
      <c r="AX1426" t="s">
        <v>744</v>
      </c>
      <c r="AY1426" t="s">
        <v>3642</v>
      </c>
      <c r="AZ1426" t="s">
        <v>3643</v>
      </c>
      <c r="BA1426" t="s">
        <v>156</v>
      </c>
      <c r="BB1426" t="str">
        <f t="shared" si="22"/>
        <v>IHVNnaNasarawa</v>
      </c>
    </row>
    <row r="1427" spans="48:54" x14ac:dyDescent="0.25">
      <c r="AV1427" t="s">
        <v>822</v>
      </c>
      <c r="AW1427" t="s">
        <v>186</v>
      </c>
      <c r="AX1427" t="s">
        <v>744</v>
      </c>
      <c r="AY1427" t="s">
        <v>3644</v>
      </c>
      <c r="AZ1427" t="s">
        <v>3645</v>
      </c>
      <c r="BA1427" t="s">
        <v>156</v>
      </c>
      <c r="BB1427" t="str">
        <f t="shared" si="22"/>
        <v>IHVNnaNasarawa</v>
      </c>
    </row>
    <row r="1428" spans="48:54" x14ac:dyDescent="0.25">
      <c r="AV1428" t="s">
        <v>822</v>
      </c>
      <c r="AW1428" t="s">
        <v>186</v>
      </c>
      <c r="AX1428" t="s">
        <v>744</v>
      </c>
      <c r="AY1428" t="s">
        <v>3646</v>
      </c>
      <c r="AZ1428" t="s">
        <v>3647</v>
      </c>
      <c r="BA1428" t="s">
        <v>156</v>
      </c>
      <c r="BB1428" t="str">
        <f t="shared" si="22"/>
        <v>IHVNnaNasarawa</v>
      </c>
    </row>
    <row r="1429" spans="48:54" x14ac:dyDescent="0.25">
      <c r="AV1429" t="s">
        <v>822</v>
      </c>
      <c r="AW1429" t="s">
        <v>186</v>
      </c>
      <c r="AX1429" t="s">
        <v>745</v>
      </c>
      <c r="AY1429" t="s">
        <v>3648</v>
      </c>
      <c r="AZ1429" t="s">
        <v>3649</v>
      </c>
      <c r="BA1429" t="s">
        <v>156</v>
      </c>
      <c r="BB1429" t="str">
        <f t="shared" si="22"/>
        <v>IHVNnaNasarawaEggon</v>
      </c>
    </row>
    <row r="1430" spans="48:54" x14ac:dyDescent="0.25">
      <c r="AV1430" t="s">
        <v>822</v>
      </c>
      <c r="AW1430" t="s">
        <v>186</v>
      </c>
      <c r="AX1430" t="s">
        <v>740</v>
      </c>
      <c r="AY1430" t="s">
        <v>3650</v>
      </c>
      <c r="AZ1430" t="s">
        <v>3651</v>
      </c>
      <c r="BA1430" t="s">
        <v>156</v>
      </c>
      <c r="BB1430" t="str">
        <f t="shared" si="22"/>
        <v>IHVNnaObi</v>
      </c>
    </row>
    <row r="1431" spans="48:54" x14ac:dyDescent="0.25">
      <c r="AV1431" t="s">
        <v>822</v>
      </c>
      <c r="AW1431" t="s">
        <v>186</v>
      </c>
      <c r="AX1431" t="s">
        <v>740</v>
      </c>
      <c r="AY1431" t="s">
        <v>3652</v>
      </c>
      <c r="AZ1431" t="s">
        <v>3653</v>
      </c>
      <c r="BA1431" t="s">
        <v>156</v>
      </c>
      <c r="BB1431" t="str">
        <f t="shared" si="22"/>
        <v>IHVNnaObi</v>
      </c>
    </row>
    <row r="1432" spans="48:54" x14ac:dyDescent="0.25">
      <c r="AV1432" t="s">
        <v>822</v>
      </c>
      <c r="AW1432" t="s">
        <v>186</v>
      </c>
      <c r="AX1432" t="s">
        <v>740</v>
      </c>
      <c r="AY1432" t="s">
        <v>3654</v>
      </c>
      <c r="AZ1432" t="s">
        <v>3655</v>
      </c>
      <c r="BA1432" t="s">
        <v>156</v>
      </c>
      <c r="BB1432" t="str">
        <f t="shared" si="22"/>
        <v>IHVNnaObi</v>
      </c>
    </row>
    <row r="1433" spans="48:54" x14ac:dyDescent="0.25">
      <c r="AV1433" t="s">
        <v>822</v>
      </c>
      <c r="AW1433" t="s">
        <v>186</v>
      </c>
      <c r="AX1433" t="s">
        <v>740</v>
      </c>
      <c r="AY1433" t="s">
        <v>3656</v>
      </c>
      <c r="AZ1433" t="s">
        <v>3657</v>
      </c>
      <c r="BA1433" t="s">
        <v>156</v>
      </c>
      <c r="BB1433" t="str">
        <f t="shared" si="22"/>
        <v>IHVNnaObi</v>
      </c>
    </row>
    <row r="1434" spans="48:54" x14ac:dyDescent="0.25">
      <c r="AV1434" t="s">
        <v>822</v>
      </c>
      <c r="AW1434" t="s">
        <v>186</v>
      </c>
      <c r="AX1434" t="s">
        <v>740</v>
      </c>
      <c r="AY1434" t="s">
        <v>3658</v>
      </c>
      <c r="AZ1434" t="s">
        <v>3659</v>
      </c>
      <c r="BA1434" t="s">
        <v>156</v>
      </c>
      <c r="BB1434" t="str">
        <f t="shared" si="22"/>
        <v>IHVNnaObi</v>
      </c>
    </row>
    <row r="1435" spans="48:54" x14ac:dyDescent="0.25">
      <c r="AV1435" t="s">
        <v>822</v>
      </c>
      <c r="AW1435" t="s">
        <v>186</v>
      </c>
      <c r="AX1435" t="s">
        <v>740</v>
      </c>
      <c r="AY1435" t="s">
        <v>3660</v>
      </c>
      <c r="AZ1435" t="s">
        <v>3661</v>
      </c>
      <c r="BA1435" t="s">
        <v>156</v>
      </c>
      <c r="BB1435" t="str">
        <f t="shared" si="22"/>
        <v>IHVNnaObi</v>
      </c>
    </row>
    <row r="1436" spans="48:54" x14ac:dyDescent="0.25">
      <c r="AV1436" t="s">
        <v>822</v>
      </c>
      <c r="AW1436" t="s">
        <v>186</v>
      </c>
      <c r="AX1436" t="s">
        <v>740</v>
      </c>
      <c r="AY1436" t="s">
        <v>3662</v>
      </c>
      <c r="AZ1436" t="s">
        <v>3663</v>
      </c>
      <c r="BA1436" t="s">
        <v>156</v>
      </c>
      <c r="BB1436" t="str">
        <f t="shared" si="22"/>
        <v>IHVNnaObi</v>
      </c>
    </row>
    <row r="1437" spans="48:54" x14ac:dyDescent="0.25">
      <c r="AV1437" t="s">
        <v>822</v>
      </c>
      <c r="AW1437" t="s">
        <v>186</v>
      </c>
      <c r="AX1437" t="s">
        <v>740</v>
      </c>
      <c r="AY1437" t="s">
        <v>3664</v>
      </c>
      <c r="AZ1437" t="s">
        <v>3665</v>
      </c>
      <c r="BA1437" t="s">
        <v>156</v>
      </c>
      <c r="BB1437" t="str">
        <f t="shared" si="22"/>
        <v>IHVNnaObi</v>
      </c>
    </row>
    <row r="1438" spans="48:54" x14ac:dyDescent="0.25">
      <c r="AV1438" t="s">
        <v>822</v>
      </c>
      <c r="AW1438" t="s">
        <v>186</v>
      </c>
      <c r="AX1438" t="s">
        <v>740</v>
      </c>
      <c r="AY1438" t="s">
        <v>3666</v>
      </c>
      <c r="AZ1438" t="s">
        <v>3667</v>
      </c>
      <c r="BA1438" t="s">
        <v>156</v>
      </c>
      <c r="BB1438" t="str">
        <f t="shared" si="22"/>
        <v>IHVNnaObi</v>
      </c>
    </row>
    <row r="1439" spans="48:54" x14ac:dyDescent="0.25">
      <c r="AV1439" t="s">
        <v>822</v>
      </c>
      <c r="AW1439" t="s">
        <v>186</v>
      </c>
      <c r="AX1439" t="s">
        <v>740</v>
      </c>
      <c r="AY1439" t="s">
        <v>3668</v>
      </c>
      <c r="AZ1439" t="s">
        <v>3669</v>
      </c>
      <c r="BA1439" t="s">
        <v>156</v>
      </c>
      <c r="BB1439" t="str">
        <f t="shared" si="22"/>
        <v>IHVNnaObi</v>
      </c>
    </row>
    <row r="1440" spans="48:54" x14ac:dyDescent="0.25">
      <c r="AV1440" t="s">
        <v>822</v>
      </c>
      <c r="AW1440" t="s">
        <v>186</v>
      </c>
      <c r="AX1440" t="s">
        <v>740</v>
      </c>
      <c r="AY1440" t="s">
        <v>3670</v>
      </c>
      <c r="AZ1440" t="s">
        <v>3671</v>
      </c>
      <c r="BA1440" t="s">
        <v>156</v>
      </c>
      <c r="BB1440" t="str">
        <f t="shared" si="22"/>
        <v>IHVNnaObi</v>
      </c>
    </row>
    <row r="1441" spans="48:54" x14ac:dyDescent="0.25">
      <c r="AV1441" t="s">
        <v>822</v>
      </c>
      <c r="AW1441" t="s">
        <v>186</v>
      </c>
      <c r="AX1441" t="s">
        <v>740</v>
      </c>
      <c r="AY1441" t="s">
        <v>3672</v>
      </c>
      <c r="AZ1441" t="s">
        <v>3673</v>
      </c>
      <c r="BA1441" t="s">
        <v>156</v>
      </c>
      <c r="BB1441" t="str">
        <f t="shared" si="22"/>
        <v>IHVNnaObi</v>
      </c>
    </row>
    <row r="1442" spans="48:54" x14ac:dyDescent="0.25">
      <c r="AV1442" t="s">
        <v>822</v>
      </c>
      <c r="AW1442" t="s">
        <v>186</v>
      </c>
      <c r="AX1442" t="s">
        <v>740</v>
      </c>
      <c r="AY1442" t="s">
        <v>3674</v>
      </c>
      <c r="AZ1442" t="s">
        <v>3675</v>
      </c>
      <c r="BA1442" t="s">
        <v>156</v>
      </c>
      <c r="BB1442" t="str">
        <f t="shared" si="22"/>
        <v>IHVNnaObi</v>
      </c>
    </row>
    <row r="1443" spans="48:54" x14ac:dyDescent="0.25">
      <c r="AV1443" t="s">
        <v>822</v>
      </c>
      <c r="AW1443" t="s">
        <v>186</v>
      </c>
      <c r="AX1443" t="s">
        <v>746</v>
      </c>
      <c r="AY1443" t="s">
        <v>3676</v>
      </c>
      <c r="AZ1443" t="s">
        <v>3677</v>
      </c>
      <c r="BA1443" t="s">
        <v>156</v>
      </c>
      <c r="BB1443" t="str">
        <f t="shared" si="22"/>
        <v>IHVNnaToto</v>
      </c>
    </row>
    <row r="1444" spans="48:54" x14ac:dyDescent="0.25">
      <c r="AV1444" t="s">
        <v>822</v>
      </c>
      <c r="AW1444" t="s">
        <v>186</v>
      </c>
      <c r="AX1444" t="s">
        <v>746</v>
      </c>
      <c r="AY1444" t="s">
        <v>3678</v>
      </c>
      <c r="AZ1444" t="s">
        <v>3679</v>
      </c>
      <c r="BA1444" t="s">
        <v>156</v>
      </c>
      <c r="BB1444" t="str">
        <f t="shared" si="22"/>
        <v>IHVNnaToto</v>
      </c>
    </row>
    <row r="1445" spans="48:54" x14ac:dyDescent="0.25">
      <c r="AV1445" t="s">
        <v>822</v>
      </c>
      <c r="AW1445" t="s">
        <v>186</v>
      </c>
      <c r="AX1445" t="s">
        <v>746</v>
      </c>
      <c r="AY1445" t="s">
        <v>3680</v>
      </c>
      <c r="AZ1445" t="s">
        <v>3681</v>
      </c>
      <c r="BA1445" t="s">
        <v>156</v>
      </c>
      <c r="BB1445" t="str">
        <f t="shared" si="22"/>
        <v>IHVNnaToto</v>
      </c>
    </row>
    <row r="1446" spans="48:54" x14ac:dyDescent="0.25">
      <c r="AV1446" t="s">
        <v>822</v>
      </c>
      <c r="AW1446" t="s">
        <v>188</v>
      </c>
      <c r="AX1446" t="s">
        <v>753</v>
      </c>
      <c r="AY1446" t="s">
        <v>3682</v>
      </c>
      <c r="AZ1446" t="s">
        <v>3683</v>
      </c>
      <c r="BA1446" t="s">
        <v>156</v>
      </c>
      <c r="BB1446" t="str">
        <f t="shared" si="22"/>
        <v>IHVNogAbeokutaNorth</v>
      </c>
    </row>
    <row r="1447" spans="48:54" x14ac:dyDescent="0.25">
      <c r="AV1447" t="s">
        <v>822</v>
      </c>
      <c r="AW1447" t="s">
        <v>188</v>
      </c>
      <c r="AX1447" t="s">
        <v>754</v>
      </c>
      <c r="AY1447" t="s">
        <v>3684</v>
      </c>
      <c r="AZ1447" t="s">
        <v>3685</v>
      </c>
      <c r="BA1447" t="s">
        <v>156</v>
      </c>
      <c r="BB1447" t="str">
        <f t="shared" si="22"/>
        <v>IHVNogAbeokutaSouth</v>
      </c>
    </row>
    <row r="1448" spans="48:54" x14ac:dyDescent="0.25">
      <c r="AV1448" t="s">
        <v>822</v>
      </c>
      <c r="AW1448" t="s">
        <v>188</v>
      </c>
      <c r="AX1448" t="s">
        <v>754</v>
      </c>
      <c r="AY1448" t="s">
        <v>3686</v>
      </c>
      <c r="AZ1448" t="s">
        <v>3687</v>
      </c>
      <c r="BA1448" t="s">
        <v>156</v>
      </c>
      <c r="BB1448" t="str">
        <f t="shared" si="22"/>
        <v>IHVNogAbeokutaSouth</v>
      </c>
    </row>
    <row r="1449" spans="48:54" x14ac:dyDescent="0.25">
      <c r="AV1449" t="s">
        <v>822</v>
      </c>
      <c r="AW1449" t="s">
        <v>188</v>
      </c>
      <c r="AX1449" t="s">
        <v>752</v>
      </c>
      <c r="AY1449" t="s">
        <v>3688</v>
      </c>
      <c r="AZ1449" t="s">
        <v>3689</v>
      </c>
      <c r="BA1449" t="s">
        <v>156</v>
      </c>
      <c r="BB1449" t="str">
        <f t="shared" si="22"/>
        <v>IHVNogIfo</v>
      </c>
    </row>
    <row r="1450" spans="48:54" x14ac:dyDescent="0.25">
      <c r="AV1450" t="s">
        <v>822</v>
      </c>
      <c r="AW1450" t="s">
        <v>188</v>
      </c>
      <c r="AX1450" t="s">
        <v>752</v>
      </c>
      <c r="AY1450" t="s">
        <v>3690</v>
      </c>
      <c r="AZ1450" t="s">
        <v>3691</v>
      </c>
      <c r="BA1450" t="s">
        <v>156</v>
      </c>
      <c r="BB1450" t="str">
        <f t="shared" si="22"/>
        <v>IHVNogIfo</v>
      </c>
    </row>
    <row r="1451" spans="48:54" x14ac:dyDescent="0.25">
      <c r="AV1451" t="s">
        <v>822</v>
      </c>
      <c r="AW1451" t="s">
        <v>188</v>
      </c>
      <c r="AX1451" t="s">
        <v>755</v>
      </c>
      <c r="AY1451" t="s">
        <v>3692</v>
      </c>
      <c r="AZ1451" t="s">
        <v>3693</v>
      </c>
      <c r="BA1451" t="s">
        <v>156</v>
      </c>
      <c r="BB1451" t="str">
        <f t="shared" si="22"/>
        <v>IHVNogIjebuOde</v>
      </c>
    </row>
    <row r="1452" spans="48:54" x14ac:dyDescent="0.25">
      <c r="AV1452" t="s">
        <v>822</v>
      </c>
      <c r="AW1452" t="s">
        <v>188</v>
      </c>
      <c r="AX1452" t="s">
        <v>755</v>
      </c>
      <c r="AY1452" t="s">
        <v>3694</v>
      </c>
      <c r="AZ1452" t="s">
        <v>3695</v>
      </c>
      <c r="BA1452" t="s">
        <v>156</v>
      </c>
      <c r="BB1452" t="str">
        <f t="shared" si="22"/>
        <v>IHVNogIjebuOde</v>
      </c>
    </row>
    <row r="1453" spans="48:54" x14ac:dyDescent="0.25">
      <c r="AV1453" t="s">
        <v>822</v>
      </c>
      <c r="AW1453" t="s">
        <v>188</v>
      </c>
      <c r="AX1453" t="s">
        <v>756</v>
      </c>
      <c r="AY1453" t="s">
        <v>3696</v>
      </c>
      <c r="AZ1453" t="s">
        <v>3697</v>
      </c>
      <c r="BA1453" t="s">
        <v>156</v>
      </c>
      <c r="BB1453" t="str">
        <f t="shared" si="22"/>
        <v>IHVNogSagamu</v>
      </c>
    </row>
    <row r="1454" spans="48:54" x14ac:dyDescent="0.25">
      <c r="AV1454" t="s">
        <v>822</v>
      </c>
      <c r="AW1454" t="s">
        <v>188</v>
      </c>
      <c r="AX1454" t="s">
        <v>756</v>
      </c>
      <c r="AY1454" t="s">
        <v>3698</v>
      </c>
      <c r="AZ1454" t="s">
        <v>3699</v>
      </c>
      <c r="BA1454" t="s">
        <v>156</v>
      </c>
      <c r="BB1454" t="str">
        <f t="shared" si="22"/>
        <v>IHVNogSagamu</v>
      </c>
    </row>
    <row r="1455" spans="48:54" x14ac:dyDescent="0.25">
      <c r="AV1455" t="s">
        <v>822</v>
      </c>
      <c r="AW1455" t="s">
        <v>189</v>
      </c>
      <c r="AX1455" t="s">
        <v>761</v>
      </c>
      <c r="AY1455" t="s">
        <v>3700</v>
      </c>
      <c r="AZ1455" t="s">
        <v>3701</v>
      </c>
      <c r="BA1455" t="s">
        <v>156</v>
      </c>
      <c r="BB1455" t="str">
        <f t="shared" si="22"/>
        <v>IHVNonAkokoNorthEast</v>
      </c>
    </row>
    <row r="1456" spans="48:54" x14ac:dyDescent="0.25">
      <c r="AV1456" t="s">
        <v>822</v>
      </c>
      <c r="AW1456" t="s">
        <v>189</v>
      </c>
      <c r="AX1456" t="s">
        <v>757</v>
      </c>
      <c r="AY1456" t="s">
        <v>3702</v>
      </c>
      <c r="AZ1456" t="s">
        <v>3703</v>
      </c>
      <c r="BA1456" t="s">
        <v>156</v>
      </c>
      <c r="BB1456" t="str">
        <f t="shared" si="22"/>
        <v>IHVNonAkokoSouthWest</v>
      </c>
    </row>
    <row r="1457" spans="48:54" x14ac:dyDescent="0.25">
      <c r="AV1457" t="s">
        <v>822</v>
      </c>
      <c r="AW1457" t="s">
        <v>189</v>
      </c>
      <c r="AX1457" t="s">
        <v>762</v>
      </c>
      <c r="AY1457" t="s">
        <v>3704</v>
      </c>
      <c r="AZ1457" t="s">
        <v>3705</v>
      </c>
      <c r="BA1457" t="s">
        <v>156</v>
      </c>
      <c r="BB1457" t="str">
        <f t="shared" si="22"/>
        <v>IHVNonAkureSouth</v>
      </c>
    </row>
    <row r="1458" spans="48:54" x14ac:dyDescent="0.25">
      <c r="AV1458" t="s">
        <v>822</v>
      </c>
      <c r="AW1458" t="s">
        <v>189</v>
      </c>
      <c r="AX1458" t="s">
        <v>762</v>
      </c>
      <c r="AY1458" t="s">
        <v>3706</v>
      </c>
      <c r="AZ1458" t="s">
        <v>3707</v>
      </c>
      <c r="BA1458" t="s">
        <v>156</v>
      </c>
      <c r="BB1458" t="str">
        <f t="shared" si="22"/>
        <v>IHVNonAkureSouth</v>
      </c>
    </row>
    <row r="1459" spans="48:54" x14ac:dyDescent="0.25">
      <c r="AV1459" t="s">
        <v>822</v>
      </c>
      <c r="AW1459" t="s">
        <v>189</v>
      </c>
      <c r="AX1459" t="s">
        <v>762</v>
      </c>
      <c r="AY1459" t="s">
        <v>3708</v>
      </c>
      <c r="AZ1459" t="s">
        <v>3709</v>
      </c>
      <c r="BA1459" t="s">
        <v>156</v>
      </c>
      <c r="BB1459" t="str">
        <f t="shared" si="22"/>
        <v>IHVNonAkureSouth</v>
      </c>
    </row>
    <row r="1460" spans="48:54" x14ac:dyDescent="0.25">
      <c r="AV1460" t="s">
        <v>822</v>
      </c>
      <c r="AW1460" t="s">
        <v>189</v>
      </c>
      <c r="AX1460" t="s">
        <v>763</v>
      </c>
      <c r="AY1460" t="s">
        <v>3710</v>
      </c>
      <c r="AZ1460" t="s">
        <v>3711</v>
      </c>
      <c r="BA1460" t="s">
        <v>156</v>
      </c>
      <c r="BB1460" t="str">
        <f t="shared" si="22"/>
        <v>IHVNonOdigbo</v>
      </c>
    </row>
    <row r="1461" spans="48:54" x14ac:dyDescent="0.25">
      <c r="AV1461" t="s">
        <v>822</v>
      </c>
      <c r="AW1461" t="s">
        <v>189</v>
      </c>
      <c r="AX1461" t="s">
        <v>759</v>
      </c>
      <c r="AY1461" t="s">
        <v>3712</v>
      </c>
      <c r="AZ1461" t="s">
        <v>3713</v>
      </c>
      <c r="BA1461" t="s">
        <v>156</v>
      </c>
      <c r="BB1461" t="str">
        <f t="shared" si="22"/>
        <v>IHVNonOndoWest</v>
      </c>
    </row>
    <row r="1462" spans="48:54" x14ac:dyDescent="0.25">
      <c r="AV1462" t="s">
        <v>822</v>
      </c>
      <c r="AW1462" t="s">
        <v>189</v>
      </c>
      <c r="AX1462" t="s">
        <v>760</v>
      </c>
      <c r="AY1462" t="s">
        <v>3714</v>
      </c>
      <c r="AZ1462" t="s">
        <v>3715</v>
      </c>
      <c r="BA1462" t="s">
        <v>156</v>
      </c>
      <c r="BB1462" t="str">
        <f t="shared" si="22"/>
        <v>IHVNonOwo</v>
      </c>
    </row>
    <row r="1463" spans="48:54" x14ac:dyDescent="0.25">
      <c r="AV1463" t="s">
        <v>822</v>
      </c>
      <c r="AW1463" t="s">
        <v>190</v>
      </c>
      <c r="AX1463" t="s">
        <v>767</v>
      </c>
      <c r="AY1463" t="s">
        <v>3716</v>
      </c>
      <c r="AZ1463" t="s">
        <v>3717</v>
      </c>
      <c r="BA1463" t="s">
        <v>156</v>
      </c>
      <c r="BB1463" t="str">
        <f t="shared" si="22"/>
        <v>IHVNosEdeSouth</v>
      </c>
    </row>
    <row r="1464" spans="48:54" x14ac:dyDescent="0.25">
      <c r="AV1464" t="s">
        <v>822</v>
      </c>
      <c r="AW1464" t="s">
        <v>190</v>
      </c>
      <c r="AX1464" t="s">
        <v>768</v>
      </c>
      <c r="AY1464" t="s">
        <v>3718</v>
      </c>
      <c r="AZ1464" t="s">
        <v>3719</v>
      </c>
      <c r="BA1464" t="s">
        <v>156</v>
      </c>
      <c r="BB1464" t="str">
        <f t="shared" si="22"/>
        <v>IHVNosIfeCentral</v>
      </c>
    </row>
    <row r="1465" spans="48:54" x14ac:dyDescent="0.25">
      <c r="AV1465" t="s">
        <v>822</v>
      </c>
      <c r="AW1465" t="s">
        <v>190</v>
      </c>
      <c r="AX1465" t="s">
        <v>768</v>
      </c>
      <c r="AY1465" t="s">
        <v>3720</v>
      </c>
      <c r="AZ1465" t="s">
        <v>3721</v>
      </c>
      <c r="BA1465" t="s">
        <v>156</v>
      </c>
      <c r="BB1465" t="str">
        <f t="shared" si="22"/>
        <v>IHVNosIfeCentral</v>
      </c>
    </row>
    <row r="1466" spans="48:54" x14ac:dyDescent="0.25">
      <c r="AV1466" t="s">
        <v>822</v>
      </c>
      <c r="AW1466" t="s">
        <v>190</v>
      </c>
      <c r="AX1466" t="s">
        <v>769</v>
      </c>
      <c r="AY1466" t="s">
        <v>3722</v>
      </c>
      <c r="AZ1466" t="s">
        <v>3723</v>
      </c>
      <c r="BA1466" t="s">
        <v>156</v>
      </c>
      <c r="BB1466" t="str">
        <f t="shared" si="22"/>
        <v>IHVNosIla</v>
      </c>
    </row>
    <row r="1467" spans="48:54" x14ac:dyDescent="0.25">
      <c r="AV1467" t="s">
        <v>822</v>
      </c>
      <c r="AW1467" t="s">
        <v>190</v>
      </c>
      <c r="AX1467" t="s">
        <v>769</v>
      </c>
      <c r="AY1467" t="s">
        <v>3724</v>
      </c>
      <c r="AZ1467" t="s">
        <v>3725</v>
      </c>
      <c r="BA1467" t="s">
        <v>156</v>
      </c>
      <c r="BB1467" t="str">
        <f t="shared" si="22"/>
        <v>IHVNosIla</v>
      </c>
    </row>
    <row r="1468" spans="48:54" x14ac:dyDescent="0.25">
      <c r="AV1468" t="s">
        <v>822</v>
      </c>
      <c r="AW1468" t="s">
        <v>190</v>
      </c>
      <c r="AX1468" t="s">
        <v>770</v>
      </c>
      <c r="AY1468" t="s">
        <v>3726</v>
      </c>
      <c r="AZ1468" t="s">
        <v>3727</v>
      </c>
      <c r="BA1468" t="s">
        <v>156</v>
      </c>
      <c r="BB1468" t="str">
        <f t="shared" si="22"/>
        <v>IHVNosIleshaEast</v>
      </c>
    </row>
    <row r="1469" spans="48:54" x14ac:dyDescent="0.25">
      <c r="AV1469" t="s">
        <v>822</v>
      </c>
      <c r="AW1469" t="s">
        <v>190</v>
      </c>
      <c r="AX1469" t="s">
        <v>771</v>
      </c>
      <c r="AY1469" t="s">
        <v>3728</v>
      </c>
      <c r="AZ1469" t="s">
        <v>3729</v>
      </c>
      <c r="BA1469" t="s">
        <v>156</v>
      </c>
      <c r="BB1469" t="str">
        <f t="shared" si="22"/>
        <v>IHVNosIrewole</v>
      </c>
    </row>
    <row r="1470" spans="48:54" x14ac:dyDescent="0.25">
      <c r="AV1470" t="s">
        <v>822</v>
      </c>
      <c r="AW1470" t="s">
        <v>190</v>
      </c>
      <c r="AX1470" t="s">
        <v>771</v>
      </c>
      <c r="AY1470" t="s">
        <v>3730</v>
      </c>
      <c r="AZ1470" t="s">
        <v>3731</v>
      </c>
      <c r="BA1470" t="s">
        <v>156</v>
      </c>
      <c r="BB1470" t="str">
        <f t="shared" si="22"/>
        <v>IHVNosIrewole</v>
      </c>
    </row>
    <row r="1471" spans="48:54" x14ac:dyDescent="0.25">
      <c r="AV1471" t="s">
        <v>822</v>
      </c>
      <c r="AW1471" t="s">
        <v>190</v>
      </c>
      <c r="AX1471" t="s">
        <v>766</v>
      </c>
      <c r="AY1471" t="s">
        <v>3732</v>
      </c>
      <c r="AZ1471" t="s">
        <v>3733</v>
      </c>
      <c r="BA1471" t="s">
        <v>156</v>
      </c>
      <c r="BB1471" t="str">
        <f t="shared" si="22"/>
        <v>IHVNosIwo</v>
      </c>
    </row>
    <row r="1472" spans="48:54" x14ac:dyDescent="0.25">
      <c r="AV1472" t="s">
        <v>822</v>
      </c>
      <c r="AW1472" t="s">
        <v>190</v>
      </c>
      <c r="AX1472" t="s">
        <v>772</v>
      </c>
      <c r="AY1472" t="s">
        <v>3734</v>
      </c>
      <c r="AZ1472" t="s">
        <v>3735</v>
      </c>
      <c r="BA1472" t="s">
        <v>156</v>
      </c>
      <c r="BB1472" t="str">
        <f t="shared" si="22"/>
        <v>IHVNosOsogbo</v>
      </c>
    </row>
    <row r="1473" spans="48:54" x14ac:dyDescent="0.25">
      <c r="AV1473" t="s">
        <v>822</v>
      </c>
      <c r="AW1473" t="s">
        <v>175</v>
      </c>
      <c r="AX1473" t="s">
        <v>642</v>
      </c>
      <c r="AY1473" t="s">
        <v>3736</v>
      </c>
      <c r="AZ1473" t="s">
        <v>3737</v>
      </c>
      <c r="BA1473" t="s">
        <v>571</v>
      </c>
      <c r="BB1473" t="str">
        <f t="shared" si="22"/>
        <v>PHIfcKwali</v>
      </c>
    </row>
    <row r="1474" spans="48:54" x14ac:dyDescent="0.25">
      <c r="AV1474" t="s">
        <v>822</v>
      </c>
      <c r="AW1474" t="s">
        <v>175</v>
      </c>
      <c r="AX1474" t="s">
        <v>642</v>
      </c>
      <c r="AY1474" t="s">
        <v>3738</v>
      </c>
      <c r="AZ1474" t="s">
        <v>3739</v>
      </c>
      <c r="BA1474" t="s">
        <v>571</v>
      </c>
      <c r="BB1474" t="str">
        <f t="shared" si="22"/>
        <v>PHIfcKwali</v>
      </c>
    </row>
    <row r="1475" spans="48:54" x14ac:dyDescent="0.25">
      <c r="AV1475" t="s">
        <v>822</v>
      </c>
      <c r="AW1475" t="s">
        <v>175</v>
      </c>
      <c r="AX1475" t="s">
        <v>642</v>
      </c>
      <c r="AY1475" t="s">
        <v>3740</v>
      </c>
      <c r="AZ1475" t="s">
        <v>3741</v>
      </c>
      <c r="BA1475" t="s">
        <v>571</v>
      </c>
      <c r="BB1475" t="str">
        <f t="shared" ref="BB1475:BB1504" si="23">SUBSTITUTE(SUBSTITUTE(BA1475&amp;AX1475," ",""),"-","")</f>
        <v>PHIfcKwali</v>
      </c>
    </row>
    <row r="1476" spans="48:54" x14ac:dyDescent="0.25">
      <c r="AV1476" t="s">
        <v>822</v>
      </c>
      <c r="AW1476" t="s">
        <v>175</v>
      </c>
      <c r="AX1476" t="s">
        <v>642</v>
      </c>
      <c r="AY1476" t="s">
        <v>3742</v>
      </c>
      <c r="AZ1476" t="s">
        <v>3743</v>
      </c>
      <c r="BA1476" t="s">
        <v>571</v>
      </c>
      <c r="BB1476" t="str">
        <f t="shared" si="23"/>
        <v>PHIfcKwali</v>
      </c>
    </row>
    <row r="1477" spans="48:54" x14ac:dyDescent="0.25">
      <c r="AV1477" t="s">
        <v>822</v>
      </c>
      <c r="AW1477" t="s">
        <v>175</v>
      </c>
      <c r="AX1477" t="s">
        <v>642</v>
      </c>
      <c r="AY1477" t="s">
        <v>3744</v>
      </c>
      <c r="AZ1477" t="s">
        <v>3745</v>
      </c>
      <c r="BA1477" t="s">
        <v>571</v>
      </c>
      <c r="BB1477" t="str">
        <f t="shared" si="23"/>
        <v>PHIfcKwali</v>
      </c>
    </row>
    <row r="1478" spans="48:54" x14ac:dyDescent="0.25">
      <c r="AV1478" t="s">
        <v>822</v>
      </c>
      <c r="AW1478" t="s">
        <v>186</v>
      </c>
      <c r="AX1478" t="s">
        <v>736</v>
      </c>
      <c r="AY1478" t="s">
        <v>3746</v>
      </c>
      <c r="AZ1478" t="s">
        <v>3747</v>
      </c>
      <c r="BA1478" t="s">
        <v>571</v>
      </c>
      <c r="BB1478" t="str">
        <f t="shared" si="23"/>
        <v>PHInaAkwanga</v>
      </c>
    </row>
    <row r="1479" spans="48:54" x14ac:dyDescent="0.25">
      <c r="AV1479" t="s">
        <v>822</v>
      </c>
      <c r="AW1479" t="s">
        <v>186</v>
      </c>
      <c r="AX1479" t="s">
        <v>736</v>
      </c>
      <c r="AY1479" t="s">
        <v>3748</v>
      </c>
      <c r="AZ1479" t="s">
        <v>3749</v>
      </c>
      <c r="BA1479" t="s">
        <v>571</v>
      </c>
      <c r="BB1479" t="str">
        <f t="shared" si="23"/>
        <v>PHInaAkwanga</v>
      </c>
    </row>
    <row r="1480" spans="48:54" x14ac:dyDescent="0.25">
      <c r="AV1480" t="s">
        <v>822</v>
      </c>
      <c r="AW1480" t="s">
        <v>186</v>
      </c>
      <c r="AX1480" t="s">
        <v>736</v>
      </c>
      <c r="AY1480" t="s">
        <v>3750</v>
      </c>
      <c r="AZ1480" t="s">
        <v>3751</v>
      </c>
      <c r="BA1480" t="s">
        <v>571</v>
      </c>
      <c r="BB1480" t="str">
        <f t="shared" si="23"/>
        <v>PHInaAkwanga</v>
      </c>
    </row>
    <row r="1481" spans="48:54" x14ac:dyDescent="0.25">
      <c r="AV1481" t="s">
        <v>822</v>
      </c>
      <c r="AW1481" t="s">
        <v>186</v>
      </c>
      <c r="AX1481" t="s">
        <v>736</v>
      </c>
      <c r="AY1481" t="s">
        <v>3752</v>
      </c>
      <c r="AZ1481" t="s">
        <v>3753</v>
      </c>
      <c r="BA1481" t="s">
        <v>571</v>
      </c>
      <c r="BB1481" t="str">
        <f t="shared" si="23"/>
        <v>PHInaAkwanga</v>
      </c>
    </row>
    <row r="1482" spans="48:54" x14ac:dyDescent="0.25">
      <c r="AV1482" t="s">
        <v>822</v>
      </c>
      <c r="AW1482" t="s">
        <v>186</v>
      </c>
      <c r="AX1482" t="s">
        <v>736</v>
      </c>
      <c r="AY1482" t="s">
        <v>3754</v>
      </c>
      <c r="AZ1482" t="s">
        <v>3755</v>
      </c>
      <c r="BA1482" t="s">
        <v>571</v>
      </c>
      <c r="BB1482" t="str">
        <f t="shared" si="23"/>
        <v>PHInaAkwanga</v>
      </c>
    </row>
    <row r="1483" spans="48:54" x14ac:dyDescent="0.25">
      <c r="AV1483" t="s">
        <v>822</v>
      </c>
      <c r="AW1483" t="s">
        <v>186</v>
      </c>
      <c r="AX1483" t="s">
        <v>736</v>
      </c>
      <c r="AY1483" t="s">
        <v>3756</v>
      </c>
      <c r="AZ1483" t="s">
        <v>3757</v>
      </c>
      <c r="BA1483" t="s">
        <v>571</v>
      </c>
      <c r="BB1483" t="str">
        <f t="shared" si="23"/>
        <v>PHInaAkwanga</v>
      </c>
    </row>
    <row r="1484" spans="48:54" x14ac:dyDescent="0.25">
      <c r="AV1484" t="s">
        <v>822</v>
      </c>
      <c r="AW1484" t="s">
        <v>186</v>
      </c>
      <c r="AX1484" t="s">
        <v>736</v>
      </c>
      <c r="AY1484" t="s">
        <v>3758</v>
      </c>
      <c r="AZ1484" t="s">
        <v>3759</v>
      </c>
      <c r="BA1484" t="s">
        <v>571</v>
      </c>
      <c r="BB1484" t="str">
        <f t="shared" si="23"/>
        <v>PHInaAkwanga</v>
      </c>
    </row>
    <row r="1485" spans="48:54" x14ac:dyDescent="0.25">
      <c r="AV1485" t="s">
        <v>822</v>
      </c>
      <c r="AW1485" t="s">
        <v>186</v>
      </c>
      <c r="AX1485" t="s">
        <v>736</v>
      </c>
      <c r="AY1485" t="s">
        <v>3760</v>
      </c>
      <c r="AZ1485" t="s">
        <v>3761</v>
      </c>
      <c r="BA1485" t="s">
        <v>571</v>
      </c>
      <c r="BB1485" t="str">
        <f t="shared" si="23"/>
        <v>PHInaAkwanga</v>
      </c>
    </row>
    <row r="1486" spans="48:54" x14ac:dyDescent="0.25">
      <c r="AV1486" t="s">
        <v>822</v>
      </c>
      <c r="AW1486" t="s">
        <v>186</v>
      </c>
      <c r="AX1486" t="s">
        <v>736</v>
      </c>
      <c r="AY1486" t="s">
        <v>3762</v>
      </c>
      <c r="AZ1486" t="s">
        <v>3763</v>
      </c>
      <c r="BA1486" t="s">
        <v>571</v>
      </c>
      <c r="BB1486" t="str">
        <f t="shared" si="23"/>
        <v>PHInaAkwanga</v>
      </c>
    </row>
    <row r="1487" spans="48:54" x14ac:dyDescent="0.25">
      <c r="AV1487" t="s">
        <v>822</v>
      </c>
      <c r="AW1487" t="s">
        <v>186</v>
      </c>
      <c r="AX1487" t="s">
        <v>745</v>
      </c>
      <c r="AY1487" t="s">
        <v>3764</v>
      </c>
      <c r="AZ1487" t="s">
        <v>3765</v>
      </c>
      <c r="BA1487" t="s">
        <v>571</v>
      </c>
      <c r="BB1487" t="str">
        <f t="shared" si="23"/>
        <v>PHInaNasarawaEggon</v>
      </c>
    </row>
    <row r="1488" spans="48:54" x14ac:dyDescent="0.25">
      <c r="AV1488" t="s">
        <v>822</v>
      </c>
      <c r="AW1488" t="s">
        <v>186</v>
      </c>
      <c r="AX1488" t="s">
        <v>745</v>
      </c>
      <c r="AY1488" t="s">
        <v>3766</v>
      </c>
      <c r="AZ1488" t="s">
        <v>3767</v>
      </c>
      <c r="BA1488" t="s">
        <v>571</v>
      </c>
      <c r="BB1488" t="str">
        <f t="shared" si="23"/>
        <v>PHInaNasarawaEggon</v>
      </c>
    </row>
    <row r="1489" spans="48:54" x14ac:dyDescent="0.25">
      <c r="AV1489" t="s">
        <v>822</v>
      </c>
      <c r="AW1489" t="s">
        <v>186</v>
      </c>
      <c r="AX1489" t="s">
        <v>745</v>
      </c>
      <c r="AY1489" t="s">
        <v>3768</v>
      </c>
      <c r="AZ1489" t="s">
        <v>3769</v>
      </c>
      <c r="BA1489" t="s">
        <v>571</v>
      </c>
      <c r="BB1489" t="str">
        <f t="shared" si="23"/>
        <v>PHInaNasarawaEggon</v>
      </c>
    </row>
    <row r="1490" spans="48:54" x14ac:dyDescent="0.25">
      <c r="AV1490" t="s">
        <v>822</v>
      </c>
      <c r="AW1490" t="s">
        <v>186</v>
      </c>
      <c r="AX1490" t="s">
        <v>747</v>
      </c>
      <c r="AY1490" t="s">
        <v>3770</v>
      </c>
      <c r="AZ1490" t="s">
        <v>3771</v>
      </c>
      <c r="BA1490" t="s">
        <v>571</v>
      </c>
      <c r="BB1490" t="str">
        <f t="shared" si="23"/>
        <v>PHInaWamba</v>
      </c>
    </row>
    <row r="1491" spans="48:54" x14ac:dyDescent="0.25">
      <c r="AV1491" t="s">
        <v>822</v>
      </c>
      <c r="AW1491" t="s">
        <v>186</v>
      </c>
      <c r="AX1491" t="s">
        <v>747</v>
      </c>
      <c r="AY1491" t="s">
        <v>3772</v>
      </c>
      <c r="AZ1491" t="s">
        <v>3773</v>
      </c>
      <c r="BA1491" t="s">
        <v>571</v>
      </c>
      <c r="BB1491" t="str">
        <f t="shared" si="23"/>
        <v>PHInaWamba</v>
      </c>
    </row>
    <row r="1492" spans="48:54" x14ac:dyDescent="0.25">
      <c r="AV1492" t="s">
        <v>822</v>
      </c>
      <c r="AW1492" t="s">
        <v>186</v>
      </c>
      <c r="AX1492" t="s">
        <v>747</v>
      </c>
      <c r="AY1492" t="s">
        <v>3774</v>
      </c>
      <c r="AZ1492" t="s">
        <v>3775</v>
      </c>
      <c r="BA1492" t="s">
        <v>571</v>
      </c>
      <c r="BB1492" t="str">
        <f t="shared" si="23"/>
        <v>PHInaWamba</v>
      </c>
    </row>
    <row r="1493" spans="48:54" x14ac:dyDescent="0.25">
      <c r="AV1493" t="s">
        <v>822</v>
      </c>
      <c r="AW1493" t="s">
        <v>186</v>
      </c>
      <c r="AX1493" t="s">
        <v>747</v>
      </c>
      <c r="AY1493" t="s">
        <v>3776</v>
      </c>
      <c r="AZ1493" t="s">
        <v>3777</v>
      </c>
      <c r="BA1493" t="s">
        <v>571</v>
      </c>
      <c r="BB1493" t="str">
        <f t="shared" si="23"/>
        <v>PHInaWamba</v>
      </c>
    </row>
    <row r="1494" spans="48:54" x14ac:dyDescent="0.25">
      <c r="AV1494" t="s">
        <v>822</v>
      </c>
      <c r="AW1494" t="s">
        <v>186</v>
      </c>
      <c r="AX1494" t="s">
        <v>747</v>
      </c>
      <c r="AY1494" t="s">
        <v>3778</v>
      </c>
      <c r="AZ1494" t="s">
        <v>3779</v>
      </c>
      <c r="BA1494" t="s">
        <v>571</v>
      </c>
      <c r="BB1494" t="str">
        <f t="shared" si="23"/>
        <v>PHInaWamba</v>
      </c>
    </row>
    <row r="1495" spans="48:54" x14ac:dyDescent="0.25">
      <c r="AV1495" t="s">
        <v>822</v>
      </c>
      <c r="AW1495" t="s">
        <v>186</v>
      </c>
      <c r="AX1495" t="s">
        <v>747</v>
      </c>
      <c r="AY1495" t="s">
        <v>3780</v>
      </c>
      <c r="AZ1495" t="s">
        <v>3781</v>
      </c>
      <c r="BA1495" t="s">
        <v>571</v>
      </c>
      <c r="BB1495" t="str">
        <f t="shared" si="23"/>
        <v>PHInaWamba</v>
      </c>
    </row>
    <row r="1496" spans="48:54" x14ac:dyDescent="0.25">
      <c r="AV1496" t="s">
        <v>822</v>
      </c>
      <c r="AW1496" t="s">
        <v>192</v>
      </c>
      <c r="AX1496" t="s">
        <v>815</v>
      </c>
      <c r="AY1496" t="s">
        <v>3782</v>
      </c>
      <c r="AZ1496" t="s">
        <v>3783</v>
      </c>
      <c r="BA1496" t="s">
        <v>571</v>
      </c>
      <c r="BB1496" t="str">
        <f t="shared" si="23"/>
        <v>PHIplKanam</v>
      </c>
    </row>
    <row r="1497" spans="48:54" x14ac:dyDescent="0.25">
      <c r="AV1497" t="s">
        <v>822</v>
      </c>
      <c r="AW1497" t="s">
        <v>192</v>
      </c>
      <c r="AX1497" t="s">
        <v>815</v>
      </c>
      <c r="AY1497" t="s">
        <v>3784</v>
      </c>
      <c r="AZ1497" t="s">
        <v>3785</v>
      </c>
      <c r="BA1497" t="s">
        <v>571</v>
      </c>
      <c r="BB1497" t="str">
        <f t="shared" si="23"/>
        <v>PHIplKanam</v>
      </c>
    </row>
    <row r="1498" spans="48:54" x14ac:dyDescent="0.25">
      <c r="AV1498" t="s">
        <v>822</v>
      </c>
      <c r="AW1498" t="s">
        <v>192</v>
      </c>
      <c r="AX1498" t="s">
        <v>815</v>
      </c>
      <c r="AY1498" t="s">
        <v>3786</v>
      </c>
      <c r="AZ1498" t="s">
        <v>3787</v>
      </c>
      <c r="BA1498" t="s">
        <v>571</v>
      </c>
      <c r="BB1498" t="str">
        <f t="shared" si="23"/>
        <v>PHIplKanam</v>
      </c>
    </row>
    <row r="1499" spans="48:54" x14ac:dyDescent="0.25">
      <c r="AV1499" t="s">
        <v>822</v>
      </c>
      <c r="AW1499" t="s">
        <v>192</v>
      </c>
      <c r="AX1499" t="s">
        <v>816</v>
      </c>
      <c r="AY1499" t="s">
        <v>3788</v>
      </c>
      <c r="AZ1499" t="s">
        <v>3789</v>
      </c>
      <c r="BA1499" t="s">
        <v>571</v>
      </c>
      <c r="BB1499" t="str">
        <f t="shared" si="23"/>
        <v>PHIplKanke</v>
      </c>
    </row>
    <row r="1500" spans="48:54" x14ac:dyDescent="0.25">
      <c r="AV1500" t="s">
        <v>822</v>
      </c>
      <c r="AW1500" t="s">
        <v>192</v>
      </c>
      <c r="AX1500" t="s">
        <v>816</v>
      </c>
      <c r="AY1500" t="s">
        <v>3790</v>
      </c>
      <c r="AZ1500" t="s">
        <v>3791</v>
      </c>
      <c r="BA1500" t="s">
        <v>571</v>
      </c>
      <c r="BB1500" t="str">
        <f t="shared" si="23"/>
        <v>PHIplKanke</v>
      </c>
    </row>
    <row r="1501" spans="48:54" x14ac:dyDescent="0.25">
      <c r="AV1501" t="s">
        <v>822</v>
      </c>
      <c r="AW1501" t="s">
        <v>192</v>
      </c>
      <c r="AX1501" t="s">
        <v>817</v>
      </c>
      <c r="AY1501" t="s">
        <v>3792</v>
      </c>
      <c r="AZ1501" t="s">
        <v>3793</v>
      </c>
      <c r="BA1501" t="s">
        <v>571</v>
      </c>
      <c r="BB1501" t="str">
        <f t="shared" si="23"/>
        <v>PHIplLangtangSouth</v>
      </c>
    </row>
    <row r="1502" spans="48:54" x14ac:dyDescent="0.25">
      <c r="AV1502" t="s">
        <v>822</v>
      </c>
      <c r="AW1502" t="s">
        <v>192</v>
      </c>
      <c r="AX1502" t="s">
        <v>817</v>
      </c>
      <c r="AY1502" t="s">
        <v>3794</v>
      </c>
      <c r="AZ1502" t="s">
        <v>3795</v>
      </c>
      <c r="BA1502" t="s">
        <v>571</v>
      </c>
      <c r="BB1502" t="str">
        <f t="shared" si="23"/>
        <v>PHIplLangtangSouth</v>
      </c>
    </row>
    <row r="1503" spans="48:54" x14ac:dyDescent="0.25">
      <c r="AV1503" t="s">
        <v>822</v>
      </c>
      <c r="AW1503" t="s">
        <v>192</v>
      </c>
      <c r="AX1503" t="s">
        <v>818</v>
      </c>
      <c r="AY1503" t="s">
        <v>3796</v>
      </c>
      <c r="AZ1503" t="s">
        <v>3797</v>
      </c>
      <c r="BA1503" t="s">
        <v>571</v>
      </c>
      <c r="BB1503" t="str">
        <f t="shared" si="23"/>
        <v>PHIplMikang</v>
      </c>
    </row>
    <row r="1504" spans="48:54" x14ac:dyDescent="0.25">
      <c r="AV1504" t="s">
        <v>822</v>
      </c>
      <c r="AW1504" t="s">
        <v>192</v>
      </c>
      <c r="AX1504" t="s">
        <v>818</v>
      </c>
      <c r="AY1504" t="s">
        <v>3798</v>
      </c>
      <c r="AZ1504" t="s">
        <v>3799</v>
      </c>
      <c r="BA1504" t="s">
        <v>571</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sellesh</cp:lastModifiedBy>
  <cp:lastPrinted>2017-01-11T15:12:50Z</cp:lastPrinted>
  <dcterms:created xsi:type="dcterms:W3CDTF">2017-01-08T13:42:03Z</dcterms:created>
  <dcterms:modified xsi:type="dcterms:W3CDTF">2017-02-27T17:27:37Z</dcterms:modified>
</cp:coreProperties>
</file>