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E119" i="10"/>
  <c r="E120" i="10"/>
  <c r="E132" i="10"/>
  <c r="E126" i="10"/>
  <c r="E121" i="10"/>
  <c r="E124" i="10"/>
  <c r="J15" i="12"/>
  <c r="I15" i="12"/>
  <c r="E123" i="10"/>
  <c r="E122" i="10"/>
  <c r="E136" i="10"/>
  <c r="E139" i="10"/>
  <c r="E130" i="10"/>
  <c r="E133" i="10"/>
  <c r="E131" i="10"/>
  <c r="L15" i="12"/>
  <c r="E138" i="10"/>
  <c r="E135" i="10"/>
  <c r="M15" i="12"/>
  <c r="E98" i="10"/>
  <c r="E102" i="10"/>
  <c r="E108" i="10"/>
  <c r="E109" i="10"/>
  <c r="E112" i="10"/>
  <c r="E115" i="10"/>
  <c r="D110" i="10"/>
  <c r="E110" i="10"/>
  <c r="F110" i="10"/>
  <c r="D114" i="10"/>
  <c r="D113" i="10"/>
  <c r="E114" i="10"/>
  <c r="E113" i="10"/>
  <c r="F114" i="10"/>
  <c r="F113" i="10"/>
  <c r="D98" i="10"/>
  <c r="D99" i="10"/>
  <c r="D100" i="10"/>
  <c r="D97" i="10"/>
  <c r="E16" i="12"/>
  <c r="D102" i="10"/>
  <c r="D103" i="10"/>
  <c r="D104" i="10"/>
  <c r="D105" i="10"/>
  <c r="D101" i="10"/>
  <c r="F16" i="12"/>
  <c r="D94" i="10"/>
  <c r="D107" i="10"/>
  <c r="D108" i="10"/>
  <c r="D106" i="10"/>
  <c r="G16" i="12"/>
  <c r="D112" i="10"/>
  <c r="D115" i="10"/>
  <c r="D111" i="10"/>
  <c r="H16" i="12"/>
  <c r="E93" i="10"/>
  <c r="I16" i="12"/>
  <c r="E100" i="10"/>
  <c r="E99" i="10"/>
  <c r="E97" i="10"/>
  <c r="J16" i="12"/>
  <c r="E104" i="10"/>
  <c r="E105" i="10"/>
  <c r="E103" i="10"/>
  <c r="E101" i="10"/>
  <c r="K16" i="12"/>
  <c r="E94" i="10"/>
  <c r="E107" i="10"/>
  <c r="E106" i="10"/>
  <c r="L16" i="12"/>
  <c r="E111" i="10"/>
  <c r="M16" i="12"/>
  <c r="F93" i="10"/>
  <c r="N16" i="12"/>
  <c r="F98" i="10"/>
  <c r="F99" i="10"/>
  <c r="F100" i="10"/>
  <c r="F97" i="10"/>
  <c r="O16" i="12"/>
  <c r="F102" i="10"/>
  <c r="F103" i="10"/>
  <c r="F104" i="10"/>
  <c r="F105" i="10"/>
  <c r="F101" i="10"/>
  <c r="P16" i="12"/>
  <c r="F94" i="10"/>
  <c r="F107" i="10"/>
  <c r="F108" i="10"/>
  <c r="F106" i="10"/>
  <c r="Q16" i="12"/>
  <c r="F112" i="10"/>
  <c r="F115" i="10"/>
  <c r="F111" i="10"/>
  <c r="R16" i="12"/>
  <c r="F91" i="10"/>
  <c r="S16" i="12"/>
  <c r="D93" i="10"/>
  <c r="D16" i="12"/>
  <c r="T16" i="12"/>
  <c r="D95" i="10"/>
  <c r="E95" i="10"/>
  <c r="F95" i="10"/>
  <c r="D96" i="10"/>
  <c r="E96" i="10"/>
  <c r="F96" i="10"/>
  <c r="D109" i="10"/>
  <c r="F109" i="10"/>
  <c r="D63" i="10"/>
  <c r="D65" i="10"/>
  <c r="D70" i="10"/>
  <c r="D71" i="10"/>
  <c r="D62" i="10"/>
  <c r="E12" i="12"/>
  <c r="D60" i="10"/>
  <c r="D76" i="10"/>
  <c r="D77" i="10"/>
  <c r="D78" i="10"/>
  <c r="D80" i="10"/>
  <c r="G12" i="12"/>
  <c r="D73" i="10"/>
  <c r="E63" i="10"/>
  <c r="E71" i="10"/>
  <c r="E62" i="10"/>
  <c r="J12" i="12"/>
  <c r="E60" i="10"/>
  <c r="E76" i="10"/>
  <c r="E77" i="10"/>
  <c r="E78" i="10"/>
  <c r="E80" i="10"/>
  <c r="L12" i="12"/>
  <c r="E73" i="10"/>
  <c r="F58" i="10"/>
  <c r="N12" i="12"/>
  <c r="F55" i="10"/>
  <c r="F63" i="10"/>
  <c r="F64" i="10"/>
  <c r="F65" i="10"/>
  <c r="F69" i="10"/>
  <c r="F70" i="10"/>
  <c r="F71" i="10"/>
  <c r="F62" i="10"/>
  <c r="O12" i="12"/>
  <c r="F60" i="10"/>
  <c r="F77" i="10"/>
  <c r="F78" i="10"/>
  <c r="F80" i="10"/>
  <c r="Q12" i="12"/>
  <c r="F73" i="10"/>
  <c r="D68" i="10"/>
  <c r="F12" i="12"/>
  <c r="D67" i="10"/>
  <c r="E68" i="10"/>
  <c r="K12" i="12"/>
  <c r="E67" i="10"/>
  <c r="F68" i="10"/>
  <c r="P12" i="12"/>
  <c r="F67" i="10"/>
  <c r="D86" i="10"/>
  <c r="D85" i="10"/>
  <c r="H13" i="12"/>
  <c r="E72" i="10"/>
  <c r="K13" i="12"/>
  <c r="F72" i="10"/>
  <c r="P13" i="12"/>
  <c r="F86" i="10"/>
  <c r="F85" i="10"/>
  <c r="R13" i="12"/>
  <c r="D72" i="10"/>
  <c r="F13" i="12"/>
  <c r="T13" i="12"/>
  <c r="D64" i="10"/>
  <c r="E14" i="12"/>
  <c r="D69" i="10"/>
  <c r="F14" i="12"/>
  <c r="D74" i="10"/>
  <c r="G14" i="12"/>
  <c r="D89" i="10"/>
  <c r="D88" i="10"/>
  <c r="H14" i="12"/>
  <c r="E70" i="10"/>
  <c r="K14" i="12"/>
  <c r="E69" i="10"/>
  <c r="E74" i="10"/>
  <c r="L14" i="12"/>
  <c r="F57" i="10"/>
  <c r="N14" i="12"/>
  <c r="F76" i="10"/>
  <c r="P14" i="12"/>
  <c r="F75" i="10"/>
  <c r="F74" i="10"/>
  <c r="Q14" i="12"/>
  <c r="F89" i="10"/>
  <c r="F88" i="10"/>
  <c r="R14" i="12"/>
  <c r="D57" i="10"/>
  <c r="D14" i="12"/>
  <c r="T14" i="12"/>
  <c r="D58" i="10"/>
  <c r="D55" i="10"/>
  <c r="D12" i="12"/>
  <c r="T12" i="12"/>
  <c r="D14" i="10"/>
  <c r="D16" i="10"/>
  <c r="D17" i="10"/>
  <c r="D19" i="10"/>
  <c r="D20" i="10"/>
  <c r="D21" i="10"/>
  <c r="D18" i="10"/>
  <c r="D32" i="10"/>
  <c r="D34" i="10"/>
  <c r="F14" i="10"/>
  <c r="F16" i="10"/>
  <c r="F17" i="10"/>
  <c r="F19" i="10"/>
  <c r="F20" i="10"/>
  <c r="F21" i="10"/>
  <c r="F18" i="10"/>
  <c r="F32" i="10"/>
  <c r="F34" i="10"/>
  <c r="D24" i="10"/>
  <c r="D30" i="10"/>
  <c r="E30" i="10"/>
  <c r="F24" i="10"/>
  <c r="F30" i="10"/>
  <c r="K9" i="12"/>
  <c r="P9" i="12"/>
  <c r="F9" i="12"/>
  <c r="T9" i="12"/>
  <c r="E10" i="12"/>
  <c r="F10" i="12"/>
  <c r="G10" i="12"/>
  <c r="J10" i="12"/>
  <c r="E21" i="10"/>
  <c r="K10" i="12"/>
  <c r="L10" i="12"/>
  <c r="E34" i="10"/>
  <c r="N10" i="12"/>
  <c r="O10" i="12"/>
  <c r="P10" i="12"/>
  <c r="Q10" i="12"/>
  <c r="D10" i="12"/>
  <c r="T10" i="12"/>
  <c r="E29" i="10"/>
  <c r="K11" i="12"/>
  <c r="F29" i="10"/>
  <c r="P11" i="12"/>
  <c r="D29" i="10"/>
  <c r="F11" i="12"/>
  <c r="T11" i="12"/>
  <c r="D44" i="10"/>
  <c r="D43" i="10"/>
  <c r="D42" i="10"/>
  <c r="S18" i="12"/>
  <c r="F166" i="10"/>
  <c r="F167" i="10"/>
  <c r="D170" i="10"/>
  <c r="E170" i="10"/>
  <c r="F170" i="10"/>
  <c r="F176" i="10"/>
  <c r="F177" i="10"/>
  <c r="F172" i="10"/>
  <c r="F173" i="10"/>
  <c r="F174" i="10"/>
  <c r="F171" i="10"/>
  <c r="N18" i="12"/>
  <c r="E176" i="10"/>
  <c r="E177" i="10"/>
  <c r="E172" i="10"/>
  <c r="E173" i="10"/>
  <c r="E174" i="10"/>
  <c r="E171" i="10"/>
  <c r="I18" i="12"/>
  <c r="D176" i="10"/>
  <c r="D177" i="10"/>
  <c r="D172" i="10"/>
  <c r="D173" i="10"/>
  <c r="D174" i="10"/>
  <c r="D171" i="10"/>
  <c r="D18" i="12"/>
  <c r="F169" i="10"/>
  <c r="E169" i="10"/>
  <c r="D169" i="10"/>
  <c r="D178" i="10"/>
  <c r="D179" i="10"/>
  <c r="D175" i="10"/>
  <c r="E18" i="12"/>
  <c r="E178" i="10"/>
  <c r="E179" i="10"/>
  <c r="E175" i="10"/>
  <c r="J18" i="12"/>
  <c r="F178" i="10"/>
  <c r="F179" i="10"/>
  <c r="F175" i="10"/>
  <c r="O18" i="12"/>
  <c r="F201" i="10"/>
  <c r="E201" i="10"/>
  <c r="D201" i="10"/>
  <c r="F198" i="10"/>
  <c r="E198" i="10"/>
  <c r="D198" i="10"/>
  <c r="F195" i="10"/>
  <c r="F194" i="10"/>
  <c r="F193" i="10"/>
  <c r="E195" i="10"/>
  <c r="E194" i="10"/>
  <c r="E193" i="10"/>
  <c r="D195" i="10"/>
  <c r="D194" i="10"/>
  <c r="D193" i="10"/>
  <c r="F192" i="10"/>
  <c r="F190" i="10"/>
  <c r="E192" i="10"/>
  <c r="E190" i="10"/>
  <c r="D192" i="10"/>
  <c r="D190" i="10"/>
  <c r="D182" i="10"/>
  <c r="D183" i="10"/>
  <c r="D184" i="10"/>
  <c r="D185" i="10"/>
  <c r="D187" i="10"/>
  <c r="D188" i="10"/>
  <c r="D189" i="10"/>
  <c r="D186" i="10"/>
  <c r="G18" i="12"/>
  <c r="D197" i="10"/>
  <c r="D200" i="10"/>
  <c r="D191" i="10"/>
  <c r="H18" i="12"/>
  <c r="E182" i="10"/>
  <c r="E183" i="10"/>
  <c r="E184" i="10"/>
  <c r="E185" i="10"/>
  <c r="E181" i="10"/>
  <c r="K18" i="12"/>
  <c r="E187" i="10"/>
  <c r="E188" i="10"/>
  <c r="E189" i="10"/>
  <c r="E186" i="10"/>
  <c r="L18" i="12"/>
  <c r="E197" i="10"/>
  <c r="E200" i="10"/>
  <c r="E191" i="10"/>
  <c r="M18" i="12"/>
  <c r="F182" i="10"/>
  <c r="F183" i="10"/>
  <c r="F184" i="10"/>
  <c r="F185" i="10"/>
  <c r="F181" i="10"/>
  <c r="P18" i="12"/>
  <c r="F187" i="10"/>
  <c r="F188" i="10"/>
  <c r="F189" i="10"/>
  <c r="F186" i="10"/>
  <c r="Q18" i="12"/>
  <c r="F197" i="10"/>
  <c r="F200" i="10"/>
  <c r="F191" i="10"/>
  <c r="R18" i="12"/>
  <c r="D181" i="10"/>
  <c r="F18" i="12"/>
  <c r="T18" i="12"/>
  <c r="F142" i="10"/>
  <c r="D145" i="10"/>
  <c r="D146" i="10"/>
  <c r="D148" i="10"/>
  <c r="D149" i="10"/>
  <c r="D150" i="10"/>
  <c r="D147" i="10"/>
  <c r="E17" i="12"/>
  <c r="F17" i="12"/>
  <c r="D156" i="10"/>
  <c r="D157" i="10"/>
  <c r="D155" i="10"/>
  <c r="G17" i="12"/>
  <c r="D163" i="10"/>
  <c r="D160" i="10"/>
  <c r="H17" i="12"/>
  <c r="E145" i="10"/>
  <c r="E146" i="10"/>
  <c r="E144" i="10"/>
  <c r="I17" i="12"/>
  <c r="E148" i="10"/>
  <c r="E149" i="10"/>
  <c r="E150" i="10"/>
  <c r="E147" i="10"/>
  <c r="J17" i="12"/>
  <c r="E152" i="10"/>
  <c r="E153" i="10"/>
  <c r="E154" i="10"/>
  <c r="E151" i="10"/>
  <c r="K17" i="12"/>
  <c r="E156" i="10"/>
  <c r="E157" i="10"/>
  <c r="E155" i="10"/>
  <c r="L17" i="12"/>
  <c r="E163" i="10"/>
  <c r="E160" i="10"/>
  <c r="M17" i="12"/>
  <c r="F145" i="10"/>
  <c r="F146" i="10"/>
  <c r="F144" i="10"/>
  <c r="N17" i="12"/>
  <c r="F148" i="10"/>
  <c r="F149" i="10"/>
  <c r="F150" i="10"/>
  <c r="F147" i="10"/>
  <c r="O17" i="12"/>
  <c r="F152" i="10"/>
  <c r="F153" i="10"/>
  <c r="F154" i="10"/>
  <c r="F151" i="10"/>
  <c r="P17" i="12"/>
  <c r="F156" i="10"/>
  <c r="F157" i="10"/>
  <c r="F155" i="10"/>
  <c r="Q17" i="12"/>
  <c r="F163" i="10"/>
  <c r="F160" i="10"/>
  <c r="R17" i="12"/>
  <c r="F141" i="10"/>
  <c r="S17" i="12"/>
  <c r="D144" i="10"/>
  <c r="D17" i="12"/>
  <c r="T17" i="12"/>
  <c r="F164" i="10"/>
  <c r="E164" i="10"/>
  <c r="D164" i="10"/>
  <c r="F161" i="10"/>
  <c r="E161" i="10"/>
  <c r="D161" i="10"/>
  <c r="F158" i="10"/>
  <c r="E158" i="10"/>
  <c r="D158" i="10"/>
  <c r="D154" i="10"/>
  <c r="D153" i="10"/>
  <c r="D152" i="10"/>
  <c r="D151" i="10"/>
  <c r="T8" i="12"/>
  <c r="D10" i="10"/>
  <c r="D8" i="12"/>
  <c r="D15" i="10"/>
  <c r="E8" i="12"/>
  <c r="D13" i="10"/>
  <c r="D31" i="10"/>
  <c r="G8" i="12"/>
  <c r="I8" i="12"/>
  <c r="E15" i="10"/>
  <c r="J8" i="12"/>
  <c r="E13" i="10"/>
  <c r="E31" i="10"/>
  <c r="L8" i="12"/>
  <c r="F10" i="10"/>
  <c r="N8" i="12"/>
  <c r="F15" i="10"/>
  <c r="O8" i="12"/>
  <c r="F13" i="10"/>
  <c r="F31" i="10"/>
  <c r="Q8" i="12"/>
  <c r="D23" i="10"/>
  <c r="F8" i="12"/>
  <c r="E23" i="10"/>
  <c r="K8" i="12"/>
  <c r="F23" i="10"/>
  <c r="P8" i="12"/>
  <c r="H8" i="12"/>
  <c r="M8" i="12"/>
  <c r="R8" i="12"/>
  <c r="F42" i="10"/>
  <c r="F43" i="10"/>
  <c r="F44" i="10"/>
  <c r="E42" i="10"/>
  <c r="E43" i="10"/>
  <c r="E44" i="10"/>
  <c r="F39" i="10"/>
  <c r="F40" i="10"/>
  <c r="F41" i="10"/>
  <c r="E39" i="10"/>
  <c r="E40" i="10"/>
  <c r="E41" i="10"/>
  <c r="D39" i="10"/>
  <c r="D40" i="10"/>
  <c r="D41" i="10"/>
  <c r="F36" i="10"/>
  <c r="F38" i="10"/>
  <c r="E36" i="10"/>
  <c r="E38" i="10"/>
  <c r="D36" i="10"/>
  <c r="D38" i="10"/>
  <c r="F37" i="10"/>
  <c r="R10" i="12"/>
  <c r="E37" i="10"/>
  <c r="M10" i="12"/>
  <c r="D37" i="10"/>
  <c r="H10" i="12"/>
  <c r="F35" i="10"/>
  <c r="E35" i="10"/>
  <c r="D35" i="10"/>
  <c r="F33" i="10"/>
  <c r="E33" i="10"/>
  <c r="D33" i="10"/>
  <c r="F28" i="10"/>
  <c r="E28" i="10"/>
  <c r="D28" i="10"/>
  <c r="F27" i="10"/>
  <c r="E27" i="10"/>
  <c r="D27" i="10"/>
  <c r="F26" i="10"/>
  <c r="E26" i="10"/>
  <c r="D26" i="10"/>
  <c r="F25" i="10"/>
  <c r="E25" i="10"/>
  <c r="D25" i="10"/>
  <c r="E24" i="10"/>
  <c r="E20" i="10"/>
  <c r="E10" i="10"/>
  <c r="I10" i="12"/>
  <c r="E32" i="10"/>
  <c r="E18" i="10"/>
  <c r="E19" i="10"/>
  <c r="E17" i="10"/>
  <c r="E16" i="10"/>
  <c r="E14" i="10"/>
  <c r="D12" i="10"/>
  <c r="E12" i="10"/>
  <c r="F12" i="10"/>
  <c r="F11" i="10"/>
  <c r="E11" i="10"/>
  <c r="D11" i="10"/>
  <c r="F9" i="10"/>
  <c r="E9" i="10"/>
  <c r="D9" i="10"/>
  <c r="F8" i="10"/>
  <c r="E8" i="10"/>
  <c r="D8" i="10"/>
  <c r="S11" i="12"/>
  <c r="F5" i="10"/>
  <c r="S10" i="12"/>
  <c r="F4" i="10"/>
  <c r="S9" i="12"/>
  <c r="F3" i="10"/>
  <c r="F6" i="10"/>
  <c r="F2" i="10"/>
  <c r="S8" i="12"/>
  <c r="M14" i="12"/>
  <c r="E88" i="10"/>
  <c r="E89" i="10"/>
  <c r="M13" i="12"/>
  <c r="E85" i="10"/>
  <c r="E86" i="10"/>
  <c r="F81" i="10"/>
  <c r="E81" i="10"/>
  <c r="D81" i="10"/>
  <c r="F82" i="10"/>
  <c r="R12" i="12"/>
  <c r="F83" i="10"/>
  <c r="E82" i="10"/>
  <c r="M12" i="12"/>
  <c r="E83" i="10"/>
  <c r="D82" i="10"/>
  <c r="H12" i="12"/>
  <c r="D83" i="10"/>
  <c r="F79" i="10"/>
  <c r="E79" i="10"/>
  <c r="D79" i="10"/>
  <c r="E75" i="10"/>
  <c r="D75" i="10"/>
  <c r="E65" i="10"/>
  <c r="J14" i="12"/>
  <c r="E64" i="10"/>
  <c r="O14" i="12"/>
  <c r="F61" i="10"/>
  <c r="E61" i="10"/>
  <c r="D61" i="10"/>
  <c r="F59" i="10"/>
  <c r="E59" i="10"/>
  <c r="D59" i="10"/>
  <c r="I12" i="12"/>
  <c r="E55" i="10"/>
  <c r="E58" i="10"/>
  <c r="I14" i="12"/>
  <c r="E57" i="10"/>
  <c r="F56" i="10"/>
  <c r="E56" i="10"/>
  <c r="D56" i="10"/>
  <c r="F54" i="10"/>
  <c r="E54" i="10"/>
  <c r="D54" i="10"/>
  <c r="F53" i="10"/>
  <c r="E53" i="10"/>
  <c r="D53" i="10"/>
  <c r="F52" i="10"/>
  <c r="E52" i="10"/>
  <c r="D52" i="10"/>
  <c r="F51" i="10"/>
  <c r="E51" i="10"/>
  <c r="D51" i="10"/>
  <c r="S14" i="12"/>
  <c r="F48" i="10"/>
  <c r="S13" i="12"/>
  <c r="F47" i="10"/>
  <c r="F49" i="10"/>
  <c r="F46" i="10"/>
  <c r="S12" i="12"/>
  <c r="T15" i="12"/>
  <c r="D15" i="12"/>
  <c r="D119" i="10"/>
  <c r="E5" i="11"/>
  <c r="S15" i="12"/>
  <c r="F117" i="10"/>
  <c r="G3" i="11"/>
  <c r="R15" i="12"/>
  <c r="G16" i="11"/>
  <c r="F131" i="10"/>
  <c r="Q15" i="12"/>
  <c r="F133" i="10"/>
  <c r="G17" i="11"/>
  <c r="F132" i="10"/>
  <c r="F120" i="10"/>
  <c r="G6" i="11"/>
  <c r="P15" i="12"/>
  <c r="F126" i="10"/>
  <c r="G11" i="11"/>
  <c r="F130" i="10"/>
  <c r="G15" i="11"/>
  <c r="F129" i="10"/>
  <c r="G14" i="11"/>
  <c r="F128" i="10"/>
  <c r="G13" i="11"/>
  <c r="F127" i="10"/>
  <c r="G12" i="11"/>
  <c r="O15" i="12"/>
  <c r="F121" i="10"/>
  <c r="G7" i="11"/>
  <c r="F124" i="10"/>
  <c r="G10" i="11"/>
  <c r="N15" i="12"/>
  <c r="F119" i="10"/>
  <c r="G5" i="11"/>
  <c r="K15" i="12"/>
  <c r="E127" i="10"/>
  <c r="F12" i="11"/>
  <c r="E129" i="10"/>
  <c r="F14" i="11"/>
  <c r="E128" i="10"/>
  <c r="F13" i="11"/>
  <c r="H15" i="12"/>
  <c r="D135" i="10"/>
  <c r="E18" i="11"/>
  <c r="D138" i="10"/>
  <c r="E20" i="11"/>
  <c r="G15" i="12"/>
  <c r="D131" i="10"/>
  <c r="E16" i="11"/>
  <c r="D133" i="10"/>
  <c r="E17" i="11"/>
  <c r="D132" i="10"/>
  <c r="D120" i="10"/>
  <c r="E6" i="11"/>
  <c r="F15" i="12"/>
  <c r="D126" i="10"/>
  <c r="E11" i="11"/>
  <c r="D130" i="10"/>
  <c r="E15" i="11"/>
  <c r="D129" i="10"/>
  <c r="E14" i="11"/>
  <c r="D128" i="10"/>
  <c r="E13" i="11"/>
  <c r="D127" i="10"/>
  <c r="E12" i="11"/>
  <c r="E15" i="12"/>
  <c r="D121" i="10"/>
  <c r="E7" i="11"/>
  <c r="D124" i="10"/>
  <c r="E10" i="11"/>
  <c r="F139" i="10"/>
  <c r="G21" i="11"/>
  <c r="D139" i="10"/>
  <c r="E21" i="11"/>
  <c r="F138" i="10"/>
  <c r="G20" i="11"/>
  <c r="F136" i="10"/>
  <c r="G19" i="11"/>
  <c r="D136" i="10"/>
  <c r="E19" i="11"/>
  <c r="F135" i="10"/>
  <c r="G18" i="11"/>
  <c r="F123" i="10"/>
  <c r="G9" i="11"/>
  <c r="D123" i="10"/>
  <c r="E9" i="11"/>
  <c r="F122" i="10"/>
  <c r="G8" i="11"/>
  <c r="D122" i="10"/>
  <c r="E8" i="11"/>
</calcChain>
</file>

<file path=xl/sharedStrings.xml><?xml version="1.0" encoding="utf-8"?>
<sst xmlns="http://schemas.openxmlformats.org/spreadsheetml/2006/main" count="27074" uniqueCount="4025">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</sst>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132.33333333333334</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119.78125</c:v>
                </c:pt>
                <c:pt idx="1">
                  <c:v>0.25</c:v>
                </c:pt>
                <c:pt idx="2">
                  <c:v>0</c:v>
                </c:pt>
                <c:pt idx="3">
                  <c:v>0.125</c:v>
                </c:pt>
                <c:pt idx="4">
                  <c:v>144.88888888888889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0.125</c:v>
                </c:pt>
                <c:pt idx="2">
                  <c:v>0</c:v>
                </c:pt>
                <c:pt idx="3">
                  <c:v>0</c:v>
                </c:pt>
                <c:pt idx="4">
                  <c:v>136.88888888888889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56135736"/>
        <c:axId val="306689976"/>
      </c:radarChart>
      <c:catAx>
        <c:axId val="256135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06689976"/>
        <c:crosses val="autoZero"/>
        <c:auto val="1"/>
        <c:lblAlgn val="ctr"/>
        <c:lblOffset val="100"/>
        <c:noMultiLvlLbl val="0"/>
      </c:catAx>
      <c:valAx>
        <c:axId val="3066899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13573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Enugu</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en Enugu South</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Divine Grace Hospital</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479</v>
      </c>
      <c r="T8" s="139" t="e">
        <f t="shared" ref="T8:T17" ca="1" si="0">(((SUM(D8:H8)/5)+(SUM(I8:M8)/5)+(SUM(N8:R8)/5)))/S8</f>
        <v>#DIV/0!</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8</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1071</v>
      </c>
      <c r="I10" s="160">
        <f ca="1">(SUM('All Questions'!E10:E14)/5)</f>
        <v>898</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1081</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1092</v>
      </c>
      <c r="S10" s="138">
        <f ca="1">'All Questions'!F4</f>
        <v>479</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7</v>
      </c>
      <c r="T11" s="141" t="e">
        <f t="shared" ca="1" si="0"/>
        <v>#DIV/0!</v>
      </c>
    </row>
    <row r="12" spans="1:20" ht="72.599999999999994" customHeight="1" x14ac:dyDescent="0.25">
      <c r="A12" s="111">
        <v>2</v>
      </c>
      <c r="B12" s="112" t="s">
        <v>83</v>
      </c>
      <c r="C12" s="113" t="s">
        <v>3974</v>
      </c>
      <c r="D12" s="169">
        <f ca="1">SUM('All Questions'!D55:D58)/4</f>
        <v>0</v>
      </c>
      <c r="E12" s="170">
        <f ca="1">SUM('All Questions'!D60:D75)/6</f>
        <v>0</v>
      </c>
      <c r="F12" s="170">
        <f ca="1">SUM('All Questions'!D67:D72)/3</f>
        <v>0</v>
      </c>
      <c r="G12" s="170">
        <f ca="1">SUM('All Questions'!D73:D80)/4</f>
        <v>0</v>
      </c>
      <c r="H12" s="171">
        <f ca="1">SUM('All Questions'!D82:D83)/2</f>
        <v>120</v>
      </c>
      <c r="I12" s="172">
        <f ca="1">SUM('All Questions'!E55:E58)/4</f>
        <v>58.25</v>
      </c>
      <c r="J12" s="173">
        <f ca="1">SUM('All Questions'!E60:E75)/6</f>
        <v>0</v>
      </c>
      <c r="K12" s="173">
        <f ca="1">SUM('All Questions'!E67:E72)/3</f>
        <v>0</v>
      </c>
      <c r="L12" s="173">
        <f ca="1">SUM('All Questions'!E73:E80)/4</f>
        <v>0</v>
      </c>
      <c r="M12" s="174">
        <f ca="1">SUM('All Questions'!E82:E83)/2</f>
        <v>219</v>
      </c>
      <c r="N12" s="175">
        <f ca="1">SUM('All Questions'!F55:F58)/4</f>
        <v>0</v>
      </c>
      <c r="O12" s="173">
        <f ca="1">SUM('All Questions'!F60:F75)/6</f>
        <v>0</v>
      </c>
      <c r="P12" s="173">
        <f ca="1">SUM('All Questions'!F67:F72)/3</f>
        <v>0</v>
      </c>
      <c r="Q12" s="173">
        <f ca="1">SUM('All Questions'!F73:F80)/4</f>
        <v>0</v>
      </c>
      <c r="R12" s="174">
        <f ca="1">SUM('All Questions'!F82:F83)/2</f>
        <v>140</v>
      </c>
      <c r="S12" s="142">
        <f ca="1">'All Questions'!F46</f>
        <v>479</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1</v>
      </c>
      <c r="N13" s="182"/>
      <c r="O13" s="179"/>
      <c r="P13" s="180">
        <f ca="1">'All Questions'!F72</f>
        <v>0</v>
      </c>
      <c r="Q13" s="179"/>
      <c r="R13" s="181">
        <f ca="1">SUM('All Questions'!F85:F86)/2</f>
        <v>0</v>
      </c>
      <c r="S13" s="142">
        <f ca="1">'All Questions'!F47</f>
        <v>1</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1</v>
      </c>
      <c r="J14" s="180">
        <f ca="1">'All Questions'!E64</f>
        <v>1</v>
      </c>
      <c r="K14" s="180">
        <f ca="1">SUM('All Questions'!E69:E70)</f>
        <v>0</v>
      </c>
      <c r="L14" s="180">
        <f ca="1">SUM('All Questions'!E74,'All Questions'!E76,'All Questions'!E78,'All Questions'!E80)/4</f>
        <v>0</v>
      </c>
      <c r="M14" s="181">
        <f ca="1">SUM('All Questions'!E88:E89)/2</f>
        <v>1</v>
      </c>
      <c r="N14" s="185">
        <f ca="1">'All Questions'!F57</f>
        <v>0</v>
      </c>
      <c r="O14" s="180">
        <f ca="1">'All Questions'!E64</f>
        <v>1</v>
      </c>
      <c r="P14" s="180">
        <f ca="1">SUM('All Questions'!F75:F76)</f>
        <v>0</v>
      </c>
      <c r="Q14" s="180">
        <f ca="1">SUM('All Questions'!F74,'All Questions'!F76,'All Questions'!F78,'All Questions'!F80)/4</f>
        <v>0</v>
      </c>
      <c r="R14" s="181">
        <f ca="1">SUM('All Questions'!F88:F89)/2</f>
        <v>0</v>
      </c>
      <c r="S14" s="142">
        <f ca="1">'All Questions'!F48</f>
        <v>1</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SUM('All Questions'!E119:E120)/2</f>
        <v>1</v>
      </c>
      <c r="J15" s="161">
        <f>SUM('All Questions'!E121+'All Questions'!E124)/2</f>
        <v>1</v>
      </c>
      <c r="K15" s="161">
        <f ca="1">SUM('All Questions'!E126:E130)/2</f>
        <v>0</v>
      </c>
      <c r="L15" s="161">
        <f>SUM('All Questions'!E131:E133)/3</f>
        <v>1</v>
      </c>
      <c r="M15" s="162">
        <f>SUM('All Questions'!E135+'All Questions'!E138)</f>
        <v>2</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5" zoomScale="60" zoomScaleNormal="60" zoomScalePageLayoutView="10" workbookViewId="0">
      <pane xSplit="9" topLeftCell="W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86</v>
      </c>
      <c r="N2" s="331" t="s">
        <v>158</v>
      </c>
      <c r="O2" s="331"/>
      <c r="P2" s="66" t="s">
        <v>143</v>
      </c>
      <c r="Q2" s="303" t="s">
        <v>1</v>
      </c>
      <c r="R2" s="66" t="s">
        <v>174</v>
      </c>
      <c r="S2" s="303" t="s">
        <v>3</v>
      </c>
      <c r="T2" s="66" t="s">
        <v>624</v>
      </c>
      <c r="U2" s="67" t="s">
        <v>159</v>
      </c>
      <c r="V2" s="66" t="s">
        <v>1413</v>
      </c>
      <c r="W2" s="66"/>
      <c r="X2" s="67" t="s">
        <v>160</v>
      </c>
      <c r="Y2" s="66" t="s">
        <v>149</v>
      </c>
      <c r="Z2" s="96" t="s">
        <v>3803</v>
      </c>
      <c r="AA2" s="68" t="str">
        <f>VLOOKUP(V2,[2]Data_donotedit!AY2:AZ1504,2,FALSE)</f>
        <v>OzQ9wRMqKsL</v>
      </c>
      <c r="AB2" s="68"/>
      <c r="AC2" s="68"/>
      <c r="AD2" s="68"/>
    </row>
    <row r="3" spans="1:30" ht="40.15" customHeight="1" x14ac:dyDescent="0.25">
      <c r="A3" s="63"/>
      <c r="B3" s="224"/>
      <c r="C3" s="218" t="s">
        <v>86</v>
      </c>
      <c r="D3" s="258" t="s">
        <v>3992</v>
      </c>
      <c r="E3" s="226"/>
      <c r="F3" s="229"/>
      <c r="G3" s="478">
        <f ca="1">_xlfn.IFNA(VLOOKUP(C3,Worksheet!$C$3:$G$46,5,FALSE),G3)</f>
        <v>0</v>
      </c>
      <c r="H3" s="205" t="s">
        <v>86</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72"/>
      <c r="D4" s="260" t="s">
        <v>3904</v>
      </c>
      <c r="E4" s="238" t="s">
        <v>76</v>
      </c>
      <c r="F4" s="239" t="s">
        <v>77</v>
      </c>
      <c r="G4" s="239" t="s">
        <v>78</v>
      </c>
      <c r="H4" s="205" t="s">
        <v>86</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36">
        <v>1413</v>
      </c>
      <c r="D5" s="240" t="s">
        <v>3905</v>
      </c>
      <c r="E5" s="479">
        <f ca="1">_xlfn.IFNA(VLOOKUP(C5,Worksheet!$C$3:$G$46,3,FALSE),E5)</f>
        <v>0</v>
      </c>
      <c r="F5" s="479">
        <v>1</v>
      </c>
      <c r="G5" s="479">
        <f ca="1">_xlfn.IFNA(VLOOKUP(C5,Worksheet!$C$3:$G$46,5,FALSE),G5)</f>
        <v>0</v>
      </c>
      <c r="H5" s="205" t="s">
        <v>86</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1414</v>
      </c>
      <c r="D6" s="241" t="s">
        <v>3906</v>
      </c>
      <c r="E6" s="479">
        <f ca="1">_xlfn.IFNA(VLOOKUP(C6,Worksheet!$C$3:$G$46,3,FALSE),E6)</f>
        <v>0</v>
      </c>
      <c r="F6" s="479">
        <v>1</v>
      </c>
      <c r="G6" s="479">
        <f ca="1">_xlfn.IFNA(VLOOKUP(C6,Worksheet!$C$3:$G$46,5,FALSE),G6)</f>
        <v>0</v>
      </c>
      <c r="H6" s="205" t="s">
        <v>86</v>
      </c>
      <c r="I6" s="63"/>
      <c r="J6" s="63"/>
      <c r="K6" s="132" t="s">
        <v>89</v>
      </c>
      <c r="L6" s="339" t="s">
        <v>3970</v>
      </c>
      <c r="M6" s="340"/>
      <c r="N6" s="71">
        <v>0</v>
      </c>
      <c r="O6" s="71">
        <v>0</v>
      </c>
      <c r="P6" s="71">
        <v>0</v>
      </c>
      <c r="Q6" s="71">
        <v>0</v>
      </c>
      <c r="R6" s="72">
        <v>0</v>
      </c>
      <c r="S6" s="71">
        <v>0</v>
      </c>
      <c r="T6" s="71">
        <v>0</v>
      </c>
      <c r="U6" s="71">
        <v>0</v>
      </c>
      <c r="V6" s="71">
        <v>0</v>
      </c>
      <c r="W6" s="72">
        <v>0</v>
      </c>
      <c r="X6" s="71">
        <v>0</v>
      </c>
      <c r="Y6" s="71">
        <v>0</v>
      </c>
      <c r="Z6" s="71">
        <v>0</v>
      </c>
      <c r="AA6" s="71">
        <v>0</v>
      </c>
      <c r="AB6" s="71">
        <v>0</v>
      </c>
      <c r="AC6" s="73">
        <v>479</v>
      </c>
      <c r="AD6" s="74" t="e">
        <v>#DIV/0!</v>
      </c>
    </row>
    <row r="7" spans="1:30" ht="40.15" customHeight="1" x14ac:dyDescent="0.25">
      <c r="A7" s="63"/>
      <c r="B7" s="224"/>
      <c r="C7" s="236">
        <v>1422</v>
      </c>
      <c r="D7" s="240" t="s">
        <v>3907</v>
      </c>
      <c r="E7" s="479">
        <f ca="1">_xlfn.IFNA(VLOOKUP(C7,Worksheet!$C$3:$G$46,3,FALSE),E7)</f>
        <v>0</v>
      </c>
      <c r="F7" s="479">
        <v>1</v>
      </c>
      <c r="G7" s="479">
        <f ca="1">_xlfn.IFNA(VLOOKUP(C7,Worksheet!$C$3:$G$46,5,FALSE),G7)</f>
        <v>0</v>
      </c>
      <c r="H7" s="205" t="s">
        <v>86</v>
      </c>
      <c r="I7" s="63"/>
      <c r="J7" s="65"/>
      <c r="K7" s="59" t="s">
        <v>89</v>
      </c>
      <c r="L7" s="341" t="s">
        <v>3971</v>
      </c>
      <c r="M7" s="342"/>
      <c r="N7" s="133"/>
      <c r="O7" s="133"/>
      <c r="P7" s="78">
        <v>0</v>
      </c>
      <c r="Q7" s="133"/>
      <c r="R7" s="134"/>
      <c r="S7" s="133"/>
      <c r="T7" s="133"/>
      <c r="U7" s="78">
        <v>0</v>
      </c>
      <c r="V7" s="133"/>
      <c r="W7" s="134"/>
      <c r="X7" s="133"/>
      <c r="Y7" s="133"/>
      <c r="Z7" s="78">
        <v>0</v>
      </c>
      <c r="AA7" s="133"/>
      <c r="AB7" s="133"/>
      <c r="AC7" s="80">
        <v>8</v>
      </c>
      <c r="AD7" s="81" t="e">
        <v>#DIV/0!</v>
      </c>
    </row>
    <row r="8" spans="1:30" ht="40.15" customHeight="1" x14ac:dyDescent="0.25">
      <c r="A8" s="63"/>
      <c r="B8" s="224"/>
      <c r="C8" s="236">
        <v>1423</v>
      </c>
      <c r="D8" s="240" t="s">
        <v>3908</v>
      </c>
      <c r="E8" s="479">
        <f ca="1">_xlfn.IFNA(VLOOKUP(C8,Worksheet!$C$3:$G$46,3,FALSE),E8)</f>
        <v>0</v>
      </c>
      <c r="F8" s="479">
        <v>1</v>
      </c>
      <c r="G8" s="479">
        <f ca="1">_xlfn.IFNA(VLOOKUP(C8,Worksheet!$C$3:$G$46,5,FALSE),G8)</f>
        <v>0</v>
      </c>
      <c r="H8" s="205" t="s">
        <v>86</v>
      </c>
      <c r="I8" s="63"/>
      <c r="J8" s="70"/>
      <c r="K8" s="58" t="s">
        <v>79</v>
      </c>
      <c r="L8" s="354" t="s">
        <v>3972</v>
      </c>
      <c r="M8" s="355"/>
      <c r="N8" s="71">
        <v>0</v>
      </c>
      <c r="O8" s="71">
        <v>0</v>
      </c>
      <c r="P8" s="71">
        <v>0</v>
      </c>
      <c r="Q8" s="71">
        <v>0</v>
      </c>
      <c r="R8" s="72">
        <v>1071</v>
      </c>
      <c r="S8" s="71">
        <v>898</v>
      </c>
      <c r="T8" s="71">
        <v>0</v>
      </c>
      <c r="U8" s="71">
        <v>0</v>
      </c>
      <c r="V8" s="71">
        <v>0</v>
      </c>
      <c r="W8" s="72">
        <v>1081</v>
      </c>
      <c r="X8" s="71">
        <v>0</v>
      </c>
      <c r="Y8" s="71">
        <v>0</v>
      </c>
      <c r="Z8" s="71">
        <v>0</v>
      </c>
      <c r="AA8" s="71">
        <v>0</v>
      </c>
      <c r="AB8" s="71">
        <v>1092</v>
      </c>
      <c r="AC8" s="75">
        <v>479</v>
      </c>
      <c r="AD8" s="76" t="e">
        <v>#DIV/0!</v>
      </c>
    </row>
    <row r="9" spans="1:30" ht="40.15" customHeight="1" x14ac:dyDescent="0.25">
      <c r="A9" s="63"/>
      <c r="B9" s="224"/>
      <c r="C9" s="236">
        <v>1424</v>
      </c>
      <c r="D9" s="240" t="s">
        <v>3909</v>
      </c>
      <c r="E9" s="479">
        <f ca="1">_xlfn.IFNA(VLOOKUP(C9,Worksheet!$C$3:$G$46,3,FALSE),E9)</f>
        <v>0</v>
      </c>
      <c r="F9" s="479">
        <v>1</v>
      </c>
      <c r="G9" s="479">
        <f ca="1">_xlfn.IFNA(VLOOKUP(C9,Worksheet!$C$3:$G$46,5,FALSE),G9)</f>
        <v>0</v>
      </c>
      <c r="H9" s="205" t="s">
        <v>86</v>
      </c>
      <c r="I9" s="63"/>
      <c r="J9" s="70"/>
      <c r="K9" s="59" t="s">
        <v>79</v>
      </c>
      <c r="L9" s="341" t="s">
        <v>88</v>
      </c>
      <c r="M9" s="342"/>
      <c r="N9" s="133"/>
      <c r="O9" s="133"/>
      <c r="P9" s="78">
        <v>0</v>
      </c>
      <c r="Q9" s="133"/>
      <c r="R9" s="134"/>
      <c r="S9" s="133"/>
      <c r="T9" s="133"/>
      <c r="U9" s="78">
        <v>0</v>
      </c>
      <c r="V9" s="133"/>
      <c r="W9" s="134"/>
      <c r="X9" s="133"/>
      <c r="Y9" s="133"/>
      <c r="Z9" s="78">
        <v>0</v>
      </c>
      <c r="AA9" s="133"/>
      <c r="AB9" s="133"/>
      <c r="AC9" s="80">
        <v>7</v>
      </c>
      <c r="AD9" s="81" t="e">
        <v>#DIV/0!</v>
      </c>
    </row>
    <row r="10" spans="1:30" ht="40.15" customHeight="1" x14ac:dyDescent="0.25">
      <c r="A10" s="63"/>
      <c r="B10" s="224"/>
      <c r="C10" s="236">
        <v>1425</v>
      </c>
      <c r="D10" s="240" t="s">
        <v>3910</v>
      </c>
      <c r="E10" s="479">
        <f ca="1">_xlfn.IFNA(VLOOKUP(C10,Worksheet!$C$3:$G$46,3,FALSE),E10)</f>
        <v>0</v>
      </c>
      <c r="F10" s="479">
        <v>1</v>
      </c>
      <c r="G10" s="479">
        <f ca="1">_xlfn.IFNA(VLOOKUP(C10,Worksheet!$C$3:$G$46,5,FALSE),G10)</f>
        <v>0</v>
      </c>
      <c r="H10" s="205" t="s">
        <v>86</v>
      </c>
      <c r="I10" s="63"/>
      <c r="J10" s="70"/>
      <c r="K10" s="121" t="s">
        <v>83</v>
      </c>
      <c r="L10" s="356" t="s">
        <v>3974</v>
      </c>
      <c r="M10" s="357"/>
      <c r="N10" s="122">
        <v>0</v>
      </c>
      <c r="O10" s="71">
        <v>0</v>
      </c>
      <c r="P10" s="71">
        <v>0</v>
      </c>
      <c r="Q10" s="71">
        <v>0</v>
      </c>
      <c r="R10" s="71">
        <v>120</v>
      </c>
      <c r="S10" s="122">
        <v>58.25</v>
      </c>
      <c r="T10" s="71">
        <v>0</v>
      </c>
      <c r="U10" s="71">
        <v>0</v>
      </c>
      <c r="V10" s="71">
        <v>0</v>
      </c>
      <c r="W10" s="71">
        <v>219</v>
      </c>
      <c r="X10" s="122">
        <v>0</v>
      </c>
      <c r="Y10" s="71">
        <v>0</v>
      </c>
      <c r="Z10" s="71">
        <v>0</v>
      </c>
      <c r="AA10" s="71">
        <v>0</v>
      </c>
      <c r="AB10" s="71">
        <v>140</v>
      </c>
      <c r="AC10" s="124">
        <v>479</v>
      </c>
      <c r="AD10" s="125" t="e">
        <v>#DIV/0!</v>
      </c>
    </row>
    <row r="11" spans="1:30" ht="50.45" customHeight="1" x14ac:dyDescent="0.25">
      <c r="A11" s="63"/>
      <c r="B11" s="224"/>
      <c r="C11" s="236">
        <v>1431</v>
      </c>
      <c r="D11" s="240" t="s">
        <v>3912</v>
      </c>
      <c r="E11" s="479">
        <f ca="1">_xlfn.IFNA(VLOOKUP(C11,Worksheet!$C$3:$G$46,3,FALSE),E11)</f>
        <v>0</v>
      </c>
      <c r="F11" s="479">
        <v>1</v>
      </c>
      <c r="G11" s="479">
        <f ca="1">_xlfn.IFNA(VLOOKUP(C11,Worksheet!$C$3:$G$46,5,FALSE),G11)</f>
        <v>0</v>
      </c>
      <c r="H11" s="205" t="s">
        <v>86</v>
      </c>
      <c r="I11" s="63"/>
      <c r="J11" s="65"/>
      <c r="K11" s="120" t="s">
        <v>83</v>
      </c>
      <c r="L11" s="358" t="s">
        <v>3975</v>
      </c>
      <c r="M11" s="359"/>
      <c r="N11" s="135"/>
      <c r="O11" s="136"/>
      <c r="P11" s="71">
        <v>0</v>
      </c>
      <c r="Q11" s="136"/>
      <c r="R11" s="71">
        <v>0</v>
      </c>
      <c r="S11" s="135"/>
      <c r="T11" s="136"/>
      <c r="U11" s="71">
        <v>0</v>
      </c>
      <c r="V11" s="136"/>
      <c r="W11" s="71">
        <v>1</v>
      </c>
      <c r="X11" s="135"/>
      <c r="Y11" s="136"/>
      <c r="Z11" s="71">
        <v>0</v>
      </c>
      <c r="AA11" s="136"/>
      <c r="AB11" s="71">
        <v>0</v>
      </c>
      <c r="AC11" s="123">
        <v>1</v>
      </c>
      <c r="AD11" s="126" t="e">
        <v>#DIV/0!</v>
      </c>
    </row>
    <row r="12" spans="1:30" ht="48.6" customHeight="1" x14ac:dyDescent="0.25">
      <c r="A12" s="63"/>
      <c r="B12" s="224"/>
      <c r="C12" s="236">
        <v>1432</v>
      </c>
      <c r="D12" s="240" t="s">
        <v>3913</v>
      </c>
      <c r="E12" s="479">
        <f ca="1">_xlfn.IFNA(VLOOKUP(C12,Worksheet!$C$3:$G$46,3,FALSE),E12)</f>
        <v>0</v>
      </c>
      <c r="F12" s="479">
        <f ca="1">_xlfn.IFNA(VLOOKUP(C12,Worksheet!$C$3:$G$46,4,FALSE),F12)</f>
        <v>0</v>
      </c>
      <c r="G12" s="479">
        <f ca="1">_xlfn.IFNA(VLOOKUP(C12,Worksheet!$C$3:$G$46,5,FALSE),G12)</f>
        <v>0</v>
      </c>
      <c r="H12" s="205" t="s">
        <v>86</v>
      </c>
      <c r="I12" s="63"/>
      <c r="J12" s="65"/>
      <c r="K12" s="127" t="s">
        <v>83</v>
      </c>
      <c r="L12" s="350" t="s">
        <v>3976</v>
      </c>
      <c r="M12" s="360"/>
      <c r="N12" s="77">
        <v>0</v>
      </c>
      <c r="O12" s="78">
        <v>0</v>
      </c>
      <c r="P12" s="78">
        <v>0</v>
      </c>
      <c r="Q12" s="78">
        <v>0</v>
      </c>
      <c r="R12" s="78">
        <v>0</v>
      </c>
      <c r="S12" s="77">
        <v>1</v>
      </c>
      <c r="T12" s="78">
        <v>1</v>
      </c>
      <c r="U12" s="78">
        <v>0</v>
      </c>
      <c r="V12" s="78">
        <v>0</v>
      </c>
      <c r="W12" s="78">
        <v>1</v>
      </c>
      <c r="X12" s="77">
        <v>0</v>
      </c>
      <c r="Y12" s="78">
        <v>1</v>
      </c>
      <c r="Z12" s="78">
        <v>0</v>
      </c>
      <c r="AA12" s="78">
        <v>0</v>
      </c>
      <c r="AB12" s="78">
        <v>0</v>
      </c>
      <c r="AC12" s="128">
        <v>1</v>
      </c>
      <c r="AD12" s="129" t="e">
        <v>#DIV/0!</v>
      </c>
    </row>
    <row r="13" spans="1:30" ht="48.6" customHeight="1" x14ac:dyDescent="0.25">
      <c r="A13" s="63"/>
      <c r="B13" s="224"/>
      <c r="C13" s="236">
        <v>1433</v>
      </c>
      <c r="D13" s="240" t="s">
        <v>3914</v>
      </c>
      <c r="E13" s="479">
        <f ca="1">_xlfn.IFNA(VLOOKUP(C13,Worksheet!$C$3:$G$46,3,FALSE),E13)</f>
        <v>0</v>
      </c>
      <c r="F13" s="479">
        <f ca="1">_xlfn.IFNA(VLOOKUP(C13,Worksheet!$C$3:$G$46,4,FALSE),F13)</f>
        <v>0</v>
      </c>
      <c r="G13" s="479">
        <f ca="1">_xlfn.IFNA(VLOOKUP(C13,Worksheet!$C$3:$G$46,5,FALSE),G13)</f>
        <v>0</v>
      </c>
      <c r="H13" s="205" t="s">
        <v>86</v>
      </c>
      <c r="I13" s="63"/>
      <c r="J13" s="65"/>
      <c r="K13" s="60" t="s">
        <v>86</v>
      </c>
      <c r="L13" s="348" t="s">
        <v>87</v>
      </c>
      <c r="M13" s="353"/>
      <c r="N13" s="82">
        <v>0</v>
      </c>
      <c r="O13" s="83">
        <v>0</v>
      </c>
      <c r="P13" s="83">
        <v>0</v>
      </c>
      <c r="Q13" s="83">
        <v>0</v>
      </c>
      <c r="R13" s="83">
        <v>0</v>
      </c>
      <c r="S13" s="82">
        <v>1</v>
      </c>
      <c r="T13" s="83">
        <v>1</v>
      </c>
      <c r="U13" s="83">
        <v>0</v>
      </c>
      <c r="V13" s="83">
        <v>1</v>
      </c>
      <c r="W13" s="84">
        <v>2</v>
      </c>
      <c r="X13" s="83">
        <v>0</v>
      </c>
      <c r="Y13" s="83">
        <v>0</v>
      </c>
      <c r="Z13" s="83">
        <v>0</v>
      </c>
      <c r="AA13" s="83">
        <v>0</v>
      </c>
      <c r="AB13" s="83">
        <v>0</v>
      </c>
      <c r="AC13" s="130">
        <v>0</v>
      </c>
      <c r="AD13" s="131" t="e">
        <v>#DIV/0!</v>
      </c>
    </row>
    <row r="14" spans="1:30" ht="40.15" customHeight="1" x14ac:dyDescent="0.25">
      <c r="A14" s="63"/>
      <c r="B14" s="224"/>
      <c r="C14" s="236">
        <v>1434</v>
      </c>
      <c r="D14" s="240" t="s">
        <v>3915</v>
      </c>
      <c r="E14" s="479">
        <f ca="1">_xlfn.IFNA(VLOOKUP(C14,Worksheet!$C$3:$G$46,3,FALSE),E14)</f>
        <v>0</v>
      </c>
      <c r="F14" s="479">
        <f ca="1">_xlfn.IFNA(VLOOKUP(C14,Worksheet!$C$3:$G$46,4,FALSE),F14)</f>
        <v>0</v>
      </c>
      <c r="G14" s="479">
        <f ca="1">_xlfn.IFNA(VLOOKUP(C14,Worksheet!$C$3:$G$46,5,FALSE),G14)</f>
        <v>0</v>
      </c>
      <c r="H14" s="205" t="s">
        <v>86</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1435</v>
      </c>
      <c r="D15" s="240" t="s">
        <v>3916</v>
      </c>
      <c r="E15" s="479">
        <f ca="1">_xlfn.IFNA(VLOOKUP(C15,Worksheet!$C$3:$G$46,3,FALSE),E15)</f>
        <v>0</v>
      </c>
      <c r="F15" s="479">
        <v>1</v>
      </c>
      <c r="G15" s="479">
        <f ca="1">_xlfn.IFNA(VLOOKUP(C15,Worksheet!$C$3:$G$46,5,FALSE),G15)</f>
        <v>0</v>
      </c>
      <c r="H15" s="205" t="s">
        <v>86</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1441</v>
      </c>
      <c r="D16" s="240" t="s">
        <v>3917</v>
      </c>
      <c r="E16" s="479">
        <f ca="1">_xlfn.IFNA(VLOOKUP(C16,Worksheet!$C$3:$G$46,3,FALSE),E16)</f>
        <v>0</v>
      </c>
      <c r="F16" s="479">
        <v>1</v>
      </c>
      <c r="G16" s="479">
        <f ca="1">_xlfn.IFNA(VLOOKUP(C16,Worksheet!$C$3:$G$46,5,FALSE),G16)</f>
        <v>0</v>
      </c>
      <c r="H16" s="205" t="s">
        <v>86</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1443</v>
      </c>
      <c r="D17" s="240" t="s">
        <v>3919</v>
      </c>
      <c r="E17" s="479">
        <f ca="1">_xlfn.IFNA(VLOOKUP(C17,Worksheet!$C$3:$G$46,3,FALSE),E17)</f>
        <v>0</v>
      </c>
      <c r="F17" s="479">
        <v>1</v>
      </c>
      <c r="G17" s="479">
        <f ca="1">_xlfn.IFNA(VLOOKUP(C17,Worksheet!$C$3:$G$46,5,FALSE),G17)</f>
        <v>0</v>
      </c>
      <c r="H17" s="205" t="s">
        <v>86</v>
      </c>
      <c r="I17" s="63"/>
      <c r="J17" s="65"/>
      <c r="K17" s="63"/>
      <c r="L17" s="63"/>
      <c r="M17" s="63"/>
      <c r="N17" s="87">
        <f>AVERAGE(N6:N16)</f>
        <v>0</v>
      </c>
      <c r="O17" s="87">
        <f t="shared" ref="O17:AB17" si="0">AVERAGE(O6:O16)</f>
        <v>0</v>
      </c>
      <c r="P17" s="87">
        <f t="shared" si="0"/>
        <v>0</v>
      </c>
      <c r="Q17" s="87">
        <f t="shared" si="0"/>
        <v>0</v>
      </c>
      <c r="R17" s="87">
        <f t="shared" si="0"/>
        <v>132.33333333333334</v>
      </c>
      <c r="S17" s="87">
        <f t="shared" si="0"/>
        <v>119.78125</v>
      </c>
      <c r="T17" s="87">
        <f t="shared" si="0"/>
        <v>0.25</v>
      </c>
      <c r="U17" s="87">
        <f t="shared" si="0"/>
        <v>0</v>
      </c>
      <c r="V17" s="87">
        <f t="shared" si="0"/>
        <v>0.125</v>
      </c>
      <c r="W17" s="87">
        <f t="shared" si="0"/>
        <v>144.88888888888889</v>
      </c>
      <c r="X17" s="87">
        <f t="shared" si="0"/>
        <v>0</v>
      </c>
      <c r="Y17" s="87">
        <f t="shared" si="0"/>
        <v>0.125</v>
      </c>
      <c r="Z17" s="87">
        <f t="shared" si="0"/>
        <v>0</v>
      </c>
      <c r="AA17" s="87">
        <f t="shared" si="0"/>
        <v>0</v>
      </c>
      <c r="AB17" s="87">
        <f t="shared" si="0"/>
        <v>136.88888888888889</v>
      </c>
      <c r="AC17" s="63"/>
      <c r="AD17" s="63"/>
    </row>
    <row r="18" spans="1:30" ht="40.15" customHeight="1" x14ac:dyDescent="0.3">
      <c r="A18" s="63"/>
      <c r="B18" s="224"/>
      <c r="C18" s="236">
        <v>1452</v>
      </c>
      <c r="D18" s="240" t="s">
        <v>3921</v>
      </c>
      <c r="E18" s="479">
        <f ca="1">_xlfn.IFNA(VLOOKUP(C18,Worksheet!$C$3:$G$46,3,FALSE),E18)</f>
        <v>0</v>
      </c>
      <c r="F18" s="479">
        <v>1</v>
      </c>
      <c r="G18" s="479">
        <f ca="1">_xlfn.IFNA(VLOOKUP(C18,Worksheet!$C$3:$G$46,5,FALSE),G18)</f>
        <v>0</v>
      </c>
      <c r="H18" s="205" t="s">
        <v>86</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1453</v>
      </c>
      <c r="D19" s="240" t="s">
        <v>3922</v>
      </c>
      <c r="E19" s="479">
        <f ca="1">_xlfn.IFNA(VLOOKUP(C19,Worksheet!$C$3:$G$46,3,FALSE),E19)</f>
        <v>0</v>
      </c>
      <c r="F19" s="479">
        <v>1</v>
      </c>
      <c r="G19" s="479">
        <f ca="1">_xlfn.IFNA(VLOOKUP(C19,Worksheet!$C$3:$G$46,5,FALSE),G19)</f>
        <v>0</v>
      </c>
      <c r="H19" s="205" t="s">
        <v>86</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1455</v>
      </c>
      <c r="D20" s="240" t="s">
        <v>3924</v>
      </c>
      <c r="E20" s="479">
        <f ca="1">_xlfn.IFNA(VLOOKUP(C20,Worksheet!$C$3:$G$46,3,FALSE),E20)</f>
        <v>0</v>
      </c>
      <c r="F20" s="479">
        <v>1</v>
      </c>
      <c r="G20" s="479">
        <f ca="1">_xlfn.IFNA(VLOOKUP(C20,Worksheet!$C$3:$G$46,5,FALSE),G20)</f>
        <v>0</v>
      </c>
      <c r="H20" s="205" t="s">
        <v>86</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1456</v>
      </c>
      <c r="D21" s="240" t="s">
        <v>3925</v>
      </c>
      <c r="E21" s="479">
        <f ca="1">_xlfn.IFNA(VLOOKUP(C21,Worksheet!$C$3:$G$46,3,FALSE),E21)</f>
        <v>0</v>
      </c>
      <c r="F21" s="479">
        <v>1</v>
      </c>
      <c r="G21" s="479">
        <f ca="1">_xlfn.IFNA(VLOOKUP(C21,Worksheet!$C$3:$G$46,5,FALSE),G21)</f>
        <v>0</v>
      </c>
      <c r="H21" s="205" t="s">
        <v>86</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11"/>
      <c r="C22" s="211"/>
      <c r="D22" s="211"/>
      <c r="E22" s="211"/>
      <c r="F22" s="211"/>
      <c r="G22" s="211"/>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11"/>
      <c r="C23" s="211"/>
      <c r="D23" s="211"/>
      <c r="E23" s="211"/>
      <c r="F23" s="211"/>
      <c r="G23" s="211"/>
      <c r="H23" s="264" t="s">
        <v>155</v>
      </c>
      <c r="I23" s="63"/>
      <c r="J23" s="65"/>
      <c r="K23" s="63"/>
      <c r="L23" s="63"/>
      <c r="M23" s="63"/>
      <c r="N23" s="63"/>
      <c r="O23" s="91">
        <v>42644</v>
      </c>
      <c r="P23" s="92">
        <f>N17</f>
        <v>0</v>
      </c>
      <c r="Q23" s="93">
        <f>O17</f>
        <v>0</v>
      </c>
      <c r="R23" s="93">
        <f>P17</f>
        <v>0</v>
      </c>
      <c r="S23" s="93">
        <f>Q17</f>
        <v>0</v>
      </c>
      <c r="T23" s="93">
        <f>R17</f>
        <v>132.33333333333334</v>
      </c>
      <c r="U23" s="63"/>
      <c r="V23" s="63"/>
      <c r="W23" s="63"/>
      <c r="X23" s="63"/>
      <c r="Y23" s="63"/>
      <c r="Z23" s="63"/>
      <c r="AA23" s="63"/>
      <c r="AB23" s="63"/>
      <c r="AC23" s="63"/>
      <c r="AD23" s="63"/>
    </row>
    <row r="24" spans="1:30" ht="40.15" customHeight="1" x14ac:dyDescent="0.25">
      <c r="A24" s="63"/>
      <c r="B24" s="211"/>
      <c r="C24" s="211"/>
      <c r="D24" s="211"/>
      <c r="E24" s="211"/>
      <c r="F24" s="211"/>
      <c r="G24" s="211"/>
      <c r="H24" s="264" t="s">
        <v>155</v>
      </c>
      <c r="I24" s="63"/>
      <c r="J24" s="65"/>
      <c r="K24" s="63"/>
      <c r="L24" s="63"/>
      <c r="M24" s="63"/>
      <c r="N24" s="63"/>
      <c r="O24" s="91">
        <v>42675</v>
      </c>
      <c r="P24" s="92">
        <f>S17</f>
        <v>119.78125</v>
      </c>
      <c r="Q24" s="93">
        <f>T17</f>
        <v>0.25</v>
      </c>
      <c r="R24" s="93">
        <f>U17</f>
        <v>0</v>
      </c>
      <c r="S24" s="93">
        <f>V17</f>
        <v>0.125</v>
      </c>
      <c r="T24" s="93">
        <f>W17</f>
        <v>144.88888888888889</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0</v>
      </c>
      <c r="Q25" s="93">
        <f>Y17</f>
        <v>0.125</v>
      </c>
      <c r="R25" s="93">
        <f>Z17</f>
        <v>0</v>
      </c>
      <c r="S25" s="93">
        <f>AA17</f>
        <v>0</v>
      </c>
      <c r="T25" s="93">
        <f>AB17</f>
        <v>136.88888888888889</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xT3ZrWpw/PDT5sHe01EAxh4T0x7IcF1yjUy69snihOFrb99sT+/A/x2AF1xmN2yH4GygOkFH6wXJyDiNed9+Q==" saltValue="WGnUTDEojLsMvhQfmGFOS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479</v>
      </c>
      <c r="G2" s="205" t="s">
        <v>150</v>
      </c>
    </row>
    <row r="3" spans="1:7" ht="45" hidden="1" customHeight="1" x14ac:dyDescent="0.25">
      <c r="A3" s="224"/>
      <c r="B3" s="228" t="s">
        <v>4010</v>
      </c>
      <c r="C3" s="226" t="s">
        <v>3980</v>
      </c>
      <c r="D3" s="226"/>
      <c r="E3" s="229"/>
      <c r="F3" s="298">
        <f ca="1">_xlfn.IFNA(VLOOKUP(B3,Worksheet!$C$3:$G$46,5,FALSE),F3)</f>
        <v>8</v>
      </c>
      <c r="G3" s="205" t="s">
        <v>150</v>
      </c>
    </row>
    <row r="4" spans="1:7" ht="45" hidden="1" customHeight="1" x14ac:dyDescent="0.25">
      <c r="A4" s="224"/>
      <c r="B4" s="228" t="s">
        <v>4011</v>
      </c>
      <c r="C4" s="226" t="s">
        <v>3981</v>
      </c>
      <c r="D4" s="230"/>
      <c r="E4" s="229"/>
      <c r="F4" s="298">
        <f ca="1">_xlfn.IFNA(VLOOKUP(B4,Worksheet!$C$3:$G$46,5,FALSE),F4)</f>
        <v>479</v>
      </c>
      <c r="G4" s="205" t="s">
        <v>150</v>
      </c>
    </row>
    <row r="5" spans="1:7" ht="45" hidden="1" customHeight="1" x14ac:dyDescent="0.25">
      <c r="A5" s="224"/>
      <c r="B5" s="228" t="s">
        <v>4012</v>
      </c>
      <c r="C5" s="226" t="s">
        <v>3982</v>
      </c>
      <c r="D5" s="226"/>
      <c r="E5" s="229"/>
      <c r="F5" s="298">
        <f ca="1">_xlfn.IFNA(VLOOKUP(B5,Worksheet!$C$3:$G$46,5,FALSE),F5)</f>
        <v>7</v>
      </c>
      <c r="G5" s="205" t="s">
        <v>150</v>
      </c>
    </row>
    <row r="6" spans="1:7" ht="45" hidden="1" customHeight="1" x14ac:dyDescent="0.25">
      <c r="A6" s="224"/>
      <c r="B6" s="231" t="s">
        <v>4013</v>
      </c>
      <c r="C6" s="232" t="s">
        <v>3983</v>
      </c>
      <c r="D6" s="233"/>
      <c r="E6" s="234"/>
      <c r="F6" s="235">
        <f ca="1">_xlfn.IFNA(VLOOKUP(F2,Data_donotedit!$BE$2:$BG$25,3,TRUE),0)</f>
        <v>88</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63</v>
      </c>
      <c r="E10" s="299">
        <f ca="1">_xlfn.IFNA(VLOOKUP(B10,Worksheet!$C$3:$G$46,4,FALSE),E10)</f>
        <v>66</v>
      </c>
      <c r="F10" s="299">
        <f ca="1">_xlfn.IFNA(VLOOKUP(B10,Worksheet!$C$3:$G$46,5,FALSE),F10)</f>
        <v>67</v>
      </c>
      <c r="G10" s="205" t="s">
        <v>150</v>
      </c>
    </row>
    <row r="11" spans="1:7" ht="45" hidden="1" customHeight="1" x14ac:dyDescent="0.25">
      <c r="A11" s="224"/>
      <c r="B11" s="236">
        <v>1114</v>
      </c>
      <c r="C11" s="241" t="s">
        <v>3808</v>
      </c>
      <c r="D11" s="299">
        <f ca="1">_xlfn.IFNA(VLOOKUP(B11,Worksheet!$C$3:$G$46,3,FALSE),D11)</f>
        <v>1074</v>
      </c>
      <c r="E11" s="299">
        <f ca="1">_xlfn.IFNA(VLOOKUP(B11,Worksheet!$C$3:$G$46,4,FALSE),E11)</f>
        <v>1106</v>
      </c>
      <c r="F11" s="299">
        <f ca="1">_xlfn.IFNA(VLOOKUP(B11,Worksheet!$C$3:$G$46,5,FALSE),F11)</f>
        <v>1140</v>
      </c>
      <c r="G11" s="205" t="s">
        <v>150</v>
      </c>
    </row>
    <row r="12" spans="1:7" ht="45" hidden="1" customHeight="1" x14ac:dyDescent="0.25">
      <c r="A12" s="224"/>
      <c r="B12" s="236">
        <v>1115</v>
      </c>
      <c r="C12" s="240" t="s">
        <v>3809</v>
      </c>
      <c r="D12" s="299">
        <f ca="1">_xlfn.IFNA(VLOOKUP(B12,Worksheet!$C$3:$G$46,3,FALSE),D12)</f>
        <v>1074</v>
      </c>
      <c r="E12" s="299">
        <f ca="1">_xlfn.IFNA(VLOOKUP(B12,Worksheet!$C$3:$G$46,4,FALSE),E12)</f>
        <v>1106</v>
      </c>
      <c r="F12" s="299">
        <f ca="1">_xlfn.IFNA(VLOOKUP(B12,Worksheet!$C$3:$G$46,5,FALSE),F12)</f>
        <v>1140</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1106</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1106</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1106</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1106</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1106</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1106</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1106</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459</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642</v>
      </c>
      <c r="F24" s="299">
        <f ca="1">_xlfn.IFNA(VLOOKUP(B24,Worksheet!$C$3:$G$46,5,FALSE),F24)</f>
        <v>0</v>
      </c>
      <c r="G24" s="205" t="s">
        <v>150</v>
      </c>
    </row>
    <row r="25" spans="1:7" ht="45" hidden="1" customHeight="1" x14ac:dyDescent="0.25">
      <c r="A25" s="224"/>
      <c r="B25" s="236">
        <v>1133</v>
      </c>
      <c r="C25" s="240" t="s">
        <v>3821</v>
      </c>
      <c r="D25" s="299">
        <f ca="1">_xlfn.IFNA(VLOOKUP(B25,Worksheet!$C$3:$G$46,3,FALSE),D25)</f>
        <v>1008</v>
      </c>
      <c r="E25" s="299">
        <f ca="1">_xlfn.IFNA(VLOOKUP(B25,Worksheet!$C$3:$G$46,4,FALSE),E25)</f>
        <v>950</v>
      </c>
      <c r="F25" s="299">
        <f ca="1">_xlfn.IFNA(VLOOKUP(B25,Worksheet!$C$3:$G$46,5,FALSE),F25)</f>
        <v>991</v>
      </c>
      <c r="G25" s="205" t="s">
        <v>150</v>
      </c>
    </row>
    <row r="26" spans="1:7" ht="45" hidden="1" customHeight="1" x14ac:dyDescent="0.25">
      <c r="A26" s="224"/>
      <c r="B26" s="236">
        <v>1134</v>
      </c>
      <c r="C26" s="240" t="s">
        <v>3822</v>
      </c>
      <c r="D26" s="299">
        <f ca="1">_xlfn.IFNA(VLOOKUP(B26,Worksheet!$C$3:$G$46,3,FALSE),D26)</f>
        <v>63</v>
      </c>
      <c r="E26" s="299">
        <f ca="1">_xlfn.IFNA(VLOOKUP(B26,Worksheet!$C$3:$G$46,4,FALSE),E26)</f>
        <v>131</v>
      </c>
      <c r="F26" s="299">
        <f ca="1">_xlfn.IFNA(VLOOKUP(B26,Worksheet!$C$3:$G$46,5,FALSE),F26)</f>
        <v>101</v>
      </c>
      <c r="G26" s="205" t="s">
        <v>150</v>
      </c>
    </row>
    <row r="27" spans="1:7" ht="45" hidden="1" customHeight="1" x14ac:dyDescent="0.25">
      <c r="A27" s="224"/>
      <c r="B27" s="236">
        <v>1135</v>
      </c>
      <c r="C27" s="240" t="s">
        <v>3823</v>
      </c>
      <c r="D27" s="299">
        <f ca="1">_xlfn.IFNA(VLOOKUP(B27,Worksheet!$C$3:$G$46,3,FALSE),D27)</f>
        <v>1008</v>
      </c>
      <c r="E27" s="299">
        <f ca="1">_xlfn.IFNA(VLOOKUP(B27,Worksheet!$C$3:$G$46,4,FALSE),E27)</f>
        <v>950</v>
      </c>
      <c r="F27" s="299">
        <f ca="1">_xlfn.IFNA(VLOOKUP(B27,Worksheet!$C$3:$G$46,5,FALSE),F27)</f>
        <v>991</v>
      </c>
      <c r="G27" s="205" t="s">
        <v>150</v>
      </c>
    </row>
    <row r="28" spans="1:7" ht="45" hidden="1" customHeight="1" x14ac:dyDescent="0.25">
      <c r="A28" s="224"/>
      <c r="B28" s="236">
        <v>1136</v>
      </c>
      <c r="C28" s="240" t="s">
        <v>3824</v>
      </c>
      <c r="D28" s="299">
        <f ca="1">_xlfn.IFNA(VLOOKUP(B28,Worksheet!$C$3:$G$46,3,FALSE),D28)</f>
        <v>63</v>
      </c>
      <c r="E28" s="299">
        <f ca="1">_xlfn.IFNA(VLOOKUP(B28,Worksheet!$C$3:$G$46,4,FALSE),E28)</f>
        <v>131</v>
      </c>
      <c r="F28" s="299">
        <f ca="1">_xlfn.IFNA(VLOOKUP(B28,Worksheet!$C$3:$G$46,5,FALSE),F28)</f>
        <v>101</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0</v>
      </c>
      <c r="E31" s="300">
        <f ca="1">E13</f>
        <v>1106</v>
      </c>
      <c r="F31" s="300">
        <f ca="1">F13</f>
        <v>0</v>
      </c>
      <c r="G31" s="205"/>
    </row>
    <row r="32" spans="1:7" ht="45" hidden="1" customHeight="1" x14ac:dyDescent="0.25">
      <c r="A32" s="224"/>
      <c r="B32" s="236">
        <v>1142</v>
      </c>
      <c r="C32" s="241" t="s">
        <v>3828</v>
      </c>
      <c r="D32" s="300">
        <f ca="1">D18</f>
        <v>0</v>
      </c>
      <c r="E32" s="300">
        <f ca="1">E18</f>
        <v>1106</v>
      </c>
      <c r="F32" s="300">
        <f ca="1">F18</f>
        <v>0</v>
      </c>
      <c r="G32" s="205"/>
    </row>
    <row r="33" spans="1:7" ht="45" hidden="1" customHeight="1" x14ac:dyDescent="0.25">
      <c r="A33" s="224"/>
      <c r="B33" s="236">
        <v>1143</v>
      </c>
      <c r="C33" s="240" t="s">
        <v>3829</v>
      </c>
      <c r="D33" s="299">
        <f ca="1">_xlfn.IFNA(VLOOKUP(B33,Worksheet!$C$3:$G$46,3,FALSE),D33)</f>
        <v>1074</v>
      </c>
      <c r="E33" s="299">
        <f ca="1">_xlfn.IFNA(VLOOKUP(B33,Worksheet!$C$3:$G$46,4,FALSE),E33)</f>
        <v>1106</v>
      </c>
      <c r="F33" s="299">
        <f ca="1">_xlfn.IFNA(VLOOKUP(B33,Worksheet!$C$3:$G$46,5,FALSE),F33)</f>
        <v>1140</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1074</v>
      </c>
      <c r="E35" s="299">
        <f ca="1">_xlfn.IFNA(VLOOKUP(B35,Worksheet!$C$3:$G$46,4,FALSE),E35)</f>
        <v>1106</v>
      </c>
      <c r="F35" s="299">
        <f ca="1">_xlfn.IFNA(VLOOKUP(B35,Worksheet!$C$3:$G$46,5,FALSE),F35)</f>
        <v>1140</v>
      </c>
      <c r="G35" s="205" t="s">
        <v>150</v>
      </c>
    </row>
    <row r="36" spans="1:7" ht="45" hidden="1" customHeight="1" x14ac:dyDescent="0.25">
      <c r="A36" s="224"/>
      <c r="B36" s="236">
        <v>1151</v>
      </c>
      <c r="C36" s="246" t="s">
        <v>3832</v>
      </c>
      <c r="D36" s="247">
        <f ca="1">D37/D38</f>
        <v>1</v>
      </c>
      <c r="E36" s="247">
        <f t="shared" ref="E36:F36" ca="1" si="1">E37/E38</f>
        <v>1</v>
      </c>
      <c r="F36" s="247">
        <f t="shared" ca="1" si="1"/>
        <v>1</v>
      </c>
      <c r="G36" s="205"/>
    </row>
    <row r="37" spans="1:7" ht="45" hidden="1" customHeight="1" x14ac:dyDescent="0.25">
      <c r="A37" s="224"/>
      <c r="B37" s="236">
        <v>1152</v>
      </c>
      <c r="C37" s="240" t="s">
        <v>3833</v>
      </c>
      <c r="D37" s="299">
        <f ca="1">_xlfn.IFNA(VLOOKUP(B37,Worksheet!$C$3:$G$46,3,FALSE),D37)</f>
        <v>1008</v>
      </c>
      <c r="E37" s="299">
        <f ca="1">_xlfn.IFNA(VLOOKUP(B37,Worksheet!$C$3:$G$46,4,FALSE),E37)</f>
        <v>950</v>
      </c>
      <c r="F37" s="299">
        <f ca="1">_xlfn.IFNA(VLOOKUP(B37,Worksheet!$C$3:$G$46,5,FALSE),F37)</f>
        <v>991</v>
      </c>
      <c r="G37" s="205" t="s">
        <v>150</v>
      </c>
    </row>
    <row r="38" spans="1:7" ht="45" hidden="1" customHeight="1" x14ac:dyDescent="0.25">
      <c r="A38" s="224"/>
      <c r="B38" s="236">
        <v>1153</v>
      </c>
      <c r="C38" s="240" t="s">
        <v>3834</v>
      </c>
      <c r="D38" s="299">
        <f ca="1">_xlfn.IFNA(VLOOKUP(B38,Worksheet!$C$3:$G$46,3,FALSE),D38)</f>
        <v>1008</v>
      </c>
      <c r="E38" s="299">
        <f ca="1">_xlfn.IFNA(VLOOKUP(B38,Worksheet!$C$3:$G$46,4,FALSE),E38)</f>
        <v>950</v>
      </c>
      <c r="F38" s="299">
        <f ca="1">_xlfn.IFNA(VLOOKUP(B38,Worksheet!$C$3:$G$46,5,FALSE),F38)</f>
        <v>991</v>
      </c>
      <c r="G38" s="205" t="s">
        <v>150</v>
      </c>
    </row>
    <row r="39" spans="1:7" ht="45" hidden="1" customHeight="1" x14ac:dyDescent="0.25">
      <c r="A39" s="224"/>
      <c r="B39" s="236">
        <v>1154</v>
      </c>
      <c r="C39" s="246" t="s">
        <v>3835</v>
      </c>
      <c r="D39" s="247">
        <f ca="1">D40/D41</f>
        <v>1</v>
      </c>
      <c r="E39" s="247">
        <f t="shared" ref="E39:F39" ca="1" si="2">E40/E41</f>
        <v>1</v>
      </c>
      <c r="F39" s="247">
        <f t="shared" ca="1" si="2"/>
        <v>1</v>
      </c>
      <c r="G39" s="205"/>
    </row>
    <row r="40" spans="1:7" ht="45" hidden="1" customHeight="1" x14ac:dyDescent="0.25">
      <c r="A40" s="224"/>
      <c r="B40" s="236">
        <v>1155</v>
      </c>
      <c r="C40" s="240" t="s">
        <v>3833</v>
      </c>
      <c r="D40" s="299">
        <f ca="1">_xlfn.IFNA(VLOOKUP(B40,Worksheet!$C$3:$G$46,3,FALSE),D40)</f>
        <v>1008</v>
      </c>
      <c r="E40" s="299">
        <f ca="1">_xlfn.IFNA(VLOOKUP(B40,Worksheet!$C$3:$G$46,4,FALSE),E40)</f>
        <v>950</v>
      </c>
      <c r="F40" s="299">
        <f ca="1">_xlfn.IFNA(VLOOKUP(B40,Worksheet!$C$3:$G$46,5,FALSE),F40)</f>
        <v>991</v>
      </c>
      <c r="G40" s="205" t="s">
        <v>150</v>
      </c>
    </row>
    <row r="41" spans="1:7" ht="45" hidden="1" customHeight="1" x14ac:dyDescent="0.25">
      <c r="A41" s="224"/>
      <c r="B41" s="236">
        <v>1156</v>
      </c>
      <c r="C41" s="240" t="s">
        <v>3836</v>
      </c>
      <c r="D41" s="299">
        <f ca="1">_xlfn.IFNA(VLOOKUP(B41,Worksheet!$C$3:$G$46,3,FALSE),D41)</f>
        <v>1008</v>
      </c>
      <c r="E41" s="299">
        <f ca="1">_xlfn.IFNA(VLOOKUP(B41,Worksheet!$C$3:$G$46,4,FALSE),E41)</f>
        <v>950</v>
      </c>
      <c r="F41" s="299">
        <f ca="1">_xlfn.IFNA(VLOOKUP(B41,Worksheet!$C$3:$G$46,5,FALSE),F41)</f>
        <v>991</v>
      </c>
      <c r="G41" s="205" t="s">
        <v>150</v>
      </c>
    </row>
    <row r="42" spans="1:7" ht="45" hidden="1" customHeight="1" x14ac:dyDescent="0.25">
      <c r="A42" s="224"/>
      <c r="B42" s="236">
        <v>1157</v>
      </c>
      <c r="C42" s="246" t="s">
        <v>3837</v>
      </c>
      <c r="D42" s="247" t="e">
        <f ca="1">D43/D44</f>
        <v>#DIV/0!</v>
      </c>
      <c r="E42" s="247">
        <f t="shared" ref="E42:F42" ca="1" si="3">E43/E44</f>
        <v>1</v>
      </c>
      <c r="F42" s="247">
        <f t="shared" ca="1" si="3"/>
        <v>1</v>
      </c>
      <c r="G42" s="205"/>
    </row>
    <row r="43" spans="1:7" ht="45" hidden="1" customHeight="1" x14ac:dyDescent="0.25">
      <c r="A43" s="224"/>
      <c r="B43" s="236">
        <v>1158</v>
      </c>
      <c r="C43" s="240" t="s">
        <v>3838</v>
      </c>
      <c r="D43" s="299">
        <f ca="1">_xlfn.IFNA(VLOOKUP(B43,Worksheet!$C$3:$G$46,3,FALSE),D43)</f>
        <v>0</v>
      </c>
      <c r="E43" s="299">
        <f ca="1">_xlfn.IFNA(VLOOKUP(B43,Worksheet!$C$3:$G$46,4,FALSE),E43)</f>
        <v>1</v>
      </c>
      <c r="F43" s="299">
        <f ca="1">_xlfn.IFNA(VLOOKUP(B43,Worksheet!$C$3:$G$46,5,FALSE),F43)</f>
        <v>6</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1</v>
      </c>
      <c r="F44" s="299">
        <f ca="1">_xlfn.IFNA(VLOOKUP(B44,Worksheet!$C$3:$G$46,5,FALSE),F44)</f>
        <v>6</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479</v>
      </c>
      <c r="G46" s="205" t="s">
        <v>83</v>
      </c>
    </row>
    <row r="47" spans="1:7" s="248" customFormat="1" ht="45" hidden="1" customHeight="1" x14ac:dyDescent="0.25">
      <c r="A47" s="224"/>
      <c r="B47" s="255" t="s">
        <v>4014</v>
      </c>
      <c r="C47" s="226" t="s">
        <v>3975</v>
      </c>
      <c r="D47" s="230"/>
      <c r="E47" s="229"/>
      <c r="F47" s="298">
        <f ca="1">_xlfn.IFNA(VLOOKUP(B47,Worksheet!$C$3:$G$46,5,FALSE),F47)</f>
        <v>1</v>
      </c>
      <c r="G47" s="205" t="s">
        <v>83</v>
      </c>
    </row>
    <row r="48" spans="1:7" ht="45" hidden="1" customHeight="1" x14ac:dyDescent="0.25">
      <c r="A48" s="224"/>
      <c r="B48" s="255" t="s">
        <v>4015</v>
      </c>
      <c r="C48" s="226" t="s">
        <v>3976</v>
      </c>
      <c r="D48" s="226"/>
      <c r="E48" s="256"/>
      <c r="F48" s="298">
        <f ca="1">_xlfn.IFNA(VLOOKUP(B48,Worksheet!$C$3:$G$46,5,FALSE),F48)</f>
        <v>1</v>
      </c>
      <c r="G48" s="205" t="s">
        <v>83</v>
      </c>
    </row>
    <row r="49" spans="1:7" ht="45" hidden="1" customHeight="1" x14ac:dyDescent="0.25">
      <c r="A49" s="224"/>
      <c r="B49" s="257" t="s">
        <v>4016</v>
      </c>
      <c r="C49" s="258" t="s">
        <v>3988</v>
      </c>
      <c r="D49" s="233"/>
      <c r="E49" s="259"/>
      <c r="F49" s="235">
        <f ca="1">_xlfn.IFNA(VLOOKUP(F46,Data_donotedit!$BE$2:$BG$25,3,TRUE),0)</f>
        <v>88</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3845</v>
      </c>
      <c r="D53" s="299">
        <f ca="1">_xlfn.IFNA(VLOOKUP(B53,Worksheet!$C$3:$G$46,3,FALSE),D53)</f>
        <v>6</v>
      </c>
      <c r="E53" s="299">
        <f ca="1">_xlfn.IFNA(VLOOKUP(B53,Worksheet!$C$3:$G$46,4,FALSE),E53)</f>
        <v>11</v>
      </c>
      <c r="F53" s="299">
        <f ca="1">_xlfn.IFNA(VLOOKUP(B53,Worksheet!$C$3:$G$46,5,FALSE),F53)</f>
        <v>7</v>
      </c>
      <c r="G53" s="205" t="s">
        <v>83</v>
      </c>
    </row>
    <row r="54" spans="1:7" ht="45" hidden="1" customHeight="1" x14ac:dyDescent="0.25">
      <c r="A54" s="224"/>
      <c r="B54" s="236">
        <v>1214</v>
      </c>
      <c r="C54" s="262" t="s">
        <v>3846</v>
      </c>
      <c r="D54" s="299">
        <f ca="1">_xlfn.IFNA(VLOOKUP(B54,Worksheet!$C$3:$G$46,3,FALSE),D54)</f>
        <v>120</v>
      </c>
      <c r="E54" s="299">
        <f ca="1">_xlfn.IFNA(VLOOKUP(B54,Worksheet!$C$3:$G$46,4,FALSE),E54)</f>
        <v>220</v>
      </c>
      <c r="F54" s="299">
        <f ca="1">_xlfn.IFNA(VLOOKUP(B54,Worksheet!$C$3:$G$46,5,FALSE),F54)</f>
        <v>140</v>
      </c>
      <c r="G54" s="205" t="s">
        <v>83</v>
      </c>
    </row>
    <row r="55" spans="1:7" ht="45" hidden="1" customHeight="1" x14ac:dyDescent="0.25">
      <c r="A55" s="224"/>
      <c r="B55" s="236">
        <v>1215</v>
      </c>
      <c r="C55" s="240" t="s">
        <v>3847</v>
      </c>
      <c r="D55" s="299">
        <f ca="1">_xlfn.IFNA(VLOOKUP(B55,Worksheet!$C$3:$G$46,3,FALSE),D55)</f>
        <v>6</v>
      </c>
      <c r="E55" s="299">
        <f ca="1">_xlfn.IFNA(VLOOKUP(B55,Worksheet!$C$3:$G$46,4,FALSE),E55)</f>
        <v>11</v>
      </c>
      <c r="F55" s="299">
        <f ca="1">_xlfn.IFNA(VLOOKUP(B55,Worksheet!$C$3:$G$46,5,FALSE),F55)</f>
        <v>7</v>
      </c>
      <c r="G55" s="205" t="s">
        <v>83</v>
      </c>
    </row>
    <row r="56" spans="1:7" ht="45" hidden="1" customHeight="1" x14ac:dyDescent="0.25">
      <c r="A56" s="224"/>
      <c r="B56" s="236">
        <v>1216</v>
      </c>
      <c r="C56" s="241" t="s">
        <v>3848</v>
      </c>
      <c r="D56" s="299">
        <f ca="1">_xlfn.IFNA(VLOOKUP(B56,Worksheet!$C$3:$G$46,3,FALSE),D56)</f>
        <v>120</v>
      </c>
      <c r="E56" s="299">
        <f ca="1">_xlfn.IFNA(VLOOKUP(B56,Worksheet!$C$3:$G$46,4,FALSE),E56)</f>
        <v>220</v>
      </c>
      <c r="F56" s="299">
        <f ca="1">_xlfn.IFNA(VLOOKUP(B56,Worksheet!$C$3:$G$46,5,FALSE),F56)</f>
        <v>140</v>
      </c>
      <c r="G56" s="205" t="s">
        <v>83</v>
      </c>
    </row>
    <row r="57" spans="1:7" ht="45" hidden="1" customHeight="1" x14ac:dyDescent="0.25">
      <c r="A57" s="224"/>
      <c r="B57" s="236">
        <v>1217</v>
      </c>
      <c r="C57" s="241" t="s">
        <v>3849</v>
      </c>
      <c r="D57" s="299">
        <f ca="1">_xlfn.IFNA(VLOOKUP(B57,Worksheet!$C$3:$G$46,3,FALSE),D57)</f>
        <v>0</v>
      </c>
      <c r="E57" s="299">
        <f ca="1">_xlfn.IFNA(VLOOKUP(B57,Worksheet!$C$3:$G$46,4,FALSE),E57)</f>
        <v>1</v>
      </c>
      <c r="F57" s="299">
        <f ca="1">_xlfn.IFNA(VLOOKUP(B57,Worksheet!$C$3:$G$46,5,FALSE),F57)</f>
        <v>0</v>
      </c>
      <c r="G57" s="205" t="s">
        <v>83</v>
      </c>
    </row>
    <row r="58" spans="1:7" ht="45" hidden="1" customHeight="1" x14ac:dyDescent="0.25">
      <c r="A58" s="224"/>
      <c r="B58" s="236">
        <v>1218</v>
      </c>
      <c r="C58" s="241" t="s">
        <v>3850</v>
      </c>
      <c r="D58" s="299">
        <f ca="1">_xlfn.IFNA(VLOOKUP(B58,Worksheet!$C$3:$G$46,3,FALSE),D58)</f>
        <v>0</v>
      </c>
      <c r="E58" s="299">
        <f ca="1">_xlfn.IFNA(VLOOKUP(B58,Worksheet!$C$3:$G$46,4,FALSE),E58)</f>
        <v>1</v>
      </c>
      <c r="F58" s="299">
        <f ca="1">_xlfn.IFNA(VLOOKUP(B58,Worksheet!$C$3:$G$46,5,FALSE),F58)</f>
        <v>0</v>
      </c>
      <c r="G58" s="205" t="s">
        <v>83</v>
      </c>
    </row>
    <row r="59" spans="1:7" ht="45" hidden="1" customHeight="1" x14ac:dyDescent="0.25">
      <c r="A59" s="224"/>
      <c r="B59" s="236">
        <v>1221</v>
      </c>
      <c r="C59" s="262" t="s">
        <v>3851</v>
      </c>
      <c r="D59" s="299">
        <f ca="1">_xlfn.IFNA(VLOOKUP(B59,Worksheet!$C$3:$G$46,3,FALSE),D59)</f>
        <v>120</v>
      </c>
      <c r="E59" s="299">
        <f ca="1">_xlfn.IFNA(VLOOKUP(B59,Worksheet!$C$3:$G$46,4,FALSE),E59)</f>
        <v>219</v>
      </c>
      <c r="F59" s="299">
        <f ca="1">_xlfn.IFNA(VLOOKUP(B59,Worksheet!$C$3:$G$46,5,FALSE),F59)</f>
        <v>140</v>
      </c>
      <c r="G59" s="205" t="s">
        <v>83</v>
      </c>
    </row>
    <row r="60" spans="1:7" ht="45" hidden="1" customHeight="1" x14ac:dyDescent="0.25">
      <c r="A60" s="224"/>
      <c r="B60" s="236">
        <v>1222</v>
      </c>
      <c r="C60" s="262" t="s">
        <v>3852</v>
      </c>
      <c r="D60" s="299">
        <f ca="1">_xlfn.IFNA(VLOOKUP(B60,Worksheet!$C$3:$G$46,3,FALSE),D60)</f>
        <v>120</v>
      </c>
      <c r="E60" s="299">
        <f ca="1">_xlfn.IFNA(VLOOKUP(B60,Worksheet!$C$3:$G$46,4,FALSE),E60)</f>
        <v>219</v>
      </c>
      <c r="F60" s="299">
        <f ca="1">_xlfn.IFNA(VLOOKUP(B60,Worksheet!$C$3:$G$46,5,FALSE),F60)</f>
        <v>140</v>
      </c>
      <c r="G60" s="205" t="s">
        <v>83</v>
      </c>
    </row>
    <row r="61" spans="1:7" ht="45" hidden="1" customHeight="1" x14ac:dyDescent="0.25">
      <c r="A61" s="224"/>
      <c r="B61" s="236">
        <v>1223</v>
      </c>
      <c r="C61" s="262" t="s">
        <v>3853</v>
      </c>
      <c r="D61" s="299">
        <f ca="1">_xlfn.IFNA(VLOOKUP(B61,Worksheet!$C$3:$G$46,3,FALSE),D61)</f>
        <v>120</v>
      </c>
      <c r="E61" s="299">
        <f ca="1">_xlfn.IFNA(VLOOKUP(B61,Worksheet!$C$3:$G$46,4,FALSE),E61)</f>
        <v>219</v>
      </c>
      <c r="F61" s="299">
        <f ca="1">_xlfn.IFNA(VLOOKUP(B61,Worksheet!$C$3:$G$46,5,FALSE),F61)</f>
        <v>140</v>
      </c>
      <c r="G61" s="205" t="s">
        <v>83</v>
      </c>
    </row>
    <row r="62" spans="1:7" ht="54.6" hidden="1"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3856</v>
      </c>
      <c r="D64" s="299">
        <f ca="1">_xlfn.IFNA(VLOOKUP(B64,Worksheet!$C$3:$G$46,3,FALSE),D64)</f>
        <v>0</v>
      </c>
      <c r="E64" s="299">
        <f ca="1">_xlfn.IFNA(VLOOKUP(B64,Worksheet!$C$3:$G$46,4,FALSE),E64)</f>
        <v>1</v>
      </c>
      <c r="F64" s="299">
        <f ca="1">_xlfn.IFNA(VLOOKUP(B64,Worksheet!$C$3:$G$46,5,FALSE),F64)</f>
        <v>0</v>
      </c>
      <c r="G64" s="205" t="s">
        <v>83</v>
      </c>
    </row>
    <row r="65" spans="1:7" ht="45" hidden="1" customHeight="1" x14ac:dyDescent="0.25">
      <c r="A65" s="224"/>
      <c r="B65" s="236">
        <v>1227</v>
      </c>
      <c r="C65" s="262" t="s">
        <v>3857</v>
      </c>
      <c r="D65" s="299">
        <f ca="1">_xlfn.IFNA(VLOOKUP(B65,Worksheet!$C$3:$G$46,3,FALSE),D65)</f>
        <v>0</v>
      </c>
      <c r="E65" s="299">
        <f ca="1">_xlfn.IFNA(VLOOKUP(B65,Worksheet!$C$3:$G$46,4,FALSE),E65)</f>
        <v>1</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120</v>
      </c>
      <c r="E67" s="299">
        <f ca="1">_xlfn.IFNA(VLOOKUP(B67,Worksheet!$C$3:$G$46,4,FALSE),E67)</f>
        <v>219</v>
      </c>
      <c r="F67" s="299">
        <f ca="1">_xlfn.IFNA(VLOOKUP(B67,Worksheet!$C$3:$G$46,5,FALSE),F67)</f>
        <v>140</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1</v>
      </c>
      <c r="F69" s="299">
        <f ca="1">_xlfn.IFNA(VLOOKUP(B69,Worksheet!$C$3:$G$46,5,FALSE),F69)</f>
        <v>0</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120</v>
      </c>
      <c r="E73" s="299">
        <f ca="1">_xlfn.IFNA(VLOOKUP(B73,Worksheet!$C$3:$G$46,4,FALSE),E73)</f>
        <v>219</v>
      </c>
      <c r="F73" s="299">
        <f ca="1">_xlfn.IFNA(VLOOKUP(B73,Worksheet!$C$3:$G$46,5,FALSE),F73)</f>
        <v>140</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120</v>
      </c>
      <c r="E75" s="299">
        <f ca="1">_xlfn.IFNA(VLOOKUP(B75,Worksheet!$C$3:$G$46,4,FALSE),E75)</f>
        <v>219</v>
      </c>
      <c r="F75" s="299">
        <f ca="1">_xlfn.IFNA(VLOOKUP(B75,Worksheet!$C$3:$G$46,5,FALSE),F75)</f>
        <v>140</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120</v>
      </c>
      <c r="E79" s="299">
        <f ca="1">_xlfn.IFNA(VLOOKUP(B79,Worksheet!$C$3:$G$46,4,FALSE),E79)</f>
        <v>219</v>
      </c>
      <c r="F79" s="299">
        <f ca="1">_xlfn.IFNA(VLOOKUP(B79,Worksheet!$C$3:$G$46,5,FALSE),F79)</f>
        <v>140</v>
      </c>
      <c r="G79" s="205" t="s">
        <v>83</v>
      </c>
    </row>
    <row r="80" spans="1:7" ht="45" hidden="1"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120</v>
      </c>
      <c r="E81" s="263">
        <f t="shared" ref="E81:F81" ca="1" si="4">E82</f>
        <v>219</v>
      </c>
      <c r="F81" s="263">
        <f t="shared" ca="1" si="4"/>
        <v>140</v>
      </c>
      <c r="G81" s="205"/>
    </row>
    <row r="82" spans="1:7" ht="45" hidden="1" customHeight="1" x14ac:dyDescent="0.25">
      <c r="A82" s="224"/>
      <c r="B82" s="236">
        <v>1252</v>
      </c>
      <c r="C82" s="240" t="s">
        <v>3873</v>
      </c>
      <c r="D82" s="299">
        <f ca="1">_xlfn.IFNA(VLOOKUP(B82,Worksheet!$C$3:$G$46,3,FALSE),D82)</f>
        <v>120</v>
      </c>
      <c r="E82" s="299">
        <f ca="1">_xlfn.IFNA(VLOOKUP(B82,Worksheet!$C$3:$G$46,4,FALSE),E82)</f>
        <v>219</v>
      </c>
      <c r="F82" s="299">
        <f ca="1">_xlfn.IFNA(VLOOKUP(B82,Worksheet!$C$3:$G$46,5,FALSE),F82)</f>
        <v>140</v>
      </c>
      <c r="G82" s="205" t="s">
        <v>83</v>
      </c>
    </row>
    <row r="83" spans="1:7" ht="45" hidden="1" customHeight="1" x14ac:dyDescent="0.25">
      <c r="A83" s="224"/>
      <c r="B83" s="236">
        <v>1253</v>
      </c>
      <c r="C83" s="240" t="s">
        <v>3874</v>
      </c>
      <c r="D83" s="299">
        <f ca="1">_xlfn.IFNA(VLOOKUP(B83,Worksheet!$C$3:$G$46,3,FALSE),D83)</f>
        <v>120</v>
      </c>
      <c r="E83" s="299">
        <f ca="1">_xlfn.IFNA(VLOOKUP(B83,Worksheet!$C$3:$G$46,4,FALSE),E83)</f>
        <v>219</v>
      </c>
      <c r="F83" s="299">
        <f ca="1">_xlfn.IFNA(VLOOKUP(B83,Worksheet!$C$3:$G$46,5,FALSE),F83)</f>
        <v>140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1</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1</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1</v>
      </c>
      <c r="F88" s="299">
        <f ca="1">_xlfn.IFNA(VLOOKUP(B88,Worksheet!$C$3:$G$46,5,FALSE),F88)</f>
        <v>0</v>
      </c>
      <c r="G88" s="205" t="s">
        <v>83</v>
      </c>
    </row>
    <row r="89" spans="1:7" ht="45" hidden="1" customHeight="1" x14ac:dyDescent="0.25">
      <c r="A89" s="224"/>
      <c r="B89" s="236">
        <v>1259</v>
      </c>
      <c r="C89" s="240" t="s">
        <v>3880</v>
      </c>
      <c r="D89" s="299">
        <f ca="1">_xlfn.IFNA(VLOOKUP(B89,Worksheet!$C$3:$G$46,3,FALSE),D89)</f>
        <v>0</v>
      </c>
      <c r="E89" s="299">
        <f ca="1">_xlfn.IFNA(VLOOKUP(B89,Worksheet!$C$3:$G$46,4,FALSE),E89)</f>
        <v>1</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2</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2</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2</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1</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1</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1</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1</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1</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1</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1</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customHeight="1" x14ac:dyDescent="0.25">
      <c r="A117" s="224"/>
      <c r="B117" s="218" t="s">
        <v>86</v>
      </c>
      <c r="C117" s="258" t="s">
        <v>3992</v>
      </c>
      <c r="D117" s="226"/>
      <c r="E117" s="229"/>
      <c r="F117" s="298">
        <f ca="1">_xlfn.IFNA(VLOOKUP(B117,Worksheet!$C$3:$G$46,5,FALSE),F117)</f>
        <v>0</v>
      </c>
      <c r="G117" s="205" t="s">
        <v>86</v>
      </c>
    </row>
    <row r="118" spans="1:7" s="268" customFormat="1" ht="45" customHeight="1" x14ac:dyDescent="0.25">
      <c r="A118" s="224"/>
      <c r="B118" s="272"/>
      <c r="C118" s="260" t="s">
        <v>3904</v>
      </c>
      <c r="D118" s="238" t="s">
        <v>76</v>
      </c>
      <c r="E118" s="239" t="s">
        <v>77</v>
      </c>
      <c r="F118" s="239" t="s">
        <v>78</v>
      </c>
      <c r="G118" s="205" t="s">
        <v>86</v>
      </c>
    </row>
    <row r="119" spans="1:7" s="268" customFormat="1" ht="45" customHeight="1" x14ac:dyDescent="0.25">
      <c r="A119" s="224"/>
      <c r="B119" s="236">
        <v>1413</v>
      </c>
      <c r="C119" s="240" t="s">
        <v>3905</v>
      </c>
      <c r="D119" s="299">
        <f ca="1">_xlfn.IFNA(VLOOKUP(B119,Worksheet!$C$3:$G$46,3,FALSE),D119)</f>
        <v>0</v>
      </c>
      <c r="E119" s="299">
        <f>_xlfn.IFNA(VLOOKUP(B119,Worksheet!$C$3:$G$46,4,FALSE),E119)</f>
        <v>1</v>
      </c>
      <c r="F119" s="299">
        <f ca="1">_xlfn.IFNA(VLOOKUP(B119,Worksheet!$C$3:$G$46,5,FALSE),F119)</f>
        <v>0</v>
      </c>
      <c r="G119" s="205" t="s">
        <v>86</v>
      </c>
    </row>
    <row r="120" spans="1:7" s="268" customFormat="1" ht="45" customHeight="1" x14ac:dyDescent="0.25">
      <c r="A120" s="224"/>
      <c r="B120" s="236">
        <v>1414</v>
      </c>
      <c r="C120" s="241" t="s">
        <v>3906</v>
      </c>
      <c r="D120" s="299">
        <f ca="1">_xlfn.IFNA(VLOOKUP(B120,Worksheet!$C$3:$G$46,3,FALSE),D120)</f>
        <v>0</v>
      </c>
      <c r="E120" s="299">
        <f>_xlfn.IFNA(VLOOKUP(B120,Worksheet!$C$3:$G$46,4,FALSE),E120)</f>
        <v>1</v>
      </c>
      <c r="F120" s="299">
        <f ca="1">_xlfn.IFNA(VLOOKUP(B120,Worksheet!$C$3:$G$46,5,FALSE),F120)</f>
        <v>0</v>
      </c>
      <c r="G120" s="205" t="s">
        <v>86</v>
      </c>
    </row>
    <row r="121" spans="1:7" s="268" customFormat="1" ht="45" customHeight="1" x14ac:dyDescent="0.25">
      <c r="A121" s="224"/>
      <c r="B121" s="236">
        <v>1422</v>
      </c>
      <c r="C121" s="240" t="s">
        <v>3907</v>
      </c>
      <c r="D121" s="299">
        <f ca="1">_xlfn.IFNA(VLOOKUP(B121,Worksheet!$C$3:$G$46,3,FALSE),D121)</f>
        <v>0</v>
      </c>
      <c r="E121" s="299">
        <f>_xlfn.IFNA(VLOOKUP(B121,Worksheet!$C$3:$G$46,4,FALSE),E121)</f>
        <v>1</v>
      </c>
      <c r="F121" s="299">
        <f ca="1">_xlfn.IFNA(VLOOKUP(B121,Worksheet!$C$3:$G$46,5,FALSE),F121)</f>
        <v>0</v>
      </c>
      <c r="G121" s="205" t="s">
        <v>86</v>
      </c>
    </row>
    <row r="122" spans="1:7" s="268" customFormat="1" ht="45" customHeight="1" x14ac:dyDescent="0.25">
      <c r="A122" s="224"/>
      <c r="B122" s="236">
        <v>1423</v>
      </c>
      <c r="C122" s="240" t="s">
        <v>3908</v>
      </c>
      <c r="D122" s="299">
        <f ca="1">_xlfn.IFNA(VLOOKUP(B122,Worksheet!$C$3:$G$46,3,FALSE),D122)</f>
        <v>0</v>
      </c>
      <c r="E122" s="299">
        <f>_xlfn.IFNA(VLOOKUP(B122,Worksheet!$C$3:$G$46,4,FALSE),E122)</f>
        <v>1</v>
      </c>
      <c r="F122" s="299">
        <f ca="1">_xlfn.IFNA(VLOOKUP(B122,Worksheet!$C$3:$G$46,5,FALSE),F122)</f>
        <v>0</v>
      </c>
      <c r="G122" s="205" t="s">
        <v>86</v>
      </c>
    </row>
    <row r="123" spans="1:7" s="268" customFormat="1" ht="45" customHeight="1" x14ac:dyDescent="0.25">
      <c r="A123" s="224"/>
      <c r="B123" s="236">
        <v>1424</v>
      </c>
      <c r="C123" s="240" t="s">
        <v>3909</v>
      </c>
      <c r="D123" s="299">
        <f ca="1">_xlfn.IFNA(VLOOKUP(B123,Worksheet!$C$3:$G$46,3,FALSE),D123)</f>
        <v>0</v>
      </c>
      <c r="E123" s="299">
        <f>_xlfn.IFNA(VLOOKUP(B123,Worksheet!$C$3:$G$46,4,FALSE),E123)</f>
        <v>1</v>
      </c>
      <c r="F123" s="299">
        <f ca="1">_xlfn.IFNA(VLOOKUP(B123,Worksheet!$C$3:$G$46,5,FALSE),F123)</f>
        <v>0</v>
      </c>
      <c r="G123" s="205" t="s">
        <v>86</v>
      </c>
    </row>
    <row r="124" spans="1:7" s="268" customFormat="1" ht="45" customHeight="1" x14ac:dyDescent="0.25">
      <c r="A124" s="224"/>
      <c r="B124" s="236">
        <v>1425</v>
      </c>
      <c r="C124" s="240" t="s">
        <v>3910</v>
      </c>
      <c r="D124" s="299">
        <f ca="1">_xlfn.IFNA(VLOOKUP(B124,Worksheet!$C$3:$G$46,3,FALSE),D124)</f>
        <v>0</v>
      </c>
      <c r="E124" s="299">
        <f>_xlfn.IFNA(VLOOKUP(B124,Worksheet!$C$3:$G$46,4,FALSE),E124)</f>
        <v>1</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customHeight="1" x14ac:dyDescent="0.25">
      <c r="A126" s="224"/>
      <c r="B126" s="236">
        <v>1431</v>
      </c>
      <c r="C126" s="240" t="s">
        <v>3912</v>
      </c>
      <c r="D126" s="299">
        <f ca="1">_xlfn.IFNA(VLOOKUP(B126,Worksheet!$C$3:$G$46,3,FALSE),D126)</f>
        <v>0</v>
      </c>
      <c r="E126" s="299">
        <f>_xlfn.IFNA(VLOOKUP(B126,Worksheet!$C$3:$G$46,4,FALSE),E126)</f>
        <v>1</v>
      </c>
      <c r="F126" s="299">
        <f ca="1">_xlfn.IFNA(VLOOKUP(B126,Worksheet!$C$3:$G$46,5,FALSE),F126)</f>
        <v>0</v>
      </c>
      <c r="G126" s="205" t="s">
        <v>86</v>
      </c>
    </row>
    <row r="127" spans="1:7" s="268" customFormat="1" ht="45"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customHeight="1" x14ac:dyDescent="0.25">
      <c r="A130" s="224"/>
      <c r="B130" s="236">
        <v>1435</v>
      </c>
      <c r="C130" s="240" t="s">
        <v>3916</v>
      </c>
      <c r="D130" s="299">
        <f ca="1">_xlfn.IFNA(VLOOKUP(B130,Worksheet!$C$3:$G$46,3,FALSE),D130)</f>
        <v>0</v>
      </c>
      <c r="E130" s="299">
        <f>_xlfn.IFNA(VLOOKUP(B130,Worksheet!$C$3:$G$46,4,FALSE),E130)</f>
        <v>1</v>
      </c>
      <c r="F130" s="299">
        <f ca="1">_xlfn.IFNA(VLOOKUP(B130,Worksheet!$C$3:$G$46,5,FALSE),F130)</f>
        <v>0</v>
      </c>
      <c r="G130" s="205" t="s">
        <v>86</v>
      </c>
    </row>
    <row r="131" spans="1:7" s="268" customFormat="1" ht="45" customHeight="1" x14ac:dyDescent="0.25">
      <c r="A131" s="224"/>
      <c r="B131" s="236">
        <v>1441</v>
      </c>
      <c r="C131" s="240" t="s">
        <v>3917</v>
      </c>
      <c r="D131" s="299">
        <f ca="1">_xlfn.IFNA(VLOOKUP(B131,Worksheet!$C$3:$G$46,3,FALSE),D131)</f>
        <v>0</v>
      </c>
      <c r="E131" s="299">
        <f>_xlfn.IFNA(VLOOKUP(B131,Worksheet!$C$3:$G$46,4,FALSE),E131)</f>
        <v>1</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E120</f>
        <v>1</v>
      </c>
      <c r="F132" s="269">
        <f ca="1">F120</f>
        <v>0</v>
      </c>
      <c r="G132" s="205"/>
    </row>
    <row r="133" spans="1:7" s="268" customFormat="1" ht="45" customHeight="1" x14ac:dyDescent="0.25">
      <c r="A133" s="224"/>
      <c r="B133" s="236">
        <v>1443</v>
      </c>
      <c r="C133" s="240" t="s">
        <v>3919</v>
      </c>
      <c r="D133" s="299">
        <f ca="1">_xlfn.IFNA(VLOOKUP(B133,Worksheet!$C$3:$G$46,3,FALSE),D133)</f>
        <v>0</v>
      </c>
      <c r="E133" s="299">
        <f>_xlfn.IFNA(VLOOKUP(B133,Worksheet!$C$3:$G$46,4,FALSE),E133)</f>
        <v>1</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customHeight="1" x14ac:dyDescent="0.25">
      <c r="A135" s="224"/>
      <c r="B135" s="236">
        <v>1452</v>
      </c>
      <c r="C135" s="240" t="s">
        <v>3921</v>
      </c>
      <c r="D135" s="299">
        <f ca="1">_xlfn.IFNA(VLOOKUP(B135,Worksheet!$C$3:$G$46,3,FALSE),D135)</f>
        <v>0</v>
      </c>
      <c r="E135" s="299">
        <f>_xlfn.IFNA(VLOOKUP(B135,Worksheet!$C$3:$G$46,4,FALSE),E135)</f>
        <v>1</v>
      </c>
      <c r="F135" s="299">
        <f ca="1">_xlfn.IFNA(VLOOKUP(B135,Worksheet!$C$3:$G$46,5,FALSE),F135)</f>
        <v>0</v>
      </c>
      <c r="G135" s="205" t="s">
        <v>86</v>
      </c>
    </row>
    <row r="136" spans="1:7" s="268" customFormat="1" ht="45" customHeight="1" x14ac:dyDescent="0.25">
      <c r="A136" s="224"/>
      <c r="B136" s="236">
        <v>1453</v>
      </c>
      <c r="C136" s="240" t="s">
        <v>3922</v>
      </c>
      <c r="D136" s="299">
        <f ca="1">_xlfn.IFNA(VLOOKUP(B136,Worksheet!$C$3:$G$46,3,FALSE),D136)</f>
        <v>0</v>
      </c>
      <c r="E136" s="299">
        <f>_xlfn.IFNA(VLOOKUP(B136,Worksheet!$C$3:$G$46,4,FALSE),E136)</f>
        <v>1</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customHeight="1" x14ac:dyDescent="0.25">
      <c r="A138" s="224"/>
      <c r="B138" s="236">
        <v>1455</v>
      </c>
      <c r="C138" s="240" t="s">
        <v>3924</v>
      </c>
      <c r="D138" s="299">
        <f ca="1">_xlfn.IFNA(VLOOKUP(B138,Worksheet!$C$3:$G$46,3,FALSE),D138)</f>
        <v>0</v>
      </c>
      <c r="E138" s="299">
        <f>_xlfn.IFNA(VLOOKUP(B138,Worksheet!$C$3:$G$46,4,FALSE),E138)</f>
        <v>1</v>
      </c>
      <c r="F138" s="299">
        <f ca="1">_xlfn.IFNA(VLOOKUP(B138,Worksheet!$C$3:$G$46,5,FALSE),F138)</f>
        <v>0</v>
      </c>
      <c r="G138" s="205" t="s">
        <v>86</v>
      </c>
    </row>
    <row r="139" spans="1:7" ht="45" customHeight="1" x14ac:dyDescent="0.25">
      <c r="A139" s="224"/>
      <c r="B139" s="236">
        <v>1456</v>
      </c>
      <c r="C139" s="240" t="s">
        <v>3925</v>
      </c>
      <c r="D139" s="299">
        <f ca="1">_xlfn.IFNA(VLOOKUP(B139,Worksheet!$C$3:$G$46,3,FALSE),D139)</f>
        <v>0</v>
      </c>
      <c r="E139" s="299">
        <f>_xlfn.IFNA(VLOOKUP(B139,Worksheet!$C$3:$G$46,4,FALSE),E139)</f>
        <v>1</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N04UPxDVHe90mjg5KIulJOCogJm3ulnxoOrdUz6ZGPglyMzP2wCIVHifeWm4mwO34DpYYPkCDhdz357PGFN0A==" saltValue="R8rl0yp65DapTDTE9SSSQg==" spinCount="100000" sheet="1" objects="1" scenarios="1" selectLockedCells="1"/>
  <autoFilter ref="A1:G239">
    <filterColumn colId="6">
      <filters>
        <filter val="PMTCT_EID"/>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2017-01-11T15:12:50Z</cp:lastPrinted>
  <dcterms:created xsi:type="dcterms:W3CDTF">2017-01-08T13:42:03Z</dcterms:created>
  <dcterms:modified xsi:type="dcterms:W3CDTF">2017-02-23T14:12:28Z</dcterms:modified>
</cp:coreProperties>
</file>