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S23" i="11" s="1"/>
  <c r="R17" i="11"/>
  <c r="S17" i="11"/>
  <c r="T17" i="11"/>
  <c r="U17" i="11"/>
  <c r="R24" i="11" s="1"/>
  <c r="V17" i="11"/>
  <c r="W17" i="11"/>
  <c r="T24" i="11" s="1"/>
  <c r="X17" i="11"/>
  <c r="Y17" i="11"/>
  <c r="Q25" i="11" s="1"/>
  <c r="Z17" i="11"/>
  <c r="AA17" i="11"/>
  <c r="S25" i="11" s="1"/>
  <c r="AB17" i="11"/>
  <c r="T25" i="11"/>
  <c r="R25" i="11"/>
  <c r="P25" i="11"/>
  <c r="S24" i="11"/>
  <c r="Q24" i="11"/>
  <c r="P24" i="11"/>
  <c r="T23" i="11"/>
  <c r="R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5" i="10"/>
  <c r="S11" i="12"/>
  <c r="F2" i="10" l="1"/>
  <c r="F3" i="10"/>
  <c r="F4"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<sst xmlns="http://schemas.openxmlformats.org/spreadsheetml/2006/main" count="27097" uniqueCount="4025">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</sst>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24.583333333333332</c:v>
                </c:pt>
                <c:pt idx="1">
                  <c:v>27.822916666666664</c:v>
                </c:pt>
                <c:pt idx="2">
                  <c:v>216.19696969696972</c:v>
                </c:pt>
                <c:pt idx="3">
                  <c:v>210.02500000000001</c:v>
                </c:pt>
                <c:pt idx="4">
                  <c:v>55.277777777777779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22.645833333333332</c:v>
                </c:pt>
                <c:pt idx="1">
                  <c:v>25.885416666666668</c:v>
                </c:pt>
                <c:pt idx="2">
                  <c:v>187.21212121212119</c:v>
                </c:pt>
                <c:pt idx="3">
                  <c:v>178.19374999999999</c:v>
                </c:pt>
                <c:pt idx="4">
                  <c:v>63.555555555555557</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20.833333333333332</c:v>
                </c:pt>
                <c:pt idx="1">
                  <c:v>22.59375</c:v>
                </c:pt>
                <c:pt idx="2">
                  <c:v>176.98484848484847</c:v>
                </c:pt>
                <c:pt idx="3">
                  <c:v>163.60833333333332</c:v>
                </c:pt>
                <c:pt idx="4">
                  <c:v>45.537037037037038</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467338640"/>
        <c:axId val="467335504"/>
      </c:radarChart>
      <c:catAx>
        <c:axId val="46733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67335504"/>
        <c:crosses val="autoZero"/>
        <c:auto val="1"/>
        <c:lblAlgn val="ctr"/>
        <c:lblOffset val="100"/>
        <c:noMultiLvlLbl val="0"/>
      </c:catAx>
      <c:valAx>
        <c:axId val="4673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33864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CCCRN</v>
      </c>
      <c r="E2" s="311"/>
      <c r="F2" s="311"/>
      <c r="G2" s="311"/>
      <c r="H2" s="311"/>
      <c r="I2" s="311"/>
      <c r="J2" s="312"/>
      <c r="K2" s="313" t="s">
        <v>4022</v>
      </c>
      <c r="L2" s="314"/>
      <c r="M2" s="314"/>
      <c r="N2" s="314"/>
      <c r="O2" s="315" t="str">
        <f>Worksheet!M18</f>
        <v>John Doe</v>
      </c>
      <c r="P2" s="316"/>
      <c r="Q2" s="316"/>
      <c r="R2" s="316"/>
      <c r="S2" s="316"/>
      <c r="T2" s="317"/>
    </row>
    <row r="3" spans="1:20" ht="24" thickBot="1" x14ac:dyDescent="0.4">
      <c r="A3" s="307" t="s">
        <v>94</v>
      </c>
      <c r="B3" s="308" t="s">
        <v>1</v>
      </c>
      <c r="C3" s="309"/>
      <c r="D3" s="310" t="str">
        <f>Worksheet!R2</f>
        <v>Enugu</v>
      </c>
      <c r="E3" s="311"/>
      <c r="F3" s="311"/>
      <c r="G3" s="311"/>
      <c r="H3" s="311"/>
      <c r="I3" s="311"/>
      <c r="J3" s="312"/>
      <c r="K3" s="313" t="s">
        <v>3969</v>
      </c>
      <c r="L3" s="314"/>
      <c r="M3" s="314"/>
      <c r="N3" s="314"/>
      <c r="O3" s="315" t="str">
        <f>Worksheet!W18</f>
        <v>10th Feb 2017</v>
      </c>
      <c r="P3" s="316"/>
      <c r="Q3" s="316"/>
      <c r="R3" s="316"/>
      <c r="S3" s="316"/>
      <c r="T3" s="317"/>
    </row>
    <row r="4" spans="1:20" ht="24" thickBot="1" x14ac:dyDescent="0.4">
      <c r="A4" s="307" t="s">
        <v>93</v>
      </c>
      <c r="B4" s="308"/>
      <c r="C4" s="309" t="s">
        <v>3</v>
      </c>
      <c r="D4" s="310" t="str">
        <f>Worksheet!T2</f>
        <v>en Nkanu West</v>
      </c>
      <c r="E4" s="311"/>
      <c r="F4" s="311"/>
      <c r="G4" s="311"/>
      <c r="H4" s="311"/>
      <c r="I4" s="311"/>
      <c r="J4" s="312"/>
      <c r="K4" s="313" t="s">
        <v>4023</v>
      </c>
      <c r="L4" s="314"/>
      <c r="M4" s="314"/>
      <c r="N4" s="314"/>
      <c r="O4" s="315" t="str">
        <f>Worksheet!M19</f>
        <v>Mary Doe</v>
      </c>
      <c r="P4" s="316"/>
      <c r="Q4" s="316"/>
      <c r="R4" s="316"/>
      <c r="S4" s="316"/>
      <c r="T4" s="317"/>
    </row>
    <row r="5" spans="1:20" ht="24" thickBot="1" x14ac:dyDescent="0.4">
      <c r="A5" s="307" t="s">
        <v>92</v>
      </c>
      <c r="B5" s="308"/>
      <c r="C5" s="309" t="s">
        <v>6</v>
      </c>
      <c r="D5" s="310" t="str">
        <f>Worksheet!V2</f>
        <v>University Of Nigeria Teaching Hospital (UNTH)</v>
      </c>
      <c r="E5" s="311"/>
      <c r="F5" s="311"/>
      <c r="G5" s="311"/>
      <c r="H5" s="311"/>
      <c r="I5" s="311"/>
      <c r="J5" s="312"/>
      <c r="K5" s="313" t="s">
        <v>3969</v>
      </c>
      <c r="L5" s="314"/>
      <c r="M5" s="314"/>
      <c r="N5" s="314"/>
      <c r="O5" s="315">
        <f>Worksheet!W19</f>
        <v>0</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3970</v>
      </c>
      <c r="D8" s="152">
        <f ca="1">(SUM('All Questions'!D10:D14)/5)+D12</f>
        <v>64.5</v>
      </c>
      <c r="E8" s="152">
        <f ca="1">SUM('All Questions'!D15:D21)/7+E12</f>
        <v>73.666666666666657</v>
      </c>
      <c r="F8" s="152">
        <f ca="1">SUM('All Questions'!D23:D30)/4+F12</f>
        <v>174.66666666666666</v>
      </c>
      <c r="G8" s="152">
        <f ca="1">SUM('All Questions'!D31:D35)/5+G12</f>
        <v>117.35</v>
      </c>
      <c r="H8" s="153">
        <f ca="1">SUM('All Questions'!D37,'All Questions'!D40)/2+'All Questions'!D26+H12</f>
        <v>232</v>
      </c>
      <c r="I8" s="154">
        <f ca="1">(SUM('All Questions'!E10:E14)/5)+I12</f>
        <v>57.25</v>
      </c>
      <c r="J8" s="152">
        <f ca="1">SUM('All Questions'!E15:E21)/7+J12</f>
        <v>64.666666666666671</v>
      </c>
      <c r="K8" s="152">
        <f ca="1">SUM('All Questions'!E23:E30)/4+K12</f>
        <v>193.16666666666666</v>
      </c>
      <c r="L8" s="152">
        <f ca="1">SUM('All Questions'!E31:E35)/5+L12</f>
        <v>124.9</v>
      </c>
      <c r="M8" s="153">
        <f ca="1">('All Questions'!E37+'All Questions'!E40)/2+'All Questions'!E26+M12</f>
        <v>266</v>
      </c>
      <c r="N8" s="154">
        <f ca="1">(SUM('All Questions'!F10:F14)/5)+N12</f>
        <v>53</v>
      </c>
      <c r="O8" s="152">
        <f ca="1">SUM('All Questions'!F15:F21)/7+O12</f>
        <v>59</v>
      </c>
      <c r="P8" s="152">
        <f ca="1">SUM('All Questions'!F23:F30)/4+P12</f>
        <v>147</v>
      </c>
      <c r="Q8" s="152">
        <f ca="1">SUM('All Questions'!F31:F35)/5+Q12</f>
        <v>95.35</v>
      </c>
      <c r="R8" s="153">
        <f ca="1">('All Questions'!F37+'All Questions'!F40)/2+'All Questions'!F26+R12</f>
        <v>190</v>
      </c>
      <c r="S8" s="138">
        <f ca="1">'All Questions'!F2</f>
        <v>745</v>
      </c>
      <c r="T8" s="139">
        <f t="shared" ref="T8:T17" ca="1" si="0">(((SUM(D8:H8)/5)+(SUM(I8:M8)/5)+(SUM(N8:R8)/5)))/S8</f>
        <v>0.513427293064877</v>
      </c>
    </row>
    <row r="9" spans="1:20" ht="72.599999999999994" customHeight="1" thickBot="1" x14ac:dyDescent="0.3">
      <c r="A9" s="105">
        <v>1.1000000000000001</v>
      </c>
      <c r="B9" s="106" t="s">
        <v>89</v>
      </c>
      <c r="C9" s="107" t="s">
        <v>3971</v>
      </c>
      <c r="D9" s="155"/>
      <c r="E9" s="155"/>
      <c r="F9" s="156">
        <f ca="1">'All Questions'!D29</f>
        <v>55</v>
      </c>
      <c r="G9" s="155"/>
      <c r="H9" s="157"/>
      <c r="I9" s="158"/>
      <c r="J9" s="155"/>
      <c r="K9" s="156">
        <f ca="1">'All Questions'!E29</f>
        <v>60</v>
      </c>
      <c r="L9" s="155"/>
      <c r="M9" s="157"/>
      <c r="N9" s="158"/>
      <c r="O9" s="155"/>
      <c r="P9" s="156">
        <f ca="1">'All Questions'!F29</f>
        <v>51</v>
      </c>
      <c r="Q9" s="155"/>
      <c r="R9" s="157"/>
      <c r="S9" s="138">
        <f ca="1">'All Questions'!F3</f>
        <v>3</v>
      </c>
      <c r="T9" s="140">
        <f t="shared" ca="1" si="0"/>
        <v>11.066666666666668</v>
      </c>
    </row>
    <row r="10" spans="1:20" ht="72.599999999999994" customHeight="1" thickBot="1" x14ac:dyDescent="0.3">
      <c r="A10" s="105" t="s">
        <v>141</v>
      </c>
      <c r="B10" s="106" t="s">
        <v>79</v>
      </c>
      <c r="C10" s="107" t="s">
        <v>3972</v>
      </c>
      <c r="D10" s="156">
        <f ca="1">(SUM('All Questions'!D10:D14)/5)</f>
        <v>35</v>
      </c>
      <c r="E10" s="156">
        <f ca="1">SUM('All Questions'!D15:D21)/7</f>
        <v>35</v>
      </c>
      <c r="F10" s="156">
        <f ca="1">(SUM('All Questions'!D23:D24)+SUM('All Questions'!D25:D26)+SUM('All Questions'!D27:D28)+SUM('All Questions'!D29:D30))/4</f>
        <v>136</v>
      </c>
      <c r="G10" s="156">
        <f ca="1">SUM('All Questions'!D31:D35)/5</f>
        <v>86.6</v>
      </c>
      <c r="H10" s="159">
        <f ca="1">('All Questions'!D37+'All Questions'!D40)/2+'All Questions'!D26</f>
        <v>174</v>
      </c>
      <c r="I10" s="160">
        <f ca="1">(SUM('All Questions'!E10:E14)/5)</f>
        <v>35</v>
      </c>
      <c r="J10" s="161">
        <f ca="1">SUM('All Questions'!E15:E21)/7</f>
        <v>35</v>
      </c>
      <c r="K10" s="161">
        <f ca="1">(SUM('All Questions'!E23:E24)+SUM('All Questions'!E25:E26)+SUM('All Questions'!E27:E28)+SUM('All Questions'!E29:E30))/4</f>
        <v>163.5</v>
      </c>
      <c r="L10" s="161">
        <f ca="1">SUM('All Questions'!E31:E35)/5</f>
        <v>99.4</v>
      </c>
      <c r="M10" s="162">
        <f ca="1">('All Questions'!E37+'All Questions'!E40)/2+'All Questions'!E26</f>
        <v>222</v>
      </c>
      <c r="N10" s="163">
        <f ca="1">(SUM('All Questions'!F10:F14)/5)</f>
        <v>35</v>
      </c>
      <c r="O10" s="161">
        <f ca="1">SUM('All Questions'!F15:F21)/7</f>
        <v>35</v>
      </c>
      <c r="P10" s="161">
        <f ca="1">(SUM('All Questions'!F23:F24)+SUM('All Questions'!F25:F26)+SUM('All Questions'!F27:F28)+SUM('All Questions'!F29:F30))/4</f>
        <v>123</v>
      </c>
      <c r="Q10" s="161">
        <f ca="1">SUM('All Questions'!F31:F35)/5</f>
        <v>75.599999999999994</v>
      </c>
      <c r="R10" s="162">
        <f ca="1">('All Questions'!F37+'All Questions'!F40)/2+'All Questions'!F26</f>
        <v>154</v>
      </c>
      <c r="S10" s="138">
        <f ca="1">'All Questions'!F4</f>
        <v>410</v>
      </c>
      <c r="T10" s="140">
        <f t="shared" ca="1" si="0"/>
        <v>0.70443902439024397</v>
      </c>
    </row>
    <row r="11" spans="1:20" ht="72.599999999999994" customHeight="1" thickBot="1" x14ac:dyDescent="0.3">
      <c r="A11" s="108" t="s">
        <v>3973</v>
      </c>
      <c r="B11" s="109" t="s">
        <v>79</v>
      </c>
      <c r="C11" s="110" t="s">
        <v>88</v>
      </c>
      <c r="D11" s="164"/>
      <c r="E11" s="164"/>
      <c r="F11" s="165">
        <f ca="1">'All Questions'!D29</f>
        <v>55</v>
      </c>
      <c r="G11" s="164"/>
      <c r="H11" s="166"/>
      <c r="I11" s="167"/>
      <c r="J11" s="164"/>
      <c r="K11" s="168">
        <f ca="1">'All Questions'!E29</f>
        <v>60</v>
      </c>
      <c r="L11" s="164"/>
      <c r="M11" s="166"/>
      <c r="N11" s="167"/>
      <c r="O11" s="164"/>
      <c r="P11" s="168">
        <f ca="1">'All Questions'!F29</f>
        <v>51</v>
      </c>
      <c r="Q11" s="164"/>
      <c r="R11" s="166"/>
      <c r="S11" s="138">
        <f>'All Questions'!F5</f>
        <v>173</v>
      </c>
      <c r="T11" s="141">
        <f t="shared" ca="1" si="0"/>
        <v>0.19190751445086707</v>
      </c>
    </row>
    <row r="12" spans="1:20" ht="72.599999999999994" customHeight="1" x14ac:dyDescent="0.25">
      <c r="A12" s="111">
        <v>2</v>
      </c>
      <c r="B12" s="112" t="s">
        <v>83</v>
      </c>
      <c r="C12" s="113" t="s">
        <v>3974</v>
      </c>
      <c r="D12" s="169">
        <f ca="1">SUM('All Questions'!D55:D58)/4</f>
        <v>29.5</v>
      </c>
      <c r="E12" s="170">
        <f ca="1">SUM('All Questions'!D60:D75)/6</f>
        <v>38.666666666666664</v>
      </c>
      <c r="F12" s="170">
        <f ca="1">SUM('All Questions'!D67:D72)/3</f>
        <v>38.666666666666664</v>
      </c>
      <c r="G12" s="170">
        <f ca="1">SUM('All Questions'!D73:D80)/4</f>
        <v>30.75</v>
      </c>
      <c r="H12" s="171">
        <f ca="1">SUM('All Questions'!D82:D83)/2</f>
        <v>58</v>
      </c>
      <c r="I12" s="172">
        <f ca="1">SUM('All Questions'!E55:E58)/4</f>
        <v>22.25</v>
      </c>
      <c r="J12" s="173">
        <f ca="1">SUM('All Questions'!E60:E75)/6</f>
        <v>29.666666666666668</v>
      </c>
      <c r="K12" s="173">
        <f ca="1">SUM('All Questions'!E67:E72)/3</f>
        <v>29.666666666666668</v>
      </c>
      <c r="L12" s="173">
        <f ca="1">SUM('All Questions'!E73:E80)/4</f>
        <v>25.5</v>
      </c>
      <c r="M12" s="174">
        <f ca="1">SUM('All Questions'!E82:E83)/2</f>
        <v>44</v>
      </c>
      <c r="N12" s="175">
        <f ca="1">SUM('All Questions'!F55:F58)/4</f>
        <v>18</v>
      </c>
      <c r="O12" s="173">
        <f ca="1">SUM('All Questions'!F60:F75)/6</f>
        <v>24</v>
      </c>
      <c r="P12" s="173">
        <f ca="1">SUM('All Questions'!F67:F72)/3</f>
        <v>24</v>
      </c>
      <c r="Q12" s="173">
        <f ca="1">SUM('All Questions'!F73:F80)/4</f>
        <v>19.75</v>
      </c>
      <c r="R12" s="174">
        <f ca="1">SUM('All Questions'!F82:F83)/2</f>
        <v>36</v>
      </c>
      <c r="S12" s="142">
        <f ca="1">'All Questions'!F46</f>
        <v>335</v>
      </c>
      <c r="T12" s="143">
        <f t="shared" ca="1" si="0"/>
        <v>0.27965174129353237</v>
      </c>
    </row>
    <row r="13" spans="1:20" ht="72.599999999999994" customHeight="1" x14ac:dyDescent="0.25">
      <c r="A13" s="105">
        <v>2.1</v>
      </c>
      <c r="B13" s="106" t="s">
        <v>83</v>
      </c>
      <c r="C13" s="114" t="s">
        <v>3975</v>
      </c>
      <c r="D13" s="158"/>
      <c r="E13" s="155"/>
      <c r="F13" s="176">
        <f ca="1">'All Questions'!D72</f>
        <v>0</v>
      </c>
      <c r="G13" s="155"/>
      <c r="H13" s="177">
        <f ca="1">SUM('All Questions'!D85:D86)/2</f>
        <v>0.5</v>
      </c>
      <c r="I13" s="178"/>
      <c r="J13" s="179"/>
      <c r="K13" s="180">
        <f ca="1">'All Questions'!E72</f>
        <v>0</v>
      </c>
      <c r="L13" s="179"/>
      <c r="M13" s="181">
        <f ca="1">SUM('All Questions'!E85:E86)/2</f>
        <v>1</v>
      </c>
      <c r="N13" s="182"/>
      <c r="O13" s="179"/>
      <c r="P13" s="180">
        <f ca="1">'All Questions'!F72</f>
        <v>0</v>
      </c>
      <c r="Q13" s="179"/>
      <c r="R13" s="181">
        <f ca="1">SUM('All Questions'!F85:F86)/2</f>
        <v>0.5</v>
      </c>
      <c r="S13" s="142">
        <f ca="1">'All Questions'!F47</f>
        <v>3</v>
      </c>
      <c r="T13" s="144">
        <f t="shared" ca="1" si="0"/>
        <v>0.13333333333333333</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1.75</v>
      </c>
      <c r="H14" s="177">
        <f ca="1">SUM('All Questions'!D88:D89)/2</f>
        <v>3.5</v>
      </c>
      <c r="I14" s="184">
        <f ca="1">'All Questions'!E57</f>
        <v>1</v>
      </c>
      <c r="J14" s="180">
        <f ca="1">'All Questions'!E64</f>
        <v>0</v>
      </c>
      <c r="K14" s="180">
        <f ca="1">SUM('All Questions'!E69:E70)</f>
        <v>1</v>
      </c>
      <c r="L14" s="180">
        <f ca="1">SUM('All Questions'!E74,'All Questions'!E76,'All Questions'!E78,'All Questions'!E80)/4</f>
        <v>3.5</v>
      </c>
      <c r="M14" s="181">
        <f ca="1">SUM('All Questions'!E88:E89)/2</f>
        <v>7</v>
      </c>
      <c r="N14" s="185">
        <f ca="1">'All Questions'!F57</f>
        <v>0</v>
      </c>
      <c r="O14" s="180">
        <f ca="1">'All Questions'!E64</f>
        <v>0</v>
      </c>
      <c r="P14" s="180">
        <f ca="1">SUM('All Questions'!F75:F76)</f>
        <v>79</v>
      </c>
      <c r="Q14" s="180">
        <f ca="1">SUM('All Questions'!F74,'All Questions'!F76,'All Questions'!F78,'All Questions'!F80)/4</f>
        <v>1.75</v>
      </c>
      <c r="R14" s="181">
        <f ca="1">SUM('All Questions'!F88:F89)/2</f>
        <v>3.5</v>
      </c>
      <c r="S14" s="142">
        <f ca="1">'All Questions'!F48</f>
        <v>28</v>
      </c>
      <c r="T14" s="144">
        <f t="shared" ca="1" si="0"/>
        <v>0.72857142857142865</v>
      </c>
    </row>
    <row r="15" spans="1:20" ht="72.599999999999994" customHeight="1" x14ac:dyDescent="0.25">
      <c r="A15" s="105">
        <v>3</v>
      </c>
      <c r="B15" s="106" t="s">
        <v>86</v>
      </c>
      <c r="C15" s="114" t="s">
        <v>87</v>
      </c>
      <c r="D15" s="160">
        <f ca="1">SUM('All Questions'!D119:D120)/2</f>
        <v>16</v>
      </c>
      <c r="E15" s="156">
        <f ca="1">SUM('All Questions'!D121+'All Questions'!D124)/2</f>
        <v>15</v>
      </c>
      <c r="F15" s="156">
        <f ca="1">SUM('All Questions'!D126:D130)/2</f>
        <v>15</v>
      </c>
      <c r="G15" s="156">
        <f ca="1">SUM('All Questions'!D131:D133)/3</f>
        <v>11.666666666666666</v>
      </c>
      <c r="H15" s="159">
        <f ca="1">SUM('All Questions'!D135+'All Questions'!D138)</f>
        <v>15</v>
      </c>
      <c r="I15" s="163">
        <f ca="1">SUM('All Questions'!E119:E120)/2</f>
        <v>10</v>
      </c>
      <c r="J15" s="161">
        <f ca="1">SUM('All Questions'!E121+'All Questions'!E124)/2</f>
        <v>10</v>
      </c>
      <c r="K15" s="161">
        <f ca="1">SUM('All Questions'!E126:E130)/2</f>
        <v>10</v>
      </c>
      <c r="L15" s="161">
        <f ca="1">SUM('All Questions'!E131:E133)/3</f>
        <v>10.666666666666666</v>
      </c>
      <c r="M15" s="162">
        <f ca="1">SUM('All Questions'!E135+'All Questions'!E138)</f>
        <v>10</v>
      </c>
      <c r="N15" s="186">
        <f ca="1">SUM('All Questions'!F119:F120)/2</f>
        <v>9</v>
      </c>
      <c r="O15" s="161">
        <f ca="1">SUM('All Questions'!F121+'All Questions'!F124)/2</f>
        <v>1</v>
      </c>
      <c r="P15" s="161">
        <f ca="1">SUM('All Questions'!F126:F130)/2</f>
        <v>1</v>
      </c>
      <c r="Q15" s="161">
        <f ca="1">SUM('All Questions'!F131:F133)/3</f>
        <v>8.3333333333333339</v>
      </c>
      <c r="R15" s="162">
        <f ca="1">SUM('All Questions'!F131:F133)/3</f>
        <v>8.3333333333333339</v>
      </c>
      <c r="S15" s="145">
        <f ca="1">'All Questions'!F117</f>
        <v>28</v>
      </c>
      <c r="T15" s="144">
        <f ca="1">(((SUM(D15:H15)/5)+(SUM(I15:M15)/5)+(SUM(N15:R15)/5)))/S15</f>
        <v>1.0785714285714285</v>
      </c>
    </row>
    <row r="16" spans="1:20" ht="72.599999999999994" customHeight="1" thickBot="1" x14ac:dyDescent="0.3">
      <c r="A16" s="115">
        <v>4</v>
      </c>
      <c r="B16" s="116" t="s">
        <v>84</v>
      </c>
      <c r="C16" s="117" t="s">
        <v>85</v>
      </c>
      <c r="D16" s="187">
        <f ca="1">SUM('All Questions'!D93:D94)/2</f>
        <v>4</v>
      </c>
      <c r="E16" s="188">
        <f ca="1">SUM('All Questions'!D97:D100)/4</f>
        <v>4</v>
      </c>
      <c r="F16" s="188">
        <f ca="1">SUM('All Questions'!D101:D105)/2</f>
        <v>7.5</v>
      </c>
      <c r="G16" s="188">
        <f ca="1">SUM('All Questions'!D106:D108)/3</f>
        <v>0.66666666666666663</v>
      </c>
      <c r="H16" s="189">
        <f ca="1">SUM('All Questions'!D111+'All Questions'!D112+'All Questions'!D114+'All Questions'!D115)/4</f>
        <v>0.5</v>
      </c>
      <c r="I16" s="190">
        <f ca="1">SUM('All Questions'!E93:E94)/2</f>
        <v>8</v>
      </c>
      <c r="J16" s="191">
        <f ca="1">SUM('All Questions'!E97:E100)/4</f>
        <v>8</v>
      </c>
      <c r="K16" s="191">
        <f ca="1">SUM('All Questions'!E101:E105)/2</f>
        <v>15</v>
      </c>
      <c r="L16" s="191">
        <f ca="1">SUM('All Questions'!E106:E108)/3</f>
        <v>1.3333333333333333</v>
      </c>
      <c r="M16" s="192">
        <f ca="1">SUM('All Questions'!E111+'All Questions'!E112+'All Questions'!E114+'All Questions'!E115)/4</f>
        <v>1</v>
      </c>
      <c r="N16" s="193">
        <f ca="1">SUM('All Questions'!F93:F94)/2</f>
        <v>4</v>
      </c>
      <c r="O16" s="191">
        <f ca="1">SUM('All Questions'!F97:F100)/4</f>
        <v>4</v>
      </c>
      <c r="P16" s="191">
        <f ca="1">SUM('All Questions'!F101:F105)/2</f>
        <v>7.5</v>
      </c>
      <c r="Q16" s="191">
        <f ca="1">SUM('All Questions'!F106:F108)/3</f>
        <v>0.66666666666666663</v>
      </c>
      <c r="R16" s="192">
        <f ca="1">SUM('All Questions'!F111+'All Questions'!F112+'All Questions'!F114+'All Questions'!F115)/4</f>
        <v>0.5</v>
      </c>
      <c r="S16" s="146">
        <f ca="1">'All Questions'!F91</f>
        <v>31</v>
      </c>
      <c r="T16" s="147">
        <f t="shared" ca="1" si="0"/>
        <v>0.43010752688172044</v>
      </c>
    </row>
    <row r="17" spans="1:20" ht="72.599999999999994" customHeight="1" x14ac:dyDescent="0.25">
      <c r="A17" s="102">
        <v>5</v>
      </c>
      <c r="B17" s="103" t="s">
        <v>90</v>
      </c>
      <c r="C17" s="118" t="s">
        <v>74</v>
      </c>
      <c r="D17" s="154">
        <f ca="1">SUM('All Questions'!D144:D146)/3</f>
        <v>12.666666666666666</v>
      </c>
      <c r="E17" s="152">
        <f ca="1">SUM('All Questions'!D147:D150)/4</f>
        <v>21.25</v>
      </c>
      <c r="F17" s="152">
        <f ca="1">SUM('All Questions'!D144:D146)/3</f>
        <v>12.666666666666666</v>
      </c>
      <c r="G17" s="152">
        <f ca="1">SUM('All Questions'!D155:D157)/3</f>
        <v>18.666666666666668</v>
      </c>
      <c r="H17" s="194">
        <f ca="1">SUM('All Questions'!D160+'All Questions'!D163)/2</f>
        <v>14</v>
      </c>
      <c r="I17" s="195">
        <f ca="1">SUM('All Questions'!E144:E146)/3</f>
        <v>12.666666666666666</v>
      </c>
      <c r="J17" s="196">
        <f ca="1">SUM('All Questions'!E147:E150)/4</f>
        <v>24.75</v>
      </c>
      <c r="K17" s="196">
        <f ca="1">SUM('All Questions'!E151:E154)/2</f>
        <v>16</v>
      </c>
      <c r="L17" s="196">
        <f ca="1">SUM('All Questions'!E155:E157)/3</f>
        <v>27</v>
      </c>
      <c r="M17" s="194">
        <f ca="1">SUM('All Questions'!E160+'All Questions'!E163)/2</f>
        <v>21</v>
      </c>
      <c r="N17" s="197">
        <f ca="1">SUM('All Questions'!F144:F146)/3</f>
        <v>12.666666666666666</v>
      </c>
      <c r="O17" s="196">
        <f ca="1">SUM('All Questions'!F147:F150)/4</f>
        <v>22.75</v>
      </c>
      <c r="P17" s="196">
        <f ca="1">SUM('All Questions'!F151:F154)/2</f>
        <v>17</v>
      </c>
      <c r="Q17" s="196">
        <f ca="1">SUM('All Questions'!F155:F157)/3</f>
        <v>22.666666666666668</v>
      </c>
      <c r="R17" s="196">
        <f ca="1">SUM('All Questions'!F160+'All Questions'!F163)/2</f>
        <v>17</v>
      </c>
      <c r="S17" s="148">
        <f ca="1">'All Questions'!F141</f>
        <v>106</v>
      </c>
      <c r="T17" s="139">
        <f t="shared" ca="1" si="0"/>
        <v>0.51462264150943393</v>
      </c>
    </row>
    <row r="18" spans="1:20" ht="72.599999999999994" customHeight="1" thickBot="1" x14ac:dyDescent="0.3">
      <c r="A18" s="108">
        <v>6</v>
      </c>
      <c r="B18" s="109" t="s">
        <v>91</v>
      </c>
      <c r="C18" s="119" t="s">
        <v>75</v>
      </c>
      <c r="D18" s="198">
        <f ca="1">SUM('All Questions'!D171:D174)/4</f>
        <v>35</v>
      </c>
      <c r="E18" s="165">
        <f ca="1">SUM('All Questions'!D175:D179)/5</f>
        <v>35</v>
      </c>
      <c r="F18" s="165">
        <f ca="1">((SUM('All Questions'!D181+'All Questions'!D182)/2)+(SUM('All Questions'!D183+'All Questions'!D184)/2)+'All Questions'!D185)/3</f>
        <v>1883.6666666666667</v>
      </c>
      <c r="G18" s="165">
        <f ca="1">SUM('All Questions'!D186:D189)/4</f>
        <v>1412.75</v>
      </c>
      <c r="H18" s="199">
        <f ca="1">('All Questions'!D191-('All Questions'!D194+'All Questions'!D197+'All Questions'!D200))</f>
        <v>0</v>
      </c>
      <c r="I18" s="200">
        <f ca="1">SUM('All Questions'!E171:E174)/4</f>
        <v>35</v>
      </c>
      <c r="J18" s="201">
        <f ca="1">SUM('All Questions'!E175:E179)/5</f>
        <v>35</v>
      </c>
      <c r="K18" s="201">
        <f ca="1">((SUM('All Questions'!E181+'All Questions'!E182)/2)+(SUM('All Questions'!E183+'All Questions'!E184)/2)+'All Questions'!E185)/3</f>
        <v>1511</v>
      </c>
      <c r="L18" s="201">
        <f ca="1">SUM('All Questions'!E186:E189)/4</f>
        <v>1133.25</v>
      </c>
      <c r="M18" s="199">
        <f ca="1">('All Questions'!E191-('All Questions'!E194+'All Questions'!E197+'All Questions'!E200))</f>
        <v>0</v>
      </c>
      <c r="N18" s="202">
        <f ca="1">SUM('All Questions'!F171:F174)/4</f>
        <v>35</v>
      </c>
      <c r="O18" s="201">
        <f ca="1">SUM('All Questions'!F175:F179)/5</f>
        <v>35</v>
      </c>
      <c r="P18" s="201">
        <f ca="1">((SUM('All Questions'!F181+'All Questions'!F182)/2)+(SUM('All Questions'!F183+'All Questions'!F184)/2)+'All Questions'!F185)/3</f>
        <v>1446.3333333333333</v>
      </c>
      <c r="Q18" s="201">
        <f ca="1">SUM('All Questions'!F186:F189)/4</f>
        <v>1084.75</v>
      </c>
      <c r="R18" s="203">
        <f ca="1">('All Questions'!F191-('All Questions'!F194+'All Questions'!F197+'All Questions'!F200))</f>
        <v>0</v>
      </c>
      <c r="S18" s="149">
        <f ca="1">'All Questions'!F166</f>
        <v>4411</v>
      </c>
      <c r="T18" s="141">
        <f ca="1">(((SUM(F18:H18)/3)+(SUM(K18:M18)/3)+(SUM(P18:R18)/3)))/S18</f>
        <v>0.64019874556034151</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5" zoomScaleNormal="60" zoomScaleSheetLayoutView="75"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32">
        <v>20170218</v>
      </c>
      <c r="G1" s="333"/>
      <c r="H1" s="63"/>
      <c r="I1" s="63"/>
      <c r="J1" s="63"/>
      <c r="K1" s="335" t="s">
        <v>4024</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3804</v>
      </c>
      <c r="C2" s="218" t="s">
        <v>4008</v>
      </c>
      <c r="D2" s="219" t="s">
        <v>3978</v>
      </c>
      <c r="E2" s="220"/>
      <c r="F2" s="221" t="s">
        <v>4009</v>
      </c>
      <c r="G2" s="222"/>
      <c r="H2" s="223"/>
      <c r="I2" s="63"/>
      <c r="J2" s="63"/>
      <c r="K2" s="334" t="s">
        <v>157</v>
      </c>
      <c r="L2" s="334"/>
      <c r="M2" s="66" t="s">
        <v>150</v>
      </c>
      <c r="N2" s="334" t="s">
        <v>158</v>
      </c>
      <c r="O2" s="334"/>
      <c r="P2" s="66" t="s">
        <v>143</v>
      </c>
      <c r="Q2" s="303" t="s">
        <v>1</v>
      </c>
      <c r="R2" s="66" t="s">
        <v>174</v>
      </c>
      <c r="S2" s="303" t="s">
        <v>3</v>
      </c>
      <c r="T2" s="66" t="s">
        <v>630</v>
      </c>
      <c r="U2" s="67" t="s">
        <v>159</v>
      </c>
      <c r="V2" s="66" t="s">
        <v>1469</v>
      </c>
      <c r="W2" s="66"/>
      <c r="X2" s="67" t="s">
        <v>160</v>
      </c>
      <c r="Y2" s="66" t="s">
        <v>149</v>
      </c>
      <c r="Z2" s="96" t="s">
        <v>3803</v>
      </c>
      <c r="AA2" s="68" t="str">
        <f>VLOOKUP(V2,[2]Data_donotedit!AY2:AZ1504,2,FALSE)</f>
        <v>sOlMR20VFFC</v>
      </c>
      <c r="AB2" s="68"/>
      <c r="AC2" s="68"/>
      <c r="AD2" s="68"/>
    </row>
    <row r="3" spans="1:30" ht="40.15" customHeight="1" x14ac:dyDescent="0.25">
      <c r="A3" s="63"/>
      <c r="B3" s="224"/>
      <c r="C3" s="225" t="s">
        <v>150</v>
      </c>
      <c r="D3" s="226" t="s">
        <v>3979</v>
      </c>
      <c r="E3" s="226"/>
      <c r="F3" s="227"/>
      <c r="G3" s="304">
        <f ca="1">_xlfn.IFNA(VLOOKUP(C3,Worksheet!$C$3:$G$46,5,FALSE),G3)</f>
        <v>745</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4010</v>
      </c>
      <c r="D4" s="226" t="s">
        <v>3980</v>
      </c>
      <c r="E4" s="226"/>
      <c r="F4" s="229"/>
      <c r="G4" s="304">
        <f ca="1">_xlfn.IFNA(VLOOKUP(C4,Worksheet!$C$3:$G$46,5,FALSE),G4)</f>
        <v>3</v>
      </c>
      <c r="H4" s="205" t="s">
        <v>150</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28" t="s">
        <v>4011</v>
      </c>
      <c r="D5" s="226" t="s">
        <v>3981</v>
      </c>
      <c r="E5" s="230"/>
      <c r="F5" s="229"/>
      <c r="G5" s="304">
        <f ca="1">_xlfn.IFNA(VLOOKUP(C5,Worksheet!$C$3:$G$46,5,FALSE),G5)</f>
        <v>410</v>
      </c>
      <c r="H5" s="205" t="s">
        <v>150</v>
      </c>
      <c r="I5" s="63"/>
      <c r="J5" s="63"/>
      <c r="K5" s="341"/>
      <c r="L5" s="339" t="s">
        <v>82</v>
      </c>
      <c r="M5" s="340"/>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28" t="s">
        <v>4012</v>
      </c>
      <c r="D6" s="226" t="s">
        <v>3982</v>
      </c>
      <c r="E6" s="226"/>
      <c r="F6" s="229"/>
      <c r="G6" s="304">
        <v>173</v>
      </c>
      <c r="H6" s="205" t="s">
        <v>150</v>
      </c>
      <c r="I6" s="63"/>
      <c r="J6" s="63"/>
      <c r="K6" s="132" t="s">
        <v>89</v>
      </c>
      <c r="L6" s="342" t="s">
        <v>3970</v>
      </c>
      <c r="M6" s="343"/>
      <c r="N6" s="71">
        <v>64.5</v>
      </c>
      <c r="O6" s="71">
        <v>73.666666666666657</v>
      </c>
      <c r="P6" s="71">
        <v>174.66666666666666</v>
      </c>
      <c r="Q6" s="71">
        <v>117.35</v>
      </c>
      <c r="R6" s="72">
        <v>232</v>
      </c>
      <c r="S6" s="71">
        <v>57.25</v>
      </c>
      <c r="T6" s="71">
        <v>64.666666666666671</v>
      </c>
      <c r="U6" s="71">
        <v>193.16666666666666</v>
      </c>
      <c r="V6" s="71">
        <v>124.9</v>
      </c>
      <c r="W6" s="72">
        <v>266</v>
      </c>
      <c r="X6" s="71">
        <v>53</v>
      </c>
      <c r="Y6" s="71">
        <v>59</v>
      </c>
      <c r="Z6" s="71">
        <v>147</v>
      </c>
      <c r="AA6" s="71">
        <v>95.35</v>
      </c>
      <c r="AB6" s="71">
        <v>190</v>
      </c>
      <c r="AC6" s="73">
        <v>745</v>
      </c>
      <c r="AD6" s="74">
        <v>0.513427293064877</v>
      </c>
    </row>
    <row r="7" spans="1:30" ht="40.15" customHeight="1" x14ac:dyDescent="0.25">
      <c r="A7" s="63"/>
      <c r="B7" s="224"/>
      <c r="C7" s="231" t="s">
        <v>4013</v>
      </c>
      <c r="D7" s="232" t="s">
        <v>3983</v>
      </c>
      <c r="E7" s="233"/>
      <c r="F7" s="234"/>
      <c r="G7" s="235">
        <f ca="1">_xlfn.IFNA(VLOOKUP(G3,Data_donotedit!$BE$2:$BG$25,3,TRUE),0)</f>
        <v>94</v>
      </c>
      <c r="H7" s="205" t="s">
        <v>150</v>
      </c>
      <c r="I7" s="63"/>
      <c r="J7" s="65"/>
      <c r="K7" s="59" t="s">
        <v>89</v>
      </c>
      <c r="L7" s="344" t="s">
        <v>3971</v>
      </c>
      <c r="M7" s="345"/>
      <c r="N7" s="133"/>
      <c r="O7" s="133"/>
      <c r="P7" s="78">
        <v>55</v>
      </c>
      <c r="Q7" s="133"/>
      <c r="R7" s="134"/>
      <c r="S7" s="133"/>
      <c r="T7" s="133"/>
      <c r="U7" s="78">
        <v>60</v>
      </c>
      <c r="V7" s="133"/>
      <c r="W7" s="134"/>
      <c r="X7" s="133"/>
      <c r="Y7" s="133"/>
      <c r="Z7" s="78">
        <v>51</v>
      </c>
      <c r="AA7" s="133"/>
      <c r="AB7" s="133"/>
      <c r="AC7" s="80">
        <v>3</v>
      </c>
      <c r="AD7" s="81">
        <v>11.066666666666668</v>
      </c>
    </row>
    <row r="8" spans="1:30" ht="40.15" customHeight="1" x14ac:dyDescent="0.25">
      <c r="A8" s="63"/>
      <c r="B8" s="224"/>
      <c r="C8" s="236"/>
      <c r="D8" s="237" t="s">
        <v>3984</v>
      </c>
      <c r="E8" s="238" t="s">
        <v>3985</v>
      </c>
      <c r="F8" s="238" t="s">
        <v>77</v>
      </c>
      <c r="G8" s="239" t="s">
        <v>78</v>
      </c>
      <c r="H8" s="205" t="s">
        <v>150</v>
      </c>
      <c r="I8" s="63"/>
      <c r="J8" s="70"/>
      <c r="K8" s="58" t="s">
        <v>79</v>
      </c>
      <c r="L8" s="357" t="s">
        <v>3972</v>
      </c>
      <c r="M8" s="358"/>
      <c r="N8" s="71">
        <v>35</v>
      </c>
      <c r="O8" s="71">
        <v>35</v>
      </c>
      <c r="P8" s="71">
        <v>136</v>
      </c>
      <c r="Q8" s="71">
        <v>86.6</v>
      </c>
      <c r="R8" s="72">
        <v>174</v>
      </c>
      <c r="S8" s="71">
        <v>35</v>
      </c>
      <c r="T8" s="71">
        <v>35</v>
      </c>
      <c r="U8" s="71">
        <v>163.5</v>
      </c>
      <c r="V8" s="71">
        <v>99.4</v>
      </c>
      <c r="W8" s="72">
        <v>222</v>
      </c>
      <c r="X8" s="71">
        <v>35</v>
      </c>
      <c r="Y8" s="71">
        <v>35</v>
      </c>
      <c r="Z8" s="71">
        <v>123</v>
      </c>
      <c r="AA8" s="71">
        <v>75.599999999999994</v>
      </c>
      <c r="AB8" s="71">
        <v>154</v>
      </c>
      <c r="AC8" s="75">
        <v>410</v>
      </c>
      <c r="AD8" s="76">
        <v>0.70443902439024397</v>
      </c>
    </row>
    <row r="9" spans="1:30" ht="40.15" customHeight="1" x14ac:dyDescent="0.25">
      <c r="A9" s="63"/>
      <c r="B9" s="224"/>
      <c r="C9" s="236">
        <v>1111</v>
      </c>
      <c r="D9" s="240" t="s">
        <v>3805</v>
      </c>
      <c r="E9" s="305">
        <f ca="1">_xlfn.IFNA(VLOOKUP(C9,Worksheet!$C$3:$G$46,3,FALSE),E9)</f>
        <v>35</v>
      </c>
      <c r="F9" s="305">
        <f ca="1">_xlfn.IFNA(VLOOKUP(C9,Worksheet!$C$3:$G$46,4,FALSE),F9)</f>
        <v>35</v>
      </c>
      <c r="G9" s="305">
        <f ca="1">_xlfn.IFNA(VLOOKUP(C9,Worksheet!$C$3:$G$46,5,FALSE),G9)</f>
        <v>35</v>
      </c>
      <c r="H9" s="205" t="s">
        <v>150</v>
      </c>
      <c r="I9" s="63"/>
      <c r="J9" s="70"/>
      <c r="K9" s="59" t="s">
        <v>79</v>
      </c>
      <c r="L9" s="344" t="s">
        <v>88</v>
      </c>
      <c r="M9" s="345"/>
      <c r="N9" s="133"/>
      <c r="O9" s="133"/>
      <c r="P9" s="78">
        <v>55</v>
      </c>
      <c r="Q9" s="133"/>
      <c r="R9" s="134"/>
      <c r="S9" s="133"/>
      <c r="T9" s="133"/>
      <c r="U9" s="78">
        <v>60</v>
      </c>
      <c r="V9" s="133"/>
      <c r="W9" s="134"/>
      <c r="X9" s="133"/>
      <c r="Y9" s="133"/>
      <c r="Z9" s="78">
        <v>51</v>
      </c>
      <c r="AA9" s="133"/>
      <c r="AB9" s="133"/>
      <c r="AC9" s="80">
        <v>173</v>
      </c>
      <c r="AD9" s="81">
        <v>0.19190751445086707</v>
      </c>
    </row>
    <row r="10" spans="1:30" ht="40.15" customHeight="1" x14ac:dyDescent="0.25">
      <c r="A10" s="63"/>
      <c r="B10" s="224"/>
      <c r="C10" s="236">
        <v>1112</v>
      </c>
      <c r="D10" s="240" t="s">
        <v>3806</v>
      </c>
      <c r="E10" s="305">
        <f ca="1">_xlfn.IFNA(VLOOKUP(C10,Worksheet!$C$3:$G$46,3,FALSE),E10)</f>
        <v>35</v>
      </c>
      <c r="F10" s="305">
        <f ca="1">_xlfn.IFNA(VLOOKUP(C10,Worksheet!$C$3:$G$46,4,FALSE),F10)</f>
        <v>35</v>
      </c>
      <c r="G10" s="305">
        <f ca="1">_xlfn.IFNA(VLOOKUP(C10,Worksheet!$C$3:$G$46,5,FALSE),G10)</f>
        <v>35</v>
      </c>
      <c r="H10" s="205" t="s">
        <v>150</v>
      </c>
      <c r="I10" s="63"/>
      <c r="J10" s="70"/>
      <c r="K10" s="121" t="s">
        <v>83</v>
      </c>
      <c r="L10" s="359" t="s">
        <v>3974</v>
      </c>
      <c r="M10" s="360"/>
      <c r="N10" s="122">
        <v>29.5</v>
      </c>
      <c r="O10" s="71">
        <v>38.666666666666664</v>
      </c>
      <c r="P10" s="71">
        <v>38.666666666666664</v>
      </c>
      <c r="Q10" s="71">
        <v>30.75</v>
      </c>
      <c r="R10" s="71">
        <v>58</v>
      </c>
      <c r="S10" s="122">
        <v>22.25</v>
      </c>
      <c r="T10" s="71">
        <v>29.666666666666668</v>
      </c>
      <c r="U10" s="71">
        <v>29.666666666666668</v>
      </c>
      <c r="V10" s="71">
        <v>25.5</v>
      </c>
      <c r="W10" s="71">
        <v>44</v>
      </c>
      <c r="X10" s="122">
        <v>18</v>
      </c>
      <c r="Y10" s="71">
        <v>24</v>
      </c>
      <c r="Z10" s="71">
        <v>24</v>
      </c>
      <c r="AA10" s="71">
        <v>19.75</v>
      </c>
      <c r="AB10" s="71">
        <v>36</v>
      </c>
      <c r="AC10" s="124">
        <v>335</v>
      </c>
      <c r="AD10" s="125">
        <v>0.27965174129353237</v>
      </c>
    </row>
    <row r="11" spans="1:30" ht="50.45" customHeight="1" x14ac:dyDescent="0.25">
      <c r="A11" s="63"/>
      <c r="B11" s="224"/>
      <c r="C11" s="236">
        <v>1113</v>
      </c>
      <c r="D11" s="240" t="s">
        <v>3807</v>
      </c>
      <c r="E11" s="305">
        <f ca="1">_xlfn.IFNA(VLOOKUP(C11,Worksheet!$C$3:$G$46,3,FALSE),E11)</f>
        <v>35</v>
      </c>
      <c r="F11" s="305">
        <f ca="1">_xlfn.IFNA(VLOOKUP(C11,Worksheet!$C$3:$G$46,4,FALSE),F11)</f>
        <v>35</v>
      </c>
      <c r="G11" s="305">
        <f ca="1">_xlfn.IFNA(VLOOKUP(C11,Worksheet!$C$3:$G$46,5,FALSE),G11)</f>
        <v>35</v>
      </c>
      <c r="H11" s="205" t="s">
        <v>150</v>
      </c>
      <c r="I11" s="63"/>
      <c r="J11" s="65"/>
      <c r="K11" s="120" t="s">
        <v>83</v>
      </c>
      <c r="L11" s="361" t="s">
        <v>3975</v>
      </c>
      <c r="M11" s="362"/>
      <c r="N11" s="135"/>
      <c r="O11" s="136"/>
      <c r="P11" s="71">
        <v>0</v>
      </c>
      <c r="Q11" s="136"/>
      <c r="R11" s="71">
        <v>0.5</v>
      </c>
      <c r="S11" s="135"/>
      <c r="T11" s="136"/>
      <c r="U11" s="71">
        <v>0</v>
      </c>
      <c r="V11" s="136"/>
      <c r="W11" s="71">
        <v>1</v>
      </c>
      <c r="X11" s="135"/>
      <c r="Y11" s="136"/>
      <c r="Z11" s="71">
        <v>0</v>
      </c>
      <c r="AA11" s="136"/>
      <c r="AB11" s="71">
        <v>0.5</v>
      </c>
      <c r="AC11" s="123">
        <v>3</v>
      </c>
      <c r="AD11" s="126">
        <v>0.13333333333333333</v>
      </c>
    </row>
    <row r="12" spans="1:30" ht="48.6" customHeight="1" x14ac:dyDescent="0.25">
      <c r="A12" s="63"/>
      <c r="B12" s="224"/>
      <c r="C12" s="236">
        <v>1114</v>
      </c>
      <c r="D12" s="241" t="s">
        <v>3808</v>
      </c>
      <c r="E12" s="305">
        <f ca="1">_xlfn.IFNA(VLOOKUP(C12,Worksheet!$C$3:$G$46,3,FALSE),E12)</f>
        <v>35</v>
      </c>
      <c r="F12" s="305">
        <f ca="1">_xlfn.IFNA(VLOOKUP(C12,Worksheet!$C$3:$G$46,4,FALSE),F12)</f>
        <v>35</v>
      </c>
      <c r="G12" s="305">
        <f ca="1">_xlfn.IFNA(VLOOKUP(C12,Worksheet!$C$3:$G$46,5,FALSE),G12)</f>
        <v>35</v>
      </c>
      <c r="H12" s="205" t="s">
        <v>150</v>
      </c>
      <c r="I12" s="63"/>
      <c r="J12" s="65"/>
      <c r="K12" s="127" t="s">
        <v>83</v>
      </c>
      <c r="L12" s="353" t="s">
        <v>3976</v>
      </c>
      <c r="M12" s="363"/>
      <c r="N12" s="77">
        <v>0</v>
      </c>
      <c r="O12" s="78">
        <v>0</v>
      </c>
      <c r="P12" s="78">
        <v>0</v>
      </c>
      <c r="Q12" s="78">
        <v>1.75</v>
      </c>
      <c r="R12" s="78">
        <v>3.5</v>
      </c>
      <c r="S12" s="77">
        <v>1</v>
      </c>
      <c r="T12" s="78">
        <v>0</v>
      </c>
      <c r="U12" s="78">
        <v>1</v>
      </c>
      <c r="V12" s="78">
        <v>3.5</v>
      </c>
      <c r="W12" s="78">
        <v>7</v>
      </c>
      <c r="X12" s="77">
        <v>0</v>
      </c>
      <c r="Y12" s="78">
        <v>0</v>
      </c>
      <c r="Z12" s="78">
        <v>79</v>
      </c>
      <c r="AA12" s="78">
        <v>1.75</v>
      </c>
      <c r="AB12" s="78">
        <v>3.5</v>
      </c>
      <c r="AC12" s="128">
        <v>28</v>
      </c>
      <c r="AD12" s="129">
        <v>0.72857142857142865</v>
      </c>
    </row>
    <row r="13" spans="1:30" ht="48.6" customHeight="1" x14ac:dyDescent="0.25">
      <c r="A13" s="63"/>
      <c r="B13" s="224"/>
      <c r="C13" s="236">
        <v>1115</v>
      </c>
      <c r="D13" s="240" t="s">
        <v>3809</v>
      </c>
      <c r="E13" s="305">
        <f ca="1">_xlfn.IFNA(VLOOKUP(C13,Worksheet!$C$3:$G$46,3,FALSE),E13)</f>
        <v>35</v>
      </c>
      <c r="F13" s="305">
        <f ca="1">_xlfn.IFNA(VLOOKUP(C13,Worksheet!$C$3:$G$46,4,FALSE),F13)</f>
        <v>35</v>
      </c>
      <c r="G13" s="305">
        <f ca="1">_xlfn.IFNA(VLOOKUP(C13,Worksheet!$C$3:$G$46,5,FALSE),G13)</f>
        <v>35</v>
      </c>
      <c r="H13" s="205" t="s">
        <v>150</v>
      </c>
      <c r="I13" s="63"/>
      <c r="J13" s="65"/>
      <c r="K13" s="60" t="s">
        <v>86</v>
      </c>
      <c r="L13" s="351" t="s">
        <v>87</v>
      </c>
      <c r="M13" s="356"/>
      <c r="N13" s="82">
        <v>16</v>
      </c>
      <c r="O13" s="83">
        <v>15</v>
      </c>
      <c r="P13" s="83">
        <v>15</v>
      </c>
      <c r="Q13" s="83">
        <v>11.666666666666666</v>
      </c>
      <c r="R13" s="83">
        <v>15</v>
      </c>
      <c r="S13" s="82">
        <v>10</v>
      </c>
      <c r="T13" s="83">
        <v>10</v>
      </c>
      <c r="U13" s="83">
        <v>10</v>
      </c>
      <c r="V13" s="83">
        <v>10.666666666666666</v>
      </c>
      <c r="W13" s="84">
        <v>10</v>
      </c>
      <c r="X13" s="83">
        <v>9</v>
      </c>
      <c r="Y13" s="83">
        <v>1</v>
      </c>
      <c r="Z13" s="83">
        <v>1</v>
      </c>
      <c r="AA13" s="83">
        <v>8.3333333333333339</v>
      </c>
      <c r="AB13" s="83">
        <v>8.3333333333333339</v>
      </c>
      <c r="AC13" s="130">
        <v>28</v>
      </c>
      <c r="AD13" s="131">
        <v>1.0785714285714285</v>
      </c>
    </row>
    <row r="14" spans="1:30" ht="40.15" customHeight="1" x14ac:dyDescent="0.25">
      <c r="A14" s="63"/>
      <c r="B14" s="224" t="s">
        <v>3810</v>
      </c>
      <c r="C14" s="236">
        <v>1116</v>
      </c>
      <c r="D14" s="240" t="s">
        <v>3811</v>
      </c>
      <c r="E14" s="305">
        <f ca="1">_xlfn.IFNA(VLOOKUP(C14,Worksheet!$C$3:$G$46,3,FALSE),E14)</f>
        <v>35</v>
      </c>
      <c r="F14" s="305">
        <f ca="1">_xlfn.IFNA(VLOOKUP(C14,Worksheet!$C$3:$G$46,4,FALSE),F14)</f>
        <v>35</v>
      </c>
      <c r="G14" s="305">
        <f ca="1">_xlfn.IFNA(VLOOKUP(C14,Worksheet!$C$3:$G$46,5,FALSE),G14)</f>
        <v>35</v>
      </c>
      <c r="H14" s="205" t="s">
        <v>150</v>
      </c>
      <c r="I14" s="63"/>
      <c r="J14" s="70"/>
      <c r="K14" s="59" t="s">
        <v>84</v>
      </c>
      <c r="L14" s="353" t="s">
        <v>85</v>
      </c>
      <c r="M14" s="354"/>
      <c r="N14" s="77">
        <v>4</v>
      </c>
      <c r="O14" s="78">
        <v>4</v>
      </c>
      <c r="P14" s="78">
        <v>7.5</v>
      </c>
      <c r="Q14" s="78">
        <v>0.66666666666666663</v>
      </c>
      <c r="R14" s="79">
        <v>0.5</v>
      </c>
      <c r="S14" s="78">
        <v>8</v>
      </c>
      <c r="T14" s="78">
        <v>8</v>
      </c>
      <c r="U14" s="78">
        <v>15</v>
      </c>
      <c r="V14" s="78">
        <v>1.3333333333333333</v>
      </c>
      <c r="W14" s="79">
        <v>1</v>
      </c>
      <c r="X14" s="78">
        <v>4</v>
      </c>
      <c r="Y14" s="78">
        <v>4</v>
      </c>
      <c r="Z14" s="78">
        <v>7.5</v>
      </c>
      <c r="AA14" s="78">
        <v>0.66666666666666663</v>
      </c>
      <c r="AB14" s="78">
        <v>0.5</v>
      </c>
      <c r="AC14" s="80">
        <v>31</v>
      </c>
      <c r="AD14" s="81">
        <v>0.43010752688172044</v>
      </c>
    </row>
    <row r="15" spans="1:30" ht="47.45" customHeight="1" x14ac:dyDescent="0.25">
      <c r="A15" s="63"/>
      <c r="B15" s="224"/>
      <c r="C15" s="236">
        <v>1117</v>
      </c>
      <c r="D15" s="240" t="s">
        <v>3812</v>
      </c>
      <c r="E15" s="305">
        <f ca="1">_xlfn.IFNA(VLOOKUP(C15,Worksheet!$C$3:$G$46,3,FALSE),E15)</f>
        <v>35</v>
      </c>
      <c r="F15" s="305">
        <f ca="1">_xlfn.IFNA(VLOOKUP(C15,Worksheet!$C$3:$G$46,4,FALSE),F15)</f>
        <v>35</v>
      </c>
      <c r="G15" s="305">
        <f ca="1">_xlfn.IFNA(VLOOKUP(C15,Worksheet!$C$3:$G$46,5,FALSE),G15)</f>
        <v>35</v>
      </c>
      <c r="H15" s="205" t="s">
        <v>150</v>
      </c>
      <c r="I15" s="63"/>
      <c r="J15" s="70"/>
      <c r="K15" s="60" t="s">
        <v>90</v>
      </c>
      <c r="L15" s="351" t="s">
        <v>74</v>
      </c>
      <c r="M15" s="352"/>
      <c r="N15" s="82">
        <v>12.666666666666666</v>
      </c>
      <c r="O15" s="83">
        <v>21.25</v>
      </c>
      <c r="P15" s="83">
        <v>12.666666666666666</v>
      </c>
      <c r="Q15" s="83">
        <v>18.666666666666668</v>
      </c>
      <c r="R15" s="84">
        <v>14</v>
      </c>
      <c r="S15" s="83">
        <v>12.666666666666666</v>
      </c>
      <c r="T15" s="83">
        <v>24.75</v>
      </c>
      <c r="U15" s="83">
        <v>16</v>
      </c>
      <c r="V15" s="83">
        <v>27</v>
      </c>
      <c r="W15" s="84">
        <v>21</v>
      </c>
      <c r="X15" s="83">
        <v>12.666666666666666</v>
      </c>
      <c r="Y15" s="83">
        <v>22.75</v>
      </c>
      <c r="Z15" s="83">
        <v>17</v>
      </c>
      <c r="AA15" s="83">
        <v>22.666666666666668</v>
      </c>
      <c r="AB15" s="83">
        <v>17</v>
      </c>
      <c r="AC15" s="85">
        <v>106</v>
      </c>
      <c r="AD15" s="86">
        <v>0.51462264150943393</v>
      </c>
    </row>
    <row r="16" spans="1:30" ht="40.15" customHeight="1" x14ac:dyDescent="0.25">
      <c r="A16" s="63"/>
      <c r="B16" s="224"/>
      <c r="C16" s="236">
        <v>1122</v>
      </c>
      <c r="D16" s="241" t="s">
        <v>3813</v>
      </c>
      <c r="E16" s="305">
        <f ca="1">_xlfn.IFNA(VLOOKUP(C16,Worksheet!$C$3:$G$46,3,FALSE),E16)</f>
        <v>35</v>
      </c>
      <c r="F16" s="305">
        <f ca="1">_xlfn.IFNA(VLOOKUP(C16,Worksheet!$C$3:$G$46,4,FALSE),F16)</f>
        <v>35</v>
      </c>
      <c r="G16" s="305">
        <f ca="1">_xlfn.IFNA(VLOOKUP(C16,Worksheet!$C$3:$G$46,5,FALSE),G16)</f>
        <v>35</v>
      </c>
      <c r="H16" s="205" t="s">
        <v>150</v>
      </c>
      <c r="I16" s="63"/>
      <c r="J16" s="70"/>
      <c r="K16" s="60" t="s">
        <v>91</v>
      </c>
      <c r="L16" s="351" t="s">
        <v>75</v>
      </c>
      <c r="M16" s="352"/>
      <c r="N16" s="82">
        <v>35</v>
      </c>
      <c r="O16" s="83">
        <v>35</v>
      </c>
      <c r="P16" s="83">
        <v>1883.6666666666667</v>
      </c>
      <c r="Q16" s="83">
        <v>1412.75</v>
      </c>
      <c r="R16" s="84">
        <v>0</v>
      </c>
      <c r="S16" s="83">
        <v>35</v>
      </c>
      <c r="T16" s="83">
        <v>35</v>
      </c>
      <c r="U16" s="83">
        <v>1511</v>
      </c>
      <c r="V16" s="83">
        <v>1133.25</v>
      </c>
      <c r="W16" s="84">
        <v>0</v>
      </c>
      <c r="X16" s="83">
        <v>35</v>
      </c>
      <c r="Y16" s="83">
        <v>35</v>
      </c>
      <c r="Z16" s="83">
        <v>1446.3333333333333</v>
      </c>
      <c r="AA16" s="83">
        <v>1084.75</v>
      </c>
      <c r="AB16" s="83">
        <v>0</v>
      </c>
      <c r="AC16" s="85">
        <v>4411</v>
      </c>
      <c r="AD16" s="86">
        <v>0.64019874556034151</v>
      </c>
    </row>
    <row r="17" spans="1:30" ht="40.15" customHeight="1" x14ac:dyDescent="0.25">
      <c r="A17" s="63"/>
      <c r="B17" s="224"/>
      <c r="C17" s="236">
        <v>1123</v>
      </c>
      <c r="D17" s="240" t="s">
        <v>3814</v>
      </c>
      <c r="E17" s="305">
        <f ca="1">_xlfn.IFNA(VLOOKUP(C17,Worksheet!$C$3:$G$46,3,FALSE),E17)</f>
        <v>35</v>
      </c>
      <c r="F17" s="305">
        <f ca="1">_xlfn.IFNA(VLOOKUP(C17,Worksheet!$C$3:$G$46,4,FALSE),F17)</f>
        <v>35</v>
      </c>
      <c r="G17" s="305">
        <f ca="1">_xlfn.IFNA(VLOOKUP(C17,Worksheet!$C$3:$G$46,5,FALSE),G17)</f>
        <v>35</v>
      </c>
      <c r="H17" s="205" t="s">
        <v>150</v>
      </c>
      <c r="I17" s="63"/>
      <c r="J17" s="65"/>
      <c r="K17" s="63"/>
      <c r="L17" s="63"/>
      <c r="M17" s="63"/>
      <c r="N17" s="87">
        <f>AVERAGE(N6:N16)</f>
        <v>24.583333333333332</v>
      </c>
      <c r="O17" s="87">
        <f t="shared" ref="O17:AB17" si="0">AVERAGE(O6:O16)</f>
        <v>27.822916666666664</v>
      </c>
      <c r="P17" s="87">
        <f t="shared" si="0"/>
        <v>216.19696969696972</v>
      </c>
      <c r="Q17" s="87">
        <f t="shared" si="0"/>
        <v>210.02500000000001</v>
      </c>
      <c r="R17" s="87">
        <f t="shared" si="0"/>
        <v>55.277777777777779</v>
      </c>
      <c r="S17" s="87">
        <f t="shared" si="0"/>
        <v>22.645833333333332</v>
      </c>
      <c r="T17" s="87">
        <f t="shared" si="0"/>
        <v>25.885416666666668</v>
      </c>
      <c r="U17" s="87">
        <f t="shared" si="0"/>
        <v>187.21212121212119</v>
      </c>
      <c r="V17" s="87">
        <f t="shared" si="0"/>
        <v>178.19374999999999</v>
      </c>
      <c r="W17" s="87">
        <f t="shared" si="0"/>
        <v>63.555555555555557</v>
      </c>
      <c r="X17" s="87">
        <f t="shared" si="0"/>
        <v>20.833333333333332</v>
      </c>
      <c r="Y17" s="87">
        <f t="shared" si="0"/>
        <v>22.59375</v>
      </c>
      <c r="Z17" s="87">
        <f t="shared" si="0"/>
        <v>176.98484848484847</v>
      </c>
      <c r="AA17" s="87">
        <f t="shared" si="0"/>
        <v>163.60833333333332</v>
      </c>
      <c r="AB17" s="87">
        <f t="shared" si="0"/>
        <v>45.537037037037038</v>
      </c>
      <c r="AC17" s="63"/>
      <c r="AD17" s="63"/>
    </row>
    <row r="18" spans="1:30" ht="40.15" customHeight="1" x14ac:dyDescent="0.3">
      <c r="A18" s="63"/>
      <c r="B18" s="224"/>
      <c r="C18" s="236">
        <v>1124</v>
      </c>
      <c r="D18" s="240" t="s">
        <v>3815</v>
      </c>
      <c r="E18" s="305">
        <f ca="1">_xlfn.IFNA(VLOOKUP(C18,Worksheet!$C$3:$G$46,3,FALSE),E18)</f>
        <v>35</v>
      </c>
      <c r="F18" s="305">
        <f ca="1">_xlfn.IFNA(VLOOKUP(C18,Worksheet!$C$3:$G$46,4,FALSE),F18)</f>
        <v>35</v>
      </c>
      <c r="G18" s="305">
        <f ca="1">_xlfn.IFNA(VLOOKUP(C18,Worksheet!$C$3:$G$46,5,FALSE),G18)</f>
        <v>35</v>
      </c>
      <c r="H18" s="205" t="s">
        <v>150</v>
      </c>
      <c r="I18" s="63"/>
      <c r="J18" s="65"/>
      <c r="K18" s="355" t="s">
        <v>563</v>
      </c>
      <c r="L18" s="355"/>
      <c r="M18" s="206" t="s">
        <v>564</v>
      </c>
      <c r="N18" s="207"/>
      <c r="O18" s="208"/>
      <c r="P18" s="208"/>
      <c r="Q18" s="208"/>
      <c r="R18" s="302" t="s">
        <v>561</v>
      </c>
      <c r="S18" s="306" t="s">
        <v>567</v>
      </c>
      <c r="T18" s="209"/>
      <c r="U18" s="350" t="s">
        <v>562</v>
      </c>
      <c r="V18" s="350"/>
      <c r="W18" s="210" t="s">
        <v>566</v>
      </c>
      <c r="X18" s="210"/>
      <c r="Y18" s="88"/>
      <c r="Z18" s="88"/>
      <c r="AA18" s="88"/>
      <c r="AB18" s="88"/>
      <c r="AC18" s="63"/>
      <c r="AD18" s="63"/>
    </row>
    <row r="19" spans="1:30" ht="40.15" customHeight="1" x14ac:dyDescent="0.3">
      <c r="A19" s="63"/>
      <c r="B19" s="224"/>
      <c r="C19" s="236">
        <v>1125</v>
      </c>
      <c r="D19" s="240" t="s">
        <v>3816</v>
      </c>
      <c r="E19" s="305">
        <f ca="1">_xlfn.IFNA(VLOOKUP(C19,Worksheet!$C$3:$G$46,3,FALSE),E19)</f>
        <v>35</v>
      </c>
      <c r="F19" s="305">
        <f ca="1">_xlfn.IFNA(VLOOKUP(C19,Worksheet!$C$3:$G$46,4,FALSE),F19)</f>
        <v>35</v>
      </c>
      <c r="G19" s="305">
        <f ca="1">_xlfn.IFNA(VLOOKUP(C19,Worksheet!$C$3:$G$46,5,FALSE),G19)</f>
        <v>35</v>
      </c>
      <c r="H19" s="205" t="s">
        <v>150</v>
      </c>
      <c r="I19" s="63"/>
      <c r="J19" s="65"/>
      <c r="K19" s="349" t="s">
        <v>61</v>
      </c>
      <c r="L19" s="349"/>
      <c r="M19" s="206" t="s">
        <v>565</v>
      </c>
      <c r="N19" s="206"/>
      <c r="O19" s="206"/>
      <c r="P19" s="206"/>
      <c r="Q19" s="206"/>
      <c r="R19" s="302" t="s">
        <v>561</v>
      </c>
      <c r="S19" s="209"/>
      <c r="T19" s="209"/>
      <c r="U19" s="350" t="s">
        <v>562</v>
      </c>
      <c r="V19" s="350"/>
      <c r="W19" s="210"/>
      <c r="X19" s="210"/>
      <c r="Y19" s="63"/>
      <c r="Z19" s="63"/>
      <c r="AA19" s="63"/>
      <c r="AB19" s="63"/>
      <c r="AC19" s="63"/>
      <c r="AD19" s="63"/>
    </row>
    <row r="20" spans="1:30" ht="40.15" customHeight="1" x14ac:dyDescent="0.25">
      <c r="A20" s="63"/>
      <c r="B20" s="224"/>
      <c r="C20" s="236">
        <v>1126</v>
      </c>
      <c r="D20" s="240" t="s">
        <v>3817</v>
      </c>
      <c r="E20" s="305">
        <f ca="1">_xlfn.IFNA(VLOOKUP(C20,Worksheet!$C$3:$G$46,3,FALSE),E20)</f>
        <v>35</v>
      </c>
      <c r="F20" s="305">
        <f ca="1">_xlfn.IFNA(VLOOKUP(C20,Worksheet!$C$3:$G$46,4,FALSE),F20)</f>
        <v>35</v>
      </c>
      <c r="G20" s="305">
        <f ca="1">_xlfn.IFNA(VLOOKUP(C20,Worksheet!$C$3:$G$46,5,FALSE),G20)</f>
        <v>35</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3818</v>
      </c>
      <c r="E21" s="305">
        <f ca="1">_xlfn.IFNA(VLOOKUP(C21,Worksheet!$C$3:$G$46,3,FALSE),E21)</f>
        <v>35</v>
      </c>
      <c r="F21" s="305">
        <f ca="1">_xlfn.IFNA(VLOOKUP(C21,Worksheet!$C$3:$G$46,4,FALSE),F21)</f>
        <v>35</v>
      </c>
      <c r="G21" s="305">
        <f ca="1">_xlfn.IFNA(VLOOKUP(C21,Worksheet!$C$3:$G$46,5,FALSE),G21)</f>
        <v>35</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3986</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3819</v>
      </c>
      <c r="E23" s="305">
        <f ca="1">_xlfn.IFNA(VLOOKUP(C23,Worksheet!$C$3:$G$46,3,FALSE),E23)</f>
        <v>94</v>
      </c>
      <c r="F23" s="305">
        <f ca="1">_xlfn.IFNA(VLOOKUP(C23,Worksheet!$C$3:$G$46,4,FALSE),F23)</f>
        <v>116</v>
      </c>
      <c r="G23" s="305">
        <f ca="1">_xlfn.IFNA(VLOOKUP(C23,Worksheet!$C$3:$G$46,5,FALSE),G23)</f>
        <v>64</v>
      </c>
      <c r="H23" s="205" t="s">
        <v>150</v>
      </c>
      <c r="I23" s="63"/>
      <c r="J23" s="65"/>
      <c r="K23" s="63"/>
      <c r="L23" s="63"/>
      <c r="M23" s="63"/>
      <c r="N23" s="63"/>
      <c r="O23" s="91">
        <v>42644</v>
      </c>
      <c r="P23" s="92">
        <f>N17</f>
        <v>24.583333333333332</v>
      </c>
      <c r="Q23" s="93">
        <f>O17</f>
        <v>27.822916666666664</v>
      </c>
      <c r="R23" s="93">
        <f>P17</f>
        <v>216.19696969696972</v>
      </c>
      <c r="S23" s="93">
        <f>Q17</f>
        <v>210.02500000000001</v>
      </c>
      <c r="T23" s="93">
        <f>R17</f>
        <v>55.277777777777779</v>
      </c>
      <c r="U23" s="63"/>
      <c r="V23" s="63"/>
      <c r="W23" s="63"/>
      <c r="X23" s="63"/>
      <c r="Y23" s="63"/>
      <c r="Z23" s="63"/>
      <c r="AA23" s="63"/>
      <c r="AB23" s="63"/>
      <c r="AC23" s="63"/>
      <c r="AD23" s="63"/>
    </row>
    <row r="24" spans="1:30" ht="40.15" customHeight="1" x14ac:dyDescent="0.25">
      <c r="A24" s="63"/>
      <c r="B24" s="224"/>
      <c r="C24" s="236">
        <v>1132</v>
      </c>
      <c r="D24" s="240" t="s">
        <v>3820</v>
      </c>
      <c r="E24" s="305">
        <f ca="1">_xlfn.IFNA(VLOOKUP(C24,Worksheet!$C$3:$G$46,3,FALSE),E24)</f>
        <v>80</v>
      </c>
      <c r="F24" s="305">
        <f ca="1">_xlfn.IFNA(VLOOKUP(C24,Worksheet!$C$3:$G$46,4,FALSE),F24)</f>
        <v>106</v>
      </c>
      <c r="G24" s="305">
        <f ca="1">_xlfn.IFNA(VLOOKUP(C24,Worksheet!$C$3:$G$46,5,FALSE),G24)</f>
        <v>90</v>
      </c>
      <c r="H24" s="205" t="s">
        <v>150</v>
      </c>
      <c r="I24" s="63"/>
      <c r="J24" s="65"/>
      <c r="K24" s="63"/>
      <c r="L24" s="63"/>
      <c r="M24" s="63"/>
      <c r="N24" s="63"/>
      <c r="O24" s="91">
        <v>42675</v>
      </c>
      <c r="P24" s="92">
        <f>S17</f>
        <v>22.645833333333332</v>
      </c>
      <c r="Q24" s="93">
        <f>T17</f>
        <v>25.885416666666668</v>
      </c>
      <c r="R24" s="93">
        <f>U17</f>
        <v>187.21212121212119</v>
      </c>
      <c r="S24" s="93">
        <f>V17</f>
        <v>178.19374999999999</v>
      </c>
      <c r="T24" s="93">
        <f>W17</f>
        <v>63.555555555555557</v>
      </c>
      <c r="U24" s="63"/>
      <c r="V24" s="63"/>
      <c r="W24" s="63"/>
      <c r="X24" s="63"/>
      <c r="Y24" s="63"/>
      <c r="Z24" s="63"/>
      <c r="AA24" s="63"/>
      <c r="AB24" s="63"/>
      <c r="AC24" s="63"/>
      <c r="AD24" s="63"/>
    </row>
    <row r="25" spans="1:30" ht="40.15" customHeight="1" x14ac:dyDescent="0.25">
      <c r="A25" s="63"/>
      <c r="B25" s="224"/>
      <c r="C25" s="236">
        <v>1133</v>
      </c>
      <c r="D25" s="240" t="s">
        <v>3821</v>
      </c>
      <c r="E25" s="305">
        <f ca="1">_xlfn.IFNA(VLOOKUP(C25,Worksheet!$C$3:$G$46,3,FALSE),E25)</f>
        <v>143</v>
      </c>
      <c r="F25" s="305">
        <f ca="1">_xlfn.IFNA(VLOOKUP(C25,Worksheet!$C$3:$G$46,4,FALSE),F25)</f>
        <v>186</v>
      </c>
      <c r="G25" s="305">
        <f ca="1">_xlfn.IFNA(VLOOKUP(C25,Worksheet!$C$3:$G$46,5,FALSE),G25)</f>
        <v>128</v>
      </c>
      <c r="H25" s="205" t="s">
        <v>150</v>
      </c>
      <c r="I25" s="63"/>
      <c r="J25" s="63"/>
      <c r="K25" s="63"/>
      <c r="L25" s="63"/>
      <c r="M25" s="63"/>
      <c r="N25" s="63"/>
      <c r="O25" s="91">
        <v>42705</v>
      </c>
      <c r="P25" s="92">
        <f>X17</f>
        <v>20.833333333333332</v>
      </c>
      <c r="Q25" s="93">
        <f>Y17</f>
        <v>22.59375</v>
      </c>
      <c r="R25" s="93">
        <f>Z17</f>
        <v>176.98484848484847</v>
      </c>
      <c r="S25" s="93">
        <f>AA17</f>
        <v>163.60833333333332</v>
      </c>
      <c r="T25" s="93">
        <f>AB17</f>
        <v>45.537037037037038</v>
      </c>
      <c r="U25" s="63"/>
      <c r="V25" s="63"/>
      <c r="W25" s="63"/>
      <c r="X25" s="63"/>
      <c r="Y25" s="63"/>
      <c r="Z25" s="63"/>
      <c r="AA25" s="63"/>
      <c r="AB25" s="63"/>
      <c r="AC25" s="63"/>
      <c r="AD25" s="63"/>
    </row>
    <row r="26" spans="1:30" ht="40.15" customHeight="1" x14ac:dyDescent="0.25">
      <c r="A26" s="63"/>
      <c r="B26" s="224"/>
      <c r="C26" s="236">
        <v>1134</v>
      </c>
      <c r="D26" s="240" t="s">
        <v>3822</v>
      </c>
      <c r="E26" s="305">
        <f ca="1">_xlfn.IFNA(VLOOKUP(C26,Worksheet!$C$3:$G$46,3,FALSE),E26)</f>
        <v>31</v>
      </c>
      <c r="F26" s="305">
        <f ca="1">_xlfn.IFNA(VLOOKUP(C26,Worksheet!$C$3:$G$46,4,FALSE),F26)</f>
        <v>36</v>
      </c>
      <c r="G26" s="305">
        <f ca="1">_xlfn.IFNA(VLOOKUP(C26,Worksheet!$C$3:$G$46,5,FALSE),G26)</f>
        <v>26</v>
      </c>
      <c r="H26" s="205" t="s">
        <v>150</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3823</v>
      </c>
      <c r="E27" s="305">
        <f ca="1">_xlfn.IFNA(VLOOKUP(C27,Worksheet!$C$3:$G$46,3,FALSE),E27)</f>
        <v>7</v>
      </c>
      <c r="F27" s="305">
        <f ca="1">_xlfn.IFNA(VLOOKUP(C27,Worksheet!$C$3:$G$46,4,FALSE),F27)</f>
        <v>5</v>
      </c>
      <c r="G27" s="305">
        <f ca="1">_xlfn.IFNA(VLOOKUP(C27,Worksheet!$C$3:$G$46,5,FALSE),G27)</f>
        <v>30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3824</v>
      </c>
      <c r="E28" s="305">
        <f ca="1">_xlfn.IFNA(VLOOKUP(C28,Worksheet!$C$3:$G$46,3,FALSE),E28)</f>
        <v>0</v>
      </c>
      <c r="F28" s="305">
        <f ca="1">_xlfn.IFNA(VLOOKUP(C28,Worksheet!$C$3:$G$46,4,FALSE),F28)</f>
        <v>0</v>
      </c>
      <c r="G28" s="305">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3825</v>
      </c>
      <c r="E29" s="305">
        <f ca="1">_xlfn.IFNA(VLOOKUP(C29,Worksheet!$C$3:$G$46,3,FALSE),E29)</f>
        <v>55</v>
      </c>
      <c r="F29" s="305">
        <f ca="1">_xlfn.IFNA(VLOOKUP(C29,Worksheet!$C$3:$G$46,4,FALSE),F29)</f>
        <v>60</v>
      </c>
      <c r="G29" s="305">
        <f ca="1">_xlfn.IFNA(VLOOKUP(C29,Worksheet!$C$3:$G$46,5,FALSE),G29)</f>
        <v>51</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3826</v>
      </c>
      <c r="E30" s="305">
        <f ca="1">_xlfn.IFNA(VLOOKUP(C30,Worksheet!$C$3:$G$46,3,FALSE),E30)</f>
        <v>134</v>
      </c>
      <c r="F30" s="305">
        <f ca="1">_xlfn.IFNA(VLOOKUP(C30,Worksheet!$C$3:$G$46,4,FALSE),F30)</f>
        <v>145</v>
      </c>
      <c r="G30" s="305">
        <f ca="1">_xlfn.IFNA(VLOOKUP(C30,Worksheet!$C$3:$G$46,5,FALSE),G30)</f>
        <v>103</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3829</v>
      </c>
      <c r="E31" s="305">
        <f ca="1">_xlfn.IFNA(VLOOKUP(C31,Worksheet!$C$3:$G$46,3,FALSE),E31)</f>
        <v>174</v>
      </c>
      <c r="F31" s="305">
        <f ca="1">_xlfn.IFNA(VLOOKUP(C31,Worksheet!$C$3:$G$46,4,FALSE),F31)</f>
        <v>222</v>
      </c>
      <c r="G31" s="305">
        <f ca="1">_xlfn.IFNA(VLOOKUP(C31,Worksheet!$C$3:$G$46,5,FALSE),G31)</f>
        <v>154</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3830</v>
      </c>
      <c r="E32" s="305">
        <f ca="1">_xlfn.IFNA(VLOOKUP(C32,Worksheet!$C$3:$G$46,3,FALSE),E32)</f>
        <v>189</v>
      </c>
      <c r="F32" s="305">
        <f ca="1">_xlfn.IFNA(VLOOKUP(C32,Worksheet!$C$3:$G$46,4,FALSE),F32)</f>
        <v>205</v>
      </c>
      <c r="G32" s="305">
        <f ca="1">_xlfn.IFNA(VLOOKUP(C32,Worksheet!$C$3:$G$46,5,FALSE),G32)</f>
        <v>154</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3831</v>
      </c>
      <c r="E33" s="305">
        <f ca="1">_xlfn.IFNA(VLOOKUP(C33,Worksheet!$C$3:$G$46,3,FALSE),E33)</f>
        <v>0</v>
      </c>
      <c r="F33" s="305">
        <f ca="1">_xlfn.IFNA(VLOOKUP(C33,Worksheet!$C$3:$G$46,4,FALSE),F33)</f>
        <v>0</v>
      </c>
      <c r="G33" s="305">
        <f ca="1">_xlfn.IFNA(VLOOKUP(C33,Worksheet!$C$3:$G$46,5,FALSE),G33)</f>
        <v>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3833</v>
      </c>
      <c r="E34" s="305">
        <f ca="1">_xlfn.IFNA(VLOOKUP(C34,Worksheet!$C$3:$G$46,3,FALSE),E34)</f>
        <v>143</v>
      </c>
      <c r="F34" s="305">
        <f ca="1">_xlfn.IFNA(VLOOKUP(C34,Worksheet!$C$3:$G$46,4,FALSE),F34)</f>
        <v>186</v>
      </c>
      <c r="G34" s="305">
        <f ca="1">_xlfn.IFNA(VLOOKUP(C34,Worksheet!$C$3:$G$46,5,FALSE),G34)</f>
        <v>128</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3834</v>
      </c>
      <c r="E35" s="305">
        <f ca="1">_xlfn.IFNA(VLOOKUP(C35,Worksheet!$C$3:$G$46,3,FALSE),E35)</f>
        <v>0</v>
      </c>
      <c r="F35" s="305">
        <f ca="1">_xlfn.IFNA(VLOOKUP(C35,Worksheet!$C$3:$G$46,4,FALSE),F35)</f>
        <v>0</v>
      </c>
      <c r="G35" s="305">
        <f ca="1">_xlfn.IFNA(VLOOKUP(C35,Worksheet!$C$3:$G$46,5,FALSE),G35)</f>
        <v>0</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3833</v>
      </c>
      <c r="E36" s="305">
        <f ca="1">_xlfn.IFNA(VLOOKUP(C36,Worksheet!$C$3:$G$46,3,FALSE),E36)</f>
        <v>143</v>
      </c>
      <c r="F36" s="305">
        <f ca="1">_xlfn.IFNA(VLOOKUP(C36,Worksheet!$C$3:$G$46,4,FALSE),F36)</f>
        <v>186</v>
      </c>
      <c r="G36" s="305">
        <f ca="1">_xlfn.IFNA(VLOOKUP(C36,Worksheet!$C$3:$G$46,5,FALSE),G36)</f>
        <v>128</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3836</v>
      </c>
      <c r="E37" s="305">
        <f ca="1">_xlfn.IFNA(VLOOKUP(C37,Worksheet!$C$3:$G$46,3,FALSE),E37)</f>
        <v>0</v>
      </c>
      <c r="F37" s="305">
        <f ca="1">_xlfn.IFNA(VLOOKUP(C37,Worksheet!$C$3:$G$46,4,FALSE),F37)</f>
        <v>0</v>
      </c>
      <c r="G37" s="305">
        <f ca="1">_xlfn.IFNA(VLOOKUP(C37,Worksheet!$C$3:$G$46,5,FALSE),G37)</f>
        <v>0</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3838</v>
      </c>
      <c r="E38" s="305">
        <f ca="1">_xlfn.IFNA(VLOOKUP(C38,Worksheet!$C$3:$G$46,3,FALSE),E38)</f>
        <v>49</v>
      </c>
      <c r="F38" s="305">
        <f ca="1">_xlfn.IFNA(VLOOKUP(C38,Worksheet!$C$3:$G$46,4,FALSE),F38)</f>
        <v>68</v>
      </c>
      <c r="G38" s="305">
        <f ca="1">_xlfn.IFNA(VLOOKUP(C38,Worksheet!$C$3:$G$46,5,FALSE),G38)</f>
        <v>54</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3839</v>
      </c>
      <c r="E39" s="305">
        <f ca="1">_xlfn.IFNA(VLOOKUP(C39,Worksheet!$C$3:$G$46,3,FALSE),E39)</f>
        <v>49</v>
      </c>
      <c r="F39" s="305">
        <f ca="1">_xlfn.IFNA(VLOOKUP(C39,Worksheet!$C$3:$G$46,4,FALSE),F39)</f>
        <v>68</v>
      </c>
      <c r="G39" s="305">
        <f ca="1">_xlfn.IFNA(VLOOKUP(C39,Worksheet!$C$3:$G$46,5,FALSE),G39)</f>
        <v>54</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8VKTunYoYRfH2FTzINcaDXlgv7ZCZXuVegrE/fQnD+9LAcdmuCyGaUos+3qmdTxWLSQiy79HXYN5Z1FYnkQY1Q==" saltValue="yzc+hOVstEwQEcp/1Jm+s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customHeight="1" x14ac:dyDescent="0.25">
      <c r="A2" s="224"/>
      <c r="B2" s="225" t="s">
        <v>150</v>
      </c>
      <c r="C2" s="226" t="s">
        <v>3979</v>
      </c>
      <c r="D2" s="226"/>
      <c r="E2" s="227"/>
      <c r="F2" s="298">
        <f ca="1">_xlfn.IFNA(VLOOKUP(B2,Worksheet!$C$3:$G$46,5,FALSE),F2)</f>
        <v>745</v>
      </c>
      <c r="G2" s="205" t="s">
        <v>150</v>
      </c>
    </row>
    <row r="3" spans="1:7" ht="45" customHeight="1" x14ac:dyDescent="0.25">
      <c r="A3" s="224"/>
      <c r="B3" s="228" t="s">
        <v>4010</v>
      </c>
      <c r="C3" s="226" t="s">
        <v>3980</v>
      </c>
      <c r="D3" s="226"/>
      <c r="E3" s="229"/>
      <c r="F3" s="298">
        <f ca="1">_xlfn.IFNA(VLOOKUP(B3,Worksheet!$C$3:$G$46,5,FALSE),F3)</f>
        <v>3</v>
      </c>
      <c r="G3" s="205" t="s">
        <v>150</v>
      </c>
    </row>
    <row r="4" spans="1:7" ht="45" customHeight="1" x14ac:dyDescent="0.25">
      <c r="A4" s="224"/>
      <c r="B4" s="228" t="s">
        <v>4011</v>
      </c>
      <c r="C4" s="226" t="s">
        <v>3981</v>
      </c>
      <c r="D4" s="230"/>
      <c r="E4" s="229"/>
      <c r="F4" s="298">
        <f ca="1">_xlfn.IFNA(VLOOKUP(B4,Worksheet!$C$3:$G$46,5,FALSE),F4)</f>
        <v>410</v>
      </c>
      <c r="G4" s="205" t="s">
        <v>150</v>
      </c>
    </row>
    <row r="5" spans="1:7" ht="45" customHeight="1" x14ac:dyDescent="0.25">
      <c r="A5" s="224"/>
      <c r="B5" s="228" t="s">
        <v>4012</v>
      </c>
      <c r="C5" s="226" t="s">
        <v>3982</v>
      </c>
      <c r="D5" s="226"/>
      <c r="E5" s="229"/>
      <c r="F5" s="298">
        <f>_xlfn.IFNA(VLOOKUP(B5,Worksheet!$C$3:$G$46,5,FALSE),F5)</f>
        <v>173</v>
      </c>
      <c r="G5" s="205" t="s">
        <v>150</v>
      </c>
    </row>
    <row r="6" spans="1:7" ht="45" customHeight="1" x14ac:dyDescent="0.25">
      <c r="A6" s="224"/>
      <c r="B6" s="231" t="s">
        <v>4013</v>
      </c>
      <c r="C6" s="232" t="s">
        <v>3983</v>
      </c>
      <c r="D6" s="233"/>
      <c r="E6" s="234"/>
      <c r="F6" s="235">
        <f ca="1">_xlfn.IFNA(VLOOKUP(F2,Data_donotedit!$BE$2:$BG$25,3,TRUE),0)</f>
        <v>94</v>
      </c>
      <c r="G6" s="205" t="s">
        <v>150</v>
      </c>
    </row>
    <row r="7" spans="1:7" ht="45" customHeight="1" x14ac:dyDescent="0.25">
      <c r="A7" s="224"/>
      <c r="B7" s="236"/>
      <c r="C7" s="237" t="s">
        <v>3984</v>
      </c>
      <c r="D7" s="238" t="s">
        <v>3985</v>
      </c>
      <c r="E7" s="238" t="s">
        <v>77</v>
      </c>
      <c r="F7" s="239" t="s">
        <v>78</v>
      </c>
      <c r="G7" s="205" t="s">
        <v>150</v>
      </c>
    </row>
    <row r="8" spans="1:7" ht="45" customHeight="1" x14ac:dyDescent="0.25">
      <c r="A8" s="224"/>
      <c r="B8" s="236">
        <v>1111</v>
      </c>
      <c r="C8" s="240" t="s">
        <v>3805</v>
      </c>
      <c r="D8" s="299">
        <f ca="1">_xlfn.IFNA(VLOOKUP(B8,Worksheet!$C$3:$G$46,3,FALSE),D8)</f>
        <v>35</v>
      </c>
      <c r="E8" s="299">
        <f ca="1">_xlfn.IFNA(VLOOKUP(B8,Worksheet!$C$3:$G$46,4,FALSE),E8)</f>
        <v>35</v>
      </c>
      <c r="F8" s="299">
        <f ca="1">_xlfn.IFNA(VLOOKUP(B8,Worksheet!$C$3:$G$46,5,FALSE),F8)</f>
        <v>35</v>
      </c>
      <c r="G8" s="205" t="s">
        <v>150</v>
      </c>
    </row>
    <row r="9" spans="1:7" ht="45" customHeight="1" x14ac:dyDescent="0.25">
      <c r="A9" s="224"/>
      <c r="B9" s="236">
        <v>1112</v>
      </c>
      <c r="C9" s="240" t="s">
        <v>3806</v>
      </c>
      <c r="D9" s="299">
        <f ca="1">_xlfn.IFNA(VLOOKUP(B9,Worksheet!$C$3:$G$46,3,FALSE),D9)</f>
        <v>35</v>
      </c>
      <c r="E9" s="299">
        <f ca="1">_xlfn.IFNA(VLOOKUP(B9,Worksheet!$C$3:$G$46,4,FALSE),E9)</f>
        <v>35</v>
      </c>
      <c r="F9" s="299">
        <f ca="1">_xlfn.IFNA(VLOOKUP(B9,Worksheet!$C$3:$G$46,5,FALSE),F9)</f>
        <v>35</v>
      </c>
      <c r="G9" s="205" t="s">
        <v>150</v>
      </c>
    </row>
    <row r="10" spans="1:7" ht="45" customHeight="1" x14ac:dyDescent="0.25">
      <c r="A10" s="224"/>
      <c r="B10" s="236">
        <v>1113</v>
      </c>
      <c r="C10" s="240" t="s">
        <v>3807</v>
      </c>
      <c r="D10" s="299">
        <f ca="1">_xlfn.IFNA(VLOOKUP(B10,Worksheet!$C$3:$G$46,3,FALSE),D10)</f>
        <v>35</v>
      </c>
      <c r="E10" s="299">
        <f ca="1">_xlfn.IFNA(VLOOKUP(B10,Worksheet!$C$3:$G$46,4,FALSE),E10)</f>
        <v>35</v>
      </c>
      <c r="F10" s="299">
        <f ca="1">_xlfn.IFNA(VLOOKUP(B10,Worksheet!$C$3:$G$46,5,FALSE),F10)</f>
        <v>35</v>
      </c>
      <c r="G10" s="205" t="s">
        <v>150</v>
      </c>
    </row>
    <row r="11" spans="1:7" ht="45" customHeight="1" x14ac:dyDescent="0.25">
      <c r="A11" s="224"/>
      <c r="B11" s="236">
        <v>1114</v>
      </c>
      <c r="C11" s="241" t="s">
        <v>3808</v>
      </c>
      <c r="D11" s="299">
        <f ca="1">_xlfn.IFNA(VLOOKUP(B11,Worksheet!$C$3:$G$46,3,FALSE),D11)</f>
        <v>35</v>
      </c>
      <c r="E11" s="299">
        <f ca="1">_xlfn.IFNA(VLOOKUP(B11,Worksheet!$C$3:$G$46,4,FALSE),E11)</f>
        <v>35</v>
      </c>
      <c r="F11" s="299">
        <f ca="1">_xlfn.IFNA(VLOOKUP(B11,Worksheet!$C$3:$G$46,5,FALSE),F11)</f>
        <v>35</v>
      </c>
      <c r="G11" s="205" t="s">
        <v>150</v>
      </c>
    </row>
    <row r="12" spans="1:7" ht="45" customHeight="1" x14ac:dyDescent="0.25">
      <c r="A12" s="224"/>
      <c r="B12" s="236">
        <v>1115</v>
      </c>
      <c r="C12" s="240" t="s">
        <v>3809</v>
      </c>
      <c r="D12" s="299">
        <f ca="1">_xlfn.IFNA(VLOOKUP(B12,Worksheet!$C$3:$G$46,3,FALSE),D12)</f>
        <v>35</v>
      </c>
      <c r="E12" s="299">
        <f ca="1">_xlfn.IFNA(VLOOKUP(B12,Worksheet!$C$3:$G$46,4,FALSE),E12)</f>
        <v>35</v>
      </c>
      <c r="F12" s="299">
        <f ca="1">_xlfn.IFNA(VLOOKUP(B12,Worksheet!$C$3:$G$46,5,FALSE),F12)</f>
        <v>35</v>
      </c>
      <c r="G12" s="205" t="s">
        <v>150</v>
      </c>
    </row>
    <row r="13" spans="1:7" ht="45" customHeight="1" x14ac:dyDescent="0.25">
      <c r="A13" s="224" t="s">
        <v>3810</v>
      </c>
      <c r="B13" s="236">
        <v>1116</v>
      </c>
      <c r="C13" s="240" t="s">
        <v>3811</v>
      </c>
      <c r="D13" s="299">
        <f ca="1">_xlfn.IFNA(VLOOKUP(B13,Worksheet!$C$3:$G$46,3,FALSE),D13)</f>
        <v>35</v>
      </c>
      <c r="E13" s="299">
        <f ca="1">_xlfn.IFNA(VLOOKUP(B13,Worksheet!$C$3:$G$46,4,FALSE),E13)</f>
        <v>35</v>
      </c>
      <c r="F13" s="299">
        <f ca="1">_xlfn.IFNA(VLOOKUP(B13,Worksheet!$C$3:$G$46,5,FALSE),F13)</f>
        <v>35</v>
      </c>
      <c r="G13" s="205" t="s">
        <v>150</v>
      </c>
    </row>
    <row r="14" spans="1:7" ht="45" customHeight="1" x14ac:dyDescent="0.25">
      <c r="A14" s="224"/>
      <c r="B14" s="236">
        <v>1117</v>
      </c>
      <c r="C14" s="240" t="s">
        <v>3812</v>
      </c>
      <c r="D14" s="299">
        <f ca="1">_xlfn.IFNA(VLOOKUP(B14,Worksheet!$C$3:$G$46,3,FALSE),D14)</f>
        <v>35</v>
      </c>
      <c r="E14" s="299">
        <f ca="1">_xlfn.IFNA(VLOOKUP(B14,Worksheet!$C$3:$G$46,4,FALSE),E14)</f>
        <v>35</v>
      </c>
      <c r="F14" s="299">
        <f ca="1">_xlfn.IFNA(VLOOKUP(B14,Worksheet!$C$3:$G$46,5,FALSE),F14)</f>
        <v>35</v>
      </c>
      <c r="G14" s="205" t="s">
        <v>150</v>
      </c>
    </row>
    <row r="15" spans="1:7" ht="45" hidden="1" customHeight="1" x14ac:dyDescent="0.25">
      <c r="A15" s="224">
        <v>1116</v>
      </c>
      <c r="B15" s="236">
        <v>1121</v>
      </c>
      <c r="C15" s="241" t="str">
        <f>C13</f>
        <v xml:space="preserve">How many HTC clients have a completed Client intake form </v>
      </c>
      <c r="D15" s="300">
        <f ca="1">D13</f>
        <v>35</v>
      </c>
      <c r="E15" s="300">
        <f t="shared" ref="E15:F15" ca="1" si="0">E13</f>
        <v>35</v>
      </c>
      <c r="F15" s="300">
        <f t="shared" ca="1" si="0"/>
        <v>35</v>
      </c>
      <c r="G15" s="205"/>
    </row>
    <row r="16" spans="1:7" ht="45" customHeight="1" x14ac:dyDescent="0.25">
      <c r="A16" s="224"/>
      <c r="B16" s="236">
        <v>1122</v>
      </c>
      <c r="C16" s="241" t="s">
        <v>3813</v>
      </c>
      <c r="D16" s="299">
        <f ca="1">_xlfn.IFNA(VLOOKUP(B16,Worksheet!$C$3:$G$46,3,FALSE),D16)</f>
        <v>35</v>
      </c>
      <c r="E16" s="299">
        <f ca="1">_xlfn.IFNA(VLOOKUP(B16,Worksheet!$C$3:$G$46,4,FALSE),E16)</f>
        <v>35</v>
      </c>
      <c r="F16" s="299">
        <f ca="1">_xlfn.IFNA(VLOOKUP(B16,Worksheet!$C$3:$G$46,5,FALSE),F16)</f>
        <v>35</v>
      </c>
      <c r="G16" s="205" t="s">
        <v>150</v>
      </c>
    </row>
    <row r="17" spans="1:7" ht="45" customHeight="1" x14ac:dyDescent="0.25">
      <c r="A17" s="224"/>
      <c r="B17" s="236">
        <v>1123</v>
      </c>
      <c r="C17" s="240" t="s">
        <v>3814</v>
      </c>
      <c r="D17" s="299">
        <f ca="1">_xlfn.IFNA(VLOOKUP(B17,Worksheet!$C$3:$G$46,3,FALSE),D17)</f>
        <v>35</v>
      </c>
      <c r="E17" s="299">
        <f ca="1">_xlfn.IFNA(VLOOKUP(B17,Worksheet!$C$3:$G$46,4,FALSE),E17)</f>
        <v>35</v>
      </c>
      <c r="F17" s="299">
        <f ca="1">_xlfn.IFNA(VLOOKUP(B17,Worksheet!$C$3:$G$46,5,FALSE),F17)</f>
        <v>35</v>
      </c>
      <c r="G17" s="205" t="s">
        <v>150</v>
      </c>
    </row>
    <row r="18" spans="1:7" ht="45" customHeight="1" x14ac:dyDescent="0.25">
      <c r="A18" s="224"/>
      <c r="B18" s="236">
        <v>1124</v>
      </c>
      <c r="C18" s="240" t="s">
        <v>3815</v>
      </c>
      <c r="D18" s="299">
        <f ca="1">_xlfn.IFNA(VLOOKUP(B18,Worksheet!$C$3:$G$46,3,FALSE),D18)</f>
        <v>35</v>
      </c>
      <c r="E18" s="299">
        <f ca="1">_xlfn.IFNA(VLOOKUP(B18,Worksheet!$C$3:$G$46,4,FALSE),E18)</f>
        <v>35</v>
      </c>
      <c r="F18" s="299">
        <f ca="1">_xlfn.IFNA(VLOOKUP(B18,Worksheet!$C$3:$G$46,5,FALSE),F18)</f>
        <v>35</v>
      </c>
      <c r="G18" s="205" t="s">
        <v>150</v>
      </c>
    </row>
    <row r="19" spans="1:7" ht="45" customHeight="1" x14ac:dyDescent="0.25">
      <c r="A19" s="224"/>
      <c r="B19" s="236">
        <v>1125</v>
      </c>
      <c r="C19" s="240" t="s">
        <v>3816</v>
      </c>
      <c r="D19" s="299">
        <f ca="1">_xlfn.IFNA(VLOOKUP(B19,Worksheet!$C$3:$G$46,3,FALSE),D19)</f>
        <v>35</v>
      </c>
      <c r="E19" s="299">
        <f ca="1">_xlfn.IFNA(VLOOKUP(B19,Worksheet!$C$3:$G$46,4,FALSE),E19)</f>
        <v>35</v>
      </c>
      <c r="F19" s="299">
        <f ca="1">_xlfn.IFNA(VLOOKUP(B19,Worksheet!$C$3:$G$46,5,FALSE),F19)</f>
        <v>35</v>
      </c>
      <c r="G19" s="205" t="s">
        <v>150</v>
      </c>
    </row>
    <row r="20" spans="1:7" ht="45" customHeight="1" x14ac:dyDescent="0.25">
      <c r="A20" s="224"/>
      <c r="B20" s="236">
        <v>1126</v>
      </c>
      <c r="C20" s="240" t="s">
        <v>3817</v>
      </c>
      <c r="D20" s="299">
        <f ca="1">_xlfn.IFNA(VLOOKUP(B20,Worksheet!$C$3:$G$46,3,FALSE),D20)</f>
        <v>35</v>
      </c>
      <c r="E20" s="299">
        <f ca="1">_xlfn.IFNA(VLOOKUP(B20,Worksheet!$C$3:$G$46,4,FALSE),E20)</f>
        <v>35</v>
      </c>
      <c r="F20" s="299">
        <f ca="1">_xlfn.IFNA(VLOOKUP(B20,Worksheet!$C$3:$G$46,5,FALSE),F20)</f>
        <v>35</v>
      </c>
      <c r="G20" s="205" t="s">
        <v>150</v>
      </c>
    </row>
    <row r="21" spans="1:7" ht="45" customHeight="1" x14ac:dyDescent="0.25">
      <c r="A21" s="224"/>
      <c r="B21" s="236">
        <v>1127</v>
      </c>
      <c r="C21" s="240" t="s">
        <v>3818</v>
      </c>
      <c r="D21" s="299">
        <f ca="1">_xlfn.IFNA(VLOOKUP(B21,Worksheet!$C$3:$G$46,3,FALSE),D21)</f>
        <v>35</v>
      </c>
      <c r="E21" s="299">
        <f ca="1">_xlfn.IFNA(VLOOKUP(B21,Worksheet!$C$3:$G$46,4,FALSE),E21)</f>
        <v>35</v>
      </c>
      <c r="F21" s="299">
        <f ca="1">_xlfn.IFNA(VLOOKUP(B21,Worksheet!$C$3:$G$46,5,FALSE),F21)</f>
        <v>35</v>
      </c>
      <c r="G21" s="205" t="s">
        <v>150</v>
      </c>
    </row>
    <row r="22" spans="1:7" ht="45" customHeight="1" x14ac:dyDescent="0.25">
      <c r="A22" s="224"/>
      <c r="B22" s="236"/>
      <c r="C22" s="243" t="s">
        <v>3986</v>
      </c>
      <c r="D22" s="244"/>
      <c r="E22" s="244"/>
      <c r="F22" s="245"/>
      <c r="G22" s="205" t="s">
        <v>150</v>
      </c>
    </row>
    <row r="23" spans="1:7" ht="45" customHeight="1" x14ac:dyDescent="0.25">
      <c r="A23" s="224"/>
      <c r="B23" s="236">
        <v>1131</v>
      </c>
      <c r="C23" s="240" t="s">
        <v>3819</v>
      </c>
      <c r="D23" s="299">
        <f ca="1">_xlfn.IFNA(VLOOKUP(B23,Worksheet!$C$3:$G$46,3,FALSE),D23)</f>
        <v>94</v>
      </c>
      <c r="E23" s="299">
        <f ca="1">_xlfn.IFNA(VLOOKUP(B23,Worksheet!$C$3:$G$46,4,FALSE),E23)</f>
        <v>116</v>
      </c>
      <c r="F23" s="299">
        <f ca="1">_xlfn.IFNA(VLOOKUP(B23,Worksheet!$C$3:$G$46,5,FALSE),F23)</f>
        <v>64</v>
      </c>
      <c r="G23" s="205" t="s">
        <v>150</v>
      </c>
    </row>
    <row r="24" spans="1:7" ht="45" customHeight="1" x14ac:dyDescent="0.25">
      <c r="A24" s="224"/>
      <c r="B24" s="236">
        <v>1132</v>
      </c>
      <c r="C24" s="240" t="s">
        <v>3820</v>
      </c>
      <c r="D24" s="299">
        <f ca="1">_xlfn.IFNA(VLOOKUP(B24,Worksheet!$C$3:$G$46,3,FALSE),D24)</f>
        <v>80</v>
      </c>
      <c r="E24" s="299">
        <f ca="1">_xlfn.IFNA(VLOOKUP(B24,Worksheet!$C$3:$G$46,4,FALSE),E24)</f>
        <v>106</v>
      </c>
      <c r="F24" s="299">
        <f ca="1">_xlfn.IFNA(VLOOKUP(B24,Worksheet!$C$3:$G$46,5,FALSE),F24)</f>
        <v>90</v>
      </c>
      <c r="G24" s="205" t="s">
        <v>150</v>
      </c>
    </row>
    <row r="25" spans="1:7" ht="45" customHeight="1" x14ac:dyDescent="0.25">
      <c r="A25" s="224"/>
      <c r="B25" s="236">
        <v>1133</v>
      </c>
      <c r="C25" s="240" t="s">
        <v>3821</v>
      </c>
      <c r="D25" s="299">
        <f ca="1">_xlfn.IFNA(VLOOKUP(B25,Worksheet!$C$3:$G$46,3,FALSE),D25)</f>
        <v>143</v>
      </c>
      <c r="E25" s="299">
        <f ca="1">_xlfn.IFNA(VLOOKUP(B25,Worksheet!$C$3:$G$46,4,FALSE),E25)</f>
        <v>186</v>
      </c>
      <c r="F25" s="299">
        <f ca="1">_xlfn.IFNA(VLOOKUP(B25,Worksheet!$C$3:$G$46,5,FALSE),F25)</f>
        <v>128</v>
      </c>
      <c r="G25" s="205" t="s">
        <v>150</v>
      </c>
    </row>
    <row r="26" spans="1:7" ht="45" customHeight="1" x14ac:dyDescent="0.25">
      <c r="A26" s="224"/>
      <c r="B26" s="236">
        <v>1134</v>
      </c>
      <c r="C26" s="240" t="s">
        <v>3822</v>
      </c>
      <c r="D26" s="299">
        <f ca="1">_xlfn.IFNA(VLOOKUP(B26,Worksheet!$C$3:$G$46,3,FALSE),D26)</f>
        <v>31</v>
      </c>
      <c r="E26" s="299">
        <f ca="1">_xlfn.IFNA(VLOOKUP(B26,Worksheet!$C$3:$G$46,4,FALSE),E26)</f>
        <v>36</v>
      </c>
      <c r="F26" s="299">
        <f ca="1">_xlfn.IFNA(VLOOKUP(B26,Worksheet!$C$3:$G$46,5,FALSE),F26)</f>
        <v>26</v>
      </c>
      <c r="G26" s="205" t="s">
        <v>150</v>
      </c>
    </row>
    <row r="27" spans="1:7" ht="45" customHeight="1" x14ac:dyDescent="0.25">
      <c r="A27" s="224"/>
      <c r="B27" s="236">
        <v>1135</v>
      </c>
      <c r="C27" s="240" t="s">
        <v>3823</v>
      </c>
      <c r="D27" s="299">
        <f ca="1">_xlfn.IFNA(VLOOKUP(B27,Worksheet!$C$3:$G$46,3,FALSE),D27)</f>
        <v>7</v>
      </c>
      <c r="E27" s="299">
        <f ca="1">_xlfn.IFNA(VLOOKUP(B27,Worksheet!$C$3:$G$46,4,FALSE),E27)</f>
        <v>5</v>
      </c>
      <c r="F27" s="299">
        <f ca="1">_xlfn.IFNA(VLOOKUP(B27,Worksheet!$C$3:$G$46,5,FALSE),F27)</f>
        <v>30</v>
      </c>
      <c r="G27" s="205" t="s">
        <v>150</v>
      </c>
    </row>
    <row r="28" spans="1:7" ht="45"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3825</v>
      </c>
      <c r="D29" s="299">
        <f ca="1">_xlfn.IFNA(VLOOKUP(B29,Worksheet!$C$3:$G$46,3,FALSE),D29)</f>
        <v>55</v>
      </c>
      <c r="E29" s="299">
        <f ca="1">_xlfn.IFNA(VLOOKUP(B29,Worksheet!$C$3:$G$46,4,FALSE),E29)</f>
        <v>60</v>
      </c>
      <c r="F29" s="299">
        <f ca="1">_xlfn.IFNA(VLOOKUP(B29,Worksheet!$C$3:$G$46,5,FALSE),F29)</f>
        <v>51</v>
      </c>
      <c r="G29" s="205" t="s">
        <v>150</v>
      </c>
    </row>
    <row r="30" spans="1:7" ht="45" customHeight="1" x14ac:dyDescent="0.25">
      <c r="A30" s="224"/>
      <c r="B30" s="236">
        <v>1138</v>
      </c>
      <c r="C30" s="240" t="s">
        <v>3826</v>
      </c>
      <c r="D30" s="299">
        <f ca="1">_xlfn.IFNA(VLOOKUP(B30,Worksheet!$C$3:$G$46,3,FALSE),D30)</f>
        <v>134</v>
      </c>
      <c r="E30" s="299">
        <f ca="1">_xlfn.IFNA(VLOOKUP(B30,Worksheet!$C$3:$G$46,4,FALSE),E30)</f>
        <v>145</v>
      </c>
      <c r="F30" s="299">
        <f ca="1">_xlfn.IFNA(VLOOKUP(B30,Worksheet!$C$3:$G$46,5,FALSE),F30)</f>
        <v>103</v>
      </c>
      <c r="G30" s="205" t="s">
        <v>150</v>
      </c>
    </row>
    <row r="31" spans="1:7" ht="45" hidden="1" customHeight="1" x14ac:dyDescent="0.25">
      <c r="A31" s="224">
        <v>1116</v>
      </c>
      <c r="B31" s="236">
        <v>1141</v>
      </c>
      <c r="C31" s="240" t="s">
        <v>3827</v>
      </c>
      <c r="D31" s="300">
        <f ca="1">D13</f>
        <v>35</v>
      </c>
      <c r="E31" s="300">
        <f ca="1">E13</f>
        <v>35</v>
      </c>
      <c r="F31" s="300">
        <f ca="1">F13</f>
        <v>35</v>
      </c>
      <c r="G31" s="205"/>
    </row>
    <row r="32" spans="1:7" ht="45" hidden="1" customHeight="1" x14ac:dyDescent="0.25">
      <c r="A32" s="224"/>
      <c r="B32" s="236">
        <v>1142</v>
      </c>
      <c r="C32" s="241" t="s">
        <v>3828</v>
      </c>
      <c r="D32" s="300">
        <f ca="1">D18</f>
        <v>35</v>
      </c>
      <c r="E32" s="300">
        <f ca="1">E18</f>
        <v>35</v>
      </c>
      <c r="F32" s="300">
        <f ca="1">F18</f>
        <v>35</v>
      </c>
      <c r="G32" s="205"/>
    </row>
    <row r="33" spans="1:7" ht="45" customHeight="1" x14ac:dyDescent="0.25">
      <c r="A33" s="224"/>
      <c r="B33" s="236">
        <v>1143</v>
      </c>
      <c r="C33" s="240" t="s">
        <v>3829</v>
      </c>
      <c r="D33" s="299">
        <f ca="1">_xlfn.IFNA(VLOOKUP(B33,Worksheet!$C$3:$G$46,3,FALSE),D33)</f>
        <v>174</v>
      </c>
      <c r="E33" s="299">
        <f ca="1">_xlfn.IFNA(VLOOKUP(B33,Worksheet!$C$3:$G$46,4,FALSE),E33)</f>
        <v>222</v>
      </c>
      <c r="F33" s="299">
        <f ca="1">_xlfn.IFNA(VLOOKUP(B33,Worksheet!$C$3:$G$46,5,FALSE),F33)</f>
        <v>154</v>
      </c>
      <c r="G33" s="205" t="s">
        <v>150</v>
      </c>
    </row>
    <row r="34" spans="1:7" ht="45" customHeight="1" x14ac:dyDescent="0.25">
      <c r="A34" s="224"/>
      <c r="B34" s="236">
        <v>1144</v>
      </c>
      <c r="C34" s="240" t="s">
        <v>3830</v>
      </c>
      <c r="D34" s="299">
        <f ca="1">_xlfn.IFNA(VLOOKUP(B34,Worksheet!$C$3:$G$46,3,FALSE),D34)</f>
        <v>189</v>
      </c>
      <c r="E34" s="299">
        <f ca="1">_xlfn.IFNA(VLOOKUP(B34,Worksheet!$C$3:$G$46,4,FALSE),E34)</f>
        <v>205</v>
      </c>
      <c r="F34" s="299">
        <f ca="1">_xlfn.IFNA(VLOOKUP(B34,Worksheet!$C$3:$G$46,5,FALSE),F34)</f>
        <v>154</v>
      </c>
      <c r="G34" s="205" t="s">
        <v>150</v>
      </c>
    </row>
    <row r="35" spans="1:7" ht="45" customHeight="1" x14ac:dyDescent="0.25">
      <c r="A35" s="224"/>
      <c r="B35" s="236">
        <v>1145</v>
      </c>
      <c r="C35" s="240" t="s">
        <v>3831</v>
      </c>
      <c r="D35" s="299">
        <f ca="1">_xlfn.IFNA(VLOOKUP(B35,Worksheet!$C$3:$G$46,3,FALSE),D35)</f>
        <v>0</v>
      </c>
      <c r="E35" s="299">
        <f ca="1">_xlfn.IFNA(VLOOKUP(B35,Worksheet!$C$3:$G$46,4,FALSE),E35)</f>
        <v>0</v>
      </c>
      <c r="F35" s="299">
        <f ca="1">_xlfn.IFNA(VLOOKUP(B35,Worksheet!$C$3:$G$46,5,FALSE),F35)</f>
        <v>0</v>
      </c>
      <c r="G35" s="205" t="s">
        <v>150</v>
      </c>
    </row>
    <row r="36" spans="1:7" ht="45" hidden="1" customHeight="1" x14ac:dyDescent="0.25">
      <c r="A36" s="224"/>
      <c r="B36" s="236">
        <v>1151</v>
      </c>
      <c r="C36" s="246" t="s">
        <v>3832</v>
      </c>
      <c r="D36" s="247" t="e">
        <f ca="1">D37/D38</f>
        <v>#DIV/0!</v>
      </c>
      <c r="E36" s="247" t="e">
        <f t="shared" ref="E36:F36" ca="1" si="1">E37/E38</f>
        <v>#DIV/0!</v>
      </c>
      <c r="F36" s="247" t="e">
        <f t="shared" ca="1" si="1"/>
        <v>#DIV/0!</v>
      </c>
      <c r="G36" s="205"/>
    </row>
    <row r="37" spans="1:7" ht="45" customHeight="1" x14ac:dyDescent="0.25">
      <c r="A37" s="224"/>
      <c r="B37" s="236">
        <v>1152</v>
      </c>
      <c r="C37" s="240" t="s">
        <v>3833</v>
      </c>
      <c r="D37" s="299">
        <f ca="1">_xlfn.IFNA(VLOOKUP(B37,Worksheet!$C$3:$G$46,3,FALSE),D37)</f>
        <v>143</v>
      </c>
      <c r="E37" s="299">
        <f ca="1">_xlfn.IFNA(VLOOKUP(B37,Worksheet!$C$3:$G$46,4,FALSE),E37)</f>
        <v>186</v>
      </c>
      <c r="F37" s="299">
        <f ca="1">_xlfn.IFNA(VLOOKUP(B37,Worksheet!$C$3:$G$46,5,FALSE),F37)</f>
        <v>128</v>
      </c>
      <c r="G37" s="205" t="s">
        <v>150</v>
      </c>
    </row>
    <row r="38" spans="1:7" ht="45" customHeight="1" x14ac:dyDescent="0.25">
      <c r="A38" s="224"/>
      <c r="B38" s="236">
        <v>1153</v>
      </c>
      <c r="C38" s="240" t="s">
        <v>3834</v>
      </c>
      <c r="D38" s="299">
        <f ca="1">_xlfn.IFNA(VLOOKUP(B38,Worksheet!$C$3:$G$46,3,FALSE),D38)</f>
        <v>0</v>
      </c>
      <c r="E38" s="299">
        <f ca="1">_xlfn.IFNA(VLOOKUP(B38,Worksheet!$C$3:$G$46,4,FALSE),E38)</f>
        <v>0</v>
      </c>
      <c r="F38" s="299">
        <f ca="1">_xlfn.IFNA(VLOOKUP(B38,Worksheet!$C$3:$G$46,5,FALSE),F38)</f>
        <v>0</v>
      </c>
      <c r="G38" s="205" t="s">
        <v>150</v>
      </c>
    </row>
    <row r="39" spans="1:7" ht="45" hidden="1" customHeight="1" x14ac:dyDescent="0.25">
      <c r="A39" s="224"/>
      <c r="B39" s="236">
        <v>1154</v>
      </c>
      <c r="C39" s="246" t="s">
        <v>3835</v>
      </c>
      <c r="D39" s="247" t="e">
        <f ca="1">D40/D41</f>
        <v>#DIV/0!</v>
      </c>
      <c r="E39" s="247" t="e">
        <f t="shared" ref="E39:F39" ca="1" si="2">E40/E41</f>
        <v>#DIV/0!</v>
      </c>
      <c r="F39" s="247" t="e">
        <f t="shared" ca="1" si="2"/>
        <v>#DIV/0!</v>
      </c>
      <c r="G39" s="205"/>
    </row>
    <row r="40" spans="1:7" ht="45" customHeight="1" x14ac:dyDescent="0.25">
      <c r="A40" s="224"/>
      <c r="B40" s="236">
        <v>1155</v>
      </c>
      <c r="C40" s="240" t="s">
        <v>3833</v>
      </c>
      <c r="D40" s="299">
        <f ca="1">_xlfn.IFNA(VLOOKUP(B40,Worksheet!$C$3:$G$46,3,FALSE),D40)</f>
        <v>143</v>
      </c>
      <c r="E40" s="299">
        <f ca="1">_xlfn.IFNA(VLOOKUP(B40,Worksheet!$C$3:$G$46,4,FALSE),E40)</f>
        <v>186</v>
      </c>
      <c r="F40" s="299">
        <f ca="1">_xlfn.IFNA(VLOOKUP(B40,Worksheet!$C$3:$G$46,5,FALSE),F40)</f>
        <v>128</v>
      </c>
      <c r="G40" s="205" t="s">
        <v>150</v>
      </c>
    </row>
    <row r="41" spans="1:7" ht="45" customHeight="1" x14ac:dyDescent="0.25">
      <c r="A41" s="224"/>
      <c r="B41" s="236">
        <v>1156</v>
      </c>
      <c r="C41" s="240" t="s">
        <v>3836</v>
      </c>
      <c r="D41" s="299">
        <f ca="1">_xlfn.IFNA(VLOOKUP(B41,Worksheet!$C$3:$G$46,3,FALSE),D41)</f>
        <v>0</v>
      </c>
      <c r="E41" s="299">
        <f ca="1">_xlfn.IFNA(VLOOKUP(B41,Worksheet!$C$3:$G$46,4,FALSE),E41)</f>
        <v>0</v>
      </c>
      <c r="F41" s="299">
        <f ca="1">_xlfn.IFNA(VLOOKUP(B41,Worksheet!$C$3:$G$46,5,FALSE),F41)</f>
        <v>0</v>
      </c>
      <c r="G41" s="205" t="s">
        <v>150</v>
      </c>
    </row>
    <row r="42" spans="1:7" ht="45" hidden="1" customHeight="1" x14ac:dyDescent="0.25">
      <c r="A42" s="224"/>
      <c r="B42" s="236">
        <v>1157</v>
      </c>
      <c r="C42" s="246" t="s">
        <v>3837</v>
      </c>
      <c r="D42" s="247">
        <f ca="1">D43/D44</f>
        <v>1</v>
      </c>
      <c r="E42" s="247">
        <f t="shared" ref="E42:F42" ca="1" si="3">E43/E44</f>
        <v>1</v>
      </c>
      <c r="F42" s="247">
        <f t="shared" ca="1" si="3"/>
        <v>1</v>
      </c>
      <c r="G42" s="205"/>
    </row>
    <row r="43" spans="1:7" ht="45" customHeight="1" x14ac:dyDescent="0.25">
      <c r="A43" s="224"/>
      <c r="B43" s="236">
        <v>1158</v>
      </c>
      <c r="C43" s="240" t="s">
        <v>3838</v>
      </c>
      <c r="D43" s="299">
        <f ca="1">_xlfn.IFNA(VLOOKUP(B43,Worksheet!$C$3:$G$46,3,FALSE),D43)</f>
        <v>49</v>
      </c>
      <c r="E43" s="299">
        <f ca="1">_xlfn.IFNA(VLOOKUP(B43,Worksheet!$C$3:$G$46,4,FALSE),E43)</f>
        <v>68</v>
      </c>
      <c r="F43" s="299">
        <f ca="1">_xlfn.IFNA(VLOOKUP(B43,Worksheet!$C$3:$G$46,5,FALSE),F43)</f>
        <v>54</v>
      </c>
      <c r="G43" s="205" t="s">
        <v>150</v>
      </c>
    </row>
    <row r="44" spans="1:7" s="248" customFormat="1" ht="45" customHeight="1" x14ac:dyDescent="0.25">
      <c r="A44" s="224"/>
      <c r="B44" s="236">
        <v>1159</v>
      </c>
      <c r="C44" s="240" t="s">
        <v>3839</v>
      </c>
      <c r="D44" s="299">
        <f ca="1">_xlfn.IFNA(VLOOKUP(B44,Worksheet!$C$3:$G$46,3,FALSE),D44)</f>
        <v>49</v>
      </c>
      <c r="E44" s="299">
        <f ca="1">_xlfn.IFNA(VLOOKUP(B44,Worksheet!$C$3:$G$46,4,FALSE),E44)</f>
        <v>68</v>
      </c>
      <c r="F44" s="299">
        <f ca="1">_xlfn.IFNA(VLOOKUP(B44,Worksheet!$C$3:$G$46,5,FALSE),F44)</f>
        <v>54</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335</v>
      </c>
      <c r="G46" s="205" t="s">
        <v>83</v>
      </c>
    </row>
    <row r="47" spans="1:7" s="248" customFormat="1" ht="45" hidden="1" customHeight="1" x14ac:dyDescent="0.25">
      <c r="A47" s="224"/>
      <c r="B47" s="255" t="s">
        <v>4014</v>
      </c>
      <c r="C47" s="226" t="s">
        <v>3975</v>
      </c>
      <c r="D47" s="230"/>
      <c r="E47" s="229"/>
      <c r="F47" s="298">
        <f ca="1">_xlfn.IFNA(VLOOKUP(B47,Worksheet!$C$3:$G$46,5,FALSE),F47)</f>
        <v>3</v>
      </c>
      <c r="G47" s="205" t="s">
        <v>83</v>
      </c>
    </row>
    <row r="48" spans="1:7" ht="45" hidden="1" customHeight="1" x14ac:dyDescent="0.25">
      <c r="A48" s="224"/>
      <c r="B48" s="255" t="s">
        <v>4015</v>
      </c>
      <c r="C48" s="226" t="s">
        <v>3976</v>
      </c>
      <c r="D48" s="226"/>
      <c r="E48" s="256"/>
      <c r="F48" s="298">
        <f ca="1">_xlfn.IFNA(VLOOKUP(B48,Worksheet!$C$3:$G$46,5,FALSE),F48)</f>
        <v>28</v>
      </c>
      <c r="G48" s="205" t="s">
        <v>83</v>
      </c>
    </row>
    <row r="49" spans="1:7" ht="45" hidden="1" customHeight="1" x14ac:dyDescent="0.25">
      <c r="A49" s="224"/>
      <c r="B49" s="257" t="s">
        <v>4016</v>
      </c>
      <c r="C49" s="258" t="s">
        <v>3988</v>
      </c>
      <c r="D49" s="233"/>
      <c r="E49" s="259"/>
      <c r="F49" s="235">
        <f ca="1">_xlfn.IFNA(VLOOKUP(F46,Data_donotedit!$BE$2:$BG$25,3,TRUE),0)</f>
        <v>82</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0</v>
      </c>
      <c r="E51" s="299">
        <f ca="1">_xlfn.IFNA(VLOOKUP(B51,Worksheet!$C$3:$G$46,4,FALSE),E51)</f>
        <v>0</v>
      </c>
      <c r="F51" s="299">
        <f ca="1">_xlfn.IFNA(VLOOKUP(B51,Worksheet!$C$3:$G$46,5,FALSE),F51)</f>
        <v>0</v>
      </c>
      <c r="G51" s="205" t="s">
        <v>83</v>
      </c>
    </row>
    <row r="52" spans="1:7" ht="45" hidden="1" customHeight="1" x14ac:dyDescent="0.25">
      <c r="A52" s="261" t="s">
        <v>3843</v>
      </c>
      <c r="B52" s="236">
        <v>1212</v>
      </c>
      <c r="C52" s="240" t="s">
        <v>3844</v>
      </c>
      <c r="D52" s="299">
        <f ca="1">_xlfn.IFNA(VLOOKUP(B52,Worksheet!$C$3:$G$46,3,FALSE),D52)</f>
        <v>0</v>
      </c>
      <c r="E52" s="299">
        <f ca="1">_xlfn.IFNA(VLOOKUP(B52,Worksheet!$C$3:$G$46,4,FALSE),E52)</f>
        <v>0</v>
      </c>
      <c r="F52" s="299">
        <f ca="1">_xlfn.IFNA(VLOOKUP(B52,Worksheet!$C$3:$G$46,5,FALSE),F52)</f>
        <v>0</v>
      </c>
      <c r="G52" s="205" t="s">
        <v>83</v>
      </c>
    </row>
    <row r="53" spans="1:7" ht="45" hidden="1" customHeight="1" x14ac:dyDescent="0.25">
      <c r="A53" s="224"/>
      <c r="B53" s="236">
        <v>1213</v>
      </c>
      <c r="C53" s="240" t="s">
        <v>3845</v>
      </c>
      <c r="D53" s="299">
        <f ca="1">_xlfn.IFNA(VLOOKUP(B53,Worksheet!$C$3:$G$46,3,FALSE),D53)</f>
        <v>0</v>
      </c>
      <c r="E53" s="299">
        <f ca="1">_xlfn.IFNA(VLOOKUP(B53,Worksheet!$C$3:$G$46,4,FALSE),E53)</f>
        <v>0</v>
      </c>
      <c r="F53" s="299">
        <f ca="1">_xlfn.IFNA(VLOOKUP(B53,Worksheet!$C$3:$G$46,5,FALSE),F53)</f>
        <v>0</v>
      </c>
      <c r="G53" s="205" t="s">
        <v>83</v>
      </c>
    </row>
    <row r="54" spans="1:7" ht="45" hidden="1" customHeight="1" x14ac:dyDescent="0.25">
      <c r="A54" s="224"/>
      <c r="B54" s="236">
        <v>1214</v>
      </c>
      <c r="C54" s="262" t="s">
        <v>3846</v>
      </c>
      <c r="D54" s="299">
        <f ca="1">_xlfn.IFNA(VLOOKUP(B54,Worksheet!$C$3:$G$46,3,FALSE),D54)</f>
        <v>0</v>
      </c>
      <c r="E54" s="299">
        <f ca="1">_xlfn.IFNA(VLOOKUP(B54,Worksheet!$C$3:$G$46,4,FALSE),E54)</f>
        <v>0</v>
      </c>
      <c r="F54" s="299">
        <f ca="1">_xlfn.IFNA(VLOOKUP(B54,Worksheet!$C$3:$G$46,5,FALSE),F54)</f>
        <v>0</v>
      </c>
      <c r="G54" s="205" t="s">
        <v>83</v>
      </c>
    </row>
    <row r="55" spans="1:7" ht="45" hidden="1" customHeight="1" x14ac:dyDescent="0.25">
      <c r="A55" s="224"/>
      <c r="B55" s="236">
        <v>1215</v>
      </c>
      <c r="C55" s="240" t="s">
        <v>3847</v>
      </c>
      <c r="D55" s="299">
        <f ca="1">_xlfn.IFNA(VLOOKUP(B55,Worksheet!$C$3:$G$46,3,FALSE),D55)</f>
        <v>118</v>
      </c>
      <c r="E55" s="299">
        <f ca="1">_xlfn.IFNA(VLOOKUP(B55,Worksheet!$C$3:$G$46,4,FALSE),E55)</f>
        <v>88</v>
      </c>
      <c r="F55" s="299">
        <f ca="1">_xlfn.IFNA(VLOOKUP(B55,Worksheet!$C$3:$G$46,5,FALSE),F55)</f>
        <v>72</v>
      </c>
      <c r="G55" s="205" t="s">
        <v>83</v>
      </c>
    </row>
    <row r="56" spans="1:7" ht="45" hidden="1" customHeight="1" x14ac:dyDescent="0.25">
      <c r="A56" s="224"/>
      <c r="B56" s="236">
        <v>1216</v>
      </c>
      <c r="C56" s="241" t="s">
        <v>3848</v>
      </c>
      <c r="D56" s="299">
        <f ca="1">_xlfn.IFNA(VLOOKUP(B56,Worksheet!$C$3:$G$46,3,FALSE),D56)</f>
        <v>0</v>
      </c>
      <c r="E56" s="299">
        <f ca="1">_xlfn.IFNA(VLOOKUP(B56,Worksheet!$C$3:$G$46,4,FALSE),E56)</f>
        <v>0</v>
      </c>
      <c r="F56" s="299">
        <f ca="1">_xlfn.IFNA(VLOOKUP(B56,Worksheet!$C$3:$G$46,5,FALSE),F56)</f>
        <v>0</v>
      </c>
      <c r="G56" s="205" t="s">
        <v>83</v>
      </c>
    </row>
    <row r="57" spans="1:7" ht="45" hidden="1" customHeight="1" x14ac:dyDescent="0.25">
      <c r="A57" s="224"/>
      <c r="B57" s="236">
        <v>1217</v>
      </c>
      <c r="C57" s="241" t="s">
        <v>3849</v>
      </c>
      <c r="D57" s="299">
        <f ca="1">_xlfn.IFNA(VLOOKUP(B57,Worksheet!$C$3:$G$46,3,FALSE),D57)</f>
        <v>0</v>
      </c>
      <c r="E57" s="299">
        <f ca="1">_xlfn.IFNA(VLOOKUP(B57,Worksheet!$C$3:$G$46,4,FALSE),E57)</f>
        <v>1</v>
      </c>
      <c r="F57" s="299">
        <f ca="1">_xlfn.IFNA(VLOOKUP(B57,Worksheet!$C$3:$G$46,5,FALSE),F57)</f>
        <v>0</v>
      </c>
      <c r="G57" s="205" t="s">
        <v>83</v>
      </c>
    </row>
    <row r="58" spans="1:7" ht="45" hidden="1" customHeight="1" x14ac:dyDescent="0.25">
      <c r="A58" s="224"/>
      <c r="B58" s="236">
        <v>1218</v>
      </c>
      <c r="C58" s="241" t="s">
        <v>3850</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3851</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3852</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3853</v>
      </c>
      <c r="D61" s="299">
        <f ca="1">_xlfn.IFNA(VLOOKUP(B61,Worksheet!$C$3:$G$46,3,FALSE),D61)</f>
        <v>0</v>
      </c>
      <c r="E61" s="299">
        <f ca="1">_xlfn.IFNA(VLOOKUP(B61,Worksheet!$C$3:$G$46,4,FALSE),E61)</f>
        <v>1</v>
      </c>
      <c r="F61" s="299">
        <f ca="1">_xlfn.IFNA(VLOOKUP(B61,Worksheet!$C$3:$G$46,5,FALSE),F61)</f>
        <v>0</v>
      </c>
      <c r="G61" s="205" t="s">
        <v>83</v>
      </c>
    </row>
    <row r="62" spans="1:7" ht="54.6" hidden="1" customHeight="1" x14ac:dyDescent="0.25">
      <c r="A62" s="224"/>
      <c r="B62" s="236">
        <v>1224</v>
      </c>
      <c r="C62" s="262" t="s">
        <v>3854</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3855</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116</v>
      </c>
      <c r="E67" s="299">
        <f ca="1">_xlfn.IFNA(VLOOKUP(B67,Worksheet!$C$3:$G$46,4,FALSE),E67)</f>
        <v>88</v>
      </c>
      <c r="F67" s="299">
        <f ca="1">_xlfn.IFNA(VLOOKUP(B67,Worksheet!$C$3:$G$46,5,FALSE),F67)</f>
        <v>72</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0</v>
      </c>
      <c r="E69" s="299">
        <f ca="1">_xlfn.IFNA(VLOOKUP(B69,Worksheet!$C$3:$G$46,4,FALSE),E69)</f>
        <v>1</v>
      </c>
      <c r="F69" s="299">
        <f ca="1">_xlfn.IFNA(VLOOKUP(B69,Worksheet!$C$3:$G$46,5,FALSE),F69)</f>
        <v>0</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3864</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3866</v>
      </c>
      <c r="D75" s="299">
        <f ca="1">_xlfn.IFNA(VLOOKUP(B75,Worksheet!$C$3:$G$46,3,FALSE),D75)</f>
        <v>116</v>
      </c>
      <c r="E75" s="299">
        <f ca="1">_xlfn.IFNA(VLOOKUP(B75,Worksheet!$C$3:$G$46,4,FALSE),E75)</f>
        <v>88</v>
      </c>
      <c r="F75" s="299">
        <f ca="1">_xlfn.IFNA(VLOOKUP(B75,Worksheet!$C$3:$G$46,5,FALSE),F75)</f>
        <v>72</v>
      </c>
      <c r="G75" s="205" t="s">
        <v>83</v>
      </c>
    </row>
    <row r="76" spans="1:7" ht="45" hidden="1" customHeight="1" x14ac:dyDescent="0.25">
      <c r="A76" s="224"/>
      <c r="B76" s="236">
        <v>1244</v>
      </c>
      <c r="C76" s="241" t="s">
        <v>3867</v>
      </c>
      <c r="D76" s="299">
        <f ca="1">_xlfn.IFNA(VLOOKUP(B76,Worksheet!$C$3:$G$46,3,FALSE),D76)</f>
        <v>7</v>
      </c>
      <c r="E76" s="299">
        <f ca="1">_xlfn.IFNA(VLOOKUP(B76,Worksheet!$C$3:$G$46,4,FALSE),E76)</f>
        <v>14</v>
      </c>
      <c r="F76" s="299">
        <f ca="1">_xlfn.IFNA(VLOOKUP(B76,Worksheet!$C$3:$G$46,5,FALSE),F76)</f>
        <v>7</v>
      </c>
      <c r="G76" s="205" t="s">
        <v>83</v>
      </c>
    </row>
    <row r="77" spans="1:7" ht="45" hidden="1" customHeight="1" x14ac:dyDescent="0.25">
      <c r="A77" s="224"/>
      <c r="B77" s="236">
        <v>1245</v>
      </c>
      <c r="C77" s="241" t="s">
        <v>3868</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3870</v>
      </c>
      <c r="D79" s="299">
        <f ca="1">_xlfn.IFNA(VLOOKUP(B79,Worksheet!$C$3:$G$46,3,FALSE),D79)</f>
        <v>0</v>
      </c>
      <c r="E79" s="299">
        <f ca="1">_xlfn.IFNA(VLOOKUP(B79,Worksheet!$C$3:$G$46,4,FALSE),E79)</f>
        <v>0</v>
      </c>
      <c r="F79" s="299">
        <f ca="1">_xlfn.IFNA(VLOOKUP(B79,Worksheet!$C$3:$G$46,5,FALSE),F79)</f>
        <v>0</v>
      </c>
      <c r="G79" s="205" t="s">
        <v>83</v>
      </c>
    </row>
    <row r="80" spans="1:7" ht="45" hidden="1"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116</v>
      </c>
      <c r="E81" s="263">
        <f t="shared" ref="E81:F81" ca="1" si="4">E82</f>
        <v>88</v>
      </c>
      <c r="F81" s="263">
        <f t="shared" ca="1" si="4"/>
        <v>72</v>
      </c>
      <c r="G81" s="205"/>
    </row>
    <row r="82" spans="1:7" ht="45" hidden="1" customHeight="1" x14ac:dyDescent="0.25">
      <c r="A82" s="224"/>
      <c r="B82" s="236">
        <v>1252</v>
      </c>
      <c r="C82" s="240" t="s">
        <v>3873</v>
      </c>
      <c r="D82" s="299">
        <f ca="1">_xlfn.IFNA(VLOOKUP(B82,Worksheet!$C$3:$G$46,3,FALSE),D82)</f>
        <v>116</v>
      </c>
      <c r="E82" s="299">
        <f ca="1">_xlfn.IFNA(VLOOKUP(B82,Worksheet!$C$3:$G$46,4,FALSE),E82)</f>
        <v>88</v>
      </c>
      <c r="F82" s="299">
        <f ca="1">_xlfn.IFNA(VLOOKUP(B82,Worksheet!$C$3:$G$46,5,FALSE),F82)</f>
        <v>72</v>
      </c>
      <c r="G82" s="205" t="s">
        <v>83</v>
      </c>
    </row>
    <row r="83" spans="1:7" ht="45" hidden="1" customHeight="1" x14ac:dyDescent="0.25">
      <c r="A83" s="224"/>
      <c r="B83" s="236">
        <v>1253</v>
      </c>
      <c r="C83" s="240" t="s">
        <v>3874</v>
      </c>
      <c r="D83" s="299">
        <f ca="1">_xlfn.IFNA(VLOOKUP(B83,Worksheet!$C$3:$G$46,3,FALSE),D83)</f>
        <v>0</v>
      </c>
      <c r="E83" s="299">
        <f ca="1">_xlfn.IFNA(VLOOKUP(B83,Worksheet!$C$3:$G$46,4,FALSE),E83)</f>
        <v>0</v>
      </c>
      <c r="F83" s="299">
        <f ca="1">_xlfn.IFNA(VLOOKUP(B83,Worksheet!$C$3:$G$46,5,FALSE),F83)</f>
        <v>0</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1</v>
      </c>
      <c r="E85" s="299">
        <f ca="1">_xlfn.IFNA(VLOOKUP(B85,Worksheet!$C$3:$G$46,4,FALSE),E85)</f>
        <v>2</v>
      </c>
      <c r="F85" s="299">
        <f ca="1">_xlfn.IFNA(VLOOKUP(B85,Worksheet!$C$3:$G$46,5,FALSE),F85)</f>
        <v>1</v>
      </c>
      <c r="G85" s="205" t="s">
        <v>83</v>
      </c>
    </row>
    <row r="86" spans="1:7" ht="45" hidden="1"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7</v>
      </c>
      <c r="E88" s="299">
        <f ca="1">_xlfn.IFNA(VLOOKUP(B88,Worksheet!$C$3:$G$46,4,FALSE),E88)</f>
        <v>14</v>
      </c>
      <c r="F88" s="299">
        <f ca="1">_xlfn.IFNA(VLOOKUP(B88,Worksheet!$C$3:$G$46,5,FALSE),F88)</f>
        <v>7</v>
      </c>
      <c r="G88" s="205" t="s">
        <v>83</v>
      </c>
    </row>
    <row r="89" spans="1:7" ht="45" hidden="1"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31</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8</v>
      </c>
      <c r="E93" s="299">
        <f ca="1">_xlfn.IFNA(VLOOKUP(B93,Worksheet!$C$3:$G$46,4,FALSE),E93)</f>
        <v>16</v>
      </c>
      <c r="F93" s="299">
        <f ca="1">_xlfn.IFNA(VLOOKUP(B93,Worksheet!$C$3:$G$46,5,FALSE),F93)</f>
        <v>8</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8</v>
      </c>
      <c r="E97" s="299">
        <f ca="1">_xlfn.IFNA(VLOOKUP(B97,Worksheet!$C$3:$G$46,4,FALSE),E97)</f>
        <v>16</v>
      </c>
      <c r="F97" s="299">
        <f ca="1">_xlfn.IFNA(VLOOKUP(B97,Worksheet!$C$3:$G$46,5,FALSE),F97)</f>
        <v>8</v>
      </c>
      <c r="G97" s="264" t="s">
        <v>155</v>
      </c>
    </row>
    <row r="98" spans="1:7" s="268" customFormat="1" ht="45" hidden="1" customHeight="1" x14ac:dyDescent="0.25">
      <c r="A98" s="224"/>
      <c r="B98" s="236">
        <v>1322</v>
      </c>
      <c r="C98" s="240" t="s">
        <v>3887</v>
      </c>
      <c r="D98" s="299">
        <f ca="1">_xlfn.IFNA(VLOOKUP(B98,Worksheet!$C$3:$G$46,3,FALSE),D98)</f>
        <v>8</v>
      </c>
      <c r="E98" s="299">
        <f ca="1">_xlfn.IFNA(VLOOKUP(B98,Worksheet!$C$3:$G$46,4,FALSE),E98)</f>
        <v>16</v>
      </c>
      <c r="F98" s="299">
        <f ca="1">_xlfn.IFNA(VLOOKUP(B98,Worksheet!$C$3:$G$46,5,FALSE),F98)</f>
        <v>8</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1</v>
      </c>
      <c r="E101" s="299">
        <f ca="1">_xlfn.IFNA(VLOOKUP(B101,Worksheet!$C$3:$G$46,4,FALSE),E101)</f>
        <v>2</v>
      </c>
      <c r="F101" s="299">
        <f ca="1">_xlfn.IFNA(VLOOKUP(B101,Worksheet!$C$3:$G$46,5,FALSE),F101)</f>
        <v>1</v>
      </c>
      <c r="G101" s="264" t="s">
        <v>155</v>
      </c>
    </row>
    <row r="102" spans="1:7" s="268" customFormat="1" ht="45" hidden="1" customHeight="1" x14ac:dyDescent="0.25">
      <c r="A102" s="224"/>
      <c r="B102" s="236">
        <v>1332</v>
      </c>
      <c r="C102" s="240" t="s">
        <v>3891</v>
      </c>
      <c r="D102" s="299">
        <f ca="1">_xlfn.IFNA(VLOOKUP(B102,Worksheet!$C$3:$G$46,3,FALSE),D102)</f>
        <v>7</v>
      </c>
      <c r="E102" s="299">
        <f ca="1">_xlfn.IFNA(VLOOKUP(B102,Worksheet!$C$3:$G$46,4,FALSE),E102)</f>
        <v>14</v>
      </c>
      <c r="F102" s="299">
        <f ca="1">_xlfn.IFNA(VLOOKUP(B102,Worksheet!$C$3:$G$46,5,FALSE),F102)</f>
        <v>7</v>
      </c>
      <c r="G102" s="264" t="s">
        <v>155</v>
      </c>
    </row>
    <row r="103" spans="1:7" s="268" customFormat="1" ht="45" hidden="1" customHeight="1" x14ac:dyDescent="0.25">
      <c r="A103" s="224"/>
      <c r="B103" s="236">
        <v>1333</v>
      </c>
      <c r="C103" s="240" t="s">
        <v>3892</v>
      </c>
      <c r="D103" s="299">
        <f ca="1">_xlfn.IFNA(VLOOKUP(B103,Worksheet!$C$3:$G$46,3,FALSE),D103)</f>
        <v>7</v>
      </c>
      <c r="E103" s="299">
        <f ca="1">_xlfn.IFNA(VLOOKUP(B103,Worksheet!$C$3:$G$46,4,FALSE),E103)</f>
        <v>14</v>
      </c>
      <c r="F103" s="299">
        <f ca="1">_xlfn.IFNA(VLOOKUP(B103,Worksheet!$C$3:$G$46,5,FALSE),F103)</f>
        <v>7</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1</v>
      </c>
      <c r="E106" s="299">
        <f ca="1">_xlfn.IFNA(VLOOKUP(B106,Worksheet!$C$3:$G$46,4,FALSE),E106)</f>
        <v>2</v>
      </c>
      <c r="F106" s="299">
        <f ca="1">_xlfn.IFNA(VLOOKUP(B106,Worksheet!$C$3:$G$46,5,FALSE),F106)</f>
        <v>1</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1</v>
      </c>
      <c r="E108" s="299">
        <f ca="1">_xlfn.IFNA(VLOOKUP(B108,Worksheet!$C$3:$G$46,4,FALSE),E108)</f>
        <v>2</v>
      </c>
      <c r="F108" s="299">
        <f ca="1">_xlfn.IFNA(VLOOKUP(B108,Worksheet!$C$3:$G$46,5,FALSE),F108)</f>
        <v>1</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1</v>
      </c>
      <c r="E112" s="299">
        <f ca="1">_xlfn.IFNA(VLOOKUP(B112,Worksheet!$C$3:$G$46,4,FALSE),E112)</f>
        <v>2</v>
      </c>
      <c r="F112" s="299">
        <f ca="1">_xlfn.IFNA(VLOOKUP(B112,Worksheet!$C$3:$G$46,5,FALSE),F112)</f>
        <v>1</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1</v>
      </c>
      <c r="E115" s="299">
        <f ca="1">_xlfn.IFNA(VLOOKUP(B115,Worksheet!$C$3:$G$46,4,FALSE),E115)</f>
        <v>2</v>
      </c>
      <c r="F115" s="299">
        <f ca="1">_xlfn.IFNA(VLOOKUP(B115,Worksheet!$C$3:$G$46,5,FALSE),F115)</f>
        <v>1</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28</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16</v>
      </c>
      <c r="E119" s="299">
        <f ca="1">_xlfn.IFNA(VLOOKUP(B119,Worksheet!$C$3:$G$46,4,FALSE),E119)</f>
        <v>10</v>
      </c>
      <c r="F119" s="299">
        <f ca="1">_xlfn.IFNA(VLOOKUP(B119,Worksheet!$C$3:$G$46,5,FALSE),F119)</f>
        <v>9</v>
      </c>
      <c r="G119" s="205" t="s">
        <v>86</v>
      </c>
    </row>
    <row r="120" spans="1:7" s="268" customFormat="1" ht="45" hidden="1" customHeight="1" x14ac:dyDescent="0.25">
      <c r="A120" s="224"/>
      <c r="B120" s="236">
        <v>1414</v>
      </c>
      <c r="C120" s="241" t="s">
        <v>3906</v>
      </c>
      <c r="D120" s="299">
        <f ca="1">_xlfn.IFNA(VLOOKUP(B120,Worksheet!$C$3:$G$46,3,FALSE),D120)</f>
        <v>16</v>
      </c>
      <c r="E120" s="299">
        <f ca="1">_xlfn.IFNA(VLOOKUP(B120,Worksheet!$C$3:$G$46,4,FALSE),E120)</f>
        <v>10</v>
      </c>
      <c r="F120" s="299">
        <f ca="1">_xlfn.IFNA(VLOOKUP(B120,Worksheet!$C$3:$G$46,5,FALSE),F120)</f>
        <v>9</v>
      </c>
      <c r="G120" s="205" t="s">
        <v>86</v>
      </c>
    </row>
    <row r="121" spans="1:7" s="268" customFormat="1" ht="45" hidden="1" customHeight="1" x14ac:dyDescent="0.25">
      <c r="A121" s="224"/>
      <c r="B121" s="236">
        <v>1422</v>
      </c>
      <c r="C121" s="240" t="s">
        <v>3907</v>
      </c>
      <c r="D121" s="299">
        <f ca="1">_xlfn.IFNA(VLOOKUP(B121,Worksheet!$C$3:$G$46,3,FALSE),D121)</f>
        <v>15</v>
      </c>
      <c r="E121" s="299">
        <f ca="1">_xlfn.IFNA(VLOOKUP(B121,Worksheet!$C$3:$G$46,4,FALSE),E121)</f>
        <v>10</v>
      </c>
      <c r="F121" s="299">
        <f ca="1">_xlfn.IFNA(VLOOKUP(B121,Worksheet!$C$3:$G$46,5,FALSE),F121)</f>
        <v>1</v>
      </c>
      <c r="G121" s="205" t="s">
        <v>86</v>
      </c>
    </row>
    <row r="122" spans="1:7" s="268" customFormat="1" ht="45" hidden="1" customHeight="1" x14ac:dyDescent="0.25">
      <c r="A122" s="224"/>
      <c r="B122" s="236">
        <v>1423</v>
      </c>
      <c r="C122" s="240" t="s">
        <v>3908</v>
      </c>
      <c r="D122" s="299">
        <f ca="1">_xlfn.IFNA(VLOOKUP(B122,Worksheet!$C$3:$G$46,3,FALSE),D122)</f>
        <v>15</v>
      </c>
      <c r="E122" s="299">
        <f ca="1">_xlfn.IFNA(VLOOKUP(B122,Worksheet!$C$3:$G$46,4,FALSE),E122)</f>
        <v>10</v>
      </c>
      <c r="F122" s="299">
        <f ca="1">_xlfn.IFNA(VLOOKUP(B122,Worksheet!$C$3:$G$46,5,FALSE),F122)</f>
        <v>1</v>
      </c>
      <c r="G122" s="205" t="s">
        <v>86</v>
      </c>
    </row>
    <row r="123" spans="1:7" s="268" customFormat="1" ht="45" hidden="1" customHeight="1" x14ac:dyDescent="0.25">
      <c r="A123" s="224"/>
      <c r="B123" s="236">
        <v>1424</v>
      </c>
      <c r="C123" s="240" t="s">
        <v>3909</v>
      </c>
      <c r="D123" s="299">
        <f ca="1">_xlfn.IFNA(VLOOKUP(B123,Worksheet!$C$3:$G$46,3,FALSE),D123)</f>
        <v>15</v>
      </c>
      <c r="E123" s="299">
        <f ca="1">_xlfn.IFNA(VLOOKUP(B123,Worksheet!$C$3:$G$46,4,FALSE),E123)</f>
        <v>10</v>
      </c>
      <c r="F123" s="299">
        <f ca="1">_xlfn.IFNA(VLOOKUP(B123,Worksheet!$C$3:$G$46,5,FALSE),F123)</f>
        <v>9</v>
      </c>
      <c r="G123" s="205" t="s">
        <v>86</v>
      </c>
    </row>
    <row r="124" spans="1:7" s="268" customFormat="1" ht="45" hidden="1" customHeight="1" x14ac:dyDescent="0.25">
      <c r="A124" s="224"/>
      <c r="B124" s="236">
        <v>1425</v>
      </c>
      <c r="C124" s="240" t="s">
        <v>3910</v>
      </c>
      <c r="D124" s="299">
        <f ca="1">_xlfn.IFNA(VLOOKUP(B124,Worksheet!$C$3:$G$46,3,FALSE),D124)</f>
        <v>15</v>
      </c>
      <c r="E124" s="299">
        <f ca="1">_xlfn.IFNA(VLOOKUP(B124,Worksheet!$C$3:$G$46,4,FALSE),E124)</f>
        <v>10</v>
      </c>
      <c r="F124" s="299">
        <f ca="1">_xlfn.IFNA(VLOOKUP(B124,Worksheet!$C$3:$G$46,5,FALSE),F124)</f>
        <v>1</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15</v>
      </c>
      <c r="E126" s="299">
        <f ca="1">_xlfn.IFNA(VLOOKUP(B126,Worksheet!$C$3:$G$46,4,FALSE),E126)</f>
        <v>10</v>
      </c>
      <c r="F126" s="299">
        <f ca="1">_xlfn.IFNA(VLOOKUP(B126,Worksheet!$C$3:$G$46,5,FALSE),F126)</f>
        <v>1</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1</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14</v>
      </c>
      <c r="E129" s="299">
        <f ca="1">_xlfn.IFNA(VLOOKUP(B129,Worksheet!$C$3:$G$46,4,FALSE),E129)</f>
        <v>10</v>
      </c>
      <c r="F129" s="299">
        <f ca="1">_xlfn.IFNA(VLOOKUP(B129,Worksheet!$C$3:$G$46,5,FALSE),F129)</f>
        <v>1</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15</v>
      </c>
      <c r="E131" s="299">
        <f ca="1">_xlfn.IFNA(VLOOKUP(B131,Worksheet!$C$3:$G$46,4,FALSE),E131)</f>
        <v>10</v>
      </c>
      <c r="F131" s="299">
        <f ca="1">_xlfn.IFNA(VLOOKUP(B131,Worksheet!$C$3:$G$46,5,FALSE),F131)</f>
        <v>1</v>
      </c>
      <c r="G131" s="205" t="s">
        <v>86</v>
      </c>
    </row>
    <row r="132" spans="1:7" s="268" customFormat="1" ht="45" hidden="1" customHeight="1" x14ac:dyDescent="0.25">
      <c r="A132" s="224"/>
      <c r="B132" s="236">
        <v>1442</v>
      </c>
      <c r="C132" s="240" t="s">
        <v>3918</v>
      </c>
      <c r="D132" s="269">
        <f ca="1">D120</f>
        <v>16</v>
      </c>
      <c r="E132" s="269">
        <f ca="1">E120</f>
        <v>10</v>
      </c>
      <c r="F132" s="269">
        <f ca="1">F120</f>
        <v>9</v>
      </c>
      <c r="G132" s="205"/>
    </row>
    <row r="133" spans="1:7" s="268" customFormat="1" ht="45" hidden="1" customHeight="1" x14ac:dyDescent="0.25">
      <c r="A133" s="224"/>
      <c r="B133" s="236">
        <v>1443</v>
      </c>
      <c r="C133" s="240" t="s">
        <v>3919</v>
      </c>
      <c r="D133" s="299">
        <f ca="1">_xlfn.IFNA(VLOOKUP(B133,Worksheet!$C$3:$G$46,3,FALSE),D133)</f>
        <v>4</v>
      </c>
      <c r="E133" s="299">
        <f ca="1">_xlfn.IFNA(VLOOKUP(B133,Worksheet!$C$3:$G$46,4,FALSE),E133)</f>
        <v>12</v>
      </c>
      <c r="F133" s="299">
        <f ca="1">_xlfn.IFNA(VLOOKUP(B133,Worksheet!$C$3:$G$46,5,FALSE),F133)</f>
        <v>15</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15</v>
      </c>
      <c r="E135" s="299">
        <f ca="1">_xlfn.IFNA(VLOOKUP(B135,Worksheet!$C$3:$G$46,4,FALSE),E135)</f>
        <v>10</v>
      </c>
      <c r="F135" s="299">
        <f ca="1">_xlfn.IFNA(VLOOKUP(B135,Worksheet!$C$3:$G$46,5,FALSE),F135)</f>
        <v>1</v>
      </c>
      <c r="G135" s="205" t="s">
        <v>86</v>
      </c>
    </row>
    <row r="136" spans="1:7" s="268" customFormat="1" ht="45" hidden="1" customHeight="1" x14ac:dyDescent="0.25">
      <c r="A136" s="224"/>
      <c r="B136" s="236">
        <v>1453</v>
      </c>
      <c r="C136" s="240" t="s">
        <v>3922</v>
      </c>
      <c r="D136" s="299">
        <f ca="1">_xlfn.IFNA(VLOOKUP(B136,Worksheet!$C$3:$G$46,3,FALSE),D136)</f>
        <v>4</v>
      </c>
      <c r="E136" s="299">
        <f ca="1">_xlfn.IFNA(VLOOKUP(B136,Worksheet!$C$3:$G$46,4,FALSE),E136)</f>
        <v>12</v>
      </c>
      <c r="F136" s="299">
        <f ca="1">_xlfn.IFNA(VLOOKUP(B136,Worksheet!$C$3:$G$46,5,FALSE),F136)</f>
        <v>15</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106</v>
      </c>
      <c r="G141" s="205" t="s">
        <v>90</v>
      </c>
    </row>
    <row r="142" spans="1:7" ht="45" hidden="1" customHeight="1" x14ac:dyDescent="0.25">
      <c r="A142" s="224"/>
      <c r="B142" s="231" t="s">
        <v>4017</v>
      </c>
      <c r="C142" s="258" t="s">
        <v>3926</v>
      </c>
      <c r="D142" s="233"/>
      <c r="E142" s="274"/>
      <c r="F142" s="235">
        <f ca="1">_xlfn.IFNA(VLOOKUP(F141,Data_donotedit!$BE$2:$BG$25,3,TRUE),0)</f>
        <v>57</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19</v>
      </c>
      <c r="E145" s="299">
        <f ca="1">_xlfn.IFNA(VLOOKUP(B145,Worksheet!$C$3:$G$46,4,FALSE),E145)</f>
        <v>19</v>
      </c>
      <c r="F145" s="299">
        <f ca="1">_xlfn.IFNA(VLOOKUP(B145,Worksheet!$C$3:$G$46,5,FALSE),F145)</f>
        <v>19</v>
      </c>
      <c r="G145" s="205" t="s">
        <v>90</v>
      </c>
    </row>
    <row r="146" spans="1:7" ht="45" hidden="1" customHeight="1" x14ac:dyDescent="0.25">
      <c r="A146" s="224">
        <v>1541</v>
      </c>
      <c r="B146" s="236">
        <v>1515</v>
      </c>
      <c r="C146" s="262" t="s">
        <v>3930</v>
      </c>
      <c r="D146" s="299">
        <f ca="1">_xlfn.IFNA(VLOOKUP(B146,Worksheet!$C$3:$G$46,3,FALSE),D146)</f>
        <v>19</v>
      </c>
      <c r="E146" s="299">
        <f ca="1">_xlfn.IFNA(VLOOKUP(B146,Worksheet!$C$3:$G$46,4,FALSE),E146)</f>
        <v>19</v>
      </c>
      <c r="F146" s="299">
        <f ca="1">_xlfn.IFNA(VLOOKUP(B146,Worksheet!$C$3:$G$46,5,FALSE),F146)</f>
        <v>19</v>
      </c>
      <c r="G146" s="205" t="s">
        <v>90</v>
      </c>
    </row>
    <row r="147" spans="1:7" ht="45" hidden="1" customHeight="1" x14ac:dyDescent="0.25">
      <c r="A147" s="224"/>
      <c r="B147" s="236">
        <v>1521</v>
      </c>
      <c r="C147" s="262" t="s">
        <v>3931</v>
      </c>
      <c r="D147" s="299">
        <f ca="1">_xlfn.IFNA(VLOOKUP(B147,Worksheet!$C$3:$G$46,3,FALSE),D147)</f>
        <v>19</v>
      </c>
      <c r="E147" s="299">
        <f ca="1">_xlfn.IFNA(VLOOKUP(B147,Worksheet!$C$3:$G$46,4,FALSE),E147)</f>
        <v>19</v>
      </c>
      <c r="F147" s="299">
        <f ca="1">_xlfn.IFNA(VLOOKUP(B147,Worksheet!$C$3:$G$46,5,FALSE),F147)</f>
        <v>19</v>
      </c>
      <c r="G147" s="205" t="s">
        <v>90</v>
      </c>
    </row>
    <row r="148" spans="1:7" ht="45" hidden="1" customHeight="1" x14ac:dyDescent="0.25">
      <c r="A148" s="224"/>
      <c r="B148" s="236">
        <v>1522</v>
      </c>
      <c r="C148" s="262" t="s">
        <v>3932</v>
      </c>
      <c r="D148" s="299">
        <f ca="1">_xlfn.IFNA(VLOOKUP(B148,Worksheet!$C$3:$G$46,3,FALSE),D148)</f>
        <v>19</v>
      </c>
      <c r="E148" s="299">
        <f ca="1">_xlfn.IFNA(VLOOKUP(B148,Worksheet!$C$3:$G$46,4,FALSE),E148)</f>
        <v>19</v>
      </c>
      <c r="F148" s="299">
        <f ca="1">_xlfn.IFNA(VLOOKUP(B148,Worksheet!$C$3:$G$46,5,FALSE),F148)</f>
        <v>19</v>
      </c>
      <c r="G148" s="205" t="s">
        <v>90</v>
      </c>
    </row>
    <row r="149" spans="1:7" ht="45" hidden="1" customHeight="1" x14ac:dyDescent="0.25">
      <c r="A149" s="224"/>
      <c r="B149" s="236">
        <v>1523</v>
      </c>
      <c r="C149" s="262" t="s">
        <v>3933</v>
      </c>
      <c r="D149" s="299">
        <f ca="1">_xlfn.IFNA(VLOOKUP(B149,Worksheet!$C$3:$G$46,3,FALSE),D149)</f>
        <v>19</v>
      </c>
      <c r="E149" s="299">
        <f ca="1">_xlfn.IFNA(VLOOKUP(B149,Worksheet!$C$3:$G$46,4,FALSE),E149)</f>
        <v>19</v>
      </c>
      <c r="F149" s="299">
        <f ca="1">_xlfn.IFNA(VLOOKUP(B149,Worksheet!$C$3:$G$46,5,FALSE),F149)</f>
        <v>19</v>
      </c>
      <c r="G149" s="205" t="s">
        <v>90</v>
      </c>
    </row>
    <row r="150" spans="1:7" ht="45" hidden="1" customHeight="1" x14ac:dyDescent="0.25">
      <c r="A150" s="224"/>
      <c r="B150" s="236">
        <v>1524</v>
      </c>
      <c r="C150" s="262" t="s">
        <v>3934</v>
      </c>
      <c r="D150" s="299">
        <f ca="1">_xlfn.IFNA(VLOOKUP(B150,Worksheet!$C$3:$G$46,3,FALSE),D150)</f>
        <v>28</v>
      </c>
      <c r="E150" s="299">
        <f ca="1">_xlfn.IFNA(VLOOKUP(B150,Worksheet!$C$3:$G$46,4,FALSE),E150)</f>
        <v>42</v>
      </c>
      <c r="F150" s="299">
        <f ca="1">_xlfn.IFNA(VLOOKUP(B150,Worksheet!$C$3:$G$46,5,FALSE),F150)</f>
        <v>34</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27</v>
      </c>
      <c r="E153" s="299">
        <f ca="1">_xlfn.IFNA(VLOOKUP(B153,Worksheet!$C$3:$G$46,4,FALSE),E153)</f>
        <v>29</v>
      </c>
      <c r="F153" s="299">
        <f ca="1">_xlfn.IFNA(VLOOKUP(B153,Worksheet!$C$3:$G$46,5,FALSE),F153)</f>
        <v>33</v>
      </c>
      <c r="G153" s="205" t="s">
        <v>90</v>
      </c>
    </row>
    <row r="154" spans="1:7" ht="45" hidden="1" customHeight="1" x14ac:dyDescent="0.25">
      <c r="A154" s="224"/>
      <c r="B154" s="236">
        <v>1534</v>
      </c>
      <c r="C154" s="240" t="s">
        <v>3938</v>
      </c>
      <c r="D154" s="299">
        <f ca="1">_xlfn.IFNA(VLOOKUP(B154,Worksheet!$C$3:$G$46,3,FALSE),D154)</f>
        <v>1</v>
      </c>
      <c r="E154" s="299">
        <f ca="1">_xlfn.IFNA(VLOOKUP(B154,Worksheet!$C$3:$G$46,4,FALSE),E154)</f>
        <v>3</v>
      </c>
      <c r="F154" s="299">
        <f ca="1">_xlfn.IFNA(VLOOKUP(B154,Worksheet!$C$3:$G$46,5,FALSE),F154)</f>
        <v>1</v>
      </c>
      <c r="G154" s="205" t="s">
        <v>90</v>
      </c>
    </row>
    <row r="155" spans="1:7" ht="45" hidden="1" customHeight="1" x14ac:dyDescent="0.25">
      <c r="A155" s="224"/>
      <c r="B155" s="236">
        <v>1541</v>
      </c>
      <c r="C155" s="240" t="s">
        <v>3939</v>
      </c>
      <c r="D155" s="299">
        <f ca="1">_xlfn.IFNA(VLOOKUP(B155,Worksheet!$C$3:$G$46,3,FALSE),D155)</f>
        <v>28</v>
      </c>
      <c r="E155" s="299">
        <f ca="1">_xlfn.IFNA(VLOOKUP(B155,Worksheet!$C$3:$G$46,4,FALSE),E155)</f>
        <v>39</v>
      </c>
      <c r="F155" s="299">
        <f ca="1">_xlfn.IFNA(VLOOKUP(B155,Worksheet!$C$3:$G$46,5,FALSE),F155)</f>
        <v>34</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28</v>
      </c>
      <c r="E157" s="299">
        <f ca="1">_xlfn.IFNA(VLOOKUP(B157,Worksheet!$C$3:$G$46,4,FALSE),E157)</f>
        <v>42</v>
      </c>
      <c r="F157" s="299">
        <f ca="1">_xlfn.IFNA(VLOOKUP(B157,Worksheet!$C$3:$G$46,5,FALSE),F157)</f>
        <v>34</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28</v>
      </c>
      <c r="E160" s="299">
        <f ca="1">_xlfn.IFNA(VLOOKUP(B160,Worksheet!$C$3:$G$46,4,FALSE),E160)</f>
        <v>42</v>
      </c>
      <c r="F160" s="299">
        <f ca="1">_xlfn.IFNA(VLOOKUP(B160,Worksheet!$C$3:$G$46,5,FALSE),F160)</f>
        <v>34</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4411</v>
      </c>
      <c r="G166" s="205" t="s">
        <v>91</v>
      </c>
    </row>
    <row r="167" spans="1:7" ht="45" hidden="1" customHeight="1" x14ac:dyDescent="0.25">
      <c r="A167" s="224"/>
      <c r="B167" s="280" t="s">
        <v>4018</v>
      </c>
      <c r="C167" s="258" t="s">
        <v>3997</v>
      </c>
      <c r="D167" s="226"/>
      <c r="E167" s="229"/>
      <c r="F167" s="235">
        <f ca="1">_xlfn.IFNA(VLOOKUP(F166,Data_donotedit!$BE$2:$BG$25,3,TRUE),0)</f>
        <v>105</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35</v>
      </c>
      <c r="E169" s="299">
        <f ca="1">_xlfn.IFNA(VLOOKUP(B169,Worksheet!$C$3:$G$46,4,FALSE),E169)</f>
        <v>35</v>
      </c>
      <c r="F169" s="299">
        <f ca="1">_xlfn.IFNA(VLOOKUP(B169,Worksheet!$C$3:$G$46,5,FALSE),F169)</f>
        <v>35</v>
      </c>
      <c r="G169" s="205" t="s">
        <v>91</v>
      </c>
    </row>
    <row r="170" spans="1:7" ht="45" hidden="1" customHeight="1" x14ac:dyDescent="0.25">
      <c r="A170" s="224"/>
      <c r="B170" s="236">
        <v>1612</v>
      </c>
      <c r="C170" s="240" t="s">
        <v>3949</v>
      </c>
      <c r="D170" s="299">
        <f ca="1">_xlfn.IFNA(VLOOKUP(B170,Worksheet!$C$3:$G$46,3,FALSE),D170)</f>
        <v>35</v>
      </c>
      <c r="E170" s="299">
        <f ca="1">_xlfn.IFNA(VLOOKUP(B170,Worksheet!$C$3:$G$46,4,FALSE),E170)</f>
        <v>35</v>
      </c>
      <c r="F170" s="299">
        <f ca="1">_xlfn.IFNA(VLOOKUP(B170,Worksheet!$C$3:$G$46,5,FALSE),F170)</f>
        <v>35</v>
      </c>
      <c r="G170" s="205" t="s">
        <v>91</v>
      </c>
    </row>
    <row r="171" spans="1:7" ht="45" hidden="1" customHeight="1" x14ac:dyDescent="0.25">
      <c r="A171" s="224"/>
      <c r="B171" s="236">
        <v>1613</v>
      </c>
      <c r="C171" s="240" t="s">
        <v>3928</v>
      </c>
      <c r="D171" s="299">
        <f ca="1">_xlfn.IFNA(VLOOKUP(B171,Worksheet!$C$3:$G$46,3,FALSE),D171)</f>
        <v>35</v>
      </c>
      <c r="E171" s="299">
        <f ca="1">_xlfn.IFNA(VLOOKUP(B171,Worksheet!$C$3:$G$46,4,FALSE),E171)</f>
        <v>35</v>
      </c>
      <c r="F171" s="299">
        <f ca="1">_xlfn.IFNA(VLOOKUP(B171,Worksheet!$C$3:$G$46,5,FALSE),F171)</f>
        <v>35</v>
      </c>
      <c r="G171" s="205" t="s">
        <v>91</v>
      </c>
    </row>
    <row r="172" spans="1:7" ht="45" hidden="1" customHeight="1" x14ac:dyDescent="0.25">
      <c r="A172" s="224"/>
      <c r="B172" s="236">
        <v>1614</v>
      </c>
      <c r="C172" s="281" t="s">
        <v>3998</v>
      </c>
      <c r="D172" s="299">
        <f ca="1">_xlfn.IFNA(VLOOKUP(B172,Worksheet!$C$3:$G$46,3,FALSE),D172)</f>
        <v>35</v>
      </c>
      <c r="E172" s="299">
        <f ca="1">_xlfn.IFNA(VLOOKUP(B172,Worksheet!$C$3:$G$46,4,FALSE),E172)</f>
        <v>35</v>
      </c>
      <c r="F172" s="299">
        <f ca="1">_xlfn.IFNA(VLOOKUP(B172,Worksheet!$C$3:$G$46,5,FALSE),F172)</f>
        <v>35</v>
      </c>
      <c r="G172" s="205" t="s">
        <v>91</v>
      </c>
    </row>
    <row r="173" spans="1:7" ht="45" hidden="1" customHeight="1" x14ac:dyDescent="0.25">
      <c r="A173" s="224"/>
      <c r="B173" s="236">
        <v>1615</v>
      </c>
      <c r="C173" s="240" t="s">
        <v>3950</v>
      </c>
      <c r="D173" s="299">
        <f ca="1">_xlfn.IFNA(VLOOKUP(B173,Worksheet!$C$3:$G$46,3,FALSE),D173)</f>
        <v>35</v>
      </c>
      <c r="E173" s="299">
        <f ca="1">_xlfn.IFNA(VLOOKUP(B173,Worksheet!$C$3:$G$46,4,FALSE),E173)</f>
        <v>35</v>
      </c>
      <c r="F173" s="299">
        <f ca="1">_xlfn.IFNA(VLOOKUP(B173,Worksheet!$C$3:$G$46,5,FALSE),F173)</f>
        <v>35</v>
      </c>
      <c r="G173" s="205" t="s">
        <v>91</v>
      </c>
    </row>
    <row r="174" spans="1:7" ht="45" hidden="1" customHeight="1" x14ac:dyDescent="0.25">
      <c r="A174" s="224"/>
      <c r="B174" s="236">
        <v>1616</v>
      </c>
      <c r="C174" s="240" t="s">
        <v>3999</v>
      </c>
      <c r="D174" s="299">
        <f ca="1">_xlfn.IFNA(VLOOKUP(B174,Worksheet!$C$3:$G$46,3,FALSE),D174)</f>
        <v>35</v>
      </c>
      <c r="E174" s="299">
        <f ca="1">_xlfn.IFNA(VLOOKUP(B174,Worksheet!$C$3:$G$46,4,FALSE),E174)</f>
        <v>35</v>
      </c>
      <c r="F174" s="299">
        <f ca="1">_xlfn.IFNA(VLOOKUP(B174,Worksheet!$C$3:$G$46,5,FALSE),F174)</f>
        <v>35</v>
      </c>
      <c r="G174" s="205" t="s">
        <v>91</v>
      </c>
    </row>
    <row r="175" spans="1:7" ht="45" hidden="1" customHeight="1" x14ac:dyDescent="0.25">
      <c r="A175" s="224"/>
      <c r="B175" s="236">
        <v>1621</v>
      </c>
      <c r="C175" s="240" t="s">
        <v>4000</v>
      </c>
      <c r="D175" s="299">
        <f ca="1">_xlfn.IFNA(VLOOKUP(B175,Worksheet!$C$3:$G$46,3,FALSE),D175)</f>
        <v>35</v>
      </c>
      <c r="E175" s="299">
        <f ca="1">_xlfn.IFNA(VLOOKUP(B175,Worksheet!$C$3:$G$46,4,FALSE),E175)</f>
        <v>35</v>
      </c>
      <c r="F175" s="299">
        <f ca="1">_xlfn.IFNA(VLOOKUP(B175,Worksheet!$C$3:$G$46,5,FALSE),F175)</f>
        <v>35</v>
      </c>
      <c r="G175" s="205" t="s">
        <v>91</v>
      </c>
    </row>
    <row r="176" spans="1:7" ht="45" hidden="1" customHeight="1" x14ac:dyDescent="0.25">
      <c r="A176" s="224"/>
      <c r="B176" s="236">
        <v>1622</v>
      </c>
      <c r="C176" s="240" t="s">
        <v>4001</v>
      </c>
      <c r="D176" s="299">
        <f ca="1">_xlfn.IFNA(VLOOKUP(B176,Worksheet!$C$3:$G$46,3,FALSE),D176)</f>
        <v>35</v>
      </c>
      <c r="E176" s="299">
        <f ca="1">_xlfn.IFNA(VLOOKUP(B176,Worksheet!$C$3:$G$46,4,FALSE),E176)</f>
        <v>35</v>
      </c>
      <c r="F176" s="299">
        <f ca="1">_xlfn.IFNA(VLOOKUP(B176,Worksheet!$C$3:$G$46,5,FALSE),F176)</f>
        <v>35</v>
      </c>
      <c r="G176" s="205" t="s">
        <v>91</v>
      </c>
    </row>
    <row r="177" spans="1:7" ht="45" hidden="1" customHeight="1" x14ac:dyDescent="0.25">
      <c r="A177" s="224"/>
      <c r="B177" s="236">
        <v>1623</v>
      </c>
      <c r="C177" s="240" t="s">
        <v>4002</v>
      </c>
      <c r="D177" s="299">
        <f ca="1">_xlfn.IFNA(VLOOKUP(B177,Worksheet!$C$3:$G$46,3,FALSE),D177)</f>
        <v>35</v>
      </c>
      <c r="E177" s="299">
        <f ca="1">_xlfn.IFNA(VLOOKUP(B177,Worksheet!$C$3:$G$46,4,FALSE),E177)</f>
        <v>35</v>
      </c>
      <c r="F177" s="299">
        <f ca="1">_xlfn.IFNA(VLOOKUP(B177,Worksheet!$C$3:$G$46,5,FALSE),F177)</f>
        <v>35</v>
      </c>
      <c r="G177" s="205" t="s">
        <v>91</v>
      </c>
    </row>
    <row r="178" spans="1:7" ht="45" hidden="1" customHeight="1" x14ac:dyDescent="0.25">
      <c r="A178" s="224"/>
      <c r="B178" s="236">
        <v>1624</v>
      </c>
      <c r="C178" s="240" t="s">
        <v>4003</v>
      </c>
      <c r="D178" s="299">
        <f ca="1">_xlfn.IFNA(VLOOKUP(B178,Worksheet!$C$3:$G$46,3,FALSE),D178)</f>
        <v>35</v>
      </c>
      <c r="E178" s="299">
        <f ca="1">_xlfn.IFNA(VLOOKUP(B178,Worksheet!$C$3:$G$46,4,FALSE),E178)</f>
        <v>35</v>
      </c>
      <c r="F178" s="299">
        <f ca="1">_xlfn.IFNA(VLOOKUP(B178,Worksheet!$C$3:$G$46,5,FALSE),F178)</f>
        <v>35</v>
      </c>
      <c r="G178" s="205" t="s">
        <v>91</v>
      </c>
    </row>
    <row r="179" spans="1:7" ht="45" hidden="1" customHeight="1" x14ac:dyDescent="0.25">
      <c r="A179" s="224"/>
      <c r="B179" s="236">
        <v>1625</v>
      </c>
      <c r="C179" s="240" t="s">
        <v>3951</v>
      </c>
      <c r="D179" s="299">
        <f ca="1">_xlfn.IFNA(VLOOKUP(B179,Worksheet!$C$3:$G$46,3,FALSE),D179)</f>
        <v>35</v>
      </c>
      <c r="E179" s="299">
        <f ca="1">_xlfn.IFNA(VLOOKUP(B179,Worksheet!$C$3:$G$46,4,FALSE),E179)</f>
        <v>35</v>
      </c>
      <c r="F179" s="299">
        <f ca="1">_xlfn.IFNA(VLOOKUP(B179,Worksheet!$C$3:$G$46,5,FALSE),F179)</f>
        <v>35</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1313</v>
      </c>
      <c r="E181" s="299">
        <f ca="1">_xlfn.IFNA(VLOOKUP(B181,Worksheet!$C$3:$G$46,4,FALSE),E181)</f>
        <v>1332</v>
      </c>
      <c r="F181" s="299">
        <f ca="1">_xlfn.IFNA(VLOOKUP(B181,Worksheet!$C$3:$G$46,5,FALSE),F181)</f>
        <v>2874</v>
      </c>
      <c r="G181" s="205" t="s">
        <v>91</v>
      </c>
    </row>
    <row r="182" spans="1:7" ht="45" hidden="1" customHeight="1" x14ac:dyDescent="0.25">
      <c r="A182" s="224"/>
      <c r="B182" s="236">
        <v>1632</v>
      </c>
      <c r="C182" s="240" t="s">
        <v>3953</v>
      </c>
      <c r="D182" s="299">
        <f ca="1">_xlfn.IFNA(VLOOKUP(B182,Worksheet!$C$3:$G$46,3,FALSE),D182)</f>
        <v>2833</v>
      </c>
      <c r="E182" s="299">
        <f ca="1">_xlfn.IFNA(VLOOKUP(B182,Worksheet!$C$3:$G$46,4,FALSE),E182)</f>
        <v>2854</v>
      </c>
      <c r="F182" s="299">
        <f ca="1">_xlfn.IFNA(VLOOKUP(B182,Worksheet!$C$3:$G$46,5,FALSE),F182)</f>
        <v>1346</v>
      </c>
      <c r="G182" s="205" t="s">
        <v>91</v>
      </c>
    </row>
    <row r="183" spans="1:7" ht="45" hidden="1" customHeight="1" x14ac:dyDescent="0.25">
      <c r="A183" s="224"/>
      <c r="B183" s="236">
        <v>1633</v>
      </c>
      <c r="C183" s="240" t="s">
        <v>3954</v>
      </c>
      <c r="D183" s="299">
        <f ca="1">_xlfn.IFNA(VLOOKUP(B183,Worksheet!$C$3:$G$46,3,FALSE),D183)</f>
        <v>4001</v>
      </c>
      <c r="E183" s="299">
        <f ca="1">_xlfn.IFNA(VLOOKUP(B183,Worksheet!$C$3:$G$46,4,FALSE),E183)</f>
        <v>4040</v>
      </c>
      <c r="F183" s="299">
        <f ca="1">_xlfn.IFNA(VLOOKUP(B183,Worksheet!$C$3:$G$46,5,FALSE),F183)</f>
        <v>4073</v>
      </c>
      <c r="G183" s="205" t="s">
        <v>91</v>
      </c>
    </row>
    <row r="184" spans="1:7" ht="45" hidden="1" customHeight="1" x14ac:dyDescent="0.25">
      <c r="A184" s="224"/>
      <c r="B184" s="236">
        <v>1634</v>
      </c>
      <c r="C184" s="240" t="s">
        <v>3955</v>
      </c>
      <c r="D184" s="299">
        <f ca="1">_xlfn.IFNA(VLOOKUP(B184,Worksheet!$C$3:$G$46,3,FALSE),D184)</f>
        <v>145</v>
      </c>
      <c r="E184" s="299">
        <f ca="1">_xlfn.IFNA(VLOOKUP(B184,Worksheet!$C$3:$G$46,4,FALSE),E184)</f>
        <v>146</v>
      </c>
      <c r="F184" s="299">
        <f ca="1">_xlfn.IFNA(VLOOKUP(B184,Worksheet!$C$3:$G$46,5,FALSE),F184)</f>
        <v>147</v>
      </c>
      <c r="G184" s="205" t="s">
        <v>91</v>
      </c>
    </row>
    <row r="185" spans="1:7" ht="45" hidden="1" customHeight="1" x14ac:dyDescent="0.25">
      <c r="A185" s="224"/>
      <c r="B185" s="236">
        <v>1635</v>
      </c>
      <c r="C185" s="240" t="s">
        <v>3956</v>
      </c>
      <c r="D185" s="299">
        <f ca="1">_xlfn.IFNA(VLOOKUP(B185,Worksheet!$C$3:$G$46,3,FALSE),D185)</f>
        <v>1505</v>
      </c>
      <c r="E185" s="299">
        <f ca="1">_xlfn.IFNA(VLOOKUP(B185,Worksheet!$C$3:$G$46,4,FALSE),E185)</f>
        <v>347</v>
      </c>
      <c r="F185" s="299">
        <f ca="1">_xlfn.IFNA(VLOOKUP(B185,Worksheet!$C$3:$G$46,5,FALSE),F185)</f>
        <v>119</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1505</v>
      </c>
      <c r="E187" s="299">
        <f ca="1">_xlfn.IFNA(VLOOKUP(B187,Worksheet!$C$3:$G$46,4,FALSE),E187)</f>
        <v>347</v>
      </c>
      <c r="F187" s="299">
        <f ca="1">_xlfn.IFNA(VLOOKUP(B187,Worksheet!$C$3:$G$46,5,FALSE),F187)</f>
        <v>119</v>
      </c>
      <c r="G187" s="205" t="s">
        <v>91</v>
      </c>
    </row>
    <row r="188" spans="1:7" ht="45" hidden="1" customHeight="1" x14ac:dyDescent="0.25">
      <c r="A188" s="224"/>
      <c r="B188" s="236">
        <v>1643</v>
      </c>
      <c r="C188" s="240" t="s">
        <v>4006</v>
      </c>
      <c r="D188" s="299">
        <f ca="1">_xlfn.IFNA(VLOOKUP(B188,Worksheet!$C$3:$G$46,3,FALSE),D188)</f>
        <v>4146</v>
      </c>
      <c r="E188" s="299">
        <f ca="1">_xlfn.IFNA(VLOOKUP(B188,Worksheet!$C$3:$G$46,4,FALSE),E188)</f>
        <v>4186</v>
      </c>
      <c r="F188" s="299">
        <f ca="1">_xlfn.IFNA(VLOOKUP(B188,Worksheet!$C$3:$G$46,5,FALSE),F188)</f>
        <v>4220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f ca="1">D191/D192</f>
        <v>0</v>
      </c>
      <c r="E190" s="282">
        <f t="shared" ref="E190:F190" ca="1" si="7">E191/E192</f>
        <v>0</v>
      </c>
      <c r="F190" s="282">
        <f t="shared" ca="1" si="7"/>
        <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9070</v>
      </c>
      <c r="E192" s="299">
        <f ca="1">_xlfn.IFNA(VLOOKUP(B192,Worksheet!$C$3:$G$46,4,FALSE),E192)</f>
        <v>9112</v>
      </c>
      <c r="F192" s="299">
        <f ca="1">_xlfn.IFNA(VLOOKUP(B192,Worksheet!$C$3:$G$46,5,FALSE),F192)</f>
        <v>9146</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Qw/vTB/8ghhN1tOqK0DEaBBhjdRMPLk9qQbwSffOre2Qr+6FOlASIEHAKJ5/1Ao4lUIgHYeVbM150Pdd3SXasg==" saltValue="jgTSYrwkajdGNGE0QTHrw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2017-03-10T08:55:56Z</dcterms:modified>
</cp:coreProperties>
</file>